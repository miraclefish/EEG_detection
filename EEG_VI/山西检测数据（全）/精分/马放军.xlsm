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<sst xmlns="http://schemas.openxmlformats.org/spreadsheetml/2006/main" count="701" uniqueCount="572">
  <si>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</si>
  <si>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</si>
  <si>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</si>
  <si>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</si>
  <si>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</si>
  <si>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</si>
  <si>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</si>
  <si>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</si>
  <si>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</si>
  <si>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</si>
  <si>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</si>
  <si>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</si>
  <si>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</si>
  <si>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</si>
  <si>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</si>
  <si>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</si>
  <si>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</si>
  <si>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</si>
  <si>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</si>
  <si>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</si>
  <si>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</si>
  <si>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</si>
  <si>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</si>
  <si>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</si>
  <si>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</si>
  <si>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</si>
  <si>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</si>
  <si>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</si>
  <si>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</si>
  <si>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</si>
  <si>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</si>
  <si>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</si>
  <si>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</si>
  <si>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</si>
  <si>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</si>
  <si>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</si>
  <si>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</si>
  <si>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</si>
  <si>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</si>
  <si>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</si>
  <si>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</si>
  <si>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</si>
  <si>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</si>
  <si>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</si>
  <si>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</si>
  <si>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</si>
  <si>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</si>
  <si>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</si>
  <si>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</si>
  <si>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</si>
  <si>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</si>
  <si>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</si>
  <si>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</si>
  <si>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</si>
  <si>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</si>
  <si>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</si>
  <si>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</si>
  <si>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</si>
  <si>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</si>
  <si>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</si>
  <si>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</si>
  <si>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</si>
  <si>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</si>
  <si>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</si>
  <si>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</si>
  <si>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</si>
  <si>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</si>
  <si>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</si>
  <si>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</si>
  <si>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</si>
  <si>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</si>
  <si>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</si>
  <si>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</si>
  <si>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</si>
  <si>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</si>
  <si>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</si>
  <si>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</si>
  <si>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</si>
  <si>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</si>
  <si>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</si>
  <si>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</si>
  <si>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</si>
  <si>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</si>
  <si>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</si>
  <si>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</si>
  <si>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</si>
  <si>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</si>
  <si>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</si>
  <si>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</si>
  <si>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</si>
  <si>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</si>
  <si>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</si>
  <si>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</si>
  <si>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</si>
  <si>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</si>
  <si>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</si>
  <si>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</si>
  <si>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</si>
  <si>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</si>
  <si>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</si>
  <si>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</si>
  <si>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</si>
  <si>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</si>
  <si>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</si>
  <si>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</si>
  <si>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</si>
  <si>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</si>
  <si>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</si>
  <si>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</si>
  <si>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</si>
  <si>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</si>
  <si>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</si>
  <si>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</si>
  <si>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</si>
  <si>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</si>
  <si>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</si>
  <si>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</si>
  <si>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</si>
  <si>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</si>
  <si>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</si>
  <si>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</si>
  <si>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</si>
  <si>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</si>
  <si>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</si>
  <si>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</si>
  <si>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</si>
  <si>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</si>
  <si>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</si>
  <si>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</si>
  <si>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</si>
  <si>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</si>
  <si>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</si>
  <si>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</si>
  <si>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</si>
  <si>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</si>
  <si>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</si>
  <si>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</si>
  <si>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</si>
  <si>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</si>
  <si>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</si>
  <si>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</si>
  <si>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</si>
  <si>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</si>
  <si>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</si>
  <si>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</si>
  <si>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</si>
  <si>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</si>
  <si>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</si>
  <si>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</si>
  <si>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</si>
  <si>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</si>
  <si>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</si>
  <si>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</si>
  <si>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</si>
  <si>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</si>
  <si>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</si>
  <si>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</si>
  <si>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</si>
  <si>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</si>
  <si>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</si>
  <si>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</si>
  <si>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</si>
  <si>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</si>
  <si>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</si>
  <si>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</si>
  <si>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</si>
  <si>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</si>
  <si>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</si>
  <si>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</si>
  <si>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</si>
  <si>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</si>
  <si>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</si>
  <si>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</si>
  <si>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</si>
  <si>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</si>
  <si>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</si>
  <si>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</si>
  <si>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</si>
  <si>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</si>
  <si>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</si>
  <si>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</si>
  <si>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</si>
  <si>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</si>
  <si>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</si>
  <si>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</si>
  <si>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</si>
  <si>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</si>
  <si>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</si>
  <si>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</si>
  <si>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</si>
  <si>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</si>
  <si>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</si>
  <si>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</si>
  <si>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</si>
  <si>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</si>
  <si>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</si>
  <si>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</si>
  <si>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</si>
  <si>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</si>
  <si>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</si>
  <si>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</si>
  <si>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</si>
  <si>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</si>
  <si>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</si>
  <si>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</si>
  <si>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</si>
  <si>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</si>
  <si>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</si>
  <si>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</si>
  <si>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</si>
  <si>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</si>
  <si>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</si>
  <si>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</si>
  <si>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</si>
  <si>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</si>
  <si>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</si>
  <si>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</si>
  <si>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</si>
  <si>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</si>
  <si>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</si>
  <si>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</si>
  <si>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</si>
  <si>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</si>
  <si>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</si>
  <si>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</si>
  <si>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</si>
  <si>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</si>
  <si>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</si>
  <si>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</si>
  <si>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</si>
  <si>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</si>
  <si>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</si>
  <si>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</si>
  <si>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</si>
  <si>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</si>
  <si>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</si>
  <si>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</si>
  <si>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</si>
  <si>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</si>
  <si>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</si>
  <si>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</si>
  <si>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</si>
  <si>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</si>
  <si>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</si>
  <si>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</si>
  <si>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</si>
  <si>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</si>
  <si>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</si>
  <si>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</si>
  <si>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</si>
  <si>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</si>
  <si>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</si>
  <si>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</si>
  <si>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</si>
  <si>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</si>
  <si>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</si>
  <si>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</si>
  <si>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</si>
  <si>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</si>
  <si>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</si>
  <si>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</si>
  <si>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</si>
  <si>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</si>
  <si>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</si>
  <si>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</si>
  <si>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</si>
  <si>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</si>
  <si>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</si>
  <si>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</si>
  <si>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</si>
  <si>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</si>
  <si>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</si>
  <si>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</si>
  <si>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</si>
  <si>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</si>
  <si>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</si>
  <si>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</si>
  <si>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</si>
  <si>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</si>
  <si>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</si>
  <si>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</si>
  <si>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</si>
  <si>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</si>
  <si>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</si>
  <si>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</si>
  <si>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</si>
  <si>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</si>
  <si>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</si>
  <si>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</si>
  <si>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</si>
  <si>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</si>
  <si>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</si>
  <si>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</si>
  <si>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</si>
  <si>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</si>
  <si>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</si>
  <si>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</si>
  <si>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</si>
  <si>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</si>
  <si>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</si>
  <si>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</si>
  <si>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</si>
  <si>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</si>
  <si>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</si>
  <si>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</si>
  <si>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</si>
  <si>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</si>
  <si>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</si>
  <si>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</si>
  <si>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</si>
  <si>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</si>
  <si>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</si>
  <si>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</si>
  <si>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</si>
  <si>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</si>
  <si>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</si>
  <si>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</si>
  <si>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</si>
  <si>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</si>
  <si>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</si>
  <si>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</si>
  <si>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</si>
  <si>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</si>
  <si>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</si>
  <si>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</si>
  <si>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</si>
  <si>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</si>
  <si>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</si>
  <si>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</si>
  <si>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</si>
  <si>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</si>
  <si>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</si>
  <si>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</si>
  <si>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</si>
  <si>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</si>
  <si>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</si>
  <si>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</si>
  <si>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</si>
  <si>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</si>
  <si>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</si>
  <si>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</si>
  <si>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</si>
  <si>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</si>
  <si>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</si>
  <si>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</si>
  <si>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</si>
  <si>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</si>
  <si>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</si>
  <si>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</si>
  <si>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</si>
  <si>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</si>
  <si>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</si>
  <si>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</si>
  <si>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</si>
  <si>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</si>
  <si>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</si>
  <si>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</si>
  <si>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</si>
  <si>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</si>
  <si>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</si>
  <si>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</si>
  <si>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</si>
  <si>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</si>
  <si>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</si>
  <si>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</si>
  <si>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</si>
  <si>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</si>
  <si>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</si>
  <si>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</si>
  <si>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</si>
  <si>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</si>
  <si>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</si>
  <si>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</si>
  <si>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</si>
  <si>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</si>
  <si>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</si>
  <si>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</si>
  <si>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</si>
  <si>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</si>
  <si>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</si>
  <si>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</si>
  <si>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</si>
  <si>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</si>
  <si>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</si>
  <si>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</si>
  <si>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</si>
  <si>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</si>
  <si>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</si>
  <si>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</si>
  <si>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</si>
  <si>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</si>
  <si>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</si>
  <si>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</si>
  <si>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</si>
  <si>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</si>
  <si>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</si>
  <si>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</si>
  <si>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</si>
  <si>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</si>
  <si>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</si>
  <si>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</si>
  <si>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</si>
  <si>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</si>
  <si>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</si>
  <si>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</si>
  <si>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</si>
  <si>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</si>
  <si>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</si>
  <si>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</si>
  <si>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[0.404837]</t>
  </si>
  <si>
    <t>1 [0.810771]</t>
  </si>
  <si>
    <t>1 [1.215672]</t>
  </si>
  <si>
    <t>1 [1.619758]</t>
  </si>
  <si>
    <t>1 [2.030574]</t>
  </si>
  <si>
    <t>1 [2.440499]</t>
  </si>
  <si>
    <t>1 [2.842366]</t>
  </si>
  <si>
    <t>1 [3.247242]</t>
  </si>
  <si>
    <t>1 [3.654192]</t>
  </si>
  <si>
    <t>1 [4.061034]</t>
  </si>
  <si>
    <t>1 [4.469266]</t>
  </si>
  <si>
    <t>1 [4.870601]</t>
  </si>
  <si>
    <t>1 [5.278817]</t>
  </si>
  <si>
    <t>1 [5.686041]</t>
  </si>
  <si>
    <t>1 [6.090631]</t>
  </si>
  <si>
    <t>1 [6.499507]</t>
  </si>
  <si>
    <t>1 [6.905444]</t>
  </si>
  <si>
    <t>1 [7.307468]</t>
  </si>
  <si>
    <t>1 [7.719427]</t>
  </si>
  <si>
    <t>1 [8.126156]</t>
  </si>
  <si>
    <t>1 [8.530121]</t>
  </si>
  <si>
    <t>1 [8.934042]</t>
  </si>
  <si>
    <t>1 [9.340920]</t>
  </si>
  <si>
    <t>1 [9.748960]</t>
  </si>
  <si>
    <t>1 [10.152036]</t>
  </si>
  <si>
    <t>1 [10.562656]</t>
  </si>
  <si>
    <t>1 [10.970604]</t>
  </si>
  <si>
    <t>1 [11.372484]</t>
  </si>
  <si>
    <t>1 [11.779587]</t>
  </si>
  <si>
    <t>1 [12.185645]</t>
  </si>
  <si>
    <t>1 [12.591208]</t>
  </si>
  <si>
    <t>1 [13.000109]</t>
  </si>
  <si>
    <t>1 [13.402315]</t>
  </si>
  <si>
    <t>1 [13.809183]</t>
  </si>
  <si>
    <t>1 [14.216838]</t>
  </si>
  <si>
    <t>1 [14.624882]</t>
  </si>
  <si>
    <t>1 [15.029757]</t>
  </si>
  <si>
    <t>1 [15.435847]</t>
  </si>
  <si>
    <t>1 [15.841827]</t>
  </si>
  <si>
    <t>1 [16.247464]</t>
  </si>
  <si>
    <t>1 [16.656391]</t>
  </si>
  <si>
    <t>1 [17.063393]</t>
  </si>
  <si>
    <t>1 [17.466210]</t>
  </si>
  <si>
    <t>1 [17.870077]</t>
  </si>
  <si>
    <t>1 [18.280984]</t>
  </si>
  <si>
    <t>1 [18.684052]</t>
  </si>
  <si>
    <t>1 [19.092820]</t>
  </si>
  <si>
    <t>1 [19.500796]</t>
  </si>
  <si>
    <t>1 [19.904688]</t>
  </si>
  <si>
    <t>1 [20.308700]</t>
  </si>
  <si>
    <t>1 [20.720551]</t>
  </si>
  <si>
    <t>1 [21.123501]</t>
  </si>
  <si>
    <t>1 [21.532335]</t>
  </si>
  <si>
    <t>1 [21.937595]</t>
  </si>
  <si>
    <t>1 [22.338458]</t>
  </si>
  <si>
    <t>1 [22.750088]</t>
  </si>
  <si>
    <t>1 [23.158028]</t>
  </si>
  <si>
    <t>1 [23.559003]</t>
  </si>
  <si>
    <t>1 [23.966830]</t>
  </si>
  <si>
    <t>1 [24.372978]</t>
  </si>
  <si>
    <t>1 [24.781671]</t>
  </si>
  <si>
    <t>1 [25.186675]</t>
  </si>
  <si>
    <t>1 [25.594462]</t>
  </si>
  <si>
    <t>1 [25.997385]</t>
  </si>
  <si>
    <t>1 [26.405377]</t>
  </si>
  <si>
    <t>1 [26.813273]</t>
  </si>
  <si>
    <t>1 [27.216138]</t>
  </si>
  <si>
    <t>1 [27.622009]</t>
  </si>
  <si>
    <t>1 [28.028059]</t>
  </si>
  <si>
    <t>1 [28.435139]</t>
  </si>
  <si>
    <t>1 [28.842787]</t>
  </si>
  <si>
    <t>1 [29.250791]</t>
  </si>
  <si>
    <t>1 [29.652844]</t>
  </si>
  <si>
    <t>2 [30.061514]</t>
  </si>
  <si>
    <t>2 [30.517349]</t>
  </si>
  <si>
    <t>2 [30.920234]</t>
  </si>
  <si>
    <t>2 [31.326156]</t>
  </si>
  <si>
    <t>2 [31.732558]</t>
  </si>
  <si>
    <t>2 [32.140966]</t>
  </si>
  <si>
    <t>2 [32.545994]</t>
  </si>
  <si>
    <t>2 [32.953752]</t>
  </si>
  <si>
    <t>2 [33.355805]</t>
  </si>
  <si>
    <t>2 [33.760667]</t>
  </si>
  <si>
    <t>2 [34.165748]</t>
  </si>
  <si>
    <t>2 [34.576526]</t>
  </si>
  <si>
    <t>2 [34.983500]</t>
  </si>
  <si>
    <t>2 [35.387353]</t>
  </si>
  <si>
    <t>2 [35.791169]</t>
  </si>
  <si>
    <t>2 [36.203623]</t>
  </si>
  <si>
    <t>2 [36.608400]</t>
  </si>
  <si>
    <t>2 [37.014022]</t>
  </si>
  <si>
    <t>2 [37.417849]</t>
  </si>
  <si>
    <t>2 [37.824797]</t>
  </si>
  <si>
    <t>2 [38.233759]</t>
  </si>
  <si>
    <t>2 [38.640641]</t>
  </si>
  <si>
    <t>2 [39.043618]</t>
  </si>
  <si>
    <t>2 [39.450389]</t>
  </si>
  <si>
    <t>2 [39.856372]</t>
  </si>
  <si>
    <t>2 [40.262325]</t>
  </si>
  <si>
    <t>2 [40.674177]</t>
  </si>
  <si>
    <t>2 [41.080124]</t>
  </si>
  <si>
    <t>2 [41.483036]</t>
  </si>
  <si>
    <t>2 [41.889062]</t>
  </si>
  <si>
    <t>2 [42.294840]</t>
  </si>
  <si>
    <t>2 [42.702807]</t>
  </si>
  <si>
    <t>2 [43.109574]</t>
  </si>
  <si>
    <t>2 [43.514527]</t>
  </si>
  <si>
    <t>2 [43.918692]</t>
  </si>
  <si>
    <t>2 [44.328351]</t>
  </si>
  <si>
    <t>2 [44.734303]</t>
  </si>
  <si>
    <t>2 [45.139252]</t>
  </si>
  <si>
    <t>2 [45.548129]</t>
  </si>
  <si>
    <t>2 [45.950011]</t>
  </si>
  <si>
    <t>2 [46.359064]</t>
  </si>
  <si>
    <t>2 [46.765912]</t>
  </si>
  <si>
    <t>2 [47.172740]</t>
  </si>
  <si>
    <t>2 [47.576664]</t>
  </si>
  <si>
    <t>2 [47.984552]</t>
  </si>
  <si>
    <t>2 [48.388739]</t>
  </si>
  <si>
    <t>2 [48.796496]</t>
  </si>
  <si>
    <t>2 [49.209293]</t>
  </si>
  <si>
    <t>2 [49.608332]</t>
  </si>
  <si>
    <t>2 [50.012150]</t>
  </si>
  <si>
    <t>2 [50.421640]</t>
  </si>
  <si>
    <t>2 [50.824972]</t>
  </si>
  <si>
    <t>2 [51.233963]</t>
  </si>
  <si>
    <t>2 [51.640854]</t>
  </si>
  <si>
    <t>2 [52.042732]</t>
  </si>
  <si>
    <t>2 [52.450658]</t>
  </si>
  <si>
    <t>2 [52.857569]</t>
  </si>
  <si>
    <t>2 [53.263573]</t>
  </si>
  <si>
    <t>2 [53.670343]</t>
  </si>
  <si>
    <t>2 [54.074324]</t>
  </si>
  <si>
    <t>2 [54.482280]</t>
  </si>
  <si>
    <t>2 [54.892140]</t>
  </si>
  <si>
    <t>2 [55.295113]</t>
  </si>
  <si>
    <t>2 [55.702396]</t>
  </si>
  <si>
    <t>2 [56.110871]</t>
  </si>
  <si>
    <t>2 [56.516786]</t>
  </si>
  <si>
    <t>2 [56.919748]</t>
  </si>
  <si>
    <t>2 [57.325638]</t>
  </si>
  <si>
    <t>2 [57.735876]</t>
  </si>
  <si>
    <t>2 [58.141768]</t>
  </si>
  <si>
    <t>2 [58.545717]</t>
  </si>
  <si>
    <t>2 [58.952608]</t>
  </si>
  <si>
    <t>2 [59.359190]</t>
  </si>
  <si>
    <t>2 [59.765168]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</si>
  <si>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</si>
  <si>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</si>
  <si>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</si>
  <si>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</si>
  <si>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</si>
  <si>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</si>
  <si>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</si>
  <si>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</si>
  <si>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</si>
  <si>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</si>
  <si>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</si>
  <si>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</si>
  <si>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</si>
  <si>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</si>
  <si>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马放军</t>
    <phoneticPr fontId="1" type="noConversion"/>
  </si>
  <si>
    <t>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</si>
</sst>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29.943200000000001</c:v>
                </c:pt>
                <c:pt idx="1">
                  <c:v>39.9666</c:v>
                </c:pt>
                <c:pt idx="2">
                  <c:v>42.369900000000001</c:v>
                </c:pt>
                <c:pt idx="3">
                  <c:v>34.732199999999999</c:v>
                </c:pt>
                <c:pt idx="4">
                  <c:v>64.840800000000002</c:v>
                </c:pt>
                <c:pt idx="5">
                  <c:v>69.321399999999997</c:v>
                </c:pt>
                <c:pt idx="6">
                  <c:v>10.4474</c:v>
                </c:pt>
                <c:pt idx="7">
                  <c:v>65.863200000000006</c:v>
                </c:pt>
                <c:pt idx="8">
                  <c:v>15.480700000000001</c:v>
                </c:pt>
                <c:pt idx="9">
                  <c:v>20.258800000000001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0.49065410429833572</c:v>
                </c:pt>
                <c:pt idx="1">
                  <c:v>0.34271408046881358</c:v>
                </c:pt>
                <c:pt idx="2">
                  <c:v>0.16663181523285073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26066</c:v>
                </c:pt>
                <c:pt idx="7">
                  <c:v>0</c:v>
                </c:pt>
                <c:pt idx="8">
                  <c:v>45604</c:v>
                </c:pt>
                <c:pt idx="9">
                  <c:v>0</c:v>
                </c:pt>
                <c:pt idx="10">
                  <c:v>0</c:v>
                </c:pt>
                <c:pt idx="11">
                  <c:v>50884</c:v>
                </c:pt>
                <c:pt idx="12">
                  <c:v>0</c:v>
                </c:pt>
                <c:pt idx="13">
                  <c:v>68710</c:v>
                </c:pt>
                <c:pt idx="14">
                  <c:v>0</c:v>
                </c:pt>
                <c:pt idx="15">
                  <c:v>0</c:v>
                </c:pt>
                <c:pt idx="16">
                  <c:v>74749</c:v>
                </c:pt>
                <c:pt idx="17">
                  <c:v>0</c:v>
                </c:pt>
                <c:pt idx="18">
                  <c:v>0</c:v>
                </c:pt>
                <c:pt idx="19">
                  <c:v>85903</c:v>
                </c:pt>
                <c:pt idx="20">
                  <c:v>0</c:v>
                </c:pt>
                <c:pt idx="21">
                  <c:v>85812</c:v>
                </c:pt>
                <c:pt idx="22">
                  <c:v>0</c:v>
                </c:pt>
                <c:pt idx="23">
                  <c:v>0</c:v>
                </c:pt>
                <c:pt idx="24">
                  <c:v>80440</c:v>
                </c:pt>
                <c:pt idx="25">
                  <c:v>0</c:v>
                </c:pt>
                <c:pt idx="26">
                  <c:v>81418</c:v>
                </c:pt>
                <c:pt idx="27">
                  <c:v>0</c:v>
                </c:pt>
                <c:pt idx="28">
                  <c:v>0</c:v>
                </c:pt>
                <c:pt idx="29">
                  <c:v>87898</c:v>
                </c:pt>
                <c:pt idx="30">
                  <c:v>0</c:v>
                </c:pt>
                <c:pt idx="31">
                  <c:v>92777</c:v>
                </c:pt>
                <c:pt idx="32">
                  <c:v>0</c:v>
                </c:pt>
                <c:pt idx="33">
                  <c:v>0</c:v>
                </c:pt>
                <c:pt idx="34">
                  <c:v>100034</c:v>
                </c:pt>
                <c:pt idx="35">
                  <c:v>0</c:v>
                </c:pt>
                <c:pt idx="36">
                  <c:v>0</c:v>
                </c:pt>
                <c:pt idx="37">
                  <c:v>103742</c:v>
                </c:pt>
                <c:pt idx="38">
                  <c:v>0</c:v>
                </c:pt>
                <c:pt idx="39">
                  <c:v>111571</c:v>
                </c:pt>
                <c:pt idx="40">
                  <c:v>0</c:v>
                </c:pt>
                <c:pt idx="41">
                  <c:v>0</c:v>
                </c:pt>
                <c:pt idx="42">
                  <c:v>94987</c:v>
                </c:pt>
                <c:pt idx="43">
                  <c:v>0</c:v>
                </c:pt>
                <c:pt idx="44">
                  <c:v>113354</c:v>
                </c:pt>
                <c:pt idx="45">
                  <c:v>0</c:v>
                </c:pt>
                <c:pt idx="46">
                  <c:v>0</c:v>
                </c:pt>
                <c:pt idx="47">
                  <c:v>122064</c:v>
                </c:pt>
                <c:pt idx="48">
                  <c:v>0</c:v>
                </c:pt>
                <c:pt idx="49">
                  <c:v>117817</c:v>
                </c:pt>
                <c:pt idx="50">
                  <c:v>0</c:v>
                </c:pt>
                <c:pt idx="51">
                  <c:v>0</c:v>
                </c:pt>
                <c:pt idx="52">
                  <c:v>114402</c:v>
                </c:pt>
                <c:pt idx="53">
                  <c:v>0</c:v>
                </c:pt>
                <c:pt idx="54">
                  <c:v>0</c:v>
                </c:pt>
                <c:pt idx="55">
                  <c:v>119281</c:v>
                </c:pt>
                <c:pt idx="56">
                  <c:v>0</c:v>
                </c:pt>
                <c:pt idx="57">
                  <c:v>121801</c:v>
                </c:pt>
                <c:pt idx="58">
                  <c:v>0</c:v>
                </c:pt>
                <c:pt idx="59">
                  <c:v>0</c:v>
                </c:pt>
                <c:pt idx="60">
                  <c:v>117361</c:v>
                </c:pt>
                <c:pt idx="61">
                  <c:v>0</c:v>
                </c:pt>
                <c:pt idx="62">
                  <c:v>110722</c:v>
                </c:pt>
                <c:pt idx="63">
                  <c:v>0</c:v>
                </c:pt>
                <c:pt idx="64">
                  <c:v>0</c:v>
                </c:pt>
                <c:pt idx="65">
                  <c:v>111393</c:v>
                </c:pt>
                <c:pt idx="66">
                  <c:v>0</c:v>
                </c:pt>
                <c:pt idx="67">
                  <c:v>107121</c:v>
                </c:pt>
                <c:pt idx="68">
                  <c:v>0</c:v>
                </c:pt>
                <c:pt idx="69">
                  <c:v>0</c:v>
                </c:pt>
                <c:pt idx="70">
                  <c:v>90356</c:v>
                </c:pt>
                <c:pt idx="71">
                  <c:v>0</c:v>
                </c:pt>
                <c:pt idx="72">
                  <c:v>0</c:v>
                </c:pt>
                <c:pt idx="73">
                  <c:v>84506</c:v>
                </c:pt>
                <c:pt idx="74">
                  <c:v>0</c:v>
                </c:pt>
                <c:pt idx="75">
                  <c:v>74421</c:v>
                </c:pt>
                <c:pt idx="76">
                  <c:v>0</c:v>
                </c:pt>
                <c:pt idx="77">
                  <c:v>0</c:v>
                </c:pt>
                <c:pt idx="78">
                  <c:v>75380</c:v>
                </c:pt>
                <c:pt idx="79">
                  <c:v>0</c:v>
                </c:pt>
                <c:pt idx="80">
                  <c:v>65892</c:v>
                </c:pt>
                <c:pt idx="81">
                  <c:v>0</c:v>
                </c:pt>
                <c:pt idx="82">
                  <c:v>0</c:v>
                </c:pt>
                <c:pt idx="83">
                  <c:v>55044</c:v>
                </c:pt>
                <c:pt idx="84">
                  <c:v>0</c:v>
                </c:pt>
                <c:pt idx="85">
                  <c:v>0</c:v>
                </c:pt>
                <c:pt idx="86">
                  <c:v>50355</c:v>
                </c:pt>
                <c:pt idx="87">
                  <c:v>0</c:v>
                </c:pt>
                <c:pt idx="88">
                  <c:v>50504</c:v>
                </c:pt>
                <c:pt idx="89">
                  <c:v>0</c:v>
                </c:pt>
                <c:pt idx="90">
                  <c:v>0</c:v>
                </c:pt>
                <c:pt idx="91">
                  <c:v>43496</c:v>
                </c:pt>
                <c:pt idx="92">
                  <c:v>0</c:v>
                </c:pt>
                <c:pt idx="93">
                  <c:v>38158</c:v>
                </c:pt>
                <c:pt idx="94">
                  <c:v>0</c:v>
                </c:pt>
                <c:pt idx="95">
                  <c:v>0</c:v>
                </c:pt>
                <c:pt idx="96">
                  <c:v>35137</c:v>
                </c:pt>
                <c:pt idx="97">
                  <c:v>0</c:v>
                </c:pt>
                <c:pt idx="98">
                  <c:v>28529</c:v>
                </c:pt>
                <c:pt idx="99">
                  <c:v>0</c:v>
                </c:pt>
                <c:pt idx="100">
                  <c:v>0</c:v>
                </c:pt>
                <c:pt idx="101">
                  <c:v>25606</c:v>
                </c:pt>
                <c:pt idx="102">
                  <c:v>0</c:v>
                </c:pt>
                <c:pt idx="103">
                  <c:v>0</c:v>
                </c:pt>
                <c:pt idx="104">
                  <c:v>19837</c:v>
                </c:pt>
                <c:pt idx="105">
                  <c:v>0</c:v>
                </c:pt>
                <c:pt idx="106">
                  <c:v>17063</c:v>
                </c:pt>
                <c:pt idx="107">
                  <c:v>0</c:v>
                </c:pt>
                <c:pt idx="108">
                  <c:v>0</c:v>
                </c:pt>
                <c:pt idx="109">
                  <c:v>17485</c:v>
                </c:pt>
                <c:pt idx="110">
                  <c:v>0</c:v>
                </c:pt>
                <c:pt idx="111">
                  <c:v>14891</c:v>
                </c:pt>
                <c:pt idx="112">
                  <c:v>0</c:v>
                </c:pt>
                <c:pt idx="113">
                  <c:v>0</c:v>
                </c:pt>
                <c:pt idx="114">
                  <c:v>12537</c:v>
                </c:pt>
                <c:pt idx="115">
                  <c:v>0</c:v>
                </c:pt>
                <c:pt idx="116">
                  <c:v>11424</c:v>
                </c:pt>
                <c:pt idx="117">
                  <c:v>0</c:v>
                </c:pt>
                <c:pt idx="118">
                  <c:v>0</c:v>
                </c:pt>
                <c:pt idx="119">
                  <c:v>6513</c:v>
                </c:pt>
                <c:pt idx="120">
                  <c:v>0</c:v>
                </c:pt>
                <c:pt idx="121">
                  <c:v>0</c:v>
                </c:pt>
                <c:pt idx="122">
                  <c:v>4690</c:v>
                </c:pt>
                <c:pt idx="123">
                  <c:v>0</c:v>
                </c:pt>
                <c:pt idx="124">
                  <c:v>3767</c:v>
                </c:pt>
                <c:pt idx="125">
                  <c:v>0</c:v>
                </c:pt>
                <c:pt idx="126">
                  <c:v>0</c:v>
                </c:pt>
                <c:pt idx="127">
                  <c:v>3908</c:v>
                </c:pt>
                <c:pt idx="128">
                  <c:v>0</c:v>
                </c:pt>
                <c:pt idx="129">
                  <c:v>2624</c:v>
                </c:pt>
                <c:pt idx="130">
                  <c:v>0</c:v>
                </c:pt>
                <c:pt idx="131">
                  <c:v>0</c:v>
                </c:pt>
                <c:pt idx="132">
                  <c:v>2170</c:v>
                </c:pt>
                <c:pt idx="133">
                  <c:v>0</c:v>
                </c:pt>
                <c:pt idx="134">
                  <c:v>2201</c:v>
                </c:pt>
                <c:pt idx="135">
                  <c:v>0</c:v>
                </c:pt>
                <c:pt idx="136">
                  <c:v>0</c:v>
                </c:pt>
                <c:pt idx="137">
                  <c:v>1941</c:v>
                </c:pt>
                <c:pt idx="138">
                  <c:v>0</c:v>
                </c:pt>
                <c:pt idx="139">
                  <c:v>0</c:v>
                </c:pt>
                <c:pt idx="140">
                  <c:v>1029</c:v>
                </c:pt>
                <c:pt idx="141">
                  <c:v>0</c:v>
                </c:pt>
                <c:pt idx="142">
                  <c:v>400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1.3989699999999998</c:v>
                </c:pt>
                <c:pt idx="1">
                  <c:v>1.4416000000000002</c:v>
                </c:pt>
                <c:pt idx="2">
                  <c:v>1.4836399999999998</c:v>
                </c:pt>
                <c:pt idx="3">
                  <c:v>1.5213399999999999</c:v>
                </c:pt>
                <c:pt idx="4">
                  <c:v>1.5548799999999998</c:v>
                </c:pt>
                <c:pt idx="5">
                  <c:v>1.58758</c:v>
                </c:pt>
                <c:pt idx="6">
                  <c:v>1.6215299999999999</c:v>
                </c:pt>
                <c:pt idx="7">
                  <c:v>1.6544700000000001</c:v>
                </c:pt>
                <c:pt idx="8">
                  <c:v>1.68987</c:v>
                </c:pt>
                <c:pt idx="9">
                  <c:v>1.7253399999999999</c:v>
                </c:pt>
                <c:pt idx="10">
                  <c:v>1.7610000000000001</c:v>
                </c:pt>
                <c:pt idx="11">
                  <c:v>1.7937400000000001</c:v>
                </c:pt>
                <c:pt idx="12">
                  <c:v>1.82372</c:v>
                </c:pt>
                <c:pt idx="13">
                  <c:v>1.85036</c:v>
                </c:pt>
                <c:pt idx="14">
                  <c:v>1.8720800000000002</c:v>
                </c:pt>
                <c:pt idx="15">
                  <c:v>1.8911</c:v>
                </c:pt>
                <c:pt idx="16">
                  <c:v>1.9101999999999999</c:v>
                </c:pt>
                <c:pt idx="17">
                  <c:v>1.9261300000000001</c:v>
                </c:pt>
                <c:pt idx="18">
                  <c:v>1.9393899999999999</c:v>
                </c:pt>
                <c:pt idx="19">
                  <c:v>1.9513</c:v>
                </c:pt>
                <c:pt idx="20">
                  <c:v>1.96187</c:v>
                </c:pt>
                <c:pt idx="21">
                  <c:v>1.9708999999999999</c:v>
                </c:pt>
                <c:pt idx="22">
                  <c:v>1.97786</c:v>
                </c:pt>
                <c:pt idx="23">
                  <c:v>1.9843199999999999</c:v>
                </c:pt>
                <c:pt idx="24">
                  <c:v>1.9919700000000002</c:v>
                </c:pt>
                <c:pt idx="25">
                  <c:v>1.9984299999999999</c:v>
                </c:pt>
                <c:pt idx="26">
                  <c:v>2.0076200000000002</c:v>
                </c:pt>
                <c:pt idx="27">
                  <c:v>2.01898</c:v>
                </c:pt>
                <c:pt idx="28">
                  <c:v>2.0323899999999999</c:v>
                </c:pt>
                <c:pt idx="29">
                  <c:v>2.0483799999999999</c:v>
                </c:pt>
                <c:pt idx="30">
                  <c:v>2.06447</c:v>
                </c:pt>
                <c:pt idx="31">
                  <c:v>2.07951</c:v>
                </c:pt>
                <c:pt idx="32">
                  <c:v>2.09382</c:v>
                </c:pt>
                <c:pt idx="33">
                  <c:v>2.1085400000000001</c:v>
                </c:pt>
                <c:pt idx="34">
                  <c:v>2.1184099999999999</c:v>
                </c:pt>
                <c:pt idx="35">
                  <c:v>2.1275200000000001</c:v>
                </c:pt>
                <c:pt idx="36">
                  <c:v>2.1380300000000001</c:v>
                </c:pt>
                <c:pt idx="37">
                  <c:v>2.1478199999999998</c:v>
                </c:pt>
                <c:pt idx="38">
                  <c:v>2.1601900000000001</c:v>
                </c:pt>
                <c:pt idx="39">
                  <c:v>2.1726899999999998</c:v>
                </c:pt>
                <c:pt idx="40">
                  <c:v>2.1876899999999999</c:v>
                </c:pt>
                <c:pt idx="41">
                  <c:v>2.20391</c:v>
                </c:pt>
                <c:pt idx="42">
                  <c:v>2.2202500000000001</c:v>
                </c:pt>
                <c:pt idx="43">
                  <c:v>2.2387600000000001</c:v>
                </c:pt>
                <c:pt idx="44">
                  <c:v>2.25536</c:v>
                </c:pt>
                <c:pt idx="45">
                  <c:v>2.2697000000000003</c:v>
                </c:pt>
                <c:pt idx="46">
                  <c:v>2.28451</c:v>
                </c:pt>
                <c:pt idx="47">
                  <c:v>2.3024</c:v>
                </c:pt>
                <c:pt idx="48">
                  <c:v>2.3197700000000001</c:v>
                </c:pt>
                <c:pt idx="49">
                  <c:v>2.33474</c:v>
                </c:pt>
                <c:pt idx="50">
                  <c:v>2.3476499999999998</c:v>
                </c:pt>
                <c:pt idx="51">
                  <c:v>2.3633000000000002</c:v>
                </c:pt>
                <c:pt idx="52">
                  <c:v>2.3722099999999999</c:v>
                </c:pt>
                <c:pt idx="53">
                  <c:v>2.3826200000000002</c:v>
                </c:pt>
                <c:pt idx="54">
                  <c:v>2.39161</c:v>
                </c:pt>
                <c:pt idx="55">
                  <c:v>2.39934</c:v>
                </c:pt>
                <c:pt idx="56">
                  <c:v>2.4155600000000002</c:v>
                </c:pt>
                <c:pt idx="57">
                  <c:v>2.4264999999999999</c:v>
                </c:pt>
                <c:pt idx="58">
                  <c:v>2.4314399999999998</c:v>
                </c:pt>
                <c:pt idx="59">
                  <c:v>2.4408500000000002</c:v>
                </c:pt>
                <c:pt idx="60">
                  <c:v>2.4456800000000003</c:v>
                </c:pt>
                <c:pt idx="61">
                  <c:v>2.4506000000000001</c:v>
                </c:pt>
                <c:pt idx="62">
                  <c:v>2.45614</c:v>
                </c:pt>
                <c:pt idx="63">
                  <c:v>2.4645000000000001</c:v>
                </c:pt>
                <c:pt idx="64">
                  <c:v>2.46936</c:v>
                </c:pt>
                <c:pt idx="65">
                  <c:v>2.4718599999999999</c:v>
                </c:pt>
                <c:pt idx="66">
                  <c:v>2.4722300000000001</c:v>
                </c:pt>
                <c:pt idx="67">
                  <c:v>2.47329</c:v>
                </c:pt>
                <c:pt idx="68">
                  <c:v>2.4678499999999999</c:v>
                </c:pt>
                <c:pt idx="69">
                  <c:v>2.4678499999999999</c:v>
                </c:pt>
                <c:pt idx="70">
                  <c:v>2.4628900000000002</c:v>
                </c:pt>
                <c:pt idx="71">
                  <c:v>2.46069</c:v>
                </c:pt>
                <c:pt idx="72">
                  <c:v>2.4571100000000001</c:v>
                </c:pt>
                <c:pt idx="73">
                  <c:v>2.4553600000000002</c:v>
                </c:pt>
                <c:pt idx="74">
                  <c:v>2.44692</c:v>
                </c:pt>
                <c:pt idx="75">
                  <c:v>2.4397500000000001</c:v>
                </c:pt>
                <c:pt idx="76">
                  <c:v>2.4292400000000001</c:v>
                </c:pt>
                <c:pt idx="77">
                  <c:v>2.4195700000000002</c:v>
                </c:pt>
                <c:pt idx="78">
                  <c:v>2.4119199999999998</c:v>
                </c:pt>
                <c:pt idx="79">
                  <c:v>2.4028200000000002</c:v>
                </c:pt>
                <c:pt idx="80">
                  <c:v>2.3898099999999998</c:v>
                </c:pt>
                <c:pt idx="81">
                  <c:v>2.3742000000000001</c:v>
                </c:pt>
                <c:pt idx="82">
                  <c:v>2.35791</c:v>
                </c:pt>
                <c:pt idx="83">
                  <c:v>2.3403900000000002</c:v>
                </c:pt>
                <c:pt idx="84">
                  <c:v>2.3253900000000001</c:v>
                </c:pt>
                <c:pt idx="85">
                  <c:v>2.3090299999999999</c:v>
                </c:pt>
                <c:pt idx="86">
                  <c:v>2.2911699999999997</c:v>
                </c:pt>
                <c:pt idx="87">
                  <c:v>2.2713299999999998</c:v>
                </c:pt>
                <c:pt idx="88">
                  <c:v>2.2497400000000001</c:v>
                </c:pt>
                <c:pt idx="89">
                  <c:v>2.2292200000000002</c:v>
                </c:pt>
                <c:pt idx="90">
                  <c:v>2.2101600000000001</c:v>
                </c:pt>
                <c:pt idx="91">
                  <c:v>2.19184</c:v>
                </c:pt>
                <c:pt idx="92">
                  <c:v>2.1748099999999999</c:v>
                </c:pt>
                <c:pt idx="93">
                  <c:v>2.1586600000000002</c:v>
                </c:pt>
                <c:pt idx="94">
                  <c:v>2.1427899999999998</c:v>
                </c:pt>
                <c:pt idx="95">
                  <c:v>2.1276800000000002</c:v>
                </c:pt>
                <c:pt idx="96">
                  <c:v>2.1124700000000001</c:v>
                </c:pt>
                <c:pt idx="97">
                  <c:v>2.0970499999999999</c:v>
                </c:pt>
                <c:pt idx="98">
                  <c:v>2.0851100000000002</c:v>
                </c:pt>
                <c:pt idx="99">
                  <c:v>2.0710500000000001</c:v>
                </c:pt>
                <c:pt idx="100">
                  <c:v>2.0583900000000002</c:v>
                </c:pt>
                <c:pt idx="101">
                  <c:v>2.0457000000000001</c:v>
                </c:pt>
                <c:pt idx="102">
                  <c:v>2.03294</c:v>
                </c:pt>
                <c:pt idx="103">
                  <c:v>2.0229400000000002</c:v>
                </c:pt>
                <c:pt idx="104">
                  <c:v>2.01092</c:v>
                </c:pt>
                <c:pt idx="105">
                  <c:v>1.9971000000000001</c:v>
                </c:pt>
                <c:pt idx="106">
                  <c:v>1.9834299999999998</c:v>
                </c:pt>
                <c:pt idx="107">
                  <c:v>1.9698599999999999</c:v>
                </c:pt>
                <c:pt idx="108">
                  <c:v>1.9554499999999999</c:v>
                </c:pt>
                <c:pt idx="109">
                  <c:v>1.94021</c:v>
                </c:pt>
                <c:pt idx="110">
                  <c:v>1.9254899999999999</c:v>
                </c:pt>
                <c:pt idx="111">
                  <c:v>1.90889</c:v>
                </c:pt>
                <c:pt idx="112">
                  <c:v>1.8926699999999999</c:v>
                </c:pt>
                <c:pt idx="113">
                  <c:v>1.8771499999999999</c:v>
                </c:pt>
                <c:pt idx="114">
                  <c:v>1.8639000000000001</c:v>
                </c:pt>
                <c:pt idx="115">
                  <c:v>1.8523100000000001</c:v>
                </c:pt>
                <c:pt idx="116">
                  <c:v>1.8412200000000001</c:v>
                </c:pt>
                <c:pt idx="117">
                  <c:v>1.83101</c:v>
                </c:pt>
                <c:pt idx="118">
                  <c:v>1.8215300000000001</c:v>
                </c:pt>
                <c:pt idx="119">
                  <c:v>1.8109</c:v>
                </c:pt>
                <c:pt idx="120">
                  <c:v>1.8012000000000001</c:v>
                </c:pt>
                <c:pt idx="121">
                  <c:v>1.79253</c:v>
                </c:pt>
                <c:pt idx="122">
                  <c:v>1.78426</c:v>
                </c:pt>
                <c:pt idx="123">
                  <c:v>1.7744399999999998</c:v>
                </c:pt>
                <c:pt idx="124">
                  <c:v>1.7657400000000001</c:v>
                </c:pt>
                <c:pt idx="125">
                  <c:v>1.75654</c:v>
                </c:pt>
                <c:pt idx="126">
                  <c:v>1.7495499999999999</c:v>
                </c:pt>
                <c:pt idx="127">
                  <c:v>1.7420800000000001</c:v>
                </c:pt>
                <c:pt idx="128">
                  <c:v>1.7352100000000001</c:v>
                </c:pt>
                <c:pt idx="129">
                  <c:v>1.7322199999999999</c:v>
                </c:pt>
                <c:pt idx="130">
                  <c:v>1.7327999999999999</c:v>
                </c:pt>
                <c:pt idx="131">
                  <c:v>1.7333299999999998</c:v>
                </c:pt>
                <c:pt idx="132">
                  <c:v>1.73404</c:v>
                </c:pt>
                <c:pt idx="133">
                  <c:v>1.7359100000000001</c:v>
                </c:pt>
                <c:pt idx="134">
                  <c:v>1.73807</c:v>
                </c:pt>
                <c:pt idx="135">
                  <c:v>1.7419899999999999</c:v>
                </c:pt>
                <c:pt idx="136">
                  <c:v>1.7492700000000001</c:v>
                </c:pt>
                <c:pt idx="137">
                  <c:v>1.75728</c:v>
                </c:pt>
                <c:pt idx="138">
                  <c:v>1.7682200000000001</c:v>
                </c:pt>
                <c:pt idx="139">
                  <c:v>1.7753299999999999</c:v>
                </c:pt>
                <c:pt idx="140">
                  <c:v>1.7827899999999999</c:v>
                </c:pt>
                <c:pt idx="141">
                  <c:v>1.7858299999999998</c:v>
                </c:pt>
                <c:pt idx="142">
                  <c:v>1.7894699999999999</c:v>
                </c:pt>
                <c:pt idx="143">
                  <c:v>1.7949300000000001</c:v>
                </c:pt>
                <c:pt idx="144">
                  <c:v>1.8065</c:v>
                </c:pt>
                <c:pt idx="145">
                  <c:v>1.8208500000000001</c:v>
                </c:pt>
                <c:pt idx="146">
                  <c:v>1.82107</c:v>
                </c:pt>
                <c:pt idx="147">
                  <c:v>1.8251400000000002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61.722299999999997</c:v>
                </c:pt>
                <c:pt idx="1">
                  <c:v>60.915399999999998</c:v>
                </c:pt>
                <c:pt idx="2">
                  <c:v>60.197299999999998</c:v>
                </c:pt>
                <c:pt idx="3">
                  <c:v>59.615499999999997</c:v>
                </c:pt>
                <c:pt idx="4">
                  <c:v>59.124500000000005</c:v>
                </c:pt>
                <c:pt idx="5">
                  <c:v>58.653700000000001</c:v>
                </c:pt>
                <c:pt idx="6">
                  <c:v>58.140999999999998</c:v>
                </c:pt>
                <c:pt idx="7">
                  <c:v>57.635899999999992</c:v>
                </c:pt>
                <c:pt idx="8">
                  <c:v>57.010400000000004</c:v>
                </c:pt>
                <c:pt idx="9">
                  <c:v>56.278199999999998</c:v>
                </c:pt>
                <c:pt idx="10">
                  <c:v>55.474299999999999</c:v>
                </c:pt>
                <c:pt idx="11">
                  <c:v>54.737700000000004</c:v>
                </c:pt>
                <c:pt idx="12">
                  <c:v>54.037999999999997</c:v>
                </c:pt>
                <c:pt idx="13">
                  <c:v>53.479100000000003</c:v>
                </c:pt>
                <c:pt idx="14">
                  <c:v>53.043199999999999</c:v>
                </c:pt>
                <c:pt idx="15">
                  <c:v>52.695</c:v>
                </c:pt>
                <c:pt idx="16">
                  <c:v>52.373899999999992</c:v>
                </c:pt>
                <c:pt idx="17">
                  <c:v>52.143799999999999</c:v>
                </c:pt>
                <c:pt idx="18">
                  <c:v>51.941700000000004</c:v>
                </c:pt>
                <c:pt idx="19">
                  <c:v>51.747399999999999</c:v>
                </c:pt>
                <c:pt idx="20">
                  <c:v>51.5505</c:v>
                </c:pt>
                <c:pt idx="21">
                  <c:v>51.382099999999994</c:v>
                </c:pt>
                <c:pt idx="22">
                  <c:v>51.248699999999999</c:v>
                </c:pt>
                <c:pt idx="23">
                  <c:v>51.145300000000006</c:v>
                </c:pt>
                <c:pt idx="24">
                  <c:v>51.042000000000002</c:v>
                </c:pt>
                <c:pt idx="25">
                  <c:v>50.933900000000001</c:v>
                </c:pt>
                <c:pt idx="26">
                  <c:v>50.770299999999999</c:v>
                </c:pt>
                <c:pt idx="27">
                  <c:v>50.564900000000002</c:v>
                </c:pt>
                <c:pt idx="28">
                  <c:v>50.470700000000001</c:v>
                </c:pt>
                <c:pt idx="29">
                  <c:v>50.316200000000002</c:v>
                </c:pt>
                <c:pt idx="30">
                  <c:v>50.145200000000003</c:v>
                </c:pt>
                <c:pt idx="31">
                  <c:v>49.954999999999998</c:v>
                </c:pt>
                <c:pt idx="32">
                  <c:v>49.798099999999998</c:v>
                </c:pt>
                <c:pt idx="33">
                  <c:v>49.584299999999999</c:v>
                </c:pt>
                <c:pt idx="34">
                  <c:v>49.489100000000001</c:v>
                </c:pt>
                <c:pt idx="35">
                  <c:v>49.367800000000003</c:v>
                </c:pt>
                <c:pt idx="36">
                  <c:v>49.17</c:v>
                </c:pt>
                <c:pt idx="37">
                  <c:v>49.083799999999997</c:v>
                </c:pt>
                <c:pt idx="38">
                  <c:v>48.897600000000004</c:v>
                </c:pt>
                <c:pt idx="39">
                  <c:v>48.694700000000005</c:v>
                </c:pt>
                <c:pt idx="40">
                  <c:v>48.448399999999999</c:v>
                </c:pt>
                <c:pt idx="41">
                  <c:v>48.142400000000002</c:v>
                </c:pt>
                <c:pt idx="42">
                  <c:v>47.885100000000001</c:v>
                </c:pt>
                <c:pt idx="43">
                  <c:v>47.5762</c:v>
                </c:pt>
                <c:pt idx="44">
                  <c:v>47.319400000000002</c:v>
                </c:pt>
                <c:pt idx="45">
                  <c:v>47.122100000000003</c:v>
                </c:pt>
                <c:pt idx="46">
                  <c:v>46.9358</c:v>
                </c:pt>
                <c:pt idx="47">
                  <c:v>46.828199999999995</c:v>
                </c:pt>
                <c:pt idx="48">
                  <c:v>46.7348</c:v>
                </c:pt>
                <c:pt idx="49">
                  <c:v>46.688299999999998</c:v>
                </c:pt>
                <c:pt idx="50">
                  <c:v>46.620800000000003</c:v>
                </c:pt>
                <c:pt idx="51">
                  <c:v>46.4495</c:v>
                </c:pt>
                <c:pt idx="52">
                  <c:v>46.347000000000001</c:v>
                </c:pt>
                <c:pt idx="53">
                  <c:v>46.306199999999997</c:v>
                </c:pt>
                <c:pt idx="54">
                  <c:v>46.248100000000001</c:v>
                </c:pt>
                <c:pt idx="55">
                  <c:v>46.1419</c:v>
                </c:pt>
                <c:pt idx="56">
                  <c:v>46.0869</c:v>
                </c:pt>
                <c:pt idx="57">
                  <c:v>46.053899999999999</c:v>
                </c:pt>
                <c:pt idx="58">
                  <c:v>46.064500000000002</c:v>
                </c:pt>
                <c:pt idx="59">
                  <c:v>46.176000000000002</c:v>
                </c:pt>
                <c:pt idx="60">
                  <c:v>46.279900000000005</c:v>
                </c:pt>
                <c:pt idx="61">
                  <c:v>46.386000000000003</c:v>
                </c:pt>
                <c:pt idx="62">
                  <c:v>46.390599999999999</c:v>
                </c:pt>
                <c:pt idx="63">
                  <c:v>46.453299999999999</c:v>
                </c:pt>
                <c:pt idx="64">
                  <c:v>46.520400000000002</c:v>
                </c:pt>
                <c:pt idx="65">
                  <c:v>46.680700000000002</c:v>
                </c:pt>
                <c:pt idx="66">
                  <c:v>46.851500000000001</c:v>
                </c:pt>
                <c:pt idx="67">
                  <c:v>46.956199999999995</c:v>
                </c:pt>
                <c:pt idx="68">
                  <c:v>47.286899999999996</c:v>
                </c:pt>
                <c:pt idx="69">
                  <c:v>47.462299999999999</c:v>
                </c:pt>
                <c:pt idx="70">
                  <c:v>47.810499999999998</c:v>
                </c:pt>
                <c:pt idx="71">
                  <c:v>48.078299999999999</c:v>
                </c:pt>
                <c:pt idx="72">
                  <c:v>48.282899999999998</c:v>
                </c:pt>
                <c:pt idx="73">
                  <c:v>48.417000000000002</c:v>
                </c:pt>
                <c:pt idx="74">
                  <c:v>48.635899999999999</c:v>
                </c:pt>
                <c:pt idx="75">
                  <c:v>48.828400000000002</c:v>
                </c:pt>
                <c:pt idx="76">
                  <c:v>49.075800000000001</c:v>
                </c:pt>
                <c:pt idx="77">
                  <c:v>49.269600000000004</c:v>
                </c:pt>
                <c:pt idx="78">
                  <c:v>49.213699999999996</c:v>
                </c:pt>
                <c:pt idx="79">
                  <c:v>49.077199999999998</c:v>
                </c:pt>
                <c:pt idx="80">
                  <c:v>48.962200000000003</c:v>
                </c:pt>
                <c:pt idx="81">
                  <c:v>48.8919</c:v>
                </c:pt>
                <c:pt idx="82">
                  <c:v>48.836800000000004</c:v>
                </c:pt>
                <c:pt idx="83">
                  <c:v>48.846600000000002</c:v>
                </c:pt>
                <c:pt idx="84">
                  <c:v>48.7973</c:v>
                </c:pt>
                <c:pt idx="85">
                  <c:v>48.820399999999999</c:v>
                </c:pt>
                <c:pt idx="86">
                  <c:v>48.943399999999997</c:v>
                </c:pt>
                <c:pt idx="87">
                  <c:v>49.167100000000005</c:v>
                </c:pt>
                <c:pt idx="88">
                  <c:v>49.462200000000003</c:v>
                </c:pt>
                <c:pt idx="89">
                  <c:v>49.722000000000001</c:v>
                </c:pt>
                <c:pt idx="90">
                  <c:v>49.957499999999996</c:v>
                </c:pt>
                <c:pt idx="91">
                  <c:v>50.166900000000005</c:v>
                </c:pt>
                <c:pt idx="92">
                  <c:v>50.313900000000004</c:v>
                </c:pt>
                <c:pt idx="93">
                  <c:v>50.409300000000002</c:v>
                </c:pt>
                <c:pt idx="94">
                  <c:v>50.514700000000005</c:v>
                </c:pt>
                <c:pt idx="95">
                  <c:v>50.598399999999998</c:v>
                </c:pt>
                <c:pt idx="96">
                  <c:v>50.657600000000002</c:v>
                </c:pt>
                <c:pt idx="97">
                  <c:v>50.723600000000005</c:v>
                </c:pt>
                <c:pt idx="98">
                  <c:v>50.696600000000004</c:v>
                </c:pt>
                <c:pt idx="99">
                  <c:v>50.746000000000002</c:v>
                </c:pt>
                <c:pt idx="100">
                  <c:v>50.768599999999999</c:v>
                </c:pt>
                <c:pt idx="101">
                  <c:v>50.802899999999994</c:v>
                </c:pt>
                <c:pt idx="102">
                  <c:v>50.8733</c:v>
                </c:pt>
                <c:pt idx="103">
                  <c:v>51.164299999999997</c:v>
                </c:pt>
                <c:pt idx="104">
                  <c:v>51.626399999999997</c:v>
                </c:pt>
                <c:pt idx="105">
                  <c:v>52.152000000000001</c:v>
                </c:pt>
                <c:pt idx="106">
                  <c:v>52.652799999999999</c:v>
                </c:pt>
                <c:pt idx="107">
                  <c:v>53.101500000000001</c:v>
                </c:pt>
                <c:pt idx="108">
                  <c:v>53.518900000000002</c:v>
                </c:pt>
                <c:pt idx="109">
                  <c:v>53.935900000000004</c:v>
                </c:pt>
                <c:pt idx="110">
                  <c:v>54.3003</c:v>
                </c:pt>
                <c:pt idx="111">
                  <c:v>54.675300000000007</c:v>
                </c:pt>
                <c:pt idx="112">
                  <c:v>55.000400000000006</c:v>
                </c:pt>
                <c:pt idx="113">
                  <c:v>55.290300000000002</c:v>
                </c:pt>
                <c:pt idx="114">
                  <c:v>55.559199999999997</c:v>
                </c:pt>
                <c:pt idx="115">
                  <c:v>55.790199999999999</c:v>
                </c:pt>
                <c:pt idx="116">
                  <c:v>56.064999999999998</c:v>
                </c:pt>
                <c:pt idx="117">
                  <c:v>56.323599999999999</c:v>
                </c:pt>
                <c:pt idx="118">
                  <c:v>56.5242</c:v>
                </c:pt>
                <c:pt idx="119">
                  <c:v>56.745100000000001</c:v>
                </c:pt>
                <c:pt idx="120">
                  <c:v>56.923599999999993</c:v>
                </c:pt>
                <c:pt idx="121">
                  <c:v>57.094999999999999</c:v>
                </c:pt>
                <c:pt idx="122">
                  <c:v>57.290199999999999</c:v>
                </c:pt>
                <c:pt idx="123">
                  <c:v>57.596400000000003</c:v>
                </c:pt>
                <c:pt idx="124">
                  <c:v>57.847899999999996</c:v>
                </c:pt>
                <c:pt idx="125">
                  <c:v>58.094199999999994</c:v>
                </c:pt>
                <c:pt idx="126">
                  <c:v>58.277999999999999</c:v>
                </c:pt>
                <c:pt idx="127">
                  <c:v>58.478399999999993</c:v>
                </c:pt>
                <c:pt idx="128">
                  <c:v>58.663699999999999</c:v>
                </c:pt>
                <c:pt idx="129">
                  <c:v>58.716799999999999</c:v>
                </c:pt>
                <c:pt idx="130">
                  <c:v>58.661700000000003</c:v>
                </c:pt>
                <c:pt idx="131">
                  <c:v>58.619200000000006</c:v>
                </c:pt>
                <c:pt idx="132">
                  <c:v>58.597600000000007</c:v>
                </c:pt>
                <c:pt idx="133">
                  <c:v>58.526699999999998</c:v>
                </c:pt>
                <c:pt idx="134">
                  <c:v>58.463799999999999</c:v>
                </c:pt>
                <c:pt idx="135">
                  <c:v>58.362499999999997</c:v>
                </c:pt>
                <c:pt idx="136">
                  <c:v>58.165599999999998</c:v>
                </c:pt>
                <c:pt idx="137">
                  <c:v>57.970299999999995</c:v>
                </c:pt>
                <c:pt idx="138">
                  <c:v>57.693099999999994</c:v>
                </c:pt>
                <c:pt idx="139">
                  <c:v>57.462599999999995</c:v>
                </c:pt>
                <c:pt idx="140">
                  <c:v>57.195599999999999</c:v>
                </c:pt>
                <c:pt idx="141">
                  <c:v>56.9377</c:v>
                </c:pt>
                <c:pt idx="142">
                  <c:v>56.622199999999999</c:v>
                </c:pt>
                <c:pt idx="143">
                  <c:v>56.365699999999997</c:v>
                </c:pt>
                <c:pt idx="144">
                  <c:v>55.9617</c:v>
                </c:pt>
                <c:pt idx="145">
                  <c:v>55.467299999999994</c:v>
                </c:pt>
                <c:pt idx="146">
                  <c:v>55.645400000000002</c:v>
                </c:pt>
                <c:pt idx="147">
                  <c:v>55.643000000000001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1.3989699999999998</c:v>
                </c:pt>
                <c:pt idx="1">
                  <c:v>1.4416000000000002</c:v>
                </c:pt>
                <c:pt idx="2">
                  <c:v>1.4836399999999998</c:v>
                </c:pt>
                <c:pt idx="3">
                  <c:v>1.5213399999999999</c:v>
                </c:pt>
                <c:pt idx="4">
                  <c:v>1.5548799999999998</c:v>
                </c:pt>
                <c:pt idx="5">
                  <c:v>1.58758</c:v>
                </c:pt>
                <c:pt idx="6">
                  <c:v>1.6215299999999999</c:v>
                </c:pt>
                <c:pt idx="7">
                  <c:v>1.6544700000000001</c:v>
                </c:pt>
                <c:pt idx="8">
                  <c:v>1.68987</c:v>
                </c:pt>
                <c:pt idx="9">
                  <c:v>1.7253399999999999</c:v>
                </c:pt>
                <c:pt idx="10">
                  <c:v>1.7610000000000001</c:v>
                </c:pt>
                <c:pt idx="11">
                  <c:v>1.7937400000000001</c:v>
                </c:pt>
                <c:pt idx="12">
                  <c:v>1.82372</c:v>
                </c:pt>
                <c:pt idx="13">
                  <c:v>1.85036</c:v>
                </c:pt>
                <c:pt idx="14">
                  <c:v>1.8720800000000002</c:v>
                </c:pt>
                <c:pt idx="15">
                  <c:v>1.8911</c:v>
                </c:pt>
                <c:pt idx="16">
                  <c:v>1.9101999999999999</c:v>
                </c:pt>
                <c:pt idx="17">
                  <c:v>1.9261300000000001</c:v>
                </c:pt>
                <c:pt idx="18">
                  <c:v>1.9393899999999999</c:v>
                </c:pt>
                <c:pt idx="19">
                  <c:v>1.9513</c:v>
                </c:pt>
                <c:pt idx="20">
                  <c:v>1.96187</c:v>
                </c:pt>
                <c:pt idx="21">
                  <c:v>1.9708999999999999</c:v>
                </c:pt>
                <c:pt idx="22">
                  <c:v>1.97786</c:v>
                </c:pt>
                <c:pt idx="23">
                  <c:v>1.9843199999999999</c:v>
                </c:pt>
                <c:pt idx="24">
                  <c:v>1.9919700000000002</c:v>
                </c:pt>
                <c:pt idx="25">
                  <c:v>1.9984299999999999</c:v>
                </c:pt>
                <c:pt idx="26">
                  <c:v>2.0076200000000002</c:v>
                </c:pt>
                <c:pt idx="27">
                  <c:v>2.01898</c:v>
                </c:pt>
                <c:pt idx="28">
                  <c:v>2.0323899999999999</c:v>
                </c:pt>
                <c:pt idx="29">
                  <c:v>2.0483799999999999</c:v>
                </c:pt>
                <c:pt idx="30">
                  <c:v>2.06447</c:v>
                </c:pt>
                <c:pt idx="31">
                  <c:v>2.07951</c:v>
                </c:pt>
                <c:pt idx="32">
                  <c:v>2.09382</c:v>
                </c:pt>
                <c:pt idx="33">
                  <c:v>2.1085400000000001</c:v>
                </c:pt>
                <c:pt idx="34">
                  <c:v>2.1184099999999999</c:v>
                </c:pt>
                <c:pt idx="35">
                  <c:v>2.1275200000000001</c:v>
                </c:pt>
                <c:pt idx="36">
                  <c:v>2.1380300000000001</c:v>
                </c:pt>
                <c:pt idx="37">
                  <c:v>2.1478199999999998</c:v>
                </c:pt>
                <c:pt idx="38">
                  <c:v>2.1601900000000001</c:v>
                </c:pt>
                <c:pt idx="39">
                  <c:v>2.1726899999999998</c:v>
                </c:pt>
                <c:pt idx="40">
                  <c:v>2.1876899999999999</c:v>
                </c:pt>
                <c:pt idx="41">
                  <c:v>2.20391</c:v>
                </c:pt>
                <c:pt idx="42">
                  <c:v>2.2202500000000001</c:v>
                </c:pt>
                <c:pt idx="43">
                  <c:v>2.2387600000000001</c:v>
                </c:pt>
                <c:pt idx="44">
                  <c:v>2.25536</c:v>
                </c:pt>
                <c:pt idx="45">
                  <c:v>2.2697000000000003</c:v>
                </c:pt>
                <c:pt idx="46">
                  <c:v>2.28451</c:v>
                </c:pt>
                <c:pt idx="47">
                  <c:v>2.3024</c:v>
                </c:pt>
                <c:pt idx="48">
                  <c:v>2.3197700000000001</c:v>
                </c:pt>
                <c:pt idx="49">
                  <c:v>2.33474</c:v>
                </c:pt>
                <c:pt idx="50">
                  <c:v>2.3476499999999998</c:v>
                </c:pt>
                <c:pt idx="51">
                  <c:v>2.3633000000000002</c:v>
                </c:pt>
                <c:pt idx="52">
                  <c:v>2.3722099999999999</c:v>
                </c:pt>
                <c:pt idx="53">
                  <c:v>2.3826200000000002</c:v>
                </c:pt>
                <c:pt idx="54">
                  <c:v>2.39161</c:v>
                </c:pt>
                <c:pt idx="55">
                  <c:v>2.39934</c:v>
                </c:pt>
                <c:pt idx="56">
                  <c:v>2.4155600000000002</c:v>
                </c:pt>
                <c:pt idx="57">
                  <c:v>2.4264999999999999</c:v>
                </c:pt>
                <c:pt idx="58">
                  <c:v>2.4314399999999998</c:v>
                </c:pt>
                <c:pt idx="59">
                  <c:v>2.4408500000000002</c:v>
                </c:pt>
                <c:pt idx="60">
                  <c:v>2.4456800000000003</c:v>
                </c:pt>
                <c:pt idx="61">
                  <c:v>2.4506000000000001</c:v>
                </c:pt>
                <c:pt idx="62">
                  <c:v>2.45614</c:v>
                </c:pt>
                <c:pt idx="63">
                  <c:v>2.4645000000000001</c:v>
                </c:pt>
                <c:pt idx="64">
                  <c:v>2.46936</c:v>
                </c:pt>
                <c:pt idx="65">
                  <c:v>2.4718599999999999</c:v>
                </c:pt>
                <c:pt idx="66">
                  <c:v>2.4722300000000001</c:v>
                </c:pt>
                <c:pt idx="67">
                  <c:v>2.47329</c:v>
                </c:pt>
                <c:pt idx="68">
                  <c:v>2.4678499999999999</c:v>
                </c:pt>
                <c:pt idx="69">
                  <c:v>2.4678499999999999</c:v>
                </c:pt>
                <c:pt idx="70">
                  <c:v>2.4628900000000002</c:v>
                </c:pt>
                <c:pt idx="71">
                  <c:v>2.46069</c:v>
                </c:pt>
                <c:pt idx="72">
                  <c:v>2.4571100000000001</c:v>
                </c:pt>
                <c:pt idx="73">
                  <c:v>2.4553600000000002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61.722299999999997</c:v>
                </c:pt>
                <c:pt idx="1">
                  <c:v>60.915399999999998</c:v>
                </c:pt>
                <c:pt idx="2">
                  <c:v>60.197299999999998</c:v>
                </c:pt>
                <c:pt idx="3">
                  <c:v>59.615499999999997</c:v>
                </c:pt>
                <c:pt idx="4">
                  <c:v>59.124500000000005</c:v>
                </c:pt>
                <c:pt idx="5">
                  <c:v>58.653700000000001</c:v>
                </c:pt>
                <c:pt idx="6">
                  <c:v>58.140999999999998</c:v>
                </c:pt>
                <c:pt idx="7">
                  <c:v>57.635899999999992</c:v>
                </c:pt>
                <c:pt idx="8">
                  <c:v>57.010400000000004</c:v>
                </c:pt>
                <c:pt idx="9">
                  <c:v>56.278199999999998</c:v>
                </c:pt>
                <c:pt idx="10">
                  <c:v>55.474299999999999</c:v>
                </c:pt>
                <c:pt idx="11">
                  <c:v>54.737700000000004</c:v>
                </c:pt>
                <c:pt idx="12">
                  <c:v>54.037999999999997</c:v>
                </c:pt>
                <c:pt idx="13">
                  <c:v>53.479100000000003</c:v>
                </c:pt>
                <c:pt idx="14">
                  <c:v>53.043199999999999</c:v>
                </c:pt>
                <c:pt idx="15">
                  <c:v>52.695</c:v>
                </c:pt>
                <c:pt idx="16">
                  <c:v>52.373899999999992</c:v>
                </c:pt>
                <c:pt idx="17">
                  <c:v>52.143799999999999</c:v>
                </c:pt>
                <c:pt idx="18">
                  <c:v>51.941700000000004</c:v>
                </c:pt>
                <c:pt idx="19">
                  <c:v>51.747399999999999</c:v>
                </c:pt>
                <c:pt idx="20">
                  <c:v>51.5505</c:v>
                </c:pt>
                <c:pt idx="21">
                  <c:v>51.382099999999994</c:v>
                </c:pt>
                <c:pt idx="22">
                  <c:v>51.248699999999999</c:v>
                </c:pt>
                <c:pt idx="23">
                  <c:v>51.145300000000006</c:v>
                </c:pt>
                <c:pt idx="24">
                  <c:v>51.042000000000002</c:v>
                </c:pt>
                <c:pt idx="25">
                  <c:v>50.933900000000001</c:v>
                </c:pt>
                <c:pt idx="26">
                  <c:v>50.770299999999999</c:v>
                </c:pt>
                <c:pt idx="27">
                  <c:v>50.564900000000002</c:v>
                </c:pt>
                <c:pt idx="28">
                  <c:v>50.470700000000001</c:v>
                </c:pt>
                <c:pt idx="29">
                  <c:v>50.316200000000002</c:v>
                </c:pt>
                <c:pt idx="30">
                  <c:v>50.145200000000003</c:v>
                </c:pt>
                <c:pt idx="31">
                  <c:v>49.954999999999998</c:v>
                </c:pt>
                <c:pt idx="32">
                  <c:v>49.798099999999998</c:v>
                </c:pt>
                <c:pt idx="33">
                  <c:v>49.584299999999999</c:v>
                </c:pt>
                <c:pt idx="34">
                  <c:v>49.489100000000001</c:v>
                </c:pt>
                <c:pt idx="35">
                  <c:v>49.367800000000003</c:v>
                </c:pt>
                <c:pt idx="36">
                  <c:v>49.17</c:v>
                </c:pt>
                <c:pt idx="37">
                  <c:v>49.083799999999997</c:v>
                </c:pt>
                <c:pt idx="38">
                  <c:v>48.897600000000004</c:v>
                </c:pt>
                <c:pt idx="39">
                  <c:v>48.694700000000005</c:v>
                </c:pt>
                <c:pt idx="40">
                  <c:v>48.448399999999999</c:v>
                </c:pt>
                <c:pt idx="41">
                  <c:v>48.142400000000002</c:v>
                </c:pt>
                <c:pt idx="42">
                  <c:v>47.885100000000001</c:v>
                </c:pt>
                <c:pt idx="43">
                  <c:v>47.5762</c:v>
                </c:pt>
                <c:pt idx="44">
                  <c:v>47.319400000000002</c:v>
                </c:pt>
                <c:pt idx="45">
                  <c:v>47.122100000000003</c:v>
                </c:pt>
                <c:pt idx="46">
                  <c:v>46.9358</c:v>
                </c:pt>
                <c:pt idx="47">
                  <c:v>46.828199999999995</c:v>
                </c:pt>
                <c:pt idx="48">
                  <c:v>46.7348</c:v>
                </c:pt>
                <c:pt idx="49">
                  <c:v>46.688299999999998</c:v>
                </c:pt>
                <c:pt idx="50">
                  <c:v>46.620800000000003</c:v>
                </c:pt>
                <c:pt idx="51">
                  <c:v>46.4495</c:v>
                </c:pt>
                <c:pt idx="52">
                  <c:v>46.347000000000001</c:v>
                </c:pt>
                <c:pt idx="53">
                  <c:v>46.306199999999997</c:v>
                </c:pt>
                <c:pt idx="54">
                  <c:v>46.248100000000001</c:v>
                </c:pt>
                <c:pt idx="55">
                  <c:v>46.1419</c:v>
                </c:pt>
                <c:pt idx="56">
                  <c:v>46.0869</c:v>
                </c:pt>
                <c:pt idx="57">
                  <c:v>46.053899999999999</c:v>
                </c:pt>
                <c:pt idx="58">
                  <c:v>46.064500000000002</c:v>
                </c:pt>
                <c:pt idx="59">
                  <c:v>46.176000000000002</c:v>
                </c:pt>
                <c:pt idx="60">
                  <c:v>46.279900000000005</c:v>
                </c:pt>
                <c:pt idx="61">
                  <c:v>46.386000000000003</c:v>
                </c:pt>
                <c:pt idx="62">
                  <c:v>46.390599999999999</c:v>
                </c:pt>
                <c:pt idx="63">
                  <c:v>46.453299999999999</c:v>
                </c:pt>
                <c:pt idx="64">
                  <c:v>46.520400000000002</c:v>
                </c:pt>
                <c:pt idx="65">
                  <c:v>46.680700000000002</c:v>
                </c:pt>
                <c:pt idx="66">
                  <c:v>46.851500000000001</c:v>
                </c:pt>
                <c:pt idx="67">
                  <c:v>46.956199999999995</c:v>
                </c:pt>
                <c:pt idx="68">
                  <c:v>47.286899999999996</c:v>
                </c:pt>
                <c:pt idx="69">
                  <c:v>47.462299999999999</c:v>
                </c:pt>
                <c:pt idx="70">
                  <c:v>47.810499999999998</c:v>
                </c:pt>
                <c:pt idx="71">
                  <c:v>48.078299999999999</c:v>
                </c:pt>
                <c:pt idx="72">
                  <c:v>48.282899999999998</c:v>
                </c:pt>
                <c:pt idx="73">
                  <c:v>48.417000000000002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2.4553600000000002</c:v>
                </c:pt>
                <c:pt idx="1">
                  <c:v>2.44692</c:v>
                </c:pt>
                <c:pt idx="2">
                  <c:v>2.4397500000000001</c:v>
                </c:pt>
                <c:pt idx="3">
                  <c:v>2.4292400000000001</c:v>
                </c:pt>
                <c:pt idx="4">
                  <c:v>2.4195700000000002</c:v>
                </c:pt>
                <c:pt idx="5">
                  <c:v>2.4119199999999998</c:v>
                </c:pt>
                <c:pt idx="6">
                  <c:v>2.4028200000000002</c:v>
                </c:pt>
                <c:pt idx="7">
                  <c:v>2.3898099999999998</c:v>
                </c:pt>
                <c:pt idx="8">
                  <c:v>2.3742000000000001</c:v>
                </c:pt>
                <c:pt idx="9">
                  <c:v>2.35791</c:v>
                </c:pt>
                <c:pt idx="10">
                  <c:v>2.3403900000000002</c:v>
                </c:pt>
                <c:pt idx="11">
                  <c:v>2.3253900000000001</c:v>
                </c:pt>
                <c:pt idx="12">
                  <c:v>2.3090299999999999</c:v>
                </c:pt>
                <c:pt idx="13">
                  <c:v>2.2911699999999997</c:v>
                </c:pt>
                <c:pt idx="14">
                  <c:v>2.2713299999999998</c:v>
                </c:pt>
                <c:pt idx="15">
                  <c:v>2.2497400000000001</c:v>
                </c:pt>
                <c:pt idx="16">
                  <c:v>2.2292200000000002</c:v>
                </c:pt>
                <c:pt idx="17">
                  <c:v>2.2101600000000001</c:v>
                </c:pt>
                <c:pt idx="18">
                  <c:v>2.19184</c:v>
                </c:pt>
                <c:pt idx="19">
                  <c:v>2.1748099999999999</c:v>
                </c:pt>
                <c:pt idx="20">
                  <c:v>2.1586600000000002</c:v>
                </c:pt>
                <c:pt idx="21">
                  <c:v>2.1427899999999998</c:v>
                </c:pt>
                <c:pt idx="22">
                  <c:v>2.1276800000000002</c:v>
                </c:pt>
                <c:pt idx="23">
                  <c:v>2.1124700000000001</c:v>
                </c:pt>
                <c:pt idx="24">
                  <c:v>2.0970499999999999</c:v>
                </c:pt>
                <c:pt idx="25">
                  <c:v>2.0851100000000002</c:v>
                </c:pt>
                <c:pt idx="26">
                  <c:v>2.0710500000000001</c:v>
                </c:pt>
                <c:pt idx="27">
                  <c:v>2.0583900000000002</c:v>
                </c:pt>
                <c:pt idx="28">
                  <c:v>2.0457000000000001</c:v>
                </c:pt>
                <c:pt idx="29">
                  <c:v>2.03294</c:v>
                </c:pt>
                <c:pt idx="30">
                  <c:v>2.0229400000000002</c:v>
                </c:pt>
                <c:pt idx="31">
                  <c:v>2.01092</c:v>
                </c:pt>
                <c:pt idx="32">
                  <c:v>1.9971000000000001</c:v>
                </c:pt>
                <c:pt idx="33">
                  <c:v>1.9834299999999998</c:v>
                </c:pt>
                <c:pt idx="34">
                  <c:v>1.9698599999999999</c:v>
                </c:pt>
                <c:pt idx="35">
                  <c:v>1.9554499999999999</c:v>
                </c:pt>
                <c:pt idx="36">
                  <c:v>1.94021</c:v>
                </c:pt>
                <c:pt idx="37">
                  <c:v>1.9254899999999999</c:v>
                </c:pt>
                <c:pt idx="38">
                  <c:v>1.90889</c:v>
                </c:pt>
                <c:pt idx="39">
                  <c:v>1.8926699999999999</c:v>
                </c:pt>
                <c:pt idx="40">
                  <c:v>1.8771499999999999</c:v>
                </c:pt>
                <c:pt idx="41">
                  <c:v>1.8639000000000001</c:v>
                </c:pt>
                <c:pt idx="42">
                  <c:v>1.8523100000000001</c:v>
                </c:pt>
                <c:pt idx="43">
                  <c:v>1.8412200000000001</c:v>
                </c:pt>
                <c:pt idx="44">
                  <c:v>1.83101</c:v>
                </c:pt>
                <c:pt idx="45">
                  <c:v>1.8215300000000001</c:v>
                </c:pt>
                <c:pt idx="46">
                  <c:v>1.8109</c:v>
                </c:pt>
                <c:pt idx="47">
                  <c:v>1.8012000000000001</c:v>
                </c:pt>
                <c:pt idx="48">
                  <c:v>1.79253</c:v>
                </c:pt>
                <c:pt idx="49">
                  <c:v>1.78426</c:v>
                </c:pt>
                <c:pt idx="50">
                  <c:v>1.7744399999999998</c:v>
                </c:pt>
                <c:pt idx="51">
                  <c:v>1.7657400000000001</c:v>
                </c:pt>
                <c:pt idx="52">
                  <c:v>1.75654</c:v>
                </c:pt>
                <c:pt idx="53">
                  <c:v>1.7495499999999999</c:v>
                </c:pt>
                <c:pt idx="54">
                  <c:v>1.7420800000000001</c:v>
                </c:pt>
                <c:pt idx="55">
                  <c:v>1.7352100000000001</c:v>
                </c:pt>
                <c:pt idx="56">
                  <c:v>1.7322199999999999</c:v>
                </c:pt>
                <c:pt idx="57">
                  <c:v>1.7327999999999999</c:v>
                </c:pt>
                <c:pt idx="58">
                  <c:v>1.7333299999999998</c:v>
                </c:pt>
                <c:pt idx="59">
                  <c:v>1.73404</c:v>
                </c:pt>
                <c:pt idx="60">
                  <c:v>1.7359100000000001</c:v>
                </c:pt>
                <c:pt idx="61">
                  <c:v>1.73807</c:v>
                </c:pt>
                <c:pt idx="62">
                  <c:v>1.7419899999999999</c:v>
                </c:pt>
                <c:pt idx="63">
                  <c:v>1.7492700000000001</c:v>
                </c:pt>
                <c:pt idx="64">
                  <c:v>1.75728</c:v>
                </c:pt>
                <c:pt idx="65">
                  <c:v>1.7682200000000001</c:v>
                </c:pt>
                <c:pt idx="66">
                  <c:v>1.7753299999999999</c:v>
                </c:pt>
                <c:pt idx="67">
                  <c:v>1.7827899999999999</c:v>
                </c:pt>
                <c:pt idx="68">
                  <c:v>1.7858299999999998</c:v>
                </c:pt>
                <c:pt idx="69">
                  <c:v>1.7894699999999999</c:v>
                </c:pt>
                <c:pt idx="70">
                  <c:v>1.7949300000000001</c:v>
                </c:pt>
                <c:pt idx="71">
                  <c:v>1.8065</c:v>
                </c:pt>
                <c:pt idx="72">
                  <c:v>1.8208500000000001</c:v>
                </c:pt>
                <c:pt idx="73">
                  <c:v>1.82107</c:v>
                </c:pt>
                <c:pt idx="74">
                  <c:v>1.8251400000000002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48.417000000000002</c:v>
                </c:pt>
                <c:pt idx="1">
                  <c:v>48.635899999999999</c:v>
                </c:pt>
                <c:pt idx="2">
                  <c:v>48.828400000000002</c:v>
                </c:pt>
                <c:pt idx="3">
                  <c:v>49.075800000000001</c:v>
                </c:pt>
                <c:pt idx="4">
                  <c:v>49.269600000000004</c:v>
                </c:pt>
                <c:pt idx="5">
                  <c:v>49.213699999999996</c:v>
                </c:pt>
                <c:pt idx="6">
                  <c:v>49.077199999999998</c:v>
                </c:pt>
                <c:pt idx="7">
                  <c:v>48.962200000000003</c:v>
                </c:pt>
                <c:pt idx="8">
                  <c:v>48.8919</c:v>
                </c:pt>
                <c:pt idx="9">
                  <c:v>48.836800000000004</c:v>
                </c:pt>
                <c:pt idx="10">
                  <c:v>48.846600000000002</c:v>
                </c:pt>
                <c:pt idx="11">
                  <c:v>48.7973</c:v>
                </c:pt>
                <c:pt idx="12">
                  <c:v>48.820399999999999</c:v>
                </c:pt>
                <c:pt idx="13">
                  <c:v>48.943399999999997</c:v>
                </c:pt>
                <c:pt idx="14">
                  <c:v>49.167100000000005</c:v>
                </c:pt>
                <c:pt idx="15">
                  <c:v>49.462200000000003</c:v>
                </c:pt>
                <c:pt idx="16">
                  <c:v>49.722000000000001</c:v>
                </c:pt>
                <c:pt idx="17">
                  <c:v>49.957499999999996</c:v>
                </c:pt>
                <c:pt idx="18">
                  <c:v>50.166900000000005</c:v>
                </c:pt>
                <c:pt idx="19">
                  <c:v>50.313900000000004</c:v>
                </c:pt>
                <c:pt idx="20">
                  <c:v>50.409300000000002</c:v>
                </c:pt>
                <c:pt idx="21">
                  <c:v>50.514700000000005</c:v>
                </c:pt>
                <c:pt idx="22">
                  <c:v>50.598399999999998</c:v>
                </c:pt>
                <c:pt idx="23">
                  <c:v>50.657600000000002</c:v>
                </c:pt>
                <c:pt idx="24">
                  <c:v>50.723600000000005</c:v>
                </c:pt>
                <c:pt idx="25">
                  <c:v>50.696600000000004</c:v>
                </c:pt>
                <c:pt idx="26">
                  <c:v>50.746000000000002</c:v>
                </c:pt>
                <c:pt idx="27">
                  <c:v>50.768599999999999</c:v>
                </c:pt>
                <c:pt idx="28">
                  <c:v>50.802899999999994</c:v>
                </c:pt>
                <c:pt idx="29">
                  <c:v>50.8733</c:v>
                </c:pt>
                <c:pt idx="30">
                  <c:v>51.164299999999997</c:v>
                </c:pt>
                <c:pt idx="31">
                  <c:v>51.626399999999997</c:v>
                </c:pt>
                <c:pt idx="32">
                  <c:v>52.152000000000001</c:v>
                </c:pt>
                <c:pt idx="33">
                  <c:v>52.652799999999999</c:v>
                </c:pt>
                <c:pt idx="34">
                  <c:v>53.101500000000001</c:v>
                </c:pt>
                <c:pt idx="35">
                  <c:v>53.518900000000002</c:v>
                </c:pt>
                <c:pt idx="36">
                  <c:v>53.935900000000004</c:v>
                </c:pt>
                <c:pt idx="37">
                  <c:v>54.3003</c:v>
                </c:pt>
                <c:pt idx="38">
                  <c:v>54.675300000000007</c:v>
                </c:pt>
                <c:pt idx="39">
                  <c:v>55.000400000000006</c:v>
                </c:pt>
                <c:pt idx="40">
                  <c:v>55.290300000000002</c:v>
                </c:pt>
                <c:pt idx="41">
                  <c:v>55.559199999999997</c:v>
                </c:pt>
                <c:pt idx="42">
                  <c:v>55.790199999999999</c:v>
                </c:pt>
                <c:pt idx="43">
                  <c:v>56.064999999999998</c:v>
                </c:pt>
                <c:pt idx="44">
                  <c:v>56.323599999999999</c:v>
                </c:pt>
                <c:pt idx="45">
                  <c:v>56.5242</c:v>
                </c:pt>
                <c:pt idx="46">
                  <c:v>56.745100000000001</c:v>
                </c:pt>
                <c:pt idx="47">
                  <c:v>56.923599999999993</c:v>
                </c:pt>
                <c:pt idx="48">
                  <c:v>57.094999999999999</c:v>
                </c:pt>
                <c:pt idx="49">
                  <c:v>57.290199999999999</c:v>
                </c:pt>
                <c:pt idx="50">
                  <c:v>57.596400000000003</c:v>
                </c:pt>
                <c:pt idx="51">
                  <c:v>57.847899999999996</c:v>
                </c:pt>
                <c:pt idx="52">
                  <c:v>58.094199999999994</c:v>
                </c:pt>
                <c:pt idx="53">
                  <c:v>58.277999999999999</c:v>
                </c:pt>
                <c:pt idx="54">
                  <c:v>58.478399999999993</c:v>
                </c:pt>
                <c:pt idx="55">
                  <c:v>58.663699999999999</c:v>
                </c:pt>
                <c:pt idx="56">
                  <c:v>58.716799999999999</c:v>
                </c:pt>
                <c:pt idx="57">
                  <c:v>58.661700000000003</c:v>
                </c:pt>
                <c:pt idx="58">
                  <c:v>58.619200000000006</c:v>
                </c:pt>
                <c:pt idx="59">
                  <c:v>58.597600000000007</c:v>
                </c:pt>
                <c:pt idx="60">
                  <c:v>58.526699999999998</c:v>
                </c:pt>
                <c:pt idx="61">
                  <c:v>58.463799999999999</c:v>
                </c:pt>
                <c:pt idx="62">
                  <c:v>58.362499999999997</c:v>
                </c:pt>
                <c:pt idx="63">
                  <c:v>58.165599999999998</c:v>
                </c:pt>
                <c:pt idx="64">
                  <c:v>57.970299999999995</c:v>
                </c:pt>
                <c:pt idx="65">
                  <c:v>57.693099999999994</c:v>
                </c:pt>
                <c:pt idx="66">
                  <c:v>57.462599999999995</c:v>
                </c:pt>
                <c:pt idx="67">
                  <c:v>57.195599999999999</c:v>
                </c:pt>
                <c:pt idx="68">
                  <c:v>56.9377</c:v>
                </c:pt>
                <c:pt idx="69">
                  <c:v>56.622199999999999</c:v>
                </c:pt>
                <c:pt idx="70">
                  <c:v>56.365699999999997</c:v>
                </c:pt>
                <c:pt idx="71">
                  <c:v>55.9617</c:v>
                </c:pt>
                <c:pt idx="72">
                  <c:v>55.467299999999994</c:v>
                </c:pt>
                <c:pt idx="73">
                  <c:v>55.645400000000002</c:v>
                </c:pt>
                <c:pt idx="74">
                  <c:v>55.643000000000001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2.1171018918918909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50.278520270270278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1.989576081081081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53.75069054054056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1.989576081081081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53.75069054054056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0.22189859976136247</c:v>
                </c:pt>
                <c:pt idx="1">
                  <c:v>0.38290699497943909</c:v>
                </c:pt>
                <c:pt idx="2">
                  <c:v>0.39519440525919836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0.404837</c:v>
                </c:pt>
                <c:pt idx="2">
                  <c:v>0.81077100000000002</c:v>
                </c:pt>
                <c:pt idx="3">
                  <c:v>1.21567</c:v>
                </c:pt>
                <c:pt idx="4">
                  <c:v>1.6197600000000001</c:v>
                </c:pt>
                <c:pt idx="5">
                  <c:v>2.03057</c:v>
                </c:pt>
                <c:pt idx="6">
                  <c:v>2.4405000000000001</c:v>
                </c:pt>
                <c:pt idx="7">
                  <c:v>2.8423699999999998</c:v>
                </c:pt>
                <c:pt idx="8">
                  <c:v>3.2472400000000001</c:v>
                </c:pt>
                <c:pt idx="9">
                  <c:v>3.6541899999999998</c:v>
                </c:pt>
                <c:pt idx="10">
                  <c:v>4.0610299999999997</c:v>
                </c:pt>
                <c:pt idx="11">
                  <c:v>4.4692699999999999</c:v>
                </c:pt>
                <c:pt idx="12">
                  <c:v>4.8705999999999996</c:v>
                </c:pt>
                <c:pt idx="13">
                  <c:v>5.2788199999999996</c:v>
                </c:pt>
                <c:pt idx="14">
                  <c:v>5.6860400000000002</c:v>
                </c:pt>
                <c:pt idx="15">
                  <c:v>6.09063</c:v>
                </c:pt>
                <c:pt idx="16">
                  <c:v>6.4995099999999999</c:v>
                </c:pt>
                <c:pt idx="17">
                  <c:v>6.9054399999999996</c:v>
                </c:pt>
                <c:pt idx="18">
                  <c:v>7.3074700000000004</c:v>
                </c:pt>
                <c:pt idx="19">
                  <c:v>7.71943</c:v>
                </c:pt>
                <c:pt idx="20">
                  <c:v>8.1261600000000005</c:v>
                </c:pt>
                <c:pt idx="21">
                  <c:v>8.5301200000000001</c:v>
                </c:pt>
                <c:pt idx="22">
                  <c:v>8.9340399999999995</c:v>
                </c:pt>
                <c:pt idx="23">
                  <c:v>9.3409200000000006</c:v>
                </c:pt>
                <c:pt idx="24">
                  <c:v>9.7489600000000003</c:v>
                </c:pt>
                <c:pt idx="25">
                  <c:v>10.151999999999999</c:v>
                </c:pt>
                <c:pt idx="26">
                  <c:v>10.5627</c:v>
                </c:pt>
                <c:pt idx="27">
                  <c:v>10.970599999999999</c:v>
                </c:pt>
                <c:pt idx="28">
                  <c:v>11.3725</c:v>
                </c:pt>
                <c:pt idx="29">
                  <c:v>11.7796</c:v>
                </c:pt>
                <c:pt idx="30">
                  <c:v>12.185600000000001</c:v>
                </c:pt>
                <c:pt idx="31">
                  <c:v>12.591200000000001</c:v>
                </c:pt>
                <c:pt idx="32">
                  <c:v>13.0001</c:v>
                </c:pt>
                <c:pt idx="33">
                  <c:v>13.4023</c:v>
                </c:pt>
                <c:pt idx="34">
                  <c:v>13.809200000000001</c:v>
                </c:pt>
                <c:pt idx="35">
                  <c:v>14.216799999999999</c:v>
                </c:pt>
                <c:pt idx="36">
                  <c:v>14.6249</c:v>
                </c:pt>
                <c:pt idx="37">
                  <c:v>15.0298</c:v>
                </c:pt>
                <c:pt idx="38">
                  <c:v>15.4358</c:v>
                </c:pt>
                <c:pt idx="39">
                  <c:v>15.841799999999999</c:v>
                </c:pt>
                <c:pt idx="40">
                  <c:v>16.247499999999999</c:v>
                </c:pt>
                <c:pt idx="41">
                  <c:v>16.656400000000001</c:v>
                </c:pt>
                <c:pt idx="42">
                  <c:v>17.063400000000001</c:v>
                </c:pt>
                <c:pt idx="43">
                  <c:v>17.466200000000001</c:v>
                </c:pt>
                <c:pt idx="44">
                  <c:v>17.870100000000001</c:v>
                </c:pt>
                <c:pt idx="45">
                  <c:v>18.280999999999999</c:v>
                </c:pt>
                <c:pt idx="46">
                  <c:v>18.684100000000001</c:v>
                </c:pt>
                <c:pt idx="47">
                  <c:v>19.0928</c:v>
                </c:pt>
                <c:pt idx="48">
                  <c:v>19.500800000000002</c:v>
                </c:pt>
                <c:pt idx="49">
                  <c:v>19.904699999999998</c:v>
                </c:pt>
                <c:pt idx="50">
                  <c:v>20.308700000000002</c:v>
                </c:pt>
                <c:pt idx="51">
                  <c:v>20.720600000000001</c:v>
                </c:pt>
                <c:pt idx="52">
                  <c:v>21.1235</c:v>
                </c:pt>
                <c:pt idx="53">
                  <c:v>21.532299999999999</c:v>
                </c:pt>
                <c:pt idx="54">
                  <c:v>21.9376</c:v>
                </c:pt>
                <c:pt idx="55">
                  <c:v>22.3385</c:v>
                </c:pt>
                <c:pt idx="56">
                  <c:v>22.7501</c:v>
                </c:pt>
                <c:pt idx="57">
                  <c:v>23.158000000000001</c:v>
                </c:pt>
                <c:pt idx="58">
                  <c:v>23.559000000000001</c:v>
                </c:pt>
                <c:pt idx="59">
                  <c:v>23.966799999999999</c:v>
                </c:pt>
                <c:pt idx="60">
                  <c:v>24.373000000000001</c:v>
                </c:pt>
                <c:pt idx="61">
                  <c:v>24.781700000000001</c:v>
                </c:pt>
                <c:pt idx="62">
                  <c:v>25.186699999999998</c:v>
                </c:pt>
                <c:pt idx="63">
                  <c:v>25.5945</c:v>
                </c:pt>
                <c:pt idx="64">
                  <c:v>25.997399999999999</c:v>
                </c:pt>
                <c:pt idx="65">
                  <c:v>26.4054</c:v>
                </c:pt>
                <c:pt idx="66">
                  <c:v>26.813300000000002</c:v>
                </c:pt>
                <c:pt idx="67">
                  <c:v>27.216100000000001</c:v>
                </c:pt>
                <c:pt idx="68">
                  <c:v>27.622</c:v>
                </c:pt>
                <c:pt idx="69">
                  <c:v>28.028099999999998</c:v>
                </c:pt>
                <c:pt idx="70">
                  <c:v>28.435099999999998</c:v>
                </c:pt>
                <c:pt idx="71">
                  <c:v>28.8428</c:v>
                </c:pt>
                <c:pt idx="72">
                  <c:v>29.250800000000002</c:v>
                </c:pt>
                <c:pt idx="73">
                  <c:v>29.652799999999999</c:v>
                </c:pt>
                <c:pt idx="74">
                  <c:v>30.061499999999999</c:v>
                </c:pt>
                <c:pt idx="75">
                  <c:v>30.517299999999999</c:v>
                </c:pt>
                <c:pt idx="76">
                  <c:v>30.920200000000001</c:v>
                </c:pt>
                <c:pt idx="77">
                  <c:v>31.3262</c:v>
                </c:pt>
                <c:pt idx="78">
                  <c:v>31.732600000000001</c:v>
                </c:pt>
                <c:pt idx="79">
                  <c:v>32.140999999999998</c:v>
                </c:pt>
                <c:pt idx="80">
                  <c:v>32.545999999999999</c:v>
                </c:pt>
                <c:pt idx="81">
                  <c:v>32.953800000000001</c:v>
                </c:pt>
                <c:pt idx="82">
                  <c:v>33.355800000000002</c:v>
                </c:pt>
                <c:pt idx="83">
                  <c:v>33.7607</c:v>
                </c:pt>
                <c:pt idx="84">
                  <c:v>34.165700000000001</c:v>
                </c:pt>
                <c:pt idx="85">
                  <c:v>34.576500000000003</c:v>
                </c:pt>
                <c:pt idx="86">
                  <c:v>34.983499999999999</c:v>
                </c:pt>
                <c:pt idx="87">
                  <c:v>35.3874</c:v>
                </c:pt>
                <c:pt idx="88">
                  <c:v>35.791200000000003</c:v>
                </c:pt>
                <c:pt idx="89">
                  <c:v>36.203600000000002</c:v>
                </c:pt>
                <c:pt idx="90">
                  <c:v>36.608400000000003</c:v>
                </c:pt>
                <c:pt idx="91">
                  <c:v>37.014000000000003</c:v>
                </c:pt>
                <c:pt idx="92">
                  <c:v>37.4178</c:v>
                </c:pt>
                <c:pt idx="93">
                  <c:v>37.824800000000003</c:v>
                </c:pt>
                <c:pt idx="94">
                  <c:v>38.233800000000002</c:v>
                </c:pt>
                <c:pt idx="95">
                  <c:v>38.640599999999999</c:v>
                </c:pt>
                <c:pt idx="96">
                  <c:v>39.043599999999998</c:v>
                </c:pt>
                <c:pt idx="97">
                  <c:v>39.450400000000002</c:v>
                </c:pt>
                <c:pt idx="98">
                  <c:v>39.856400000000001</c:v>
                </c:pt>
                <c:pt idx="99">
                  <c:v>40.262300000000003</c:v>
                </c:pt>
                <c:pt idx="100">
                  <c:v>40.674199999999999</c:v>
                </c:pt>
                <c:pt idx="101">
                  <c:v>41.080100000000002</c:v>
                </c:pt>
                <c:pt idx="102">
                  <c:v>41.482999999999997</c:v>
                </c:pt>
                <c:pt idx="103">
                  <c:v>41.889099999999999</c:v>
                </c:pt>
                <c:pt idx="104">
                  <c:v>42.294800000000002</c:v>
                </c:pt>
                <c:pt idx="105">
                  <c:v>42.702800000000003</c:v>
                </c:pt>
                <c:pt idx="106">
                  <c:v>43.1096</c:v>
                </c:pt>
                <c:pt idx="107">
                  <c:v>43.514499999999998</c:v>
                </c:pt>
                <c:pt idx="108">
                  <c:v>43.918700000000001</c:v>
                </c:pt>
                <c:pt idx="109">
                  <c:v>44.328400000000002</c:v>
                </c:pt>
                <c:pt idx="110">
                  <c:v>44.734299999999998</c:v>
                </c:pt>
                <c:pt idx="111">
                  <c:v>45.139299999999999</c:v>
                </c:pt>
                <c:pt idx="112">
                  <c:v>45.548099999999998</c:v>
                </c:pt>
                <c:pt idx="113">
                  <c:v>45.95</c:v>
                </c:pt>
                <c:pt idx="114">
                  <c:v>46.359099999999998</c:v>
                </c:pt>
                <c:pt idx="115">
                  <c:v>46.765900000000002</c:v>
                </c:pt>
                <c:pt idx="116">
                  <c:v>47.172699999999999</c:v>
                </c:pt>
                <c:pt idx="117">
                  <c:v>47.576700000000002</c:v>
                </c:pt>
                <c:pt idx="118">
                  <c:v>47.9846</c:v>
                </c:pt>
                <c:pt idx="119">
                  <c:v>48.3887</c:v>
                </c:pt>
                <c:pt idx="120">
                  <c:v>48.796500000000002</c:v>
                </c:pt>
                <c:pt idx="121">
                  <c:v>49.209299999999999</c:v>
                </c:pt>
                <c:pt idx="122">
                  <c:v>49.6083</c:v>
                </c:pt>
                <c:pt idx="123">
                  <c:v>50.0122</c:v>
                </c:pt>
                <c:pt idx="124">
                  <c:v>50.421599999999998</c:v>
                </c:pt>
                <c:pt idx="125">
                  <c:v>50.825000000000003</c:v>
                </c:pt>
                <c:pt idx="126">
                  <c:v>51.234000000000002</c:v>
                </c:pt>
                <c:pt idx="127">
                  <c:v>51.640900000000002</c:v>
                </c:pt>
                <c:pt idx="128">
                  <c:v>52.042700000000004</c:v>
                </c:pt>
                <c:pt idx="129">
                  <c:v>52.450699999999998</c:v>
                </c:pt>
                <c:pt idx="130">
                  <c:v>52.857599999999998</c:v>
                </c:pt>
                <c:pt idx="131">
                  <c:v>53.263599999999997</c:v>
                </c:pt>
                <c:pt idx="132">
                  <c:v>53.670299999999997</c:v>
                </c:pt>
                <c:pt idx="133">
                  <c:v>54.074300000000001</c:v>
                </c:pt>
                <c:pt idx="134">
                  <c:v>54.482300000000002</c:v>
                </c:pt>
                <c:pt idx="135">
                  <c:v>54.892099999999999</c:v>
                </c:pt>
                <c:pt idx="136">
                  <c:v>55.295099999999998</c:v>
                </c:pt>
                <c:pt idx="137">
                  <c:v>55.702399999999997</c:v>
                </c:pt>
                <c:pt idx="138">
                  <c:v>56.110900000000001</c:v>
                </c:pt>
                <c:pt idx="139">
                  <c:v>56.516800000000003</c:v>
                </c:pt>
                <c:pt idx="140">
                  <c:v>56.919699999999999</c:v>
                </c:pt>
                <c:pt idx="141">
                  <c:v>57.325600000000001</c:v>
                </c:pt>
                <c:pt idx="142">
                  <c:v>57.735900000000001</c:v>
                </c:pt>
                <c:pt idx="143">
                  <c:v>58.141800000000003</c:v>
                </c:pt>
                <c:pt idx="144">
                  <c:v>58.545699999999997</c:v>
                </c:pt>
                <c:pt idx="145">
                  <c:v>58.952599999999997</c:v>
                </c:pt>
                <c:pt idx="146">
                  <c:v>59.359200000000001</c:v>
                </c:pt>
                <c:pt idx="147">
                  <c:v>59.7652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1.3989699999999998</c:v>
                </c:pt>
                <c:pt idx="1">
                  <c:v>1.4416000000000002</c:v>
                </c:pt>
                <c:pt idx="2">
                  <c:v>1.4836399999999998</c:v>
                </c:pt>
                <c:pt idx="3">
                  <c:v>1.5213399999999999</c:v>
                </c:pt>
                <c:pt idx="4">
                  <c:v>1.5548799999999998</c:v>
                </c:pt>
                <c:pt idx="5">
                  <c:v>1.58758</c:v>
                </c:pt>
                <c:pt idx="6">
                  <c:v>1.6215299999999999</c:v>
                </c:pt>
                <c:pt idx="7">
                  <c:v>1.6544700000000001</c:v>
                </c:pt>
                <c:pt idx="8">
                  <c:v>1.68987</c:v>
                </c:pt>
                <c:pt idx="9">
                  <c:v>1.7253399999999999</c:v>
                </c:pt>
                <c:pt idx="10">
                  <c:v>1.7610000000000001</c:v>
                </c:pt>
                <c:pt idx="11">
                  <c:v>1.7937400000000001</c:v>
                </c:pt>
                <c:pt idx="12">
                  <c:v>1.82372</c:v>
                </c:pt>
                <c:pt idx="13">
                  <c:v>1.85036</c:v>
                </c:pt>
                <c:pt idx="14">
                  <c:v>1.8720800000000002</c:v>
                </c:pt>
                <c:pt idx="15">
                  <c:v>1.8911</c:v>
                </c:pt>
                <c:pt idx="16">
                  <c:v>1.9101999999999999</c:v>
                </c:pt>
                <c:pt idx="17">
                  <c:v>1.9261300000000001</c:v>
                </c:pt>
                <c:pt idx="18">
                  <c:v>1.9393899999999999</c:v>
                </c:pt>
                <c:pt idx="19">
                  <c:v>1.9513</c:v>
                </c:pt>
                <c:pt idx="20">
                  <c:v>1.96187</c:v>
                </c:pt>
                <c:pt idx="21">
                  <c:v>1.9708999999999999</c:v>
                </c:pt>
                <c:pt idx="22">
                  <c:v>1.97786</c:v>
                </c:pt>
                <c:pt idx="23">
                  <c:v>1.9843199999999999</c:v>
                </c:pt>
                <c:pt idx="24">
                  <c:v>1.9919700000000002</c:v>
                </c:pt>
                <c:pt idx="25">
                  <c:v>1.9984299999999999</c:v>
                </c:pt>
                <c:pt idx="26">
                  <c:v>2.0076200000000002</c:v>
                </c:pt>
                <c:pt idx="27">
                  <c:v>2.01898</c:v>
                </c:pt>
                <c:pt idx="28">
                  <c:v>2.0323899999999999</c:v>
                </c:pt>
                <c:pt idx="29">
                  <c:v>2.0483799999999999</c:v>
                </c:pt>
                <c:pt idx="30">
                  <c:v>2.06447</c:v>
                </c:pt>
                <c:pt idx="31">
                  <c:v>2.07951</c:v>
                </c:pt>
                <c:pt idx="32">
                  <c:v>2.09382</c:v>
                </c:pt>
                <c:pt idx="33">
                  <c:v>2.1085400000000001</c:v>
                </c:pt>
                <c:pt idx="34">
                  <c:v>2.1184099999999999</c:v>
                </c:pt>
                <c:pt idx="35">
                  <c:v>2.1275200000000001</c:v>
                </c:pt>
                <c:pt idx="36">
                  <c:v>2.1380300000000001</c:v>
                </c:pt>
                <c:pt idx="37">
                  <c:v>2.1478199999999998</c:v>
                </c:pt>
                <c:pt idx="38">
                  <c:v>2.1601900000000001</c:v>
                </c:pt>
                <c:pt idx="39">
                  <c:v>2.1726899999999998</c:v>
                </c:pt>
                <c:pt idx="40">
                  <c:v>2.1876899999999999</c:v>
                </c:pt>
                <c:pt idx="41">
                  <c:v>2.20391</c:v>
                </c:pt>
                <c:pt idx="42">
                  <c:v>2.2202500000000001</c:v>
                </c:pt>
                <c:pt idx="43">
                  <c:v>2.2387600000000001</c:v>
                </c:pt>
                <c:pt idx="44">
                  <c:v>2.25536</c:v>
                </c:pt>
                <c:pt idx="45">
                  <c:v>2.2697000000000003</c:v>
                </c:pt>
                <c:pt idx="46">
                  <c:v>2.28451</c:v>
                </c:pt>
                <c:pt idx="47">
                  <c:v>2.3024</c:v>
                </c:pt>
                <c:pt idx="48">
                  <c:v>2.3197700000000001</c:v>
                </c:pt>
                <c:pt idx="49">
                  <c:v>2.33474</c:v>
                </c:pt>
                <c:pt idx="50">
                  <c:v>2.3476499999999998</c:v>
                </c:pt>
                <c:pt idx="51">
                  <c:v>2.3633000000000002</c:v>
                </c:pt>
                <c:pt idx="52">
                  <c:v>2.3722099999999999</c:v>
                </c:pt>
                <c:pt idx="53">
                  <c:v>2.3826200000000002</c:v>
                </c:pt>
                <c:pt idx="54">
                  <c:v>2.39161</c:v>
                </c:pt>
                <c:pt idx="55">
                  <c:v>2.39934</c:v>
                </c:pt>
                <c:pt idx="56">
                  <c:v>2.4155600000000002</c:v>
                </c:pt>
                <c:pt idx="57">
                  <c:v>2.4264999999999999</c:v>
                </c:pt>
                <c:pt idx="58">
                  <c:v>2.4314399999999998</c:v>
                </c:pt>
                <c:pt idx="59">
                  <c:v>2.4408500000000002</c:v>
                </c:pt>
                <c:pt idx="60">
                  <c:v>2.4456800000000003</c:v>
                </c:pt>
                <c:pt idx="61">
                  <c:v>2.4506000000000001</c:v>
                </c:pt>
                <c:pt idx="62">
                  <c:v>2.45614</c:v>
                </c:pt>
                <c:pt idx="63">
                  <c:v>2.4645000000000001</c:v>
                </c:pt>
                <c:pt idx="64">
                  <c:v>2.46936</c:v>
                </c:pt>
                <c:pt idx="65">
                  <c:v>2.4718599999999999</c:v>
                </c:pt>
                <c:pt idx="66">
                  <c:v>2.4722300000000001</c:v>
                </c:pt>
                <c:pt idx="67">
                  <c:v>2.47329</c:v>
                </c:pt>
                <c:pt idx="68">
                  <c:v>2.4678499999999999</c:v>
                </c:pt>
                <c:pt idx="69">
                  <c:v>2.4678499999999999</c:v>
                </c:pt>
                <c:pt idx="70">
                  <c:v>2.4628900000000002</c:v>
                </c:pt>
                <c:pt idx="71">
                  <c:v>2.46069</c:v>
                </c:pt>
                <c:pt idx="72">
                  <c:v>2.4571100000000001</c:v>
                </c:pt>
                <c:pt idx="73">
                  <c:v>2.4553600000000002</c:v>
                </c:pt>
                <c:pt idx="74">
                  <c:v>2.44692</c:v>
                </c:pt>
                <c:pt idx="75">
                  <c:v>2.4397500000000001</c:v>
                </c:pt>
                <c:pt idx="76">
                  <c:v>2.4292400000000001</c:v>
                </c:pt>
                <c:pt idx="77">
                  <c:v>2.4195700000000002</c:v>
                </c:pt>
                <c:pt idx="78">
                  <c:v>2.4119199999999998</c:v>
                </c:pt>
                <c:pt idx="79">
                  <c:v>2.4028200000000002</c:v>
                </c:pt>
                <c:pt idx="80">
                  <c:v>2.3898099999999998</c:v>
                </c:pt>
                <c:pt idx="81">
                  <c:v>2.3742000000000001</c:v>
                </c:pt>
                <c:pt idx="82">
                  <c:v>2.35791</c:v>
                </c:pt>
                <c:pt idx="83">
                  <c:v>2.3403900000000002</c:v>
                </c:pt>
                <c:pt idx="84">
                  <c:v>2.3253900000000001</c:v>
                </c:pt>
                <c:pt idx="85">
                  <c:v>2.3090299999999999</c:v>
                </c:pt>
                <c:pt idx="86">
                  <c:v>2.2911699999999997</c:v>
                </c:pt>
                <c:pt idx="87">
                  <c:v>2.2713299999999998</c:v>
                </c:pt>
                <c:pt idx="88">
                  <c:v>2.2497400000000001</c:v>
                </c:pt>
                <c:pt idx="89">
                  <c:v>2.2292200000000002</c:v>
                </c:pt>
                <c:pt idx="90">
                  <c:v>2.2101600000000001</c:v>
                </c:pt>
                <c:pt idx="91">
                  <c:v>2.19184</c:v>
                </c:pt>
                <c:pt idx="92">
                  <c:v>2.1748099999999999</c:v>
                </c:pt>
                <c:pt idx="93">
                  <c:v>2.1586600000000002</c:v>
                </c:pt>
                <c:pt idx="94">
                  <c:v>2.1427899999999998</c:v>
                </c:pt>
                <c:pt idx="95">
                  <c:v>2.1276800000000002</c:v>
                </c:pt>
                <c:pt idx="96">
                  <c:v>2.1124700000000001</c:v>
                </c:pt>
                <c:pt idx="97">
                  <c:v>2.0970499999999999</c:v>
                </c:pt>
                <c:pt idx="98">
                  <c:v>2.0851100000000002</c:v>
                </c:pt>
                <c:pt idx="99">
                  <c:v>2.0710500000000001</c:v>
                </c:pt>
                <c:pt idx="100">
                  <c:v>2.0583900000000002</c:v>
                </c:pt>
                <c:pt idx="101">
                  <c:v>2.0457000000000001</c:v>
                </c:pt>
                <c:pt idx="102">
                  <c:v>2.03294</c:v>
                </c:pt>
                <c:pt idx="103">
                  <c:v>2.0229400000000002</c:v>
                </c:pt>
                <c:pt idx="104">
                  <c:v>2.01092</c:v>
                </c:pt>
                <c:pt idx="105">
                  <c:v>1.9971000000000001</c:v>
                </c:pt>
                <c:pt idx="106">
                  <c:v>1.9834299999999998</c:v>
                </c:pt>
                <c:pt idx="107">
                  <c:v>1.9698599999999999</c:v>
                </c:pt>
                <c:pt idx="108">
                  <c:v>1.9554499999999999</c:v>
                </c:pt>
                <c:pt idx="109">
                  <c:v>1.94021</c:v>
                </c:pt>
                <c:pt idx="110">
                  <c:v>1.9254899999999999</c:v>
                </c:pt>
                <c:pt idx="111">
                  <c:v>1.90889</c:v>
                </c:pt>
                <c:pt idx="112">
                  <c:v>1.8926699999999999</c:v>
                </c:pt>
                <c:pt idx="113">
                  <c:v>1.8771499999999999</c:v>
                </c:pt>
                <c:pt idx="114">
                  <c:v>1.8639000000000001</c:v>
                </c:pt>
                <c:pt idx="115">
                  <c:v>1.8523100000000001</c:v>
                </c:pt>
                <c:pt idx="116">
                  <c:v>1.8412200000000001</c:v>
                </c:pt>
                <c:pt idx="117">
                  <c:v>1.83101</c:v>
                </c:pt>
                <c:pt idx="118">
                  <c:v>1.8215300000000001</c:v>
                </c:pt>
                <c:pt idx="119">
                  <c:v>1.8109</c:v>
                </c:pt>
                <c:pt idx="120">
                  <c:v>1.8012000000000001</c:v>
                </c:pt>
                <c:pt idx="121">
                  <c:v>1.79253</c:v>
                </c:pt>
                <c:pt idx="122">
                  <c:v>1.78426</c:v>
                </c:pt>
                <c:pt idx="123">
                  <c:v>1.7744399999999998</c:v>
                </c:pt>
                <c:pt idx="124">
                  <c:v>1.7657400000000001</c:v>
                </c:pt>
                <c:pt idx="125">
                  <c:v>1.75654</c:v>
                </c:pt>
                <c:pt idx="126">
                  <c:v>1.7495499999999999</c:v>
                </c:pt>
                <c:pt idx="127">
                  <c:v>1.7420800000000001</c:v>
                </c:pt>
                <c:pt idx="128">
                  <c:v>1.7352100000000001</c:v>
                </c:pt>
                <c:pt idx="129">
                  <c:v>1.7322199999999999</c:v>
                </c:pt>
                <c:pt idx="130">
                  <c:v>1.7327999999999999</c:v>
                </c:pt>
                <c:pt idx="131">
                  <c:v>1.7333299999999998</c:v>
                </c:pt>
                <c:pt idx="132">
                  <c:v>1.73404</c:v>
                </c:pt>
                <c:pt idx="133">
                  <c:v>1.7359100000000001</c:v>
                </c:pt>
                <c:pt idx="134">
                  <c:v>1.73807</c:v>
                </c:pt>
                <c:pt idx="135">
                  <c:v>1.7419899999999999</c:v>
                </c:pt>
                <c:pt idx="136">
                  <c:v>1.7492700000000001</c:v>
                </c:pt>
                <c:pt idx="137">
                  <c:v>1.75728</c:v>
                </c:pt>
                <c:pt idx="138">
                  <c:v>1.7682200000000001</c:v>
                </c:pt>
                <c:pt idx="139">
                  <c:v>1.7753299999999999</c:v>
                </c:pt>
                <c:pt idx="140">
                  <c:v>1.7827899999999999</c:v>
                </c:pt>
                <c:pt idx="141">
                  <c:v>1.7858299999999998</c:v>
                </c:pt>
                <c:pt idx="142">
                  <c:v>1.7894699999999999</c:v>
                </c:pt>
                <c:pt idx="143">
                  <c:v>1.7949300000000001</c:v>
                </c:pt>
                <c:pt idx="144">
                  <c:v>1.8065</c:v>
                </c:pt>
                <c:pt idx="145">
                  <c:v>1.8208500000000001</c:v>
                </c:pt>
                <c:pt idx="146">
                  <c:v>1.82107</c:v>
                </c:pt>
                <c:pt idx="147">
                  <c:v>1.8251400000000002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0.404837</c:v>
                </c:pt>
                <c:pt idx="2">
                  <c:v>0.81077100000000002</c:v>
                </c:pt>
                <c:pt idx="3">
                  <c:v>1.21567</c:v>
                </c:pt>
                <c:pt idx="4">
                  <c:v>1.6197600000000001</c:v>
                </c:pt>
                <c:pt idx="5">
                  <c:v>2.03057</c:v>
                </c:pt>
                <c:pt idx="6">
                  <c:v>2.4405000000000001</c:v>
                </c:pt>
                <c:pt idx="7">
                  <c:v>2.8423699999999998</c:v>
                </c:pt>
                <c:pt idx="8">
                  <c:v>3.2472400000000001</c:v>
                </c:pt>
                <c:pt idx="9">
                  <c:v>3.6541899999999998</c:v>
                </c:pt>
                <c:pt idx="10">
                  <c:v>4.0610299999999997</c:v>
                </c:pt>
                <c:pt idx="11">
                  <c:v>4.4692699999999999</c:v>
                </c:pt>
                <c:pt idx="12">
                  <c:v>4.8705999999999996</c:v>
                </c:pt>
                <c:pt idx="13">
                  <c:v>5.2788199999999996</c:v>
                </c:pt>
                <c:pt idx="14">
                  <c:v>5.6860400000000002</c:v>
                </c:pt>
                <c:pt idx="15">
                  <c:v>6.09063</c:v>
                </c:pt>
                <c:pt idx="16">
                  <c:v>6.4995099999999999</c:v>
                </c:pt>
                <c:pt idx="17">
                  <c:v>6.9054399999999996</c:v>
                </c:pt>
                <c:pt idx="18">
                  <c:v>7.3074700000000004</c:v>
                </c:pt>
                <c:pt idx="19">
                  <c:v>7.71943</c:v>
                </c:pt>
                <c:pt idx="20">
                  <c:v>8.1261600000000005</c:v>
                </c:pt>
                <c:pt idx="21">
                  <c:v>8.5301200000000001</c:v>
                </c:pt>
                <c:pt idx="22">
                  <c:v>8.9340399999999995</c:v>
                </c:pt>
                <c:pt idx="23">
                  <c:v>9.3409200000000006</c:v>
                </c:pt>
                <c:pt idx="24">
                  <c:v>9.7489600000000003</c:v>
                </c:pt>
                <c:pt idx="25">
                  <c:v>10.151999999999999</c:v>
                </c:pt>
                <c:pt idx="26">
                  <c:v>10.5627</c:v>
                </c:pt>
                <c:pt idx="27">
                  <c:v>10.970599999999999</c:v>
                </c:pt>
                <c:pt idx="28">
                  <c:v>11.3725</c:v>
                </c:pt>
                <c:pt idx="29">
                  <c:v>11.7796</c:v>
                </c:pt>
                <c:pt idx="30">
                  <c:v>12.185600000000001</c:v>
                </c:pt>
                <c:pt idx="31">
                  <c:v>12.591200000000001</c:v>
                </c:pt>
                <c:pt idx="32">
                  <c:v>13.0001</c:v>
                </c:pt>
                <c:pt idx="33">
                  <c:v>13.4023</c:v>
                </c:pt>
                <c:pt idx="34">
                  <c:v>13.809200000000001</c:v>
                </c:pt>
                <c:pt idx="35">
                  <c:v>14.216799999999999</c:v>
                </c:pt>
                <c:pt idx="36">
                  <c:v>14.6249</c:v>
                </c:pt>
                <c:pt idx="37">
                  <c:v>15.0298</c:v>
                </c:pt>
                <c:pt idx="38">
                  <c:v>15.4358</c:v>
                </c:pt>
                <c:pt idx="39">
                  <c:v>15.841799999999999</c:v>
                </c:pt>
                <c:pt idx="40">
                  <c:v>16.247499999999999</c:v>
                </c:pt>
                <c:pt idx="41">
                  <c:v>16.656400000000001</c:v>
                </c:pt>
                <c:pt idx="42">
                  <c:v>17.063400000000001</c:v>
                </c:pt>
                <c:pt idx="43">
                  <c:v>17.466200000000001</c:v>
                </c:pt>
                <c:pt idx="44">
                  <c:v>17.870100000000001</c:v>
                </c:pt>
                <c:pt idx="45">
                  <c:v>18.280999999999999</c:v>
                </c:pt>
                <c:pt idx="46">
                  <c:v>18.684100000000001</c:v>
                </c:pt>
                <c:pt idx="47">
                  <c:v>19.0928</c:v>
                </c:pt>
                <c:pt idx="48">
                  <c:v>19.500800000000002</c:v>
                </c:pt>
                <c:pt idx="49">
                  <c:v>19.904699999999998</c:v>
                </c:pt>
                <c:pt idx="50">
                  <c:v>20.308700000000002</c:v>
                </c:pt>
                <c:pt idx="51">
                  <c:v>20.720600000000001</c:v>
                </c:pt>
                <c:pt idx="52">
                  <c:v>21.1235</c:v>
                </c:pt>
                <c:pt idx="53">
                  <c:v>21.532299999999999</c:v>
                </c:pt>
                <c:pt idx="54">
                  <c:v>21.9376</c:v>
                </c:pt>
                <c:pt idx="55">
                  <c:v>22.3385</c:v>
                </c:pt>
                <c:pt idx="56">
                  <c:v>22.7501</c:v>
                </c:pt>
                <c:pt idx="57">
                  <c:v>23.158000000000001</c:v>
                </c:pt>
                <c:pt idx="58">
                  <c:v>23.559000000000001</c:v>
                </c:pt>
                <c:pt idx="59">
                  <c:v>23.966799999999999</c:v>
                </c:pt>
                <c:pt idx="60">
                  <c:v>24.373000000000001</c:v>
                </c:pt>
                <c:pt idx="61">
                  <c:v>24.781700000000001</c:v>
                </c:pt>
                <c:pt idx="62">
                  <c:v>25.186699999999998</c:v>
                </c:pt>
                <c:pt idx="63">
                  <c:v>25.5945</c:v>
                </c:pt>
                <c:pt idx="64">
                  <c:v>25.997399999999999</c:v>
                </c:pt>
                <c:pt idx="65">
                  <c:v>26.4054</c:v>
                </c:pt>
                <c:pt idx="66">
                  <c:v>26.813300000000002</c:v>
                </c:pt>
                <c:pt idx="67">
                  <c:v>27.216100000000001</c:v>
                </c:pt>
                <c:pt idx="68">
                  <c:v>27.622</c:v>
                </c:pt>
                <c:pt idx="69">
                  <c:v>28.028099999999998</c:v>
                </c:pt>
                <c:pt idx="70">
                  <c:v>28.435099999999998</c:v>
                </c:pt>
                <c:pt idx="71">
                  <c:v>28.8428</c:v>
                </c:pt>
                <c:pt idx="72">
                  <c:v>29.250800000000002</c:v>
                </c:pt>
                <c:pt idx="73">
                  <c:v>29.652799999999999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1.3989699999999998</c:v>
                </c:pt>
                <c:pt idx="1">
                  <c:v>1.4416000000000002</c:v>
                </c:pt>
                <c:pt idx="2">
                  <c:v>1.4836399999999998</c:v>
                </c:pt>
                <c:pt idx="3">
                  <c:v>1.5213399999999999</c:v>
                </c:pt>
                <c:pt idx="4">
                  <c:v>1.5548799999999998</c:v>
                </c:pt>
                <c:pt idx="5">
                  <c:v>1.58758</c:v>
                </c:pt>
                <c:pt idx="6">
                  <c:v>1.6215299999999999</c:v>
                </c:pt>
                <c:pt idx="7">
                  <c:v>1.6544700000000001</c:v>
                </c:pt>
                <c:pt idx="8">
                  <c:v>1.68987</c:v>
                </c:pt>
                <c:pt idx="9">
                  <c:v>1.7253399999999999</c:v>
                </c:pt>
                <c:pt idx="10">
                  <c:v>1.7610000000000001</c:v>
                </c:pt>
                <c:pt idx="11">
                  <c:v>1.7937400000000001</c:v>
                </c:pt>
                <c:pt idx="12">
                  <c:v>1.82372</c:v>
                </c:pt>
                <c:pt idx="13">
                  <c:v>1.85036</c:v>
                </c:pt>
                <c:pt idx="14">
                  <c:v>1.8720800000000002</c:v>
                </c:pt>
                <c:pt idx="15">
                  <c:v>1.8911</c:v>
                </c:pt>
                <c:pt idx="16">
                  <c:v>1.9101999999999999</c:v>
                </c:pt>
                <c:pt idx="17">
                  <c:v>1.9261300000000001</c:v>
                </c:pt>
                <c:pt idx="18">
                  <c:v>1.9393899999999999</c:v>
                </c:pt>
                <c:pt idx="19">
                  <c:v>1.9513</c:v>
                </c:pt>
                <c:pt idx="20">
                  <c:v>1.96187</c:v>
                </c:pt>
                <c:pt idx="21">
                  <c:v>1.9708999999999999</c:v>
                </c:pt>
                <c:pt idx="22">
                  <c:v>1.97786</c:v>
                </c:pt>
                <c:pt idx="23">
                  <c:v>1.9843199999999999</c:v>
                </c:pt>
                <c:pt idx="24">
                  <c:v>1.9919700000000002</c:v>
                </c:pt>
                <c:pt idx="25">
                  <c:v>1.9984299999999999</c:v>
                </c:pt>
                <c:pt idx="26">
                  <c:v>2.0076200000000002</c:v>
                </c:pt>
                <c:pt idx="27">
                  <c:v>2.01898</c:v>
                </c:pt>
                <c:pt idx="28">
                  <c:v>2.0323899999999999</c:v>
                </c:pt>
                <c:pt idx="29">
                  <c:v>2.0483799999999999</c:v>
                </c:pt>
                <c:pt idx="30">
                  <c:v>2.06447</c:v>
                </c:pt>
                <c:pt idx="31">
                  <c:v>2.07951</c:v>
                </c:pt>
                <c:pt idx="32">
                  <c:v>2.09382</c:v>
                </c:pt>
                <c:pt idx="33">
                  <c:v>2.1085400000000001</c:v>
                </c:pt>
                <c:pt idx="34">
                  <c:v>2.1184099999999999</c:v>
                </c:pt>
                <c:pt idx="35">
                  <c:v>2.1275200000000001</c:v>
                </c:pt>
                <c:pt idx="36">
                  <c:v>2.1380300000000001</c:v>
                </c:pt>
                <c:pt idx="37">
                  <c:v>2.1478199999999998</c:v>
                </c:pt>
                <c:pt idx="38">
                  <c:v>2.1601900000000001</c:v>
                </c:pt>
                <c:pt idx="39">
                  <c:v>2.1726899999999998</c:v>
                </c:pt>
                <c:pt idx="40">
                  <c:v>2.1876899999999999</c:v>
                </c:pt>
                <c:pt idx="41">
                  <c:v>2.20391</c:v>
                </c:pt>
                <c:pt idx="42">
                  <c:v>2.2202500000000001</c:v>
                </c:pt>
                <c:pt idx="43">
                  <c:v>2.2387600000000001</c:v>
                </c:pt>
                <c:pt idx="44">
                  <c:v>2.25536</c:v>
                </c:pt>
                <c:pt idx="45">
                  <c:v>2.2697000000000003</c:v>
                </c:pt>
                <c:pt idx="46">
                  <c:v>2.28451</c:v>
                </c:pt>
                <c:pt idx="47">
                  <c:v>2.3024</c:v>
                </c:pt>
                <c:pt idx="48">
                  <c:v>2.3197700000000001</c:v>
                </c:pt>
                <c:pt idx="49">
                  <c:v>2.33474</c:v>
                </c:pt>
                <c:pt idx="50">
                  <c:v>2.3476499999999998</c:v>
                </c:pt>
                <c:pt idx="51">
                  <c:v>2.3633000000000002</c:v>
                </c:pt>
                <c:pt idx="52">
                  <c:v>2.3722099999999999</c:v>
                </c:pt>
                <c:pt idx="53">
                  <c:v>2.3826200000000002</c:v>
                </c:pt>
                <c:pt idx="54">
                  <c:v>2.39161</c:v>
                </c:pt>
                <c:pt idx="55">
                  <c:v>2.39934</c:v>
                </c:pt>
                <c:pt idx="56">
                  <c:v>2.4155600000000002</c:v>
                </c:pt>
                <c:pt idx="57">
                  <c:v>2.4264999999999999</c:v>
                </c:pt>
                <c:pt idx="58">
                  <c:v>2.4314399999999998</c:v>
                </c:pt>
                <c:pt idx="59">
                  <c:v>2.4408500000000002</c:v>
                </c:pt>
                <c:pt idx="60">
                  <c:v>2.4456800000000003</c:v>
                </c:pt>
                <c:pt idx="61">
                  <c:v>2.4506000000000001</c:v>
                </c:pt>
                <c:pt idx="62">
                  <c:v>2.45614</c:v>
                </c:pt>
                <c:pt idx="63">
                  <c:v>2.4645000000000001</c:v>
                </c:pt>
                <c:pt idx="64">
                  <c:v>2.46936</c:v>
                </c:pt>
                <c:pt idx="65">
                  <c:v>2.4718599999999999</c:v>
                </c:pt>
                <c:pt idx="66">
                  <c:v>2.4722300000000001</c:v>
                </c:pt>
                <c:pt idx="67">
                  <c:v>2.47329</c:v>
                </c:pt>
                <c:pt idx="68">
                  <c:v>2.4678499999999999</c:v>
                </c:pt>
                <c:pt idx="69">
                  <c:v>2.4678499999999999</c:v>
                </c:pt>
                <c:pt idx="70">
                  <c:v>2.4628900000000002</c:v>
                </c:pt>
                <c:pt idx="71">
                  <c:v>2.46069</c:v>
                </c:pt>
                <c:pt idx="72">
                  <c:v>2.4571100000000001</c:v>
                </c:pt>
                <c:pt idx="73">
                  <c:v>2.4553600000000002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30.061499999999999</c:v>
                </c:pt>
                <c:pt idx="2">
                  <c:v>30.517299999999999</c:v>
                </c:pt>
                <c:pt idx="3">
                  <c:v>30.920200000000001</c:v>
                </c:pt>
                <c:pt idx="4">
                  <c:v>31.3262</c:v>
                </c:pt>
                <c:pt idx="5">
                  <c:v>31.732600000000001</c:v>
                </c:pt>
                <c:pt idx="6">
                  <c:v>32.140999999999998</c:v>
                </c:pt>
                <c:pt idx="7">
                  <c:v>32.545999999999999</c:v>
                </c:pt>
                <c:pt idx="8">
                  <c:v>32.953800000000001</c:v>
                </c:pt>
                <c:pt idx="9">
                  <c:v>33.355800000000002</c:v>
                </c:pt>
                <c:pt idx="10">
                  <c:v>33.7607</c:v>
                </c:pt>
                <c:pt idx="11">
                  <c:v>34.165700000000001</c:v>
                </c:pt>
                <c:pt idx="12">
                  <c:v>34.576500000000003</c:v>
                </c:pt>
                <c:pt idx="13">
                  <c:v>34.983499999999999</c:v>
                </c:pt>
                <c:pt idx="14">
                  <c:v>35.3874</c:v>
                </c:pt>
                <c:pt idx="15">
                  <c:v>35.791200000000003</c:v>
                </c:pt>
                <c:pt idx="16">
                  <c:v>36.203600000000002</c:v>
                </c:pt>
                <c:pt idx="17">
                  <c:v>36.608400000000003</c:v>
                </c:pt>
                <c:pt idx="18">
                  <c:v>37.014000000000003</c:v>
                </c:pt>
                <c:pt idx="19">
                  <c:v>37.4178</c:v>
                </c:pt>
                <c:pt idx="20">
                  <c:v>37.824800000000003</c:v>
                </c:pt>
                <c:pt idx="21">
                  <c:v>38.233800000000002</c:v>
                </c:pt>
                <c:pt idx="22">
                  <c:v>38.640599999999999</c:v>
                </c:pt>
                <c:pt idx="23">
                  <c:v>39.043599999999998</c:v>
                </c:pt>
                <c:pt idx="24">
                  <c:v>39.450400000000002</c:v>
                </c:pt>
                <c:pt idx="25">
                  <c:v>39.856400000000001</c:v>
                </c:pt>
                <c:pt idx="26">
                  <c:v>40.262300000000003</c:v>
                </c:pt>
                <c:pt idx="27">
                  <c:v>40.674199999999999</c:v>
                </c:pt>
                <c:pt idx="28">
                  <c:v>41.080100000000002</c:v>
                </c:pt>
                <c:pt idx="29">
                  <c:v>41.482999999999997</c:v>
                </c:pt>
                <c:pt idx="30">
                  <c:v>41.889099999999999</c:v>
                </c:pt>
                <c:pt idx="31">
                  <c:v>42.294800000000002</c:v>
                </c:pt>
                <c:pt idx="32">
                  <c:v>42.702800000000003</c:v>
                </c:pt>
                <c:pt idx="33">
                  <c:v>43.1096</c:v>
                </c:pt>
                <c:pt idx="34">
                  <c:v>43.514499999999998</c:v>
                </c:pt>
                <c:pt idx="35">
                  <c:v>43.918700000000001</c:v>
                </c:pt>
                <c:pt idx="36">
                  <c:v>44.328400000000002</c:v>
                </c:pt>
                <c:pt idx="37">
                  <c:v>44.734299999999998</c:v>
                </c:pt>
                <c:pt idx="38">
                  <c:v>45.139299999999999</c:v>
                </c:pt>
                <c:pt idx="39">
                  <c:v>45.548099999999998</c:v>
                </c:pt>
                <c:pt idx="40">
                  <c:v>45.95</c:v>
                </c:pt>
                <c:pt idx="41">
                  <c:v>46.359099999999998</c:v>
                </c:pt>
                <c:pt idx="42">
                  <c:v>46.765900000000002</c:v>
                </c:pt>
                <c:pt idx="43">
                  <c:v>47.172699999999999</c:v>
                </c:pt>
                <c:pt idx="44">
                  <c:v>47.576700000000002</c:v>
                </c:pt>
                <c:pt idx="45">
                  <c:v>47.9846</c:v>
                </c:pt>
                <c:pt idx="46">
                  <c:v>48.3887</c:v>
                </c:pt>
                <c:pt idx="47">
                  <c:v>48.796500000000002</c:v>
                </c:pt>
                <c:pt idx="48">
                  <c:v>49.209299999999999</c:v>
                </c:pt>
                <c:pt idx="49">
                  <c:v>49.6083</c:v>
                </c:pt>
                <c:pt idx="50">
                  <c:v>50.0122</c:v>
                </c:pt>
                <c:pt idx="51">
                  <c:v>50.421599999999998</c:v>
                </c:pt>
                <c:pt idx="52">
                  <c:v>50.825000000000003</c:v>
                </c:pt>
                <c:pt idx="53">
                  <c:v>51.234000000000002</c:v>
                </c:pt>
                <c:pt idx="54">
                  <c:v>51.640900000000002</c:v>
                </c:pt>
                <c:pt idx="55">
                  <c:v>52.042700000000004</c:v>
                </c:pt>
                <c:pt idx="56">
                  <c:v>52.450699999999998</c:v>
                </c:pt>
                <c:pt idx="57">
                  <c:v>52.857599999999998</c:v>
                </c:pt>
                <c:pt idx="58">
                  <c:v>53.263599999999997</c:v>
                </c:pt>
                <c:pt idx="59">
                  <c:v>53.670299999999997</c:v>
                </c:pt>
                <c:pt idx="60">
                  <c:v>54.074300000000001</c:v>
                </c:pt>
                <c:pt idx="61">
                  <c:v>54.482300000000002</c:v>
                </c:pt>
                <c:pt idx="62">
                  <c:v>54.892099999999999</c:v>
                </c:pt>
                <c:pt idx="63">
                  <c:v>55.295099999999998</c:v>
                </c:pt>
                <c:pt idx="64">
                  <c:v>55.702399999999997</c:v>
                </c:pt>
                <c:pt idx="65">
                  <c:v>56.110900000000001</c:v>
                </c:pt>
                <c:pt idx="66">
                  <c:v>56.516800000000003</c:v>
                </c:pt>
                <c:pt idx="67">
                  <c:v>56.919699999999999</c:v>
                </c:pt>
                <c:pt idx="68">
                  <c:v>57.325600000000001</c:v>
                </c:pt>
                <c:pt idx="69">
                  <c:v>57.735900000000001</c:v>
                </c:pt>
                <c:pt idx="70">
                  <c:v>58.141800000000003</c:v>
                </c:pt>
                <c:pt idx="71">
                  <c:v>58.545699999999997</c:v>
                </c:pt>
                <c:pt idx="72">
                  <c:v>58.952599999999997</c:v>
                </c:pt>
                <c:pt idx="73">
                  <c:v>59.359200000000001</c:v>
                </c:pt>
                <c:pt idx="74">
                  <c:v>59.7652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2.4553600000000002</c:v>
                </c:pt>
                <c:pt idx="1">
                  <c:v>2.44692</c:v>
                </c:pt>
                <c:pt idx="2">
                  <c:v>2.4397500000000001</c:v>
                </c:pt>
                <c:pt idx="3">
                  <c:v>2.4292400000000001</c:v>
                </c:pt>
                <c:pt idx="4">
                  <c:v>2.4195700000000002</c:v>
                </c:pt>
                <c:pt idx="5">
                  <c:v>2.4119199999999998</c:v>
                </c:pt>
                <c:pt idx="6">
                  <c:v>2.4028200000000002</c:v>
                </c:pt>
                <c:pt idx="7">
                  <c:v>2.3898099999999998</c:v>
                </c:pt>
                <c:pt idx="8">
                  <c:v>2.3742000000000001</c:v>
                </c:pt>
                <c:pt idx="9">
                  <c:v>2.35791</c:v>
                </c:pt>
                <c:pt idx="10">
                  <c:v>2.3403900000000002</c:v>
                </c:pt>
                <c:pt idx="11">
                  <c:v>2.3253900000000001</c:v>
                </c:pt>
                <c:pt idx="12">
                  <c:v>2.3090299999999999</c:v>
                </c:pt>
                <c:pt idx="13">
                  <c:v>2.2911699999999997</c:v>
                </c:pt>
                <c:pt idx="14">
                  <c:v>2.2713299999999998</c:v>
                </c:pt>
                <c:pt idx="15">
                  <c:v>2.2497400000000001</c:v>
                </c:pt>
                <c:pt idx="16">
                  <c:v>2.2292200000000002</c:v>
                </c:pt>
                <c:pt idx="17">
                  <c:v>2.2101600000000001</c:v>
                </c:pt>
                <c:pt idx="18">
                  <c:v>2.19184</c:v>
                </c:pt>
                <c:pt idx="19">
                  <c:v>2.1748099999999999</c:v>
                </c:pt>
                <c:pt idx="20">
                  <c:v>2.1586600000000002</c:v>
                </c:pt>
                <c:pt idx="21">
                  <c:v>2.1427899999999998</c:v>
                </c:pt>
                <c:pt idx="22">
                  <c:v>2.1276800000000002</c:v>
                </c:pt>
                <c:pt idx="23">
                  <c:v>2.1124700000000001</c:v>
                </c:pt>
                <c:pt idx="24">
                  <c:v>2.0970499999999999</c:v>
                </c:pt>
                <c:pt idx="25">
                  <c:v>2.0851100000000002</c:v>
                </c:pt>
                <c:pt idx="26">
                  <c:v>2.0710500000000001</c:v>
                </c:pt>
                <c:pt idx="27">
                  <c:v>2.0583900000000002</c:v>
                </c:pt>
                <c:pt idx="28">
                  <c:v>2.0457000000000001</c:v>
                </c:pt>
                <c:pt idx="29">
                  <c:v>2.03294</c:v>
                </c:pt>
                <c:pt idx="30">
                  <c:v>2.0229400000000002</c:v>
                </c:pt>
                <c:pt idx="31">
                  <c:v>2.01092</c:v>
                </c:pt>
                <c:pt idx="32">
                  <c:v>1.9971000000000001</c:v>
                </c:pt>
                <c:pt idx="33">
                  <c:v>1.9834299999999998</c:v>
                </c:pt>
                <c:pt idx="34">
                  <c:v>1.9698599999999999</c:v>
                </c:pt>
                <c:pt idx="35">
                  <c:v>1.9554499999999999</c:v>
                </c:pt>
                <c:pt idx="36">
                  <c:v>1.94021</c:v>
                </c:pt>
                <c:pt idx="37">
                  <c:v>1.9254899999999999</c:v>
                </c:pt>
                <c:pt idx="38">
                  <c:v>1.90889</c:v>
                </c:pt>
                <c:pt idx="39">
                  <c:v>1.8926699999999999</c:v>
                </c:pt>
                <c:pt idx="40">
                  <c:v>1.8771499999999999</c:v>
                </c:pt>
                <c:pt idx="41">
                  <c:v>1.8639000000000001</c:v>
                </c:pt>
                <c:pt idx="42">
                  <c:v>1.8523100000000001</c:v>
                </c:pt>
                <c:pt idx="43">
                  <c:v>1.8412200000000001</c:v>
                </c:pt>
                <c:pt idx="44">
                  <c:v>1.83101</c:v>
                </c:pt>
                <c:pt idx="45">
                  <c:v>1.8215300000000001</c:v>
                </c:pt>
                <c:pt idx="46">
                  <c:v>1.8109</c:v>
                </c:pt>
                <c:pt idx="47">
                  <c:v>1.8012000000000001</c:v>
                </c:pt>
                <c:pt idx="48">
                  <c:v>1.79253</c:v>
                </c:pt>
                <c:pt idx="49">
                  <c:v>1.78426</c:v>
                </c:pt>
                <c:pt idx="50">
                  <c:v>1.7744399999999998</c:v>
                </c:pt>
                <c:pt idx="51">
                  <c:v>1.7657400000000001</c:v>
                </c:pt>
                <c:pt idx="52">
                  <c:v>1.75654</c:v>
                </c:pt>
                <c:pt idx="53">
                  <c:v>1.7495499999999999</c:v>
                </c:pt>
                <c:pt idx="54">
                  <c:v>1.7420800000000001</c:v>
                </c:pt>
                <c:pt idx="55">
                  <c:v>1.7352100000000001</c:v>
                </c:pt>
                <c:pt idx="56">
                  <c:v>1.7322199999999999</c:v>
                </c:pt>
                <c:pt idx="57">
                  <c:v>1.7327999999999999</c:v>
                </c:pt>
                <c:pt idx="58">
                  <c:v>1.7333299999999998</c:v>
                </c:pt>
                <c:pt idx="59">
                  <c:v>1.73404</c:v>
                </c:pt>
                <c:pt idx="60">
                  <c:v>1.7359100000000001</c:v>
                </c:pt>
                <c:pt idx="61">
                  <c:v>1.73807</c:v>
                </c:pt>
                <c:pt idx="62">
                  <c:v>1.7419899999999999</c:v>
                </c:pt>
                <c:pt idx="63">
                  <c:v>1.7492700000000001</c:v>
                </c:pt>
                <c:pt idx="64">
                  <c:v>1.75728</c:v>
                </c:pt>
                <c:pt idx="65">
                  <c:v>1.7682200000000001</c:v>
                </c:pt>
                <c:pt idx="66">
                  <c:v>1.7753299999999999</c:v>
                </c:pt>
                <c:pt idx="67">
                  <c:v>1.7827899999999999</c:v>
                </c:pt>
                <c:pt idx="68">
                  <c:v>1.7858299999999998</c:v>
                </c:pt>
                <c:pt idx="69">
                  <c:v>1.7894699999999999</c:v>
                </c:pt>
                <c:pt idx="70">
                  <c:v>1.7949300000000001</c:v>
                </c:pt>
                <c:pt idx="71">
                  <c:v>1.8065</c:v>
                </c:pt>
                <c:pt idx="72">
                  <c:v>1.8208500000000001</c:v>
                </c:pt>
                <c:pt idx="73">
                  <c:v>1.82107</c:v>
                </c:pt>
                <c:pt idx="74">
                  <c:v>1.8251400000000002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14.9413</c:v>
                </c:pt>
                <c:pt idx="1">
                  <c:v>44.823900000000002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2.1171018918918909</c:v>
                </c:pt>
                <c:pt idx="1">
                  <c:v>1.989576081081081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0.404837</c:v>
                </c:pt>
                <c:pt idx="2">
                  <c:v>0.81077100000000002</c:v>
                </c:pt>
                <c:pt idx="3">
                  <c:v>1.21567</c:v>
                </c:pt>
                <c:pt idx="4">
                  <c:v>1.6197600000000001</c:v>
                </c:pt>
                <c:pt idx="5">
                  <c:v>2.03057</c:v>
                </c:pt>
                <c:pt idx="6">
                  <c:v>2.4405000000000001</c:v>
                </c:pt>
                <c:pt idx="7">
                  <c:v>2.8423699999999998</c:v>
                </c:pt>
                <c:pt idx="8">
                  <c:v>3.2472400000000001</c:v>
                </c:pt>
                <c:pt idx="9">
                  <c:v>3.6541899999999998</c:v>
                </c:pt>
                <c:pt idx="10">
                  <c:v>4.0610299999999997</c:v>
                </c:pt>
                <c:pt idx="11">
                  <c:v>4.4692699999999999</c:v>
                </c:pt>
                <c:pt idx="12">
                  <c:v>4.8705999999999996</c:v>
                </c:pt>
                <c:pt idx="13">
                  <c:v>5.2788199999999996</c:v>
                </c:pt>
                <c:pt idx="14">
                  <c:v>5.6860400000000002</c:v>
                </c:pt>
                <c:pt idx="15">
                  <c:v>6.09063</c:v>
                </c:pt>
                <c:pt idx="16">
                  <c:v>6.4995099999999999</c:v>
                </c:pt>
                <c:pt idx="17">
                  <c:v>6.9054399999999996</c:v>
                </c:pt>
                <c:pt idx="18">
                  <c:v>7.3074700000000004</c:v>
                </c:pt>
                <c:pt idx="19">
                  <c:v>7.71943</c:v>
                </c:pt>
                <c:pt idx="20">
                  <c:v>8.1261600000000005</c:v>
                </c:pt>
                <c:pt idx="21">
                  <c:v>8.5301200000000001</c:v>
                </c:pt>
                <c:pt idx="22">
                  <c:v>8.9340399999999995</c:v>
                </c:pt>
                <c:pt idx="23">
                  <c:v>9.3409200000000006</c:v>
                </c:pt>
                <c:pt idx="24">
                  <c:v>9.7489600000000003</c:v>
                </c:pt>
                <c:pt idx="25">
                  <c:v>10.151999999999999</c:v>
                </c:pt>
                <c:pt idx="26">
                  <c:v>10.5627</c:v>
                </c:pt>
                <c:pt idx="27">
                  <c:v>10.970599999999999</c:v>
                </c:pt>
                <c:pt idx="28">
                  <c:v>11.3725</c:v>
                </c:pt>
                <c:pt idx="29">
                  <c:v>11.7796</c:v>
                </c:pt>
                <c:pt idx="30">
                  <c:v>12.185600000000001</c:v>
                </c:pt>
                <c:pt idx="31">
                  <c:v>12.591200000000001</c:v>
                </c:pt>
                <c:pt idx="32">
                  <c:v>13.0001</c:v>
                </c:pt>
                <c:pt idx="33">
                  <c:v>13.4023</c:v>
                </c:pt>
                <c:pt idx="34">
                  <c:v>13.809200000000001</c:v>
                </c:pt>
                <c:pt idx="35">
                  <c:v>14.216799999999999</c:v>
                </c:pt>
                <c:pt idx="36">
                  <c:v>14.6249</c:v>
                </c:pt>
                <c:pt idx="37">
                  <c:v>15.0298</c:v>
                </c:pt>
                <c:pt idx="38">
                  <c:v>15.4358</c:v>
                </c:pt>
                <c:pt idx="39">
                  <c:v>15.841799999999999</c:v>
                </c:pt>
                <c:pt idx="40">
                  <c:v>16.247499999999999</c:v>
                </c:pt>
                <c:pt idx="41">
                  <c:v>16.656400000000001</c:v>
                </c:pt>
                <c:pt idx="42">
                  <c:v>17.063400000000001</c:v>
                </c:pt>
                <c:pt idx="43">
                  <c:v>17.466200000000001</c:v>
                </c:pt>
                <c:pt idx="44">
                  <c:v>17.870100000000001</c:v>
                </c:pt>
                <c:pt idx="45">
                  <c:v>18.280999999999999</c:v>
                </c:pt>
                <c:pt idx="46">
                  <c:v>18.684100000000001</c:v>
                </c:pt>
                <c:pt idx="47">
                  <c:v>19.0928</c:v>
                </c:pt>
                <c:pt idx="48">
                  <c:v>19.500800000000002</c:v>
                </c:pt>
                <c:pt idx="49">
                  <c:v>19.904699999999998</c:v>
                </c:pt>
                <c:pt idx="50">
                  <c:v>20.308700000000002</c:v>
                </c:pt>
                <c:pt idx="51">
                  <c:v>20.720600000000001</c:v>
                </c:pt>
                <c:pt idx="52">
                  <c:v>21.1235</c:v>
                </c:pt>
                <c:pt idx="53">
                  <c:v>21.532299999999999</c:v>
                </c:pt>
                <c:pt idx="54">
                  <c:v>21.9376</c:v>
                </c:pt>
                <c:pt idx="55">
                  <c:v>22.3385</c:v>
                </c:pt>
                <c:pt idx="56">
                  <c:v>22.7501</c:v>
                </c:pt>
                <c:pt idx="57">
                  <c:v>23.158000000000001</c:v>
                </c:pt>
                <c:pt idx="58">
                  <c:v>23.559000000000001</c:v>
                </c:pt>
                <c:pt idx="59">
                  <c:v>23.966799999999999</c:v>
                </c:pt>
                <c:pt idx="60">
                  <c:v>24.373000000000001</c:v>
                </c:pt>
                <c:pt idx="61">
                  <c:v>24.781700000000001</c:v>
                </c:pt>
                <c:pt idx="62">
                  <c:v>25.186699999999998</c:v>
                </c:pt>
                <c:pt idx="63">
                  <c:v>25.5945</c:v>
                </c:pt>
                <c:pt idx="64">
                  <c:v>25.997399999999999</c:v>
                </c:pt>
                <c:pt idx="65">
                  <c:v>26.4054</c:v>
                </c:pt>
                <c:pt idx="66">
                  <c:v>26.813300000000002</c:v>
                </c:pt>
                <c:pt idx="67">
                  <c:v>27.216100000000001</c:v>
                </c:pt>
                <c:pt idx="68">
                  <c:v>27.622</c:v>
                </c:pt>
                <c:pt idx="69">
                  <c:v>28.028099999999998</c:v>
                </c:pt>
                <c:pt idx="70">
                  <c:v>28.435099999999998</c:v>
                </c:pt>
                <c:pt idx="71">
                  <c:v>28.8428</c:v>
                </c:pt>
                <c:pt idx="72">
                  <c:v>29.250800000000002</c:v>
                </c:pt>
                <c:pt idx="73">
                  <c:v>29.652799999999999</c:v>
                </c:pt>
                <c:pt idx="74">
                  <c:v>30.061499999999999</c:v>
                </c:pt>
                <c:pt idx="75">
                  <c:v>30.517299999999999</c:v>
                </c:pt>
                <c:pt idx="76">
                  <c:v>30.920200000000001</c:v>
                </c:pt>
                <c:pt idx="77">
                  <c:v>31.3262</c:v>
                </c:pt>
                <c:pt idx="78">
                  <c:v>31.732600000000001</c:v>
                </c:pt>
                <c:pt idx="79">
                  <c:v>32.140999999999998</c:v>
                </c:pt>
                <c:pt idx="80">
                  <c:v>32.545999999999999</c:v>
                </c:pt>
                <c:pt idx="81">
                  <c:v>32.953800000000001</c:v>
                </c:pt>
                <c:pt idx="82">
                  <c:v>33.355800000000002</c:v>
                </c:pt>
                <c:pt idx="83">
                  <c:v>33.7607</c:v>
                </c:pt>
                <c:pt idx="84">
                  <c:v>34.165700000000001</c:v>
                </c:pt>
                <c:pt idx="85">
                  <c:v>34.576500000000003</c:v>
                </c:pt>
                <c:pt idx="86">
                  <c:v>34.983499999999999</c:v>
                </c:pt>
                <c:pt idx="87">
                  <c:v>35.3874</c:v>
                </c:pt>
                <c:pt idx="88">
                  <c:v>35.791200000000003</c:v>
                </c:pt>
                <c:pt idx="89">
                  <c:v>36.203600000000002</c:v>
                </c:pt>
                <c:pt idx="90">
                  <c:v>36.608400000000003</c:v>
                </c:pt>
                <c:pt idx="91">
                  <c:v>37.014000000000003</c:v>
                </c:pt>
                <c:pt idx="92">
                  <c:v>37.4178</c:v>
                </c:pt>
                <c:pt idx="93">
                  <c:v>37.824800000000003</c:v>
                </c:pt>
                <c:pt idx="94">
                  <c:v>38.233800000000002</c:v>
                </c:pt>
                <c:pt idx="95">
                  <c:v>38.640599999999999</c:v>
                </c:pt>
                <c:pt idx="96">
                  <c:v>39.043599999999998</c:v>
                </c:pt>
                <c:pt idx="97">
                  <c:v>39.450400000000002</c:v>
                </c:pt>
                <c:pt idx="98">
                  <c:v>39.856400000000001</c:v>
                </c:pt>
                <c:pt idx="99">
                  <c:v>40.262300000000003</c:v>
                </c:pt>
                <c:pt idx="100">
                  <c:v>40.674199999999999</c:v>
                </c:pt>
                <c:pt idx="101">
                  <c:v>41.080100000000002</c:v>
                </c:pt>
                <c:pt idx="102">
                  <c:v>41.482999999999997</c:v>
                </c:pt>
                <c:pt idx="103">
                  <c:v>41.889099999999999</c:v>
                </c:pt>
                <c:pt idx="104">
                  <c:v>42.294800000000002</c:v>
                </c:pt>
                <c:pt idx="105">
                  <c:v>42.702800000000003</c:v>
                </c:pt>
                <c:pt idx="106">
                  <c:v>43.1096</c:v>
                </c:pt>
                <c:pt idx="107">
                  <c:v>43.514499999999998</c:v>
                </c:pt>
                <c:pt idx="108">
                  <c:v>43.918700000000001</c:v>
                </c:pt>
                <c:pt idx="109">
                  <c:v>44.328400000000002</c:v>
                </c:pt>
                <c:pt idx="110">
                  <c:v>44.734299999999998</c:v>
                </c:pt>
                <c:pt idx="111">
                  <c:v>45.139299999999999</c:v>
                </c:pt>
                <c:pt idx="112">
                  <c:v>45.548099999999998</c:v>
                </c:pt>
                <c:pt idx="113">
                  <c:v>45.95</c:v>
                </c:pt>
                <c:pt idx="114">
                  <c:v>46.359099999999998</c:v>
                </c:pt>
                <c:pt idx="115">
                  <c:v>46.765900000000002</c:v>
                </c:pt>
                <c:pt idx="116">
                  <c:v>47.172699999999999</c:v>
                </c:pt>
                <c:pt idx="117">
                  <c:v>47.576700000000002</c:v>
                </c:pt>
                <c:pt idx="118">
                  <c:v>47.9846</c:v>
                </c:pt>
                <c:pt idx="119">
                  <c:v>48.3887</c:v>
                </c:pt>
                <c:pt idx="120">
                  <c:v>48.796500000000002</c:v>
                </c:pt>
                <c:pt idx="121">
                  <c:v>49.209299999999999</c:v>
                </c:pt>
                <c:pt idx="122">
                  <c:v>49.6083</c:v>
                </c:pt>
                <c:pt idx="123">
                  <c:v>50.0122</c:v>
                </c:pt>
                <c:pt idx="124">
                  <c:v>50.421599999999998</c:v>
                </c:pt>
                <c:pt idx="125">
                  <c:v>50.825000000000003</c:v>
                </c:pt>
                <c:pt idx="126">
                  <c:v>51.234000000000002</c:v>
                </c:pt>
                <c:pt idx="127">
                  <c:v>51.640900000000002</c:v>
                </c:pt>
                <c:pt idx="128">
                  <c:v>52.042700000000004</c:v>
                </c:pt>
                <c:pt idx="129">
                  <c:v>52.450699999999998</c:v>
                </c:pt>
                <c:pt idx="130">
                  <c:v>52.857599999999998</c:v>
                </c:pt>
                <c:pt idx="131">
                  <c:v>53.263599999999997</c:v>
                </c:pt>
                <c:pt idx="132">
                  <c:v>53.670299999999997</c:v>
                </c:pt>
                <c:pt idx="133">
                  <c:v>54.074300000000001</c:v>
                </c:pt>
                <c:pt idx="134">
                  <c:v>54.482300000000002</c:v>
                </c:pt>
                <c:pt idx="135">
                  <c:v>54.892099999999999</c:v>
                </c:pt>
                <c:pt idx="136">
                  <c:v>55.295099999999998</c:v>
                </c:pt>
                <c:pt idx="137">
                  <c:v>55.702399999999997</c:v>
                </c:pt>
                <c:pt idx="138">
                  <c:v>56.110900000000001</c:v>
                </c:pt>
                <c:pt idx="139">
                  <c:v>56.516800000000003</c:v>
                </c:pt>
                <c:pt idx="140">
                  <c:v>56.919699999999999</c:v>
                </c:pt>
                <c:pt idx="141">
                  <c:v>57.325600000000001</c:v>
                </c:pt>
                <c:pt idx="142">
                  <c:v>57.735900000000001</c:v>
                </c:pt>
                <c:pt idx="143">
                  <c:v>58.141800000000003</c:v>
                </c:pt>
                <c:pt idx="144">
                  <c:v>58.545699999999997</c:v>
                </c:pt>
                <c:pt idx="145">
                  <c:v>58.952599999999997</c:v>
                </c:pt>
                <c:pt idx="146">
                  <c:v>59.359200000000001</c:v>
                </c:pt>
                <c:pt idx="147">
                  <c:v>59.7652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61.722299999999997</c:v>
                </c:pt>
                <c:pt idx="1">
                  <c:v>60.915399999999998</c:v>
                </c:pt>
                <c:pt idx="2">
                  <c:v>60.197299999999998</c:v>
                </c:pt>
                <c:pt idx="3">
                  <c:v>59.615499999999997</c:v>
                </c:pt>
                <c:pt idx="4">
                  <c:v>59.124500000000005</c:v>
                </c:pt>
                <c:pt idx="5">
                  <c:v>58.653700000000001</c:v>
                </c:pt>
                <c:pt idx="6">
                  <c:v>58.140999999999998</c:v>
                </c:pt>
                <c:pt idx="7">
                  <c:v>57.635899999999992</c:v>
                </c:pt>
                <c:pt idx="8">
                  <c:v>57.010400000000004</c:v>
                </c:pt>
                <c:pt idx="9">
                  <c:v>56.278199999999998</c:v>
                </c:pt>
                <c:pt idx="10">
                  <c:v>55.474299999999999</c:v>
                </c:pt>
                <c:pt idx="11">
                  <c:v>54.737700000000004</c:v>
                </c:pt>
                <c:pt idx="12">
                  <c:v>54.037999999999997</c:v>
                </c:pt>
                <c:pt idx="13">
                  <c:v>53.479100000000003</c:v>
                </c:pt>
                <c:pt idx="14">
                  <c:v>53.043199999999999</c:v>
                </c:pt>
                <c:pt idx="15">
                  <c:v>52.695</c:v>
                </c:pt>
                <c:pt idx="16">
                  <c:v>52.373899999999992</c:v>
                </c:pt>
                <c:pt idx="17">
                  <c:v>52.143799999999999</c:v>
                </c:pt>
                <c:pt idx="18">
                  <c:v>51.941700000000004</c:v>
                </c:pt>
                <c:pt idx="19">
                  <c:v>51.747399999999999</c:v>
                </c:pt>
                <c:pt idx="20">
                  <c:v>51.5505</c:v>
                </c:pt>
                <c:pt idx="21">
                  <c:v>51.382099999999994</c:v>
                </c:pt>
                <c:pt idx="22">
                  <c:v>51.248699999999999</c:v>
                </c:pt>
                <c:pt idx="23">
                  <c:v>51.145300000000006</c:v>
                </c:pt>
                <c:pt idx="24">
                  <c:v>51.042000000000002</c:v>
                </c:pt>
                <c:pt idx="25">
                  <c:v>50.933900000000001</c:v>
                </c:pt>
                <c:pt idx="26">
                  <c:v>50.770299999999999</c:v>
                </c:pt>
                <c:pt idx="27">
                  <c:v>50.564900000000002</c:v>
                </c:pt>
                <c:pt idx="28">
                  <c:v>50.470700000000001</c:v>
                </c:pt>
                <c:pt idx="29">
                  <c:v>50.316200000000002</c:v>
                </c:pt>
                <c:pt idx="30">
                  <c:v>50.145200000000003</c:v>
                </c:pt>
                <c:pt idx="31">
                  <c:v>49.954999999999998</c:v>
                </c:pt>
                <c:pt idx="32">
                  <c:v>49.798099999999998</c:v>
                </c:pt>
                <c:pt idx="33">
                  <c:v>49.584299999999999</c:v>
                </c:pt>
                <c:pt idx="34">
                  <c:v>49.489100000000001</c:v>
                </c:pt>
                <c:pt idx="35">
                  <c:v>49.367800000000003</c:v>
                </c:pt>
                <c:pt idx="36">
                  <c:v>49.17</c:v>
                </c:pt>
                <c:pt idx="37">
                  <c:v>49.083799999999997</c:v>
                </c:pt>
                <c:pt idx="38">
                  <c:v>48.897600000000004</c:v>
                </c:pt>
                <c:pt idx="39">
                  <c:v>48.694700000000005</c:v>
                </c:pt>
                <c:pt idx="40">
                  <c:v>48.448399999999999</c:v>
                </c:pt>
                <c:pt idx="41">
                  <c:v>48.142400000000002</c:v>
                </c:pt>
                <c:pt idx="42">
                  <c:v>47.885100000000001</c:v>
                </c:pt>
                <c:pt idx="43">
                  <c:v>47.5762</c:v>
                </c:pt>
                <c:pt idx="44">
                  <c:v>47.319400000000002</c:v>
                </c:pt>
                <c:pt idx="45">
                  <c:v>47.122100000000003</c:v>
                </c:pt>
                <c:pt idx="46">
                  <c:v>46.9358</c:v>
                </c:pt>
                <c:pt idx="47">
                  <c:v>46.828199999999995</c:v>
                </c:pt>
                <c:pt idx="48">
                  <c:v>46.7348</c:v>
                </c:pt>
                <c:pt idx="49">
                  <c:v>46.688299999999998</c:v>
                </c:pt>
                <c:pt idx="50">
                  <c:v>46.620800000000003</c:v>
                </c:pt>
                <c:pt idx="51">
                  <c:v>46.4495</c:v>
                </c:pt>
                <c:pt idx="52">
                  <c:v>46.347000000000001</c:v>
                </c:pt>
                <c:pt idx="53">
                  <c:v>46.306199999999997</c:v>
                </c:pt>
                <c:pt idx="54">
                  <c:v>46.248100000000001</c:v>
                </c:pt>
                <c:pt idx="55">
                  <c:v>46.1419</c:v>
                </c:pt>
                <c:pt idx="56">
                  <c:v>46.0869</c:v>
                </c:pt>
                <c:pt idx="57">
                  <c:v>46.053899999999999</c:v>
                </c:pt>
                <c:pt idx="58">
                  <c:v>46.064500000000002</c:v>
                </c:pt>
                <c:pt idx="59">
                  <c:v>46.176000000000002</c:v>
                </c:pt>
                <c:pt idx="60">
                  <c:v>46.279900000000005</c:v>
                </c:pt>
                <c:pt idx="61">
                  <c:v>46.386000000000003</c:v>
                </c:pt>
                <c:pt idx="62">
                  <c:v>46.390599999999999</c:v>
                </c:pt>
                <c:pt idx="63">
                  <c:v>46.453299999999999</c:v>
                </c:pt>
                <c:pt idx="64">
                  <c:v>46.520400000000002</c:v>
                </c:pt>
                <c:pt idx="65">
                  <c:v>46.680700000000002</c:v>
                </c:pt>
                <c:pt idx="66">
                  <c:v>46.851500000000001</c:v>
                </c:pt>
                <c:pt idx="67">
                  <c:v>46.956199999999995</c:v>
                </c:pt>
                <c:pt idx="68">
                  <c:v>47.286899999999996</c:v>
                </c:pt>
                <c:pt idx="69">
                  <c:v>47.462299999999999</c:v>
                </c:pt>
                <c:pt idx="70">
                  <c:v>47.810499999999998</c:v>
                </c:pt>
                <c:pt idx="71">
                  <c:v>48.078299999999999</c:v>
                </c:pt>
                <c:pt idx="72">
                  <c:v>48.282899999999998</c:v>
                </c:pt>
                <c:pt idx="73">
                  <c:v>48.417000000000002</c:v>
                </c:pt>
                <c:pt idx="74">
                  <c:v>48.635899999999999</c:v>
                </c:pt>
                <c:pt idx="75">
                  <c:v>48.828400000000002</c:v>
                </c:pt>
                <c:pt idx="76">
                  <c:v>49.075800000000001</c:v>
                </c:pt>
                <c:pt idx="77">
                  <c:v>49.269600000000004</c:v>
                </c:pt>
                <c:pt idx="78">
                  <c:v>49.213699999999996</c:v>
                </c:pt>
                <c:pt idx="79">
                  <c:v>49.077199999999998</c:v>
                </c:pt>
                <c:pt idx="80">
                  <c:v>48.962200000000003</c:v>
                </c:pt>
                <c:pt idx="81">
                  <c:v>48.8919</c:v>
                </c:pt>
                <c:pt idx="82">
                  <c:v>48.836800000000004</c:v>
                </c:pt>
                <c:pt idx="83">
                  <c:v>48.846600000000002</c:v>
                </c:pt>
                <c:pt idx="84">
                  <c:v>48.7973</c:v>
                </c:pt>
                <c:pt idx="85">
                  <c:v>48.820399999999999</c:v>
                </c:pt>
                <c:pt idx="86">
                  <c:v>48.943399999999997</c:v>
                </c:pt>
                <c:pt idx="87">
                  <c:v>49.167100000000005</c:v>
                </c:pt>
                <c:pt idx="88">
                  <c:v>49.462200000000003</c:v>
                </c:pt>
                <c:pt idx="89">
                  <c:v>49.722000000000001</c:v>
                </c:pt>
                <c:pt idx="90">
                  <c:v>49.957499999999996</c:v>
                </c:pt>
                <c:pt idx="91">
                  <c:v>50.166900000000005</c:v>
                </c:pt>
                <c:pt idx="92">
                  <c:v>50.313900000000004</c:v>
                </c:pt>
                <c:pt idx="93">
                  <c:v>50.409300000000002</c:v>
                </c:pt>
                <c:pt idx="94">
                  <c:v>50.514700000000005</c:v>
                </c:pt>
                <c:pt idx="95">
                  <c:v>50.598399999999998</c:v>
                </c:pt>
                <c:pt idx="96">
                  <c:v>50.657600000000002</c:v>
                </c:pt>
                <c:pt idx="97">
                  <c:v>50.723600000000005</c:v>
                </c:pt>
                <c:pt idx="98">
                  <c:v>50.696600000000004</c:v>
                </c:pt>
                <c:pt idx="99">
                  <c:v>50.746000000000002</c:v>
                </c:pt>
                <c:pt idx="100">
                  <c:v>50.768599999999999</c:v>
                </c:pt>
                <c:pt idx="101">
                  <c:v>50.802899999999994</c:v>
                </c:pt>
                <c:pt idx="102">
                  <c:v>50.8733</c:v>
                </c:pt>
                <c:pt idx="103">
                  <c:v>51.164299999999997</c:v>
                </c:pt>
                <c:pt idx="104">
                  <c:v>51.626399999999997</c:v>
                </c:pt>
                <c:pt idx="105">
                  <c:v>52.152000000000001</c:v>
                </c:pt>
                <c:pt idx="106">
                  <c:v>52.652799999999999</c:v>
                </c:pt>
                <c:pt idx="107">
                  <c:v>53.101500000000001</c:v>
                </c:pt>
                <c:pt idx="108">
                  <c:v>53.518900000000002</c:v>
                </c:pt>
                <c:pt idx="109">
                  <c:v>53.935900000000004</c:v>
                </c:pt>
                <c:pt idx="110">
                  <c:v>54.3003</c:v>
                </c:pt>
                <c:pt idx="111">
                  <c:v>54.675300000000007</c:v>
                </c:pt>
                <c:pt idx="112">
                  <c:v>55.000400000000006</c:v>
                </c:pt>
                <c:pt idx="113">
                  <c:v>55.290300000000002</c:v>
                </c:pt>
                <c:pt idx="114">
                  <c:v>55.559199999999997</c:v>
                </c:pt>
                <c:pt idx="115">
                  <c:v>55.790199999999999</c:v>
                </c:pt>
                <c:pt idx="116">
                  <c:v>56.064999999999998</c:v>
                </c:pt>
                <c:pt idx="117">
                  <c:v>56.323599999999999</c:v>
                </c:pt>
                <c:pt idx="118">
                  <c:v>56.5242</c:v>
                </c:pt>
                <c:pt idx="119">
                  <c:v>56.745100000000001</c:v>
                </c:pt>
                <c:pt idx="120">
                  <c:v>56.923599999999993</c:v>
                </c:pt>
                <c:pt idx="121">
                  <c:v>57.094999999999999</c:v>
                </c:pt>
                <c:pt idx="122">
                  <c:v>57.290199999999999</c:v>
                </c:pt>
                <c:pt idx="123">
                  <c:v>57.596400000000003</c:v>
                </c:pt>
                <c:pt idx="124">
                  <c:v>57.847899999999996</c:v>
                </c:pt>
                <c:pt idx="125">
                  <c:v>58.094199999999994</c:v>
                </c:pt>
                <c:pt idx="126">
                  <c:v>58.277999999999999</c:v>
                </c:pt>
                <c:pt idx="127">
                  <c:v>58.478399999999993</c:v>
                </c:pt>
                <c:pt idx="128">
                  <c:v>58.663699999999999</c:v>
                </c:pt>
                <c:pt idx="129">
                  <c:v>58.716799999999999</c:v>
                </c:pt>
                <c:pt idx="130">
                  <c:v>58.661700000000003</c:v>
                </c:pt>
                <c:pt idx="131">
                  <c:v>58.619200000000006</c:v>
                </c:pt>
                <c:pt idx="132">
                  <c:v>58.597600000000007</c:v>
                </c:pt>
                <c:pt idx="133">
                  <c:v>58.526699999999998</c:v>
                </c:pt>
                <c:pt idx="134">
                  <c:v>58.463799999999999</c:v>
                </c:pt>
                <c:pt idx="135">
                  <c:v>58.362499999999997</c:v>
                </c:pt>
                <c:pt idx="136">
                  <c:v>58.165599999999998</c:v>
                </c:pt>
                <c:pt idx="137">
                  <c:v>57.970299999999995</c:v>
                </c:pt>
                <c:pt idx="138">
                  <c:v>57.693099999999994</c:v>
                </c:pt>
                <c:pt idx="139">
                  <c:v>57.462599999999995</c:v>
                </c:pt>
                <c:pt idx="140">
                  <c:v>57.195599999999999</c:v>
                </c:pt>
                <c:pt idx="141">
                  <c:v>56.9377</c:v>
                </c:pt>
                <c:pt idx="142">
                  <c:v>56.622199999999999</c:v>
                </c:pt>
                <c:pt idx="143">
                  <c:v>56.365699999999997</c:v>
                </c:pt>
                <c:pt idx="144">
                  <c:v>55.9617</c:v>
                </c:pt>
                <c:pt idx="145">
                  <c:v>55.467299999999994</c:v>
                </c:pt>
                <c:pt idx="146">
                  <c:v>55.645400000000002</c:v>
                </c:pt>
                <c:pt idx="147">
                  <c:v>55.643000000000001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0.404837</c:v>
                </c:pt>
                <c:pt idx="2">
                  <c:v>0.81077100000000002</c:v>
                </c:pt>
                <c:pt idx="3">
                  <c:v>1.21567</c:v>
                </c:pt>
                <c:pt idx="4">
                  <c:v>1.6197600000000001</c:v>
                </c:pt>
                <c:pt idx="5">
                  <c:v>2.03057</c:v>
                </c:pt>
                <c:pt idx="6">
                  <c:v>2.4405000000000001</c:v>
                </c:pt>
                <c:pt idx="7">
                  <c:v>2.8423699999999998</c:v>
                </c:pt>
                <c:pt idx="8">
                  <c:v>3.2472400000000001</c:v>
                </c:pt>
                <c:pt idx="9">
                  <c:v>3.6541899999999998</c:v>
                </c:pt>
                <c:pt idx="10">
                  <c:v>4.0610299999999997</c:v>
                </c:pt>
                <c:pt idx="11">
                  <c:v>4.4692699999999999</c:v>
                </c:pt>
                <c:pt idx="12">
                  <c:v>4.8705999999999996</c:v>
                </c:pt>
                <c:pt idx="13">
                  <c:v>5.2788199999999996</c:v>
                </c:pt>
                <c:pt idx="14">
                  <c:v>5.6860400000000002</c:v>
                </c:pt>
                <c:pt idx="15">
                  <c:v>6.09063</c:v>
                </c:pt>
                <c:pt idx="16">
                  <c:v>6.4995099999999999</c:v>
                </c:pt>
                <c:pt idx="17">
                  <c:v>6.9054399999999996</c:v>
                </c:pt>
                <c:pt idx="18">
                  <c:v>7.3074700000000004</c:v>
                </c:pt>
                <c:pt idx="19">
                  <c:v>7.71943</c:v>
                </c:pt>
                <c:pt idx="20">
                  <c:v>8.1261600000000005</c:v>
                </c:pt>
                <c:pt idx="21">
                  <c:v>8.5301200000000001</c:v>
                </c:pt>
                <c:pt idx="22">
                  <c:v>8.9340399999999995</c:v>
                </c:pt>
                <c:pt idx="23">
                  <c:v>9.3409200000000006</c:v>
                </c:pt>
                <c:pt idx="24">
                  <c:v>9.7489600000000003</c:v>
                </c:pt>
                <c:pt idx="25">
                  <c:v>10.151999999999999</c:v>
                </c:pt>
                <c:pt idx="26">
                  <c:v>10.5627</c:v>
                </c:pt>
                <c:pt idx="27">
                  <c:v>10.970599999999999</c:v>
                </c:pt>
                <c:pt idx="28">
                  <c:v>11.3725</c:v>
                </c:pt>
                <c:pt idx="29">
                  <c:v>11.7796</c:v>
                </c:pt>
                <c:pt idx="30">
                  <c:v>12.185600000000001</c:v>
                </c:pt>
                <c:pt idx="31">
                  <c:v>12.591200000000001</c:v>
                </c:pt>
                <c:pt idx="32">
                  <c:v>13.0001</c:v>
                </c:pt>
                <c:pt idx="33">
                  <c:v>13.4023</c:v>
                </c:pt>
                <c:pt idx="34">
                  <c:v>13.809200000000001</c:v>
                </c:pt>
                <c:pt idx="35">
                  <c:v>14.216799999999999</c:v>
                </c:pt>
                <c:pt idx="36">
                  <c:v>14.6249</c:v>
                </c:pt>
                <c:pt idx="37">
                  <c:v>15.0298</c:v>
                </c:pt>
                <c:pt idx="38">
                  <c:v>15.4358</c:v>
                </c:pt>
                <c:pt idx="39">
                  <c:v>15.841799999999999</c:v>
                </c:pt>
                <c:pt idx="40">
                  <c:v>16.247499999999999</c:v>
                </c:pt>
                <c:pt idx="41">
                  <c:v>16.656400000000001</c:v>
                </c:pt>
                <c:pt idx="42">
                  <c:v>17.063400000000001</c:v>
                </c:pt>
                <c:pt idx="43">
                  <c:v>17.466200000000001</c:v>
                </c:pt>
                <c:pt idx="44">
                  <c:v>17.870100000000001</c:v>
                </c:pt>
                <c:pt idx="45">
                  <c:v>18.280999999999999</c:v>
                </c:pt>
                <c:pt idx="46">
                  <c:v>18.684100000000001</c:v>
                </c:pt>
                <c:pt idx="47">
                  <c:v>19.0928</c:v>
                </c:pt>
                <c:pt idx="48">
                  <c:v>19.500800000000002</c:v>
                </c:pt>
                <c:pt idx="49">
                  <c:v>19.904699999999998</c:v>
                </c:pt>
                <c:pt idx="50">
                  <c:v>20.308700000000002</c:v>
                </c:pt>
                <c:pt idx="51">
                  <c:v>20.720600000000001</c:v>
                </c:pt>
                <c:pt idx="52">
                  <c:v>21.1235</c:v>
                </c:pt>
                <c:pt idx="53">
                  <c:v>21.532299999999999</c:v>
                </c:pt>
                <c:pt idx="54">
                  <c:v>21.9376</c:v>
                </c:pt>
                <c:pt idx="55">
                  <c:v>22.3385</c:v>
                </c:pt>
                <c:pt idx="56">
                  <c:v>22.7501</c:v>
                </c:pt>
                <c:pt idx="57">
                  <c:v>23.158000000000001</c:v>
                </c:pt>
                <c:pt idx="58">
                  <c:v>23.559000000000001</c:v>
                </c:pt>
                <c:pt idx="59">
                  <c:v>23.966799999999999</c:v>
                </c:pt>
                <c:pt idx="60">
                  <c:v>24.373000000000001</c:v>
                </c:pt>
                <c:pt idx="61">
                  <c:v>24.781700000000001</c:v>
                </c:pt>
                <c:pt idx="62">
                  <c:v>25.186699999999998</c:v>
                </c:pt>
                <c:pt idx="63">
                  <c:v>25.5945</c:v>
                </c:pt>
                <c:pt idx="64">
                  <c:v>25.997399999999999</c:v>
                </c:pt>
                <c:pt idx="65">
                  <c:v>26.4054</c:v>
                </c:pt>
                <c:pt idx="66">
                  <c:v>26.813300000000002</c:v>
                </c:pt>
                <c:pt idx="67">
                  <c:v>27.216100000000001</c:v>
                </c:pt>
                <c:pt idx="68">
                  <c:v>27.622</c:v>
                </c:pt>
                <c:pt idx="69">
                  <c:v>28.028099999999998</c:v>
                </c:pt>
                <c:pt idx="70">
                  <c:v>28.435099999999998</c:v>
                </c:pt>
                <c:pt idx="71">
                  <c:v>28.8428</c:v>
                </c:pt>
                <c:pt idx="72">
                  <c:v>29.250800000000002</c:v>
                </c:pt>
                <c:pt idx="73">
                  <c:v>29.652799999999999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61.722299999999997</c:v>
                </c:pt>
                <c:pt idx="1">
                  <c:v>60.915399999999998</c:v>
                </c:pt>
                <c:pt idx="2">
                  <c:v>60.197299999999998</c:v>
                </c:pt>
                <c:pt idx="3">
                  <c:v>59.615499999999997</c:v>
                </c:pt>
                <c:pt idx="4">
                  <c:v>59.124500000000005</c:v>
                </c:pt>
                <c:pt idx="5">
                  <c:v>58.653700000000001</c:v>
                </c:pt>
                <c:pt idx="6">
                  <c:v>58.140999999999998</c:v>
                </c:pt>
                <c:pt idx="7">
                  <c:v>57.635899999999992</c:v>
                </c:pt>
                <c:pt idx="8">
                  <c:v>57.010400000000004</c:v>
                </c:pt>
                <c:pt idx="9">
                  <c:v>56.278199999999998</c:v>
                </c:pt>
                <c:pt idx="10">
                  <c:v>55.474299999999999</c:v>
                </c:pt>
                <c:pt idx="11">
                  <c:v>54.737700000000004</c:v>
                </c:pt>
                <c:pt idx="12">
                  <c:v>54.037999999999997</c:v>
                </c:pt>
                <c:pt idx="13">
                  <c:v>53.479100000000003</c:v>
                </c:pt>
                <c:pt idx="14">
                  <c:v>53.043199999999999</c:v>
                </c:pt>
                <c:pt idx="15">
                  <c:v>52.695</c:v>
                </c:pt>
                <c:pt idx="16">
                  <c:v>52.373899999999992</c:v>
                </c:pt>
                <c:pt idx="17">
                  <c:v>52.143799999999999</c:v>
                </c:pt>
                <c:pt idx="18">
                  <c:v>51.941700000000004</c:v>
                </c:pt>
                <c:pt idx="19">
                  <c:v>51.747399999999999</c:v>
                </c:pt>
                <c:pt idx="20">
                  <c:v>51.5505</c:v>
                </c:pt>
                <c:pt idx="21">
                  <c:v>51.382099999999994</c:v>
                </c:pt>
                <c:pt idx="22">
                  <c:v>51.248699999999999</c:v>
                </c:pt>
                <c:pt idx="23">
                  <c:v>51.145300000000006</c:v>
                </c:pt>
                <c:pt idx="24">
                  <c:v>51.042000000000002</c:v>
                </c:pt>
                <c:pt idx="25">
                  <c:v>50.933900000000001</c:v>
                </c:pt>
                <c:pt idx="26">
                  <c:v>50.770299999999999</c:v>
                </c:pt>
                <c:pt idx="27">
                  <c:v>50.564900000000002</c:v>
                </c:pt>
                <c:pt idx="28">
                  <c:v>50.470700000000001</c:v>
                </c:pt>
                <c:pt idx="29">
                  <c:v>50.316200000000002</c:v>
                </c:pt>
                <c:pt idx="30">
                  <c:v>50.145200000000003</c:v>
                </c:pt>
                <c:pt idx="31">
                  <c:v>49.954999999999998</c:v>
                </c:pt>
                <c:pt idx="32">
                  <c:v>49.798099999999998</c:v>
                </c:pt>
                <c:pt idx="33">
                  <c:v>49.584299999999999</c:v>
                </c:pt>
                <c:pt idx="34">
                  <c:v>49.489100000000001</c:v>
                </c:pt>
                <c:pt idx="35">
                  <c:v>49.367800000000003</c:v>
                </c:pt>
                <c:pt idx="36">
                  <c:v>49.17</c:v>
                </c:pt>
                <c:pt idx="37">
                  <c:v>49.083799999999997</c:v>
                </c:pt>
                <c:pt idx="38">
                  <c:v>48.897600000000004</c:v>
                </c:pt>
                <c:pt idx="39">
                  <c:v>48.694700000000005</c:v>
                </c:pt>
                <c:pt idx="40">
                  <c:v>48.448399999999999</c:v>
                </c:pt>
                <c:pt idx="41">
                  <c:v>48.142400000000002</c:v>
                </c:pt>
                <c:pt idx="42">
                  <c:v>47.885100000000001</c:v>
                </c:pt>
                <c:pt idx="43">
                  <c:v>47.5762</c:v>
                </c:pt>
                <c:pt idx="44">
                  <c:v>47.319400000000002</c:v>
                </c:pt>
                <c:pt idx="45">
                  <c:v>47.122100000000003</c:v>
                </c:pt>
                <c:pt idx="46">
                  <c:v>46.9358</c:v>
                </c:pt>
                <c:pt idx="47">
                  <c:v>46.828199999999995</c:v>
                </c:pt>
                <c:pt idx="48">
                  <c:v>46.7348</c:v>
                </c:pt>
                <c:pt idx="49">
                  <c:v>46.688299999999998</c:v>
                </c:pt>
                <c:pt idx="50">
                  <c:v>46.620800000000003</c:v>
                </c:pt>
                <c:pt idx="51">
                  <c:v>46.4495</c:v>
                </c:pt>
                <c:pt idx="52">
                  <c:v>46.347000000000001</c:v>
                </c:pt>
                <c:pt idx="53">
                  <c:v>46.306199999999997</c:v>
                </c:pt>
                <c:pt idx="54">
                  <c:v>46.248100000000001</c:v>
                </c:pt>
                <c:pt idx="55">
                  <c:v>46.1419</c:v>
                </c:pt>
                <c:pt idx="56">
                  <c:v>46.0869</c:v>
                </c:pt>
                <c:pt idx="57">
                  <c:v>46.053899999999999</c:v>
                </c:pt>
                <c:pt idx="58">
                  <c:v>46.064500000000002</c:v>
                </c:pt>
                <c:pt idx="59">
                  <c:v>46.176000000000002</c:v>
                </c:pt>
                <c:pt idx="60">
                  <c:v>46.279900000000005</c:v>
                </c:pt>
                <c:pt idx="61">
                  <c:v>46.386000000000003</c:v>
                </c:pt>
                <c:pt idx="62">
                  <c:v>46.390599999999999</c:v>
                </c:pt>
                <c:pt idx="63">
                  <c:v>46.453299999999999</c:v>
                </c:pt>
                <c:pt idx="64">
                  <c:v>46.520400000000002</c:v>
                </c:pt>
                <c:pt idx="65">
                  <c:v>46.680700000000002</c:v>
                </c:pt>
                <c:pt idx="66">
                  <c:v>46.851500000000001</c:v>
                </c:pt>
                <c:pt idx="67">
                  <c:v>46.956199999999995</c:v>
                </c:pt>
                <c:pt idx="68">
                  <c:v>47.286899999999996</c:v>
                </c:pt>
                <c:pt idx="69">
                  <c:v>47.462299999999999</c:v>
                </c:pt>
                <c:pt idx="70">
                  <c:v>47.810499999999998</c:v>
                </c:pt>
                <c:pt idx="71">
                  <c:v>48.078299999999999</c:v>
                </c:pt>
                <c:pt idx="72">
                  <c:v>48.282899999999998</c:v>
                </c:pt>
                <c:pt idx="73">
                  <c:v>48.417000000000002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30.061499999999999</c:v>
                </c:pt>
                <c:pt idx="2">
                  <c:v>30.517299999999999</c:v>
                </c:pt>
                <c:pt idx="3">
                  <c:v>30.920200000000001</c:v>
                </c:pt>
                <c:pt idx="4">
                  <c:v>31.3262</c:v>
                </c:pt>
                <c:pt idx="5">
                  <c:v>31.732600000000001</c:v>
                </c:pt>
                <c:pt idx="6">
                  <c:v>32.140999999999998</c:v>
                </c:pt>
                <c:pt idx="7">
                  <c:v>32.545999999999999</c:v>
                </c:pt>
                <c:pt idx="8">
                  <c:v>32.953800000000001</c:v>
                </c:pt>
                <c:pt idx="9">
                  <c:v>33.355800000000002</c:v>
                </c:pt>
                <c:pt idx="10">
                  <c:v>33.7607</c:v>
                </c:pt>
                <c:pt idx="11">
                  <c:v>34.165700000000001</c:v>
                </c:pt>
                <c:pt idx="12">
                  <c:v>34.576500000000003</c:v>
                </c:pt>
                <c:pt idx="13">
                  <c:v>34.983499999999999</c:v>
                </c:pt>
                <c:pt idx="14">
                  <c:v>35.3874</c:v>
                </c:pt>
                <c:pt idx="15">
                  <c:v>35.791200000000003</c:v>
                </c:pt>
                <c:pt idx="16">
                  <c:v>36.203600000000002</c:v>
                </c:pt>
                <c:pt idx="17">
                  <c:v>36.608400000000003</c:v>
                </c:pt>
                <c:pt idx="18">
                  <c:v>37.014000000000003</c:v>
                </c:pt>
                <c:pt idx="19">
                  <c:v>37.4178</c:v>
                </c:pt>
                <c:pt idx="20">
                  <c:v>37.824800000000003</c:v>
                </c:pt>
                <c:pt idx="21">
                  <c:v>38.233800000000002</c:v>
                </c:pt>
                <c:pt idx="22">
                  <c:v>38.640599999999999</c:v>
                </c:pt>
                <c:pt idx="23">
                  <c:v>39.043599999999998</c:v>
                </c:pt>
                <c:pt idx="24">
                  <c:v>39.450400000000002</c:v>
                </c:pt>
                <c:pt idx="25">
                  <c:v>39.856400000000001</c:v>
                </c:pt>
                <c:pt idx="26">
                  <c:v>40.262300000000003</c:v>
                </c:pt>
                <c:pt idx="27">
                  <c:v>40.674199999999999</c:v>
                </c:pt>
                <c:pt idx="28">
                  <c:v>41.080100000000002</c:v>
                </c:pt>
                <c:pt idx="29">
                  <c:v>41.482999999999997</c:v>
                </c:pt>
                <c:pt idx="30">
                  <c:v>41.889099999999999</c:v>
                </c:pt>
                <c:pt idx="31">
                  <c:v>42.294800000000002</c:v>
                </c:pt>
                <c:pt idx="32">
                  <c:v>42.702800000000003</c:v>
                </c:pt>
                <c:pt idx="33">
                  <c:v>43.1096</c:v>
                </c:pt>
                <c:pt idx="34">
                  <c:v>43.514499999999998</c:v>
                </c:pt>
                <c:pt idx="35">
                  <c:v>43.918700000000001</c:v>
                </c:pt>
                <c:pt idx="36">
                  <c:v>44.328400000000002</c:v>
                </c:pt>
                <c:pt idx="37">
                  <c:v>44.734299999999998</c:v>
                </c:pt>
                <c:pt idx="38">
                  <c:v>45.139299999999999</c:v>
                </c:pt>
                <c:pt idx="39">
                  <c:v>45.548099999999998</c:v>
                </c:pt>
                <c:pt idx="40">
                  <c:v>45.95</c:v>
                </c:pt>
                <c:pt idx="41">
                  <c:v>46.359099999999998</c:v>
                </c:pt>
                <c:pt idx="42">
                  <c:v>46.765900000000002</c:v>
                </c:pt>
                <c:pt idx="43">
                  <c:v>47.172699999999999</c:v>
                </c:pt>
                <c:pt idx="44">
                  <c:v>47.576700000000002</c:v>
                </c:pt>
                <c:pt idx="45">
                  <c:v>47.9846</c:v>
                </c:pt>
                <c:pt idx="46">
                  <c:v>48.3887</c:v>
                </c:pt>
                <c:pt idx="47">
                  <c:v>48.796500000000002</c:v>
                </c:pt>
                <c:pt idx="48">
                  <c:v>49.209299999999999</c:v>
                </c:pt>
                <c:pt idx="49">
                  <c:v>49.6083</c:v>
                </c:pt>
                <c:pt idx="50">
                  <c:v>50.0122</c:v>
                </c:pt>
                <c:pt idx="51">
                  <c:v>50.421599999999998</c:v>
                </c:pt>
                <c:pt idx="52">
                  <c:v>50.825000000000003</c:v>
                </c:pt>
                <c:pt idx="53">
                  <c:v>51.234000000000002</c:v>
                </c:pt>
                <c:pt idx="54">
                  <c:v>51.640900000000002</c:v>
                </c:pt>
                <c:pt idx="55">
                  <c:v>52.042700000000004</c:v>
                </c:pt>
                <c:pt idx="56">
                  <c:v>52.450699999999998</c:v>
                </c:pt>
                <c:pt idx="57">
                  <c:v>52.857599999999998</c:v>
                </c:pt>
                <c:pt idx="58">
                  <c:v>53.263599999999997</c:v>
                </c:pt>
                <c:pt idx="59">
                  <c:v>53.670299999999997</c:v>
                </c:pt>
                <c:pt idx="60">
                  <c:v>54.074300000000001</c:v>
                </c:pt>
                <c:pt idx="61">
                  <c:v>54.482300000000002</c:v>
                </c:pt>
                <c:pt idx="62">
                  <c:v>54.892099999999999</c:v>
                </c:pt>
                <c:pt idx="63">
                  <c:v>55.295099999999998</c:v>
                </c:pt>
                <c:pt idx="64">
                  <c:v>55.702399999999997</c:v>
                </c:pt>
                <c:pt idx="65">
                  <c:v>56.110900000000001</c:v>
                </c:pt>
                <c:pt idx="66">
                  <c:v>56.516800000000003</c:v>
                </c:pt>
                <c:pt idx="67">
                  <c:v>56.919699999999999</c:v>
                </c:pt>
                <c:pt idx="68">
                  <c:v>57.325600000000001</c:v>
                </c:pt>
                <c:pt idx="69">
                  <c:v>57.735900000000001</c:v>
                </c:pt>
                <c:pt idx="70">
                  <c:v>58.141800000000003</c:v>
                </c:pt>
                <c:pt idx="71">
                  <c:v>58.545699999999997</c:v>
                </c:pt>
                <c:pt idx="72">
                  <c:v>58.952599999999997</c:v>
                </c:pt>
                <c:pt idx="73">
                  <c:v>59.359200000000001</c:v>
                </c:pt>
                <c:pt idx="74">
                  <c:v>59.7652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48.417000000000002</c:v>
                </c:pt>
                <c:pt idx="1">
                  <c:v>48.635899999999999</c:v>
                </c:pt>
                <c:pt idx="2">
                  <c:v>48.828400000000002</c:v>
                </c:pt>
                <c:pt idx="3">
                  <c:v>49.075800000000001</c:v>
                </c:pt>
                <c:pt idx="4">
                  <c:v>49.269600000000004</c:v>
                </c:pt>
                <c:pt idx="5">
                  <c:v>49.213699999999996</c:v>
                </c:pt>
                <c:pt idx="6">
                  <c:v>49.077199999999998</c:v>
                </c:pt>
                <c:pt idx="7">
                  <c:v>48.962200000000003</c:v>
                </c:pt>
                <c:pt idx="8">
                  <c:v>48.8919</c:v>
                </c:pt>
                <c:pt idx="9">
                  <c:v>48.836800000000004</c:v>
                </c:pt>
                <c:pt idx="10">
                  <c:v>48.846600000000002</c:v>
                </c:pt>
                <c:pt idx="11">
                  <c:v>48.7973</c:v>
                </c:pt>
                <c:pt idx="12">
                  <c:v>48.820399999999999</c:v>
                </c:pt>
                <c:pt idx="13">
                  <c:v>48.943399999999997</c:v>
                </c:pt>
                <c:pt idx="14">
                  <c:v>49.167100000000005</c:v>
                </c:pt>
                <c:pt idx="15">
                  <c:v>49.462200000000003</c:v>
                </c:pt>
                <c:pt idx="16">
                  <c:v>49.722000000000001</c:v>
                </c:pt>
                <c:pt idx="17">
                  <c:v>49.957499999999996</c:v>
                </c:pt>
                <c:pt idx="18">
                  <c:v>50.166900000000005</c:v>
                </c:pt>
                <c:pt idx="19">
                  <c:v>50.313900000000004</c:v>
                </c:pt>
                <c:pt idx="20">
                  <c:v>50.409300000000002</c:v>
                </c:pt>
                <c:pt idx="21">
                  <c:v>50.514700000000005</c:v>
                </c:pt>
                <c:pt idx="22">
                  <c:v>50.598399999999998</c:v>
                </c:pt>
                <c:pt idx="23">
                  <c:v>50.657600000000002</c:v>
                </c:pt>
                <c:pt idx="24">
                  <c:v>50.723600000000005</c:v>
                </c:pt>
                <c:pt idx="25">
                  <c:v>50.696600000000004</c:v>
                </c:pt>
                <c:pt idx="26">
                  <c:v>50.746000000000002</c:v>
                </c:pt>
                <c:pt idx="27">
                  <c:v>50.768599999999999</c:v>
                </c:pt>
                <c:pt idx="28">
                  <c:v>50.802899999999994</c:v>
                </c:pt>
                <c:pt idx="29">
                  <c:v>50.8733</c:v>
                </c:pt>
                <c:pt idx="30">
                  <c:v>51.164299999999997</c:v>
                </c:pt>
                <c:pt idx="31">
                  <c:v>51.626399999999997</c:v>
                </c:pt>
                <c:pt idx="32">
                  <c:v>52.152000000000001</c:v>
                </c:pt>
                <c:pt idx="33">
                  <c:v>52.652799999999999</c:v>
                </c:pt>
                <c:pt idx="34">
                  <c:v>53.101500000000001</c:v>
                </c:pt>
                <c:pt idx="35">
                  <c:v>53.518900000000002</c:v>
                </c:pt>
                <c:pt idx="36">
                  <c:v>53.935900000000004</c:v>
                </c:pt>
                <c:pt idx="37">
                  <c:v>54.3003</c:v>
                </c:pt>
                <c:pt idx="38">
                  <c:v>54.675300000000007</c:v>
                </c:pt>
                <c:pt idx="39">
                  <c:v>55.000400000000006</c:v>
                </c:pt>
                <c:pt idx="40">
                  <c:v>55.290300000000002</c:v>
                </c:pt>
                <c:pt idx="41">
                  <c:v>55.559199999999997</c:v>
                </c:pt>
                <c:pt idx="42">
                  <c:v>55.790199999999999</c:v>
                </c:pt>
                <c:pt idx="43">
                  <c:v>56.064999999999998</c:v>
                </c:pt>
                <c:pt idx="44">
                  <c:v>56.323599999999999</c:v>
                </c:pt>
                <c:pt idx="45">
                  <c:v>56.5242</c:v>
                </c:pt>
                <c:pt idx="46">
                  <c:v>56.745100000000001</c:v>
                </c:pt>
                <c:pt idx="47">
                  <c:v>56.923599999999993</c:v>
                </c:pt>
                <c:pt idx="48">
                  <c:v>57.094999999999999</c:v>
                </c:pt>
                <c:pt idx="49">
                  <c:v>57.290199999999999</c:v>
                </c:pt>
                <c:pt idx="50">
                  <c:v>57.596400000000003</c:v>
                </c:pt>
                <c:pt idx="51">
                  <c:v>57.847899999999996</c:v>
                </c:pt>
                <c:pt idx="52">
                  <c:v>58.094199999999994</c:v>
                </c:pt>
                <c:pt idx="53">
                  <c:v>58.277999999999999</c:v>
                </c:pt>
                <c:pt idx="54">
                  <c:v>58.478399999999993</c:v>
                </c:pt>
                <c:pt idx="55">
                  <c:v>58.663699999999999</c:v>
                </c:pt>
                <c:pt idx="56">
                  <c:v>58.716799999999999</c:v>
                </c:pt>
                <c:pt idx="57">
                  <c:v>58.661700000000003</c:v>
                </c:pt>
                <c:pt idx="58">
                  <c:v>58.619200000000006</c:v>
                </c:pt>
                <c:pt idx="59">
                  <c:v>58.597600000000007</c:v>
                </c:pt>
                <c:pt idx="60">
                  <c:v>58.526699999999998</c:v>
                </c:pt>
                <c:pt idx="61">
                  <c:v>58.463799999999999</c:v>
                </c:pt>
                <c:pt idx="62">
                  <c:v>58.362499999999997</c:v>
                </c:pt>
                <c:pt idx="63">
                  <c:v>58.165599999999998</c:v>
                </c:pt>
                <c:pt idx="64">
                  <c:v>57.970299999999995</c:v>
                </c:pt>
                <c:pt idx="65">
                  <c:v>57.693099999999994</c:v>
                </c:pt>
                <c:pt idx="66">
                  <c:v>57.462599999999995</c:v>
                </c:pt>
                <c:pt idx="67">
                  <c:v>57.195599999999999</c:v>
                </c:pt>
                <c:pt idx="68">
                  <c:v>56.9377</c:v>
                </c:pt>
                <c:pt idx="69">
                  <c:v>56.622199999999999</c:v>
                </c:pt>
                <c:pt idx="70">
                  <c:v>56.365699999999997</c:v>
                </c:pt>
                <c:pt idx="71">
                  <c:v>55.9617</c:v>
                </c:pt>
                <c:pt idx="72">
                  <c:v>55.467299999999994</c:v>
                </c:pt>
                <c:pt idx="73">
                  <c:v>55.645400000000002</c:v>
                </c:pt>
                <c:pt idx="74">
                  <c:v>55.643000000000001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14.9413</c:v>
                </c:pt>
                <c:pt idx="1">
                  <c:v>44.823900000000002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50.278520270270278</c:v>
                </c:pt>
                <c:pt idx="1">
                  <c:v>53.75069054054056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32.115900000000003</c:v>
                </c:pt>
                <c:pt idx="1">
                  <c:v>40.158299999999997</c:v>
                </c:pt>
                <c:pt idx="2">
                  <c:v>35.826300000000003</c:v>
                </c:pt>
                <c:pt idx="3">
                  <c:v>35.386000000000003</c:v>
                </c:pt>
                <c:pt idx="4">
                  <c:v>65.854200000000006</c:v>
                </c:pt>
                <c:pt idx="5">
                  <c:v>71.050899999999999</c:v>
                </c:pt>
                <c:pt idx="6">
                  <c:v>10.188000000000001</c:v>
                </c:pt>
                <c:pt idx="7">
                  <c:v>66.967699999999994</c:v>
                </c:pt>
                <c:pt idx="8">
                  <c:v>15.727499999999999</c:v>
                </c:pt>
                <c:pt idx="9">
                  <c:v>15.859500000000001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29.210699999999999</c:v>
                </c:pt>
                <c:pt idx="1">
                  <c:v>33.775599999999997</c:v>
                </c:pt>
                <c:pt idx="2">
                  <c:v>43.849499999999999</c:v>
                </c:pt>
                <c:pt idx="3">
                  <c:v>33.896999999999998</c:v>
                </c:pt>
                <c:pt idx="4">
                  <c:v>63.681699999999999</c:v>
                </c:pt>
                <c:pt idx="5">
                  <c:v>68.865700000000004</c:v>
                </c:pt>
                <c:pt idx="6">
                  <c:v>10.809100000000001</c:v>
                </c:pt>
                <c:pt idx="7">
                  <c:v>64.784199999999998</c:v>
                </c:pt>
                <c:pt idx="8">
                  <c:v>15.351100000000001</c:v>
                </c:pt>
                <c:pt idx="9">
                  <c:v>23.911799999999999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0.50879477696993236</c:v>
                </c:pt>
                <c:pt idx="1">
                  <c:v>0.34104881307411827</c:v>
                </c:pt>
                <c:pt idx="2">
                  <c:v>0.15015640995594948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18170</c:v>
                </c:pt>
                <c:pt idx="7">
                  <c:v>0</c:v>
                </c:pt>
                <c:pt idx="8">
                  <c:v>33584</c:v>
                </c:pt>
                <c:pt idx="9">
                  <c:v>0</c:v>
                </c:pt>
                <c:pt idx="10">
                  <c:v>0</c:v>
                </c:pt>
                <c:pt idx="11">
                  <c:v>33349</c:v>
                </c:pt>
                <c:pt idx="12">
                  <c:v>0</c:v>
                </c:pt>
                <c:pt idx="13">
                  <c:v>39513</c:v>
                </c:pt>
                <c:pt idx="14">
                  <c:v>0</c:v>
                </c:pt>
                <c:pt idx="15">
                  <c:v>0</c:v>
                </c:pt>
                <c:pt idx="16">
                  <c:v>38957</c:v>
                </c:pt>
                <c:pt idx="17">
                  <c:v>0</c:v>
                </c:pt>
                <c:pt idx="18">
                  <c:v>0</c:v>
                </c:pt>
                <c:pt idx="19">
                  <c:v>44788</c:v>
                </c:pt>
                <c:pt idx="20">
                  <c:v>0</c:v>
                </c:pt>
                <c:pt idx="21">
                  <c:v>39425</c:v>
                </c:pt>
                <c:pt idx="22">
                  <c:v>0</c:v>
                </c:pt>
                <c:pt idx="23">
                  <c:v>0</c:v>
                </c:pt>
                <c:pt idx="24">
                  <c:v>39578</c:v>
                </c:pt>
                <c:pt idx="25">
                  <c:v>0</c:v>
                </c:pt>
                <c:pt idx="26">
                  <c:v>36978</c:v>
                </c:pt>
                <c:pt idx="27">
                  <c:v>0</c:v>
                </c:pt>
                <c:pt idx="28">
                  <c:v>0</c:v>
                </c:pt>
                <c:pt idx="29">
                  <c:v>38195</c:v>
                </c:pt>
                <c:pt idx="30">
                  <c:v>0</c:v>
                </c:pt>
                <c:pt idx="31">
                  <c:v>37896</c:v>
                </c:pt>
                <c:pt idx="32">
                  <c:v>0</c:v>
                </c:pt>
                <c:pt idx="33">
                  <c:v>0</c:v>
                </c:pt>
                <c:pt idx="34">
                  <c:v>37198</c:v>
                </c:pt>
                <c:pt idx="35">
                  <c:v>0</c:v>
                </c:pt>
                <c:pt idx="36">
                  <c:v>0</c:v>
                </c:pt>
                <c:pt idx="37">
                  <c:v>36844</c:v>
                </c:pt>
                <c:pt idx="38">
                  <c:v>0</c:v>
                </c:pt>
                <c:pt idx="39">
                  <c:v>36685</c:v>
                </c:pt>
                <c:pt idx="40">
                  <c:v>0</c:v>
                </c:pt>
                <c:pt idx="41">
                  <c:v>0</c:v>
                </c:pt>
                <c:pt idx="42">
                  <c:v>35609</c:v>
                </c:pt>
                <c:pt idx="43">
                  <c:v>0</c:v>
                </c:pt>
                <c:pt idx="44">
                  <c:v>41090</c:v>
                </c:pt>
                <c:pt idx="45">
                  <c:v>0</c:v>
                </c:pt>
                <c:pt idx="46">
                  <c:v>0</c:v>
                </c:pt>
                <c:pt idx="47">
                  <c:v>46066</c:v>
                </c:pt>
                <c:pt idx="48">
                  <c:v>0</c:v>
                </c:pt>
                <c:pt idx="49">
                  <c:v>45154</c:v>
                </c:pt>
                <c:pt idx="50">
                  <c:v>0</c:v>
                </c:pt>
                <c:pt idx="51">
                  <c:v>0</c:v>
                </c:pt>
                <c:pt idx="52">
                  <c:v>45899</c:v>
                </c:pt>
                <c:pt idx="53">
                  <c:v>0</c:v>
                </c:pt>
                <c:pt idx="54">
                  <c:v>0</c:v>
                </c:pt>
                <c:pt idx="55">
                  <c:v>45844</c:v>
                </c:pt>
                <c:pt idx="56">
                  <c:v>0</c:v>
                </c:pt>
                <c:pt idx="57">
                  <c:v>48654</c:v>
                </c:pt>
                <c:pt idx="58">
                  <c:v>0</c:v>
                </c:pt>
                <c:pt idx="59">
                  <c:v>0</c:v>
                </c:pt>
                <c:pt idx="60">
                  <c:v>49971</c:v>
                </c:pt>
                <c:pt idx="61">
                  <c:v>0</c:v>
                </c:pt>
                <c:pt idx="62">
                  <c:v>43749</c:v>
                </c:pt>
                <c:pt idx="63">
                  <c:v>0</c:v>
                </c:pt>
                <c:pt idx="64">
                  <c:v>0</c:v>
                </c:pt>
                <c:pt idx="65">
                  <c:v>47331</c:v>
                </c:pt>
                <c:pt idx="66">
                  <c:v>0</c:v>
                </c:pt>
                <c:pt idx="67">
                  <c:v>49099</c:v>
                </c:pt>
                <c:pt idx="68">
                  <c:v>0</c:v>
                </c:pt>
                <c:pt idx="69">
                  <c:v>0</c:v>
                </c:pt>
                <c:pt idx="70">
                  <c:v>40168</c:v>
                </c:pt>
                <c:pt idx="71">
                  <c:v>0</c:v>
                </c:pt>
                <c:pt idx="72">
                  <c:v>0</c:v>
                </c:pt>
                <c:pt idx="73">
                  <c:v>39109</c:v>
                </c:pt>
                <c:pt idx="74">
                  <c:v>0</c:v>
                </c:pt>
                <c:pt idx="75">
                  <c:v>34318</c:v>
                </c:pt>
                <c:pt idx="76">
                  <c:v>0</c:v>
                </c:pt>
                <c:pt idx="77">
                  <c:v>0</c:v>
                </c:pt>
                <c:pt idx="78">
                  <c:v>34385</c:v>
                </c:pt>
                <c:pt idx="79">
                  <c:v>0</c:v>
                </c:pt>
                <c:pt idx="80">
                  <c:v>28885</c:v>
                </c:pt>
                <c:pt idx="81">
                  <c:v>0</c:v>
                </c:pt>
                <c:pt idx="82">
                  <c:v>0</c:v>
                </c:pt>
                <c:pt idx="83">
                  <c:v>23884</c:v>
                </c:pt>
                <c:pt idx="84">
                  <c:v>0</c:v>
                </c:pt>
                <c:pt idx="85">
                  <c:v>0</c:v>
                </c:pt>
                <c:pt idx="86">
                  <c:v>22743</c:v>
                </c:pt>
                <c:pt idx="87">
                  <c:v>0</c:v>
                </c:pt>
                <c:pt idx="88">
                  <c:v>23420</c:v>
                </c:pt>
                <c:pt idx="89">
                  <c:v>0</c:v>
                </c:pt>
                <c:pt idx="90">
                  <c:v>0</c:v>
                </c:pt>
                <c:pt idx="91">
                  <c:v>18567</c:v>
                </c:pt>
                <c:pt idx="92">
                  <c:v>0</c:v>
                </c:pt>
                <c:pt idx="93">
                  <c:v>16262</c:v>
                </c:pt>
                <c:pt idx="94">
                  <c:v>0</c:v>
                </c:pt>
                <c:pt idx="95">
                  <c:v>0</c:v>
                </c:pt>
                <c:pt idx="96">
                  <c:v>14021</c:v>
                </c:pt>
                <c:pt idx="97">
                  <c:v>0</c:v>
                </c:pt>
                <c:pt idx="98">
                  <c:v>12367</c:v>
                </c:pt>
                <c:pt idx="99">
                  <c:v>0</c:v>
                </c:pt>
                <c:pt idx="100">
                  <c:v>0</c:v>
                </c:pt>
                <c:pt idx="101">
                  <c:v>9772</c:v>
                </c:pt>
                <c:pt idx="102">
                  <c:v>0</c:v>
                </c:pt>
                <c:pt idx="103">
                  <c:v>0</c:v>
                </c:pt>
                <c:pt idx="104">
                  <c:v>7606</c:v>
                </c:pt>
                <c:pt idx="105">
                  <c:v>0</c:v>
                </c:pt>
                <c:pt idx="106">
                  <c:v>6061</c:v>
                </c:pt>
                <c:pt idx="107">
                  <c:v>0</c:v>
                </c:pt>
                <c:pt idx="108">
                  <c:v>0</c:v>
                </c:pt>
                <c:pt idx="109">
                  <c:v>4658</c:v>
                </c:pt>
                <c:pt idx="110">
                  <c:v>0</c:v>
                </c:pt>
                <c:pt idx="111">
                  <c:v>4645</c:v>
                </c:pt>
                <c:pt idx="112">
                  <c:v>0</c:v>
                </c:pt>
                <c:pt idx="113">
                  <c:v>0</c:v>
                </c:pt>
                <c:pt idx="114">
                  <c:v>3986</c:v>
                </c:pt>
                <c:pt idx="115">
                  <c:v>0</c:v>
                </c:pt>
                <c:pt idx="116">
                  <c:v>3133</c:v>
                </c:pt>
                <c:pt idx="117">
                  <c:v>0</c:v>
                </c:pt>
                <c:pt idx="118">
                  <c:v>0</c:v>
                </c:pt>
                <c:pt idx="119">
                  <c:v>1127</c:v>
                </c:pt>
                <c:pt idx="120">
                  <c:v>0</c:v>
                </c:pt>
                <c:pt idx="121">
                  <c:v>0</c:v>
                </c:pt>
                <c:pt idx="122">
                  <c:v>670</c:v>
                </c:pt>
                <c:pt idx="123">
                  <c:v>0</c:v>
                </c:pt>
                <c:pt idx="124">
                  <c:v>647</c:v>
                </c:pt>
                <c:pt idx="125">
                  <c:v>0</c:v>
                </c:pt>
                <c:pt idx="126">
                  <c:v>0</c:v>
                </c:pt>
                <c:pt idx="127">
                  <c:v>708</c:v>
                </c:pt>
                <c:pt idx="128">
                  <c:v>0</c:v>
                </c:pt>
                <c:pt idx="129">
                  <c:v>600</c:v>
                </c:pt>
                <c:pt idx="130">
                  <c:v>0</c:v>
                </c:pt>
                <c:pt idx="131">
                  <c:v>0</c:v>
                </c:pt>
                <c:pt idx="132">
                  <c:v>741</c:v>
                </c:pt>
                <c:pt idx="133">
                  <c:v>0</c:v>
                </c:pt>
                <c:pt idx="134">
                  <c:v>636</c:v>
                </c:pt>
                <c:pt idx="135">
                  <c:v>0</c:v>
                </c:pt>
                <c:pt idx="136">
                  <c:v>0</c:v>
                </c:pt>
                <c:pt idx="137">
                  <c:v>435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8634</c:v>
                </c:pt>
                <c:pt idx="7">
                  <c:v>0</c:v>
                </c:pt>
                <c:pt idx="8">
                  <c:v>12436</c:v>
                </c:pt>
                <c:pt idx="9">
                  <c:v>0</c:v>
                </c:pt>
                <c:pt idx="10">
                  <c:v>0</c:v>
                </c:pt>
                <c:pt idx="11">
                  <c:v>18132</c:v>
                </c:pt>
                <c:pt idx="12">
                  <c:v>0</c:v>
                </c:pt>
                <c:pt idx="13">
                  <c:v>29935</c:v>
                </c:pt>
                <c:pt idx="14">
                  <c:v>0</c:v>
                </c:pt>
                <c:pt idx="15">
                  <c:v>0</c:v>
                </c:pt>
                <c:pt idx="16">
                  <c:v>36951</c:v>
                </c:pt>
                <c:pt idx="17">
                  <c:v>0</c:v>
                </c:pt>
                <c:pt idx="18">
                  <c:v>0</c:v>
                </c:pt>
                <c:pt idx="19">
                  <c:v>42207</c:v>
                </c:pt>
                <c:pt idx="20">
                  <c:v>0</c:v>
                </c:pt>
                <c:pt idx="21">
                  <c:v>47291</c:v>
                </c:pt>
                <c:pt idx="22">
                  <c:v>0</c:v>
                </c:pt>
                <c:pt idx="23">
                  <c:v>0</c:v>
                </c:pt>
                <c:pt idx="24">
                  <c:v>41619</c:v>
                </c:pt>
                <c:pt idx="25">
                  <c:v>0</c:v>
                </c:pt>
                <c:pt idx="26">
                  <c:v>45381</c:v>
                </c:pt>
                <c:pt idx="27">
                  <c:v>0</c:v>
                </c:pt>
                <c:pt idx="28">
                  <c:v>0</c:v>
                </c:pt>
                <c:pt idx="29">
                  <c:v>50810</c:v>
                </c:pt>
                <c:pt idx="30">
                  <c:v>0</c:v>
                </c:pt>
                <c:pt idx="31">
                  <c:v>56059</c:v>
                </c:pt>
                <c:pt idx="32">
                  <c:v>0</c:v>
                </c:pt>
                <c:pt idx="33">
                  <c:v>0</c:v>
                </c:pt>
                <c:pt idx="34">
                  <c:v>63669</c:v>
                </c:pt>
                <c:pt idx="35">
                  <c:v>0</c:v>
                </c:pt>
                <c:pt idx="36">
                  <c:v>0</c:v>
                </c:pt>
                <c:pt idx="37">
                  <c:v>67562</c:v>
                </c:pt>
                <c:pt idx="38">
                  <c:v>0</c:v>
                </c:pt>
                <c:pt idx="39">
                  <c:v>75844</c:v>
                </c:pt>
                <c:pt idx="40">
                  <c:v>0</c:v>
                </c:pt>
                <c:pt idx="41">
                  <c:v>0</c:v>
                </c:pt>
                <c:pt idx="42">
                  <c:v>60620</c:v>
                </c:pt>
                <c:pt idx="43">
                  <c:v>0</c:v>
                </c:pt>
                <c:pt idx="44">
                  <c:v>73459</c:v>
                </c:pt>
                <c:pt idx="45">
                  <c:v>0</c:v>
                </c:pt>
                <c:pt idx="46">
                  <c:v>0</c:v>
                </c:pt>
                <c:pt idx="47">
                  <c:v>77532</c:v>
                </c:pt>
                <c:pt idx="48">
                  <c:v>0</c:v>
                </c:pt>
                <c:pt idx="49">
                  <c:v>74471</c:v>
                </c:pt>
                <c:pt idx="50">
                  <c:v>0</c:v>
                </c:pt>
                <c:pt idx="51">
                  <c:v>0</c:v>
                </c:pt>
                <c:pt idx="52">
                  <c:v>71114</c:v>
                </c:pt>
                <c:pt idx="53">
                  <c:v>0</c:v>
                </c:pt>
                <c:pt idx="54">
                  <c:v>0</c:v>
                </c:pt>
                <c:pt idx="55">
                  <c:v>75902</c:v>
                </c:pt>
                <c:pt idx="56">
                  <c:v>0</c:v>
                </c:pt>
                <c:pt idx="57">
                  <c:v>76740</c:v>
                </c:pt>
                <c:pt idx="58">
                  <c:v>0</c:v>
                </c:pt>
                <c:pt idx="59">
                  <c:v>0</c:v>
                </c:pt>
                <c:pt idx="60">
                  <c:v>70500</c:v>
                </c:pt>
                <c:pt idx="61">
                  <c:v>0</c:v>
                </c:pt>
                <c:pt idx="62">
                  <c:v>69653</c:v>
                </c:pt>
                <c:pt idx="63">
                  <c:v>0</c:v>
                </c:pt>
                <c:pt idx="64">
                  <c:v>0</c:v>
                </c:pt>
                <c:pt idx="65">
                  <c:v>66230</c:v>
                </c:pt>
                <c:pt idx="66">
                  <c:v>0</c:v>
                </c:pt>
                <c:pt idx="67">
                  <c:v>61159</c:v>
                </c:pt>
                <c:pt idx="68">
                  <c:v>0</c:v>
                </c:pt>
                <c:pt idx="69">
                  <c:v>0</c:v>
                </c:pt>
                <c:pt idx="70">
                  <c:v>52514</c:v>
                </c:pt>
                <c:pt idx="71">
                  <c:v>0</c:v>
                </c:pt>
                <c:pt idx="72">
                  <c:v>0</c:v>
                </c:pt>
                <c:pt idx="73">
                  <c:v>47582</c:v>
                </c:pt>
                <c:pt idx="74">
                  <c:v>0</c:v>
                </c:pt>
                <c:pt idx="75">
                  <c:v>41935</c:v>
                </c:pt>
                <c:pt idx="76">
                  <c:v>0</c:v>
                </c:pt>
                <c:pt idx="77">
                  <c:v>0</c:v>
                </c:pt>
                <c:pt idx="78">
                  <c:v>42738</c:v>
                </c:pt>
                <c:pt idx="79">
                  <c:v>0</c:v>
                </c:pt>
                <c:pt idx="80">
                  <c:v>38717</c:v>
                </c:pt>
                <c:pt idx="81">
                  <c:v>0</c:v>
                </c:pt>
                <c:pt idx="82">
                  <c:v>0</c:v>
                </c:pt>
                <c:pt idx="83">
                  <c:v>32776</c:v>
                </c:pt>
                <c:pt idx="84">
                  <c:v>0</c:v>
                </c:pt>
                <c:pt idx="85">
                  <c:v>0</c:v>
                </c:pt>
                <c:pt idx="86">
                  <c:v>28854</c:v>
                </c:pt>
                <c:pt idx="87">
                  <c:v>0</c:v>
                </c:pt>
                <c:pt idx="88">
                  <c:v>28515</c:v>
                </c:pt>
                <c:pt idx="89">
                  <c:v>0</c:v>
                </c:pt>
                <c:pt idx="90">
                  <c:v>0</c:v>
                </c:pt>
                <c:pt idx="91">
                  <c:v>26170</c:v>
                </c:pt>
                <c:pt idx="92">
                  <c:v>0</c:v>
                </c:pt>
                <c:pt idx="93">
                  <c:v>22969</c:v>
                </c:pt>
                <c:pt idx="94">
                  <c:v>0</c:v>
                </c:pt>
                <c:pt idx="95">
                  <c:v>0</c:v>
                </c:pt>
                <c:pt idx="96">
                  <c:v>21968</c:v>
                </c:pt>
                <c:pt idx="97">
                  <c:v>0</c:v>
                </c:pt>
                <c:pt idx="98">
                  <c:v>16904</c:v>
                </c:pt>
                <c:pt idx="99">
                  <c:v>0</c:v>
                </c:pt>
                <c:pt idx="100">
                  <c:v>0</c:v>
                </c:pt>
                <c:pt idx="101">
                  <c:v>16578</c:v>
                </c:pt>
                <c:pt idx="102">
                  <c:v>0</c:v>
                </c:pt>
                <c:pt idx="103">
                  <c:v>0</c:v>
                </c:pt>
                <c:pt idx="104">
                  <c:v>12866</c:v>
                </c:pt>
                <c:pt idx="105">
                  <c:v>0</c:v>
                </c:pt>
                <c:pt idx="106">
                  <c:v>11508</c:v>
                </c:pt>
                <c:pt idx="107">
                  <c:v>0</c:v>
                </c:pt>
                <c:pt idx="108">
                  <c:v>0</c:v>
                </c:pt>
                <c:pt idx="109">
                  <c:v>13141</c:v>
                </c:pt>
                <c:pt idx="110">
                  <c:v>0</c:v>
                </c:pt>
                <c:pt idx="111">
                  <c:v>11013</c:v>
                </c:pt>
                <c:pt idx="112">
                  <c:v>0</c:v>
                </c:pt>
                <c:pt idx="113">
                  <c:v>0</c:v>
                </c:pt>
                <c:pt idx="114">
                  <c:v>9065</c:v>
                </c:pt>
                <c:pt idx="115">
                  <c:v>0</c:v>
                </c:pt>
                <c:pt idx="116">
                  <c:v>8613</c:v>
                </c:pt>
                <c:pt idx="117">
                  <c:v>0</c:v>
                </c:pt>
                <c:pt idx="118">
                  <c:v>0</c:v>
                </c:pt>
                <c:pt idx="119">
                  <c:v>5568</c:v>
                </c:pt>
                <c:pt idx="120">
                  <c:v>0</c:v>
                </c:pt>
                <c:pt idx="121">
                  <c:v>0</c:v>
                </c:pt>
                <c:pt idx="122">
                  <c:v>4119</c:v>
                </c:pt>
                <c:pt idx="123">
                  <c:v>0</c:v>
                </c:pt>
                <c:pt idx="124">
                  <c:v>3273</c:v>
                </c:pt>
                <c:pt idx="125">
                  <c:v>0</c:v>
                </c:pt>
                <c:pt idx="126">
                  <c:v>0</c:v>
                </c:pt>
                <c:pt idx="127">
                  <c:v>3276</c:v>
                </c:pt>
                <c:pt idx="128">
                  <c:v>0</c:v>
                </c:pt>
                <c:pt idx="129">
                  <c:v>2144</c:v>
                </c:pt>
                <c:pt idx="130">
                  <c:v>0</c:v>
                </c:pt>
                <c:pt idx="131">
                  <c:v>0</c:v>
                </c:pt>
                <c:pt idx="132">
                  <c:v>1619</c:v>
                </c:pt>
                <c:pt idx="133">
                  <c:v>0</c:v>
                </c:pt>
                <c:pt idx="134">
                  <c:v>1760</c:v>
                </c:pt>
                <c:pt idx="135">
                  <c:v>0</c:v>
                </c:pt>
                <c:pt idx="136">
                  <c:v>0</c:v>
                </c:pt>
                <c:pt idx="137">
                  <c:v>1670</c:v>
                </c:pt>
                <c:pt idx="138">
                  <c:v>0</c:v>
                </c:pt>
                <c:pt idx="139">
                  <c:v>0</c:v>
                </c:pt>
                <c:pt idx="140">
                  <c:v>1029</c:v>
                </c:pt>
                <c:pt idx="141">
                  <c:v>0</c:v>
                </c:pt>
                <c:pt idx="142">
                  <c:v>400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0.21658474965373697</c:v>
                </c:pt>
                <c:pt idx="1">
                  <c:v>0.38306820422119781</c:v>
                </c:pt>
                <c:pt idx="2">
                  <c:v>0.40034704612506528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0.48699354444427023</c:v>
                </c:pt>
                <c:pt idx="1">
                  <c:v>0.32927709521283721</c:v>
                </c:pt>
                <c:pt idx="2">
                  <c:v>0.18372936034289244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10.754994999999999</c:v>
                </c:pt>
                <c:pt idx="1">
                  <c:v>20.518625</c:v>
                </c:pt>
                <c:pt idx="2">
                  <c:v>21.2072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0.404837</c:v>
                </c:pt>
                <c:pt idx="2">
                  <c:v>0.81077100000000002</c:v>
                </c:pt>
                <c:pt idx="3">
                  <c:v>1.21567</c:v>
                </c:pt>
                <c:pt idx="4">
                  <c:v>1.6197600000000001</c:v>
                </c:pt>
                <c:pt idx="5">
                  <c:v>2.03057</c:v>
                </c:pt>
                <c:pt idx="6">
                  <c:v>2.4405000000000001</c:v>
                </c:pt>
                <c:pt idx="7">
                  <c:v>2.8423699999999998</c:v>
                </c:pt>
                <c:pt idx="8">
                  <c:v>3.2472400000000001</c:v>
                </c:pt>
                <c:pt idx="9">
                  <c:v>3.6541899999999998</c:v>
                </c:pt>
                <c:pt idx="10">
                  <c:v>4.0610299999999997</c:v>
                </c:pt>
                <c:pt idx="11">
                  <c:v>4.4692699999999999</c:v>
                </c:pt>
                <c:pt idx="12">
                  <c:v>4.8705999999999996</c:v>
                </c:pt>
                <c:pt idx="13">
                  <c:v>5.2788199999999996</c:v>
                </c:pt>
                <c:pt idx="14">
                  <c:v>5.6860400000000002</c:v>
                </c:pt>
                <c:pt idx="15">
                  <c:v>6.09063</c:v>
                </c:pt>
                <c:pt idx="16">
                  <c:v>6.4995099999999999</c:v>
                </c:pt>
                <c:pt idx="17">
                  <c:v>6.9054399999999996</c:v>
                </c:pt>
                <c:pt idx="18">
                  <c:v>7.3074700000000004</c:v>
                </c:pt>
                <c:pt idx="19">
                  <c:v>7.71943</c:v>
                </c:pt>
                <c:pt idx="20">
                  <c:v>8.1261600000000005</c:v>
                </c:pt>
                <c:pt idx="21">
                  <c:v>8.5301200000000001</c:v>
                </c:pt>
                <c:pt idx="22">
                  <c:v>8.9340399999999995</c:v>
                </c:pt>
                <c:pt idx="23">
                  <c:v>9.3409200000000006</c:v>
                </c:pt>
                <c:pt idx="24">
                  <c:v>9.7489600000000003</c:v>
                </c:pt>
                <c:pt idx="25">
                  <c:v>10.151999999999999</c:v>
                </c:pt>
                <c:pt idx="26">
                  <c:v>10.5627</c:v>
                </c:pt>
                <c:pt idx="27">
                  <c:v>10.970599999999999</c:v>
                </c:pt>
                <c:pt idx="28">
                  <c:v>11.3725</c:v>
                </c:pt>
                <c:pt idx="29">
                  <c:v>11.7796</c:v>
                </c:pt>
                <c:pt idx="30">
                  <c:v>12.185600000000001</c:v>
                </c:pt>
                <c:pt idx="31">
                  <c:v>12.591200000000001</c:v>
                </c:pt>
                <c:pt idx="32">
                  <c:v>13.0001</c:v>
                </c:pt>
                <c:pt idx="33">
                  <c:v>13.4023</c:v>
                </c:pt>
                <c:pt idx="34">
                  <c:v>13.809200000000001</c:v>
                </c:pt>
                <c:pt idx="35">
                  <c:v>14.216799999999999</c:v>
                </c:pt>
                <c:pt idx="36">
                  <c:v>14.6249</c:v>
                </c:pt>
                <c:pt idx="37">
                  <c:v>15.0298</c:v>
                </c:pt>
                <c:pt idx="38">
                  <c:v>15.4358</c:v>
                </c:pt>
                <c:pt idx="39">
                  <c:v>15.841799999999999</c:v>
                </c:pt>
                <c:pt idx="40">
                  <c:v>16.247499999999999</c:v>
                </c:pt>
                <c:pt idx="41">
                  <c:v>16.656400000000001</c:v>
                </c:pt>
                <c:pt idx="42">
                  <c:v>17.063400000000001</c:v>
                </c:pt>
                <c:pt idx="43">
                  <c:v>17.466200000000001</c:v>
                </c:pt>
                <c:pt idx="44">
                  <c:v>17.870100000000001</c:v>
                </c:pt>
                <c:pt idx="45">
                  <c:v>18.280999999999999</c:v>
                </c:pt>
                <c:pt idx="46">
                  <c:v>18.684100000000001</c:v>
                </c:pt>
                <c:pt idx="47">
                  <c:v>19.0928</c:v>
                </c:pt>
                <c:pt idx="48">
                  <c:v>19.500800000000002</c:v>
                </c:pt>
                <c:pt idx="49">
                  <c:v>19.904699999999998</c:v>
                </c:pt>
                <c:pt idx="50">
                  <c:v>20.308700000000002</c:v>
                </c:pt>
                <c:pt idx="51">
                  <c:v>20.720600000000001</c:v>
                </c:pt>
                <c:pt idx="52">
                  <c:v>21.1235</c:v>
                </c:pt>
                <c:pt idx="53">
                  <c:v>21.532299999999999</c:v>
                </c:pt>
                <c:pt idx="54">
                  <c:v>21.9376</c:v>
                </c:pt>
                <c:pt idx="55">
                  <c:v>22.3385</c:v>
                </c:pt>
                <c:pt idx="56">
                  <c:v>22.7501</c:v>
                </c:pt>
                <c:pt idx="57">
                  <c:v>23.158000000000001</c:v>
                </c:pt>
                <c:pt idx="58">
                  <c:v>23.559000000000001</c:v>
                </c:pt>
                <c:pt idx="59">
                  <c:v>23.966799999999999</c:v>
                </c:pt>
                <c:pt idx="60">
                  <c:v>24.373000000000001</c:v>
                </c:pt>
                <c:pt idx="61">
                  <c:v>24.781700000000001</c:v>
                </c:pt>
                <c:pt idx="62">
                  <c:v>25.186699999999998</c:v>
                </c:pt>
                <c:pt idx="63">
                  <c:v>25.5945</c:v>
                </c:pt>
                <c:pt idx="64">
                  <c:v>25.997399999999999</c:v>
                </c:pt>
                <c:pt idx="65">
                  <c:v>26.4054</c:v>
                </c:pt>
                <c:pt idx="66">
                  <c:v>26.813300000000002</c:v>
                </c:pt>
                <c:pt idx="67">
                  <c:v>27.216100000000001</c:v>
                </c:pt>
                <c:pt idx="68">
                  <c:v>27.622</c:v>
                </c:pt>
                <c:pt idx="69">
                  <c:v>28.028099999999998</c:v>
                </c:pt>
                <c:pt idx="70">
                  <c:v>28.435099999999998</c:v>
                </c:pt>
                <c:pt idx="71">
                  <c:v>28.8428</c:v>
                </c:pt>
                <c:pt idx="72">
                  <c:v>29.250800000000002</c:v>
                </c:pt>
                <c:pt idx="73">
                  <c:v>29.652799999999999</c:v>
                </c:pt>
                <c:pt idx="74">
                  <c:v>30.061499999999999</c:v>
                </c:pt>
                <c:pt idx="75">
                  <c:v>30.517299999999999</c:v>
                </c:pt>
                <c:pt idx="76">
                  <c:v>30.920200000000001</c:v>
                </c:pt>
                <c:pt idx="77">
                  <c:v>31.3262</c:v>
                </c:pt>
                <c:pt idx="78">
                  <c:v>31.732600000000001</c:v>
                </c:pt>
                <c:pt idx="79">
                  <c:v>32.140999999999998</c:v>
                </c:pt>
                <c:pt idx="80">
                  <c:v>32.545999999999999</c:v>
                </c:pt>
                <c:pt idx="81">
                  <c:v>32.953800000000001</c:v>
                </c:pt>
                <c:pt idx="82">
                  <c:v>33.355800000000002</c:v>
                </c:pt>
                <c:pt idx="83">
                  <c:v>33.7607</c:v>
                </c:pt>
                <c:pt idx="84">
                  <c:v>34.165700000000001</c:v>
                </c:pt>
                <c:pt idx="85">
                  <c:v>34.576500000000003</c:v>
                </c:pt>
                <c:pt idx="86">
                  <c:v>34.983499999999999</c:v>
                </c:pt>
                <c:pt idx="87">
                  <c:v>35.3874</c:v>
                </c:pt>
                <c:pt idx="88">
                  <c:v>35.791200000000003</c:v>
                </c:pt>
                <c:pt idx="89">
                  <c:v>36.203600000000002</c:v>
                </c:pt>
                <c:pt idx="90">
                  <c:v>36.608400000000003</c:v>
                </c:pt>
                <c:pt idx="91">
                  <c:v>37.014000000000003</c:v>
                </c:pt>
                <c:pt idx="92">
                  <c:v>37.4178</c:v>
                </c:pt>
                <c:pt idx="93">
                  <c:v>37.824800000000003</c:v>
                </c:pt>
                <c:pt idx="94">
                  <c:v>38.233800000000002</c:v>
                </c:pt>
                <c:pt idx="95">
                  <c:v>38.640599999999999</c:v>
                </c:pt>
                <c:pt idx="96">
                  <c:v>39.043599999999998</c:v>
                </c:pt>
                <c:pt idx="97">
                  <c:v>39.450400000000002</c:v>
                </c:pt>
                <c:pt idx="98">
                  <c:v>39.856400000000001</c:v>
                </c:pt>
                <c:pt idx="99">
                  <c:v>40.262300000000003</c:v>
                </c:pt>
                <c:pt idx="100">
                  <c:v>40.674199999999999</c:v>
                </c:pt>
                <c:pt idx="101">
                  <c:v>41.080100000000002</c:v>
                </c:pt>
                <c:pt idx="102">
                  <c:v>41.482999999999997</c:v>
                </c:pt>
                <c:pt idx="103">
                  <c:v>41.889099999999999</c:v>
                </c:pt>
                <c:pt idx="104">
                  <c:v>42.294800000000002</c:v>
                </c:pt>
                <c:pt idx="105">
                  <c:v>42.702800000000003</c:v>
                </c:pt>
                <c:pt idx="106">
                  <c:v>43.1096</c:v>
                </c:pt>
                <c:pt idx="107">
                  <c:v>43.514499999999998</c:v>
                </c:pt>
                <c:pt idx="108">
                  <c:v>43.918700000000001</c:v>
                </c:pt>
                <c:pt idx="109">
                  <c:v>44.328400000000002</c:v>
                </c:pt>
                <c:pt idx="110">
                  <c:v>44.734299999999998</c:v>
                </c:pt>
                <c:pt idx="111">
                  <c:v>45.139299999999999</c:v>
                </c:pt>
                <c:pt idx="112">
                  <c:v>45.548099999999998</c:v>
                </c:pt>
                <c:pt idx="113">
                  <c:v>45.95</c:v>
                </c:pt>
                <c:pt idx="114">
                  <c:v>46.359099999999998</c:v>
                </c:pt>
                <c:pt idx="115">
                  <c:v>46.765900000000002</c:v>
                </c:pt>
                <c:pt idx="116">
                  <c:v>47.172699999999999</c:v>
                </c:pt>
                <c:pt idx="117">
                  <c:v>47.576700000000002</c:v>
                </c:pt>
                <c:pt idx="118">
                  <c:v>47.9846</c:v>
                </c:pt>
                <c:pt idx="119">
                  <c:v>48.3887</c:v>
                </c:pt>
                <c:pt idx="120">
                  <c:v>48.796500000000002</c:v>
                </c:pt>
                <c:pt idx="121">
                  <c:v>49.209299999999999</c:v>
                </c:pt>
                <c:pt idx="122">
                  <c:v>49.6083</c:v>
                </c:pt>
                <c:pt idx="123">
                  <c:v>50.0122</c:v>
                </c:pt>
                <c:pt idx="124">
                  <c:v>50.421599999999998</c:v>
                </c:pt>
                <c:pt idx="125">
                  <c:v>50.825000000000003</c:v>
                </c:pt>
                <c:pt idx="126">
                  <c:v>51.234000000000002</c:v>
                </c:pt>
                <c:pt idx="127">
                  <c:v>51.640900000000002</c:v>
                </c:pt>
                <c:pt idx="128">
                  <c:v>52.042700000000004</c:v>
                </c:pt>
                <c:pt idx="129">
                  <c:v>52.450699999999998</c:v>
                </c:pt>
                <c:pt idx="130">
                  <c:v>52.857599999999998</c:v>
                </c:pt>
                <c:pt idx="131">
                  <c:v>53.263599999999997</c:v>
                </c:pt>
                <c:pt idx="132">
                  <c:v>53.670299999999997</c:v>
                </c:pt>
                <c:pt idx="133">
                  <c:v>54.074300000000001</c:v>
                </c:pt>
                <c:pt idx="134">
                  <c:v>54.482300000000002</c:v>
                </c:pt>
                <c:pt idx="135">
                  <c:v>54.892099999999999</c:v>
                </c:pt>
                <c:pt idx="136">
                  <c:v>55.295099999999998</c:v>
                </c:pt>
                <c:pt idx="137">
                  <c:v>55.702399999999997</c:v>
                </c:pt>
                <c:pt idx="138">
                  <c:v>56.110900000000001</c:v>
                </c:pt>
                <c:pt idx="139">
                  <c:v>56.516800000000003</c:v>
                </c:pt>
                <c:pt idx="140">
                  <c:v>56.919699999999999</c:v>
                </c:pt>
                <c:pt idx="141">
                  <c:v>57.325600000000001</c:v>
                </c:pt>
                <c:pt idx="142">
                  <c:v>57.735900000000001</c:v>
                </c:pt>
                <c:pt idx="143">
                  <c:v>58.141800000000003</c:v>
                </c:pt>
                <c:pt idx="144">
                  <c:v>58.545699999999997</c:v>
                </c:pt>
                <c:pt idx="145">
                  <c:v>58.952599999999997</c:v>
                </c:pt>
                <c:pt idx="146">
                  <c:v>59.359200000000001</c:v>
                </c:pt>
                <c:pt idx="147">
                  <c:v>59.7652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1.3989699999999998</c:v>
                </c:pt>
                <c:pt idx="1">
                  <c:v>1.4416000000000002</c:v>
                </c:pt>
                <c:pt idx="2">
                  <c:v>1.4836399999999998</c:v>
                </c:pt>
                <c:pt idx="3">
                  <c:v>1.5213399999999999</c:v>
                </c:pt>
                <c:pt idx="4">
                  <c:v>1.5548799999999998</c:v>
                </c:pt>
                <c:pt idx="5">
                  <c:v>1.58758</c:v>
                </c:pt>
                <c:pt idx="6">
                  <c:v>1.6215299999999999</c:v>
                </c:pt>
                <c:pt idx="7">
                  <c:v>1.6544700000000001</c:v>
                </c:pt>
                <c:pt idx="8">
                  <c:v>1.68987</c:v>
                </c:pt>
                <c:pt idx="9">
                  <c:v>1.7253399999999999</c:v>
                </c:pt>
                <c:pt idx="10">
                  <c:v>1.7610000000000001</c:v>
                </c:pt>
                <c:pt idx="11">
                  <c:v>1.7937400000000001</c:v>
                </c:pt>
                <c:pt idx="12">
                  <c:v>1.82372</c:v>
                </c:pt>
                <c:pt idx="13">
                  <c:v>1.85036</c:v>
                </c:pt>
                <c:pt idx="14">
                  <c:v>1.8720800000000002</c:v>
                </c:pt>
                <c:pt idx="15">
                  <c:v>1.8911</c:v>
                </c:pt>
                <c:pt idx="16">
                  <c:v>1.9101999999999999</c:v>
                </c:pt>
                <c:pt idx="17">
                  <c:v>1.9261300000000001</c:v>
                </c:pt>
                <c:pt idx="18">
                  <c:v>1.9393899999999999</c:v>
                </c:pt>
                <c:pt idx="19">
                  <c:v>1.9513</c:v>
                </c:pt>
                <c:pt idx="20">
                  <c:v>1.96187</c:v>
                </c:pt>
                <c:pt idx="21">
                  <c:v>1.9708999999999999</c:v>
                </c:pt>
                <c:pt idx="22">
                  <c:v>1.97786</c:v>
                </c:pt>
                <c:pt idx="23">
                  <c:v>1.9843199999999999</c:v>
                </c:pt>
                <c:pt idx="24">
                  <c:v>1.9919700000000002</c:v>
                </c:pt>
                <c:pt idx="25">
                  <c:v>1.9984299999999999</c:v>
                </c:pt>
                <c:pt idx="26">
                  <c:v>2.0076200000000002</c:v>
                </c:pt>
                <c:pt idx="27">
                  <c:v>2.01898</c:v>
                </c:pt>
                <c:pt idx="28">
                  <c:v>2.0323899999999999</c:v>
                </c:pt>
                <c:pt idx="29">
                  <c:v>2.0483799999999999</c:v>
                </c:pt>
                <c:pt idx="30">
                  <c:v>2.06447</c:v>
                </c:pt>
                <c:pt idx="31">
                  <c:v>2.07951</c:v>
                </c:pt>
                <c:pt idx="32">
                  <c:v>2.09382</c:v>
                </c:pt>
                <c:pt idx="33">
                  <c:v>2.1085400000000001</c:v>
                </c:pt>
                <c:pt idx="34">
                  <c:v>2.1184099999999999</c:v>
                </c:pt>
                <c:pt idx="35">
                  <c:v>2.1275200000000001</c:v>
                </c:pt>
                <c:pt idx="36">
                  <c:v>2.1380300000000001</c:v>
                </c:pt>
                <c:pt idx="37">
                  <c:v>2.1478199999999998</c:v>
                </c:pt>
                <c:pt idx="38">
                  <c:v>2.1601900000000001</c:v>
                </c:pt>
                <c:pt idx="39">
                  <c:v>2.1726899999999998</c:v>
                </c:pt>
                <c:pt idx="40">
                  <c:v>2.1876899999999999</c:v>
                </c:pt>
                <c:pt idx="41">
                  <c:v>2.20391</c:v>
                </c:pt>
                <c:pt idx="42">
                  <c:v>2.2202500000000001</c:v>
                </c:pt>
                <c:pt idx="43">
                  <c:v>2.2387600000000001</c:v>
                </c:pt>
                <c:pt idx="44">
                  <c:v>2.25536</c:v>
                </c:pt>
                <c:pt idx="45">
                  <c:v>2.2697000000000003</c:v>
                </c:pt>
                <c:pt idx="46">
                  <c:v>2.28451</c:v>
                </c:pt>
                <c:pt idx="47">
                  <c:v>2.3024</c:v>
                </c:pt>
                <c:pt idx="48">
                  <c:v>2.3197700000000001</c:v>
                </c:pt>
                <c:pt idx="49">
                  <c:v>2.33474</c:v>
                </c:pt>
                <c:pt idx="50">
                  <c:v>2.3476499999999998</c:v>
                </c:pt>
                <c:pt idx="51">
                  <c:v>2.3633000000000002</c:v>
                </c:pt>
                <c:pt idx="52">
                  <c:v>2.3722099999999999</c:v>
                </c:pt>
                <c:pt idx="53">
                  <c:v>2.3826200000000002</c:v>
                </c:pt>
                <c:pt idx="54">
                  <c:v>2.39161</c:v>
                </c:pt>
                <c:pt idx="55">
                  <c:v>2.39934</c:v>
                </c:pt>
                <c:pt idx="56">
                  <c:v>2.4155600000000002</c:v>
                </c:pt>
                <c:pt idx="57">
                  <c:v>2.4264999999999999</c:v>
                </c:pt>
                <c:pt idx="58">
                  <c:v>2.4314399999999998</c:v>
                </c:pt>
                <c:pt idx="59">
                  <c:v>2.4408500000000002</c:v>
                </c:pt>
                <c:pt idx="60">
                  <c:v>2.4456800000000003</c:v>
                </c:pt>
                <c:pt idx="61">
                  <c:v>2.4506000000000001</c:v>
                </c:pt>
                <c:pt idx="62">
                  <c:v>2.45614</c:v>
                </c:pt>
                <c:pt idx="63">
                  <c:v>2.4645000000000001</c:v>
                </c:pt>
                <c:pt idx="64">
                  <c:v>2.46936</c:v>
                </c:pt>
                <c:pt idx="65">
                  <c:v>2.4718599999999999</c:v>
                </c:pt>
                <c:pt idx="66">
                  <c:v>2.4722300000000001</c:v>
                </c:pt>
                <c:pt idx="67">
                  <c:v>2.47329</c:v>
                </c:pt>
                <c:pt idx="68">
                  <c:v>2.4678499999999999</c:v>
                </c:pt>
                <c:pt idx="69">
                  <c:v>2.4678499999999999</c:v>
                </c:pt>
                <c:pt idx="70">
                  <c:v>2.4628900000000002</c:v>
                </c:pt>
                <c:pt idx="71">
                  <c:v>2.46069</c:v>
                </c:pt>
                <c:pt idx="72">
                  <c:v>2.4571100000000001</c:v>
                </c:pt>
                <c:pt idx="73">
                  <c:v>2.4553600000000002</c:v>
                </c:pt>
                <c:pt idx="74">
                  <c:v>2.44692</c:v>
                </c:pt>
                <c:pt idx="75">
                  <c:v>2.4397500000000001</c:v>
                </c:pt>
                <c:pt idx="76">
                  <c:v>2.4292400000000001</c:v>
                </c:pt>
                <c:pt idx="77">
                  <c:v>2.4195700000000002</c:v>
                </c:pt>
                <c:pt idx="78">
                  <c:v>2.4119199999999998</c:v>
                </c:pt>
                <c:pt idx="79">
                  <c:v>2.4028200000000002</c:v>
                </c:pt>
                <c:pt idx="80">
                  <c:v>2.3898099999999998</c:v>
                </c:pt>
                <c:pt idx="81">
                  <c:v>2.3742000000000001</c:v>
                </c:pt>
                <c:pt idx="82">
                  <c:v>2.35791</c:v>
                </c:pt>
                <c:pt idx="83">
                  <c:v>2.3403900000000002</c:v>
                </c:pt>
                <c:pt idx="84">
                  <c:v>2.3253900000000001</c:v>
                </c:pt>
                <c:pt idx="85">
                  <c:v>2.3090299999999999</c:v>
                </c:pt>
                <c:pt idx="86">
                  <c:v>2.2911699999999997</c:v>
                </c:pt>
                <c:pt idx="87">
                  <c:v>2.2713299999999998</c:v>
                </c:pt>
                <c:pt idx="88">
                  <c:v>2.2497400000000001</c:v>
                </c:pt>
                <c:pt idx="89">
                  <c:v>2.2292200000000002</c:v>
                </c:pt>
                <c:pt idx="90">
                  <c:v>2.2101600000000001</c:v>
                </c:pt>
                <c:pt idx="91">
                  <c:v>2.19184</c:v>
                </c:pt>
                <c:pt idx="92">
                  <c:v>2.1748099999999999</c:v>
                </c:pt>
                <c:pt idx="93">
                  <c:v>2.1586600000000002</c:v>
                </c:pt>
                <c:pt idx="94">
                  <c:v>2.1427899999999998</c:v>
                </c:pt>
                <c:pt idx="95">
                  <c:v>2.1276800000000002</c:v>
                </c:pt>
                <c:pt idx="96">
                  <c:v>2.1124700000000001</c:v>
                </c:pt>
                <c:pt idx="97">
                  <c:v>2.0970499999999999</c:v>
                </c:pt>
                <c:pt idx="98">
                  <c:v>2.0851100000000002</c:v>
                </c:pt>
                <c:pt idx="99">
                  <c:v>2.0710500000000001</c:v>
                </c:pt>
                <c:pt idx="100">
                  <c:v>2.0583900000000002</c:v>
                </c:pt>
                <c:pt idx="101">
                  <c:v>2.0457000000000001</c:v>
                </c:pt>
                <c:pt idx="102">
                  <c:v>2.03294</c:v>
                </c:pt>
                <c:pt idx="103">
                  <c:v>2.0229400000000002</c:v>
                </c:pt>
                <c:pt idx="104">
                  <c:v>2.01092</c:v>
                </c:pt>
                <c:pt idx="105">
                  <c:v>1.9971000000000001</c:v>
                </c:pt>
                <c:pt idx="106">
                  <c:v>1.9834299999999998</c:v>
                </c:pt>
                <c:pt idx="107">
                  <c:v>1.9698599999999999</c:v>
                </c:pt>
                <c:pt idx="108">
                  <c:v>1.9554499999999999</c:v>
                </c:pt>
                <c:pt idx="109">
                  <c:v>1.94021</c:v>
                </c:pt>
                <c:pt idx="110">
                  <c:v>1.9254899999999999</c:v>
                </c:pt>
                <c:pt idx="111">
                  <c:v>1.90889</c:v>
                </c:pt>
                <c:pt idx="112">
                  <c:v>1.8926699999999999</c:v>
                </c:pt>
                <c:pt idx="113">
                  <c:v>1.8771499999999999</c:v>
                </c:pt>
                <c:pt idx="114">
                  <c:v>1.8639000000000001</c:v>
                </c:pt>
                <c:pt idx="115">
                  <c:v>1.8523100000000001</c:v>
                </c:pt>
                <c:pt idx="116">
                  <c:v>1.8412200000000001</c:v>
                </c:pt>
                <c:pt idx="117">
                  <c:v>1.83101</c:v>
                </c:pt>
                <c:pt idx="118">
                  <c:v>1.8215300000000001</c:v>
                </c:pt>
                <c:pt idx="119">
                  <c:v>1.8109</c:v>
                </c:pt>
                <c:pt idx="120">
                  <c:v>1.8012000000000001</c:v>
                </c:pt>
                <c:pt idx="121">
                  <c:v>1.79253</c:v>
                </c:pt>
                <c:pt idx="122">
                  <c:v>1.78426</c:v>
                </c:pt>
                <c:pt idx="123">
                  <c:v>1.7744399999999998</c:v>
                </c:pt>
                <c:pt idx="124">
                  <c:v>1.7657400000000001</c:v>
                </c:pt>
                <c:pt idx="125">
                  <c:v>1.75654</c:v>
                </c:pt>
                <c:pt idx="126">
                  <c:v>1.7495499999999999</c:v>
                </c:pt>
                <c:pt idx="127">
                  <c:v>1.7420800000000001</c:v>
                </c:pt>
                <c:pt idx="128">
                  <c:v>1.7352100000000001</c:v>
                </c:pt>
                <c:pt idx="129">
                  <c:v>1.7322199999999999</c:v>
                </c:pt>
                <c:pt idx="130">
                  <c:v>1.7327999999999999</c:v>
                </c:pt>
                <c:pt idx="131">
                  <c:v>1.7333299999999998</c:v>
                </c:pt>
                <c:pt idx="132">
                  <c:v>1.73404</c:v>
                </c:pt>
                <c:pt idx="133">
                  <c:v>1.7359100000000001</c:v>
                </c:pt>
                <c:pt idx="134">
                  <c:v>1.73807</c:v>
                </c:pt>
                <c:pt idx="135">
                  <c:v>1.7419899999999999</c:v>
                </c:pt>
                <c:pt idx="136">
                  <c:v>1.7492700000000001</c:v>
                </c:pt>
                <c:pt idx="137">
                  <c:v>1.75728</c:v>
                </c:pt>
                <c:pt idx="138">
                  <c:v>1.7682200000000001</c:v>
                </c:pt>
                <c:pt idx="139">
                  <c:v>1.7753299999999999</c:v>
                </c:pt>
                <c:pt idx="140">
                  <c:v>1.7827899999999999</c:v>
                </c:pt>
                <c:pt idx="141">
                  <c:v>1.7858299999999998</c:v>
                </c:pt>
                <c:pt idx="142">
                  <c:v>1.7894699999999999</c:v>
                </c:pt>
                <c:pt idx="143">
                  <c:v>1.7949300000000001</c:v>
                </c:pt>
                <c:pt idx="144">
                  <c:v>1.8065</c:v>
                </c:pt>
                <c:pt idx="145">
                  <c:v>1.8208500000000001</c:v>
                </c:pt>
                <c:pt idx="146">
                  <c:v>1.82107</c:v>
                </c:pt>
                <c:pt idx="147">
                  <c:v>1.8251400000000002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0.404837</c:v>
                </c:pt>
                <c:pt idx="2">
                  <c:v>0.81077100000000002</c:v>
                </c:pt>
                <c:pt idx="3">
                  <c:v>1.21567</c:v>
                </c:pt>
                <c:pt idx="4">
                  <c:v>1.6197600000000001</c:v>
                </c:pt>
                <c:pt idx="5">
                  <c:v>2.03057</c:v>
                </c:pt>
                <c:pt idx="6">
                  <c:v>2.4405000000000001</c:v>
                </c:pt>
                <c:pt idx="7">
                  <c:v>2.8423699999999998</c:v>
                </c:pt>
                <c:pt idx="8">
                  <c:v>3.2472400000000001</c:v>
                </c:pt>
                <c:pt idx="9">
                  <c:v>3.6541899999999998</c:v>
                </c:pt>
                <c:pt idx="10">
                  <c:v>4.0610299999999997</c:v>
                </c:pt>
                <c:pt idx="11">
                  <c:v>4.4692699999999999</c:v>
                </c:pt>
                <c:pt idx="12">
                  <c:v>4.8705999999999996</c:v>
                </c:pt>
                <c:pt idx="13">
                  <c:v>5.2788199999999996</c:v>
                </c:pt>
                <c:pt idx="14">
                  <c:v>5.6860400000000002</c:v>
                </c:pt>
                <c:pt idx="15">
                  <c:v>6.09063</c:v>
                </c:pt>
                <c:pt idx="16">
                  <c:v>6.4995099999999999</c:v>
                </c:pt>
                <c:pt idx="17">
                  <c:v>6.9054399999999996</c:v>
                </c:pt>
                <c:pt idx="18">
                  <c:v>7.3074700000000004</c:v>
                </c:pt>
                <c:pt idx="19">
                  <c:v>7.71943</c:v>
                </c:pt>
                <c:pt idx="20">
                  <c:v>8.1261600000000005</c:v>
                </c:pt>
                <c:pt idx="21">
                  <c:v>8.5301200000000001</c:v>
                </c:pt>
                <c:pt idx="22">
                  <c:v>8.9340399999999995</c:v>
                </c:pt>
                <c:pt idx="23">
                  <c:v>9.3409200000000006</c:v>
                </c:pt>
                <c:pt idx="24">
                  <c:v>9.7489600000000003</c:v>
                </c:pt>
                <c:pt idx="25">
                  <c:v>10.151999999999999</c:v>
                </c:pt>
                <c:pt idx="26">
                  <c:v>10.5627</c:v>
                </c:pt>
                <c:pt idx="27">
                  <c:v>10.970599999999999</c:v>
                </c:pt>
                <c:pt idx="28">
                  <c:v>11.3725</c:v>
                </c:pt>
                <c:pt idx="29">
                  <c:v>11.7796</c:v>
                </c:pt>
                <c:pt idx="30">
                  <c:v>12.185600000000001</c:v>
                </c:pt>
                <c:pt idx="31">
                  <c:v>12.591200000000001</c:v>
                </c:pt>
                <c:pt idx="32">
                  <c:v>13.0001</c:v>
                </c:pt>
                <c:pt idx="33">
                  <c:v>13.4023</c:v>
                </c:pt>
                <c:pt idx="34">
                  <c:v>13.809200000000001</c:v>
                </c:pt>
                <c:pt idx="35">
                  <c:v>14.216799999999999</c:v>
                </c:pt>
                <c:pt idx="36">
                  <c:v>14.6249</c:v>
                </c:pt>
                <c:pt idx="37">
                  <c:v>15.0298</c:v>
                </c:pt>
                <c:pt idx="38">
                  <c:v>15.4358</c:v>
                </c:pt>
                <c:pt idx="39">
                  <c:v>15.841799999999999</c:v>
                </c:pt>
                <c:pt idx="40">
                  <c:v>16.247499999999999</c:v>
                </c:pt>
                <c:pt idx="41">
                  <c:v>16.656400000000001</c:v>
                </c:pt>
                <c:pt idx="42">
                  <c:v>17.063400000000001</c:v>
                </c:pt>
                <c:pt idx="43">
                  <c:v>17.466200000000001</c:v>
                </c:pt>
                <c:pt idx="44">
                  <c:v>17.870100000000001</c:v>
                </c:pt>
                <c:pt idx="45">
                  <c:v>18.280999999999999</c:v>
                </c:pt>
                <c:pt idx="46">
                  <c:v>18.684100000000001</c:v>
                </c:pt>
                <c:pt idx="47">
                  <c:v>19.0928</c:v>
                </c:pt>
                <c:pt idx="48">
                  <c:v>19.500800000000002</c:v>
                </c:pt>
                <c:pt idx="49">
                  <c:v>19.904699999999998</c:v>
                </c:pt>
                <c:pt idx="50">
                  <c:v>20.308700000000002</c:v>
                </c:pt>
                <c:pt idx="51">
                  <c:v>20.720600000000001</c:v>
                </c:pt>
                <c:pt idx="52">
                  <c:v>21.1235</c:v>
                </c:pt>
                <c:pt idx="53">
                  <c:v>21.532299999999999</c:v>
                </c:pt>
                <c:pt idx="54">
                  <c:v>21.9376</c:v>
                </c:pt>
                <c:pt idx="55">
                  <c:v>22.3385</c:v>
                </c:pt>
                <c:pt idx="56">
                  <c:v>22.7501</c:v>
                </c:pt>
                <c:pt idx="57">
                  <c:v>23.158000000000001</c:v>
                </c:pt>
                <c:pt idx="58">
                  <c:v>23.559000000000001</c:v>
                </c:pt>
                <c:pt idx="59">
                  <c:v>23.966799999999999</c:v>
                </c:pt>
                <c:pt idx="60">
                  <c:v>24.373000000000001</c:v>
                </c:pt>
                <c:pt idx="61">
                  <c:v>24.781700000000001</c:v>
                </c:pt>
                <c:pt idx="62">
                  <c:v>25.186699999999998</c:v>
                </c:pt>
                <c:pt idx="63">
                  <c:v>25.5945</c:v>
                </c:pt>
                <c:pt idx="64">
                  <c:v>25.997399999999999</c:v>
                </c:pt>
                <c:pt idx="65">
                  <c:v>26.4054</c:v>
                </c:pt>
                <c:pt idx="66">
                  <c:v>26.813300000000002</c:v>
                </c:pt>
                <c:pt idx="67">
                  <c:v>27.216100000000001</c:v>
                </c:pt>
                <c:pt idx="68">
                  <c:v>27.622</c:v>
                </c:pt>
                <c:pt idx="69">
                  <c:v>28.028099999999998</c:v>
                </c:pt>
                <c:pt idx="70">
                  <c:v>28.435099999999998</c:v>
                </c:pt>
                <c:pt idx="71">
                  <c:v>28.8428</c:v>
                </c:pt>
                <c:pt idx="72">
                  <c:v>29.250800000000002</c:v>
                </c:pt>
                <c:pt idx="73">
                  <c:v>29.652799999999999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1.3989699999999998</c:v>
                </c:pt>
                <c:pt idx="1">
                  <c:v>1.4416000000000002</c:v>
                </c:pt>
                <c:pt idx="2">
                  <c:v>1.4836399999999998</c:v>
                </c:pt>
                <c:pt idx="3">
                  <c:v>1.5213399999999999</c:v>
                </c:pt>
                <c:pt idx="4">
                  <c:v>1.5548799999999998</c:v>
                </c:pt>
                <c:pt idx="5">
                  <c:v>1.58758</c:v>
                </c:pt>
                <c:pt idx="6">
                  <c:v>1.6215299999999999</c:v>
                </c:pt>
                <c:pt idx="7">
                  <c:v>1.6544700000000001</c:v>
                </c:pt>
                <c:pt idx="8">
                  <c:v>1.68987</c:v>
                </c:pt>
                <c:pt idx="9">
                  <c:v>1.7253399999999999</c:v>
                </c:pt>
                <c:pt idx="10">
                  <c:v>1.7610000000000001</c:v>
                </c:pt>
                <c:pt idx="11">
                  <c:v>1.7937400000000001</c:v>
                </c:pt>
                <c:pt idx="12">
                  <c:v>1.82372</c:v>
                </c:pt>
                <c:pt idx="13">
                  <c:v>1.85036</c:v>
                </c:pt>
                <c:pt idx="14">
                  <c:v>1.8720800000000002</c:v>
                </c:pt>
                <c:pt idx="15">
                  <c:v>1.8911</c:v>
                </c:pt>
                <c:pt idx="16">
                  <c:v>1.9101999999999999</c:v>
                </c:pt>
                <c:pt idx="17">
                  <c:v>1.9261300000000001</c:v>
                </c:pt>
                <c:pt idx="18">
                  <c:v>1.9393899999999999</c:v>
                </c:pt>
                <c:pt idx="19">
                  <c:v>1.9513</c:v>
                </c:pt>
                <c:pt idx="20">
                  <c:v>1.96187</c:v>
                </c:pt>
                <c:pt idx="21">
                  <c:v>1.9708999999999999</c:v>
                </c:pt>
                <c:pt idx="22">
                  <c:v>1.97786</c:v>
                </c:pt>
                <c:pt idx="23">
                  <c:v>1.9843199999999999</c:v>
                </c:pt>
                <c:pt idx="24">
                  <c:v>1.9919700000000002</c:v>
                </c:pt>
                <c:pt idx="25">
                  <c:v>1.9984299999999999</c:v>
                </c:pt>
                <c:pt idx="26">
                  <c:v>2.0076200000000002</c:v>
                </c:pt>
                <c:pt idx="27">
                  <c:v>2.01898</c:v>
                </c:pt>
                <c:pt idx="28">
                  <c:v>2.0323899999999999</c:v>
                </c:pt>
                <c:pt idx="29">
                  <c:v>2.0483799999999999</c:v>
                </c:pt>
                <c:pt idx="30">
                  <c:v>2.06447</c:v>
                </c:pt>
                <c:pt idx="31">
                  <c:v>2.07951</c:v>
                </c:pt>
                <c:pt idx="32">
                  <c:v>2.09382</c:v>
                </c:pt>
                <c:pt idx="33">
                  <c:v>2.1085400000000001</c:v>
                </c:pt>
                <c:pt idx="34">
                  <c:v>2.1184099999999999</c:v>
                </c:pt>
                <c:pt idx="35">
                  <c:v>2.1275200000000001</c:v>
                </c:pt>
                <c:pt idx="36">
                  <c:v>2.1380300000000001</c:v>
                </c:pt>
                <c:pt idx="37">
                  <c:v>2.1478199999999998</c:v>
                </c:pt>
                <c:pt idx="38">
                  <c:v>2.1601900000000001</c:v>
                </c:pt>
                <c:pt idx="39">
                  <c:v>2.1726899999999998</c:v>
                </c:pt>
                <c:pt idx="40">
                  <c:v>2.1876899999999999</c:v>
                </c:pt>
                <c:pt idx="41">
                  <c:v>2.20391</c:v>
                </c:pt>
                <c:pt idx="42">
                  <c:v>2.2202500000000001</c:v>
                </c:pt>
                <c:pt idx="43">
                  <c:v>2.2387600000000001</c:v>
                </c:pt>
                <c:pt idx="44">
                  <c:v>2.25536</c:v>
                </c:pt>
                <c:pt idx="45">
                  <c:v>2.2697000000000003</c:v>
                </c:pt>
                <c:pt idx="46">
                  <c:v>2.28451</c:v>
                </c:pt>
                <c:pt idx="47">
                  <c:v>2.3024</c:v>
                </c:pt>
                <c:pt idx="48">
                  <c:v>2.3197700000000001</c:v>
                </c:pt>
                <c:pt idx="49">
                  <c:v>2.33474</c:v>
                </c:pt>
                <c:pt idx="50">
                  <c:v>2.3476499999999998</c:v>
                </c:pt>
                <c:pt idx="51">
                  <c:v>2.3633000000000002</c:v>
                </c:pt>
                <c:pt idx="52">
                  <c:v>2.3722099999999999</c:v>
                </c:pt>
                <c:pt idx="53">
                  <c:v>2.3826200000000002</c:v>
                </c:pt>
                <c:pt idx="54">
                  <c:v>2.39161</c:v>
                </c:pt>
                <c:pt idx="55">
                  <c:v>2.39934</c:v>
                </c:pt>
                <c:pt idx="56">
                  <c:v>2.4155600000000002</c:v>
                </c:pt>
                <c:pt idx="57">
                  <c:v>2.4264999999999999</c:v>
                </c:pt>
                <c:pt idx="58">
                  <c:v>2.4314399999999998</c:v>
                </c:pt>
                <c:pt idx="59">
                  <c:v>2.4408500000000002</c:v>
                </c:pt>
                <c:pt idx="60">
                  <c:v>2.4456800000000003</c:v>
                </c:pt>
                <c:pt idx="61">
                  <c:v>2.4506000000000001</c:v>
                </c:pt>
                <c:pt idx="62">
                  <c:v>2.45614</c:v>
                </c:pt>
                <c:pt idx="63">
                  <c:v>2.4645000000000001</c:v>
                </c:pt>
                <c:pt idx="64">
                  <c:v>2.46936</c:v>
                </c:pt>
                <c:pt idx="65">
                  <c:v>2.4718599999999999</c:v>
                </c:pt>
                <c:pt idx="66">
                  <c:v>2.4722300000000001</c:v>
                </c:pt>
                <c:pt idx="67">
                  <c:v>2.47329</c:v>
                </c:pt>
                <c:pt idx="68">
                  <c:v>2.4678499999999999</c:v>
                </c:pt>
                <c:pt idx="69">
                  <c:v>2.4678499999999999</c:v>
                </c:pt>
                <c:pt idx="70">
                  <c:v>2.4628900000000002</c:v>
                </c:pt>
                <c:pt idx="71">
                  <c:v>2.46069</c:v>
                </c:pt>
                <c:pt idx="72">
                  <c:v>2.4571100000000001</c:v>
                </c:pt>
                <c:pt idx="73">
                  <c:v>2.4553600000000002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30.061499999999999</c:v>
                </c:pt>
                <c:pt idx="2">
                  <c:v>30.517299999999999</c:v>
                </c:pt>
                <c:pt idx="3">
                  <c:v>30.920200000000001</c:v>
                </c:pt>
                <c:pt idx="4">
                  <c:v>31.3262</c:v>
                </c:pt>
                <c:pt idx="5">
                  <c:v>31.732600000000001</c:v>
                </c:pt>
                <c:pt idx="6">
                  <c:v>32.140999999999998</c:v>
                </c:pt>
                <c:pt idx="7">
                  <c:v>32.545999999999999</c:v>
                </c:pt>
                <c:pt idx="8">
                  <c:v>32.953800000000001</c:v>
                </c:pt>
                <c:pt idx="9">
                  <c:v>33.355800000000002</c:v>
                </c:pt>
                <c:pt idx="10">
                  <c:v>33.7607</c:v>
                </c:pt>
                <c:pt idx="11">
                  <c:v>34.165700000000001</c:v>
                </c:pt>
                <c:pt idx="12">
                  <c:v>34.576500000000003</c:v>
                </c:pt>
                <c:pt idx="13">
                  <c:v>34.983499999999999</c:v>
                </c:pt>
                <c:pt idx="14">
                  <c:v>35.3874</c:v>
                </c:pt>
                <c:pt idx="15">
                  <c:v>35.791200000000003</c:v>
                </c:pt>
                <c:pt idx="16">
                  <c:v>36.203600000000002</c:v>
                </c:pt>
                <c:pt idx="17">
                  <c:v>36.608400000000003</c:v>
                </c:pt>
                <c:pt idx="18">
                  <c:v>37.014000000000003</c:v>
                </c:pt>
                <c:pt idx="19">
                  <c:v>37.4178</c:v>
                </c:pt>
                <c:pt idx="20">
                  <c:v>37.824800000000003</c:v>
                </c:pt>
                <c:pt idx="21">
                  <c:v>38.233800000000002</c:v>
                </c:pt>
                <c:pt idx="22">
                  <c:v>38.640599999999999</c:v>
                </c:pt>
                <c:pt idx="23">
                  <c:v>39.043599999999998</c:v>
                </c:pt>
                <c:pt idx="24">
                  <c:v>39.450400000000002</c:v>
                </c:pt>
                <c:pt idx="25">
                  <c:v>39.856400000000001</c:v>
                </c:pt>
                <c:pt idx="26">
                  <c:v>40.262300000000003</c:v>
                </c:pt>
                <c:pt idx="27">
                  <c:v>40.674199999999999</c:v>
                </c:pt>
                <c:pt idx="28">
                  <c:v>41.080100000000002</c:v>
                </c:pt>
                <c:pt idx="29">
                  <c:v>41.482999999999997</c:v>
                </c:pt>
                <c:pt idx="30">
                  <c:v>41.889099999999999</c:v>
                </c:pt>
                <c:pt idx="31">
                  <c:v>42.294800000000002</c:v>
                </c:pt>
                <c:pt idx="32">
                  <c:v>42.702800000000003</c:v>
                </c:pt>
                <c:pt idx="33">
                  <c:v>43.1096</c:v>
                </c:pt>
                <c:pt idx="34">
                  <c:v>43.514499999999998</c:v>
                </c:pt>
                <c:pt idx="35">
                  <c:v>43.918700000000001</c:v>
                </c:pt>
                <c:pt idx="36">
                  <c:v>44.328400000000002</c:v>
                </c:pt>
                <c:pt idx="37">
                  <c:v>44.734299999999998</c:v>
                </c:pt>
                <c:pt idx="38">
                  <c:v>45.139299999999999</c:v>
                </c:pt>
                <c:pt idx="39">
                  <c:v>45.548099999999998</c:v>
                </c:pt>
                <c:pt idx="40">
                  <c:v>45.95</c:v>
                </c:pt>
                <c:pt idx="41">
                  <c:v>46.359099999999998</c:v>
                </c:pt>
                <c:pt idx="42">
                  <c:v>46.765900000000002</c:v>
                </c:pt>
                <c:pt idx="43">
                  <c:v>47.172699999999999</c:v>
                </c:pt>
                <c:pt idx="44">
                  <c:v>47.576700000000002</c:v>
                </c:pt>
                <c:pt idx="45">
                  <c:v>47.9846</c:v>
                </c:pt>
                <c:pt idx="46">
                  <c:v>48.3887</c:v>
                </c:pt>
                <c:pt idx="47">
                  <c:v>48.796500000000002</c:v>
                </c:pt>
                <c:pt idx="48">
                  <c:v>49.209299999999999</c:v>
                </c:pt>
                <c:pt idx="49">
                  <c:v>49.6083</c:v>
                </c:pt>
                <c:pt idx="50">
                  <c:v>50.0122</c:v>
                </c:pt>
                <c:pt idx="51">
                  <c:v>50.421599999999998</c:v>
                </c:pt>
                <c:pt idx="52">
                  <c:v>50.825000000000003</c:v>
                </c:pt>
                <c:pt idx="53">
                  <c:v>51.234000000000002</c:v>
                </c:pt>
                <c:pt idx="54">
                  <c:v>51.640900000000002</c:v>
                </c:pt>
                <c:pt idx="55">
                  <c:v>52.042700000000004</c:v>
                </c:pt>
                <c:pt idx="56">
                  <c:v>52.450699999999998</c:v>
                </c:pt>
                <c:pt idx="57">
                  <c:v>52.857599999999998</c:v>
                </c:pt>
                <c:pt idx="58">
                  <c:v>53.263599999999997</c:v>
                </c:pt>
                <c:pt idx="59">
                  <c:v>53.670299999999997</c:v>
                </c:pt>
                <c:pt idx="60">
                  <c:v>54.074300000000001</c:v>
                </c:pt>
                <c:pt idx="61">
                  <c:v>54.482300000000002</c:v>
                </c:pt>
                <c:pt idx="62">
                  <c:v>54.892099999999999</c:v>
                </c:pt>
                <c:pt idx="63">
                  <c:v>55.295099999999998</c:v>
                </c:pt>
                <c:pt idx="64">
                  <c:v>55.702399999999997</c:v>
                </c:pt>
                <c:pt idx="65">
                  <c:v>56.110900000000001</c:v>
                </c:pt>
                <c:pt idx="66">
                  <c:v>56.516800000000003</c:v>
                </c:pt>
                <c:pt idx="67">
                  <c:v>56.919699999999999</c:v>
                </c:pt>
                <c:pt idx="68">
                  <c:v>57.325600000000001</c:v>
                </c:pt>
                <c:pt idx="69">
                  <c:v>57.735900000000001</c:v>
                </c:pt>
                <c:pt idx="70">
                  <c:v>58.141800000000003</c:v>
                </c:pt>
                <c:pt idx="71">
                  <c:v>58.545699999999997</c:v>
                </c:pt>
                <c:pt idx="72">
                  <c:v>58.952599999999997</c:v>
                </c:pt>
                <c:pt idx="73">
                  <c:v>59.359200000000001</c:v>
                </c:pt>
                <c:pt idx="74">
                  <c:v>59.7652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2.4553600000000002</c:v>
                </c:pt>
                <c:pt idx="1">
                  <c:v>2.44692</c:v>
                </c:pt>
                <c:pt idx="2">
                  <c:v>2.4397500000000001</c:v>
                </c:pt>
                <c:pt idx="3">
                  <c:v>2.4292400000000001</c:v>
                </c:pt>
                <c:pt idx="4">
                  <c:v>2.4195700000000002</c:v>
                </c:pt>
                <c:pt idx="5">
                  <c:v>2.4119199999999998</c:v>
                </c:pt>
                <c:pt idx="6">
                  <c:v>2.4028200000000002</c:v>
                </c:pt>
                <c:pt idx="7">
                  <c:v>2.3898099999999998</c:v>
                </c:pt>
                <c:pt idx="8">
                  <c:v>2.3742000000000001</c:v>
                </c:pt>
                <c:pt idx="9">
                  <c:v>2.35791</c:v>
                </c:pt>
                <c:pt idx="10">
                  <c:v>2.3403900000000002</c:v>
                </c:pt>
                <c:pt idx="11">
                  <c:v>2.3253900000000001</c:v>
                </c:pt>
                <c:pt idx="12">
                  <c:v>2.3090299999999999</c:v>
                </c:pt>
                <c:pt idx="13">
                  <c:v>2.2911699999999997</c:v>
                </c:pt>
                <c:pt idx="14">
                  <c:v>2.2713299999999998</c:v>
                </c:pt>
                <c:pt idx="15">
                  <c:v>2.2497400000000001</c:v>
                </c:pt>
                <c:pt idx="16">
                  <c:v>2.2292200000000002</c:v>
                </c:pt>
                <c:pt idx="17">
                  <c:v>2.2101600000000001</c:v>
                </c:pt>
                <c:pt idx="18">
                  <c:v>2.19184</c:v>
                </c:pt>
                <c:pt idx="19">
                  <c:v>2.1748099999999999</c:v>
                </c:pt>
                <c:pt idx="20">
                  <c:v>2.1586600000000002</c:v>
                </c:pt>
                <c:pt idx="21">
                  <c:v>2.1427899999999998</c:v>
                </c:pt>
                <c:pt idx="22">
                  <c:v>2.1276800000000002</c:v>
                </c:pt>
                <c:pt idx="23">
                  <c:v>2.1124700000000001</c:v>
                </c:pt>
                <c:pt idx="24">
                  <c:v>2.0970499999999999</c:v>
                </c:pt>
                <c:pt idx="25">
                  <c:v>2.0851100000000002</c:v>
                </c:pt>
                <c:pt idx="26">
                  <c:v>2.0710500000000001</c:v>
                </c:pt>
                <c:pt idx="27">
                  <c:v>2.0583900000000002</c:v>
                </c:pt>
                <c:pt idx="28">
                  <c:v>2.0457000000000001</c:v>
                </c:pt>
                <c:pt idx="29">
                  <c:v>2.03294</c:v>
                </c:pt>
                <c:pt idx="30">
                  <c:v>2.0229400000000002</c:v>
                </c:pt>
                <c:pt idx="31">
                  <c:v>2.01092</c:v>
                </c:pt>
                <c:pt idx="32">
                  <c:v>1.9971000000000001</c:v>
                </c:pt>
                <c:pt idx="33">
                  <c:v>1.9834299999999998</c:v>
                </c:pt>
                <c:pt idx="34">
                  <c:v>1.9698599999999999</c:v>
                </c:pt>
                <c:pt idx="35">
                  <c:v>1.9554499999999999</c:v>
                </c:pt>
                <c:pt idx="36">
                  <c:v>1.94021</c:v>
                </c:pt>
                <c:pt idx="37">
                  <c:v>1.9254899999999999</c:v>
                </c:pt>
                <c:pt idx="38">
                  <c:v>1.90889</c:v>
                </c:pt>
                <c:pt idx="39">
                  <c:v>1.8926699999999999</c:v>
                </c:pt>
                <c:pt idx="40">
                  <c:v>1.8771499999999999</c:v>
                </c:pt>
                <c:pt idx="41">
                  <c:v>1.8639000000000001</c:v>
                </c:pt>
                <c:pt idx="42">
                  <c:v>1.8523100000000001</c:v>
                </c:pt>
                <c:pt idx="43">
                  <c:v>1.8412200000000001</c:v>
                </c:pt>
                <c:pt idx="44">
                  <c:v>1.83101</c:v>
                </c:pt>
                <c:pt idx="45">
                  <c:v>1.8215300000000001</c:v>
                </c:pt>
                <c:pt idx="46">
                  <c:v>1.8109</c:v>
                </c:pt>
                <c:pt idx="47">
                  <c:v>1.8012000000000001</c:v>
                </c:pt>
                <c:pt idx="48">
                  <c:v>1.79253</c:v>
                </c:pt>
                <c:pt idx="49">
                  <c:v>1.78426</c:v>
                </c:pt>
                <c:pt idx="50">
                  <c:v>1.7744399999999998</c:v>
                </c:pt>
                <c:pt idx="51">
                  <c:v>1.7657400000000001</c:v>
                </c:pt>
                <c:pt idx="52">
                  <c:v>1.75654</c:v>
                </c:pt>
                <c:pt idx="53">
                  <c:v>1.7495499999999999</c:v>
                </c:pt>
                <c:pt idx="54">
                  <c:v>1.7420800000000001</c:v>
                </c:pt>
                <c:pt idx="55">
                  <c:v>1.7352100000000001</c:v>
                </c:pt>
                <c:pt idx="56">
                  <c:v>1.7322199999999999</c:v>
                </c:pt>
                <c:pt idx="57">
                  <c:v>1.7327999999999999</c:v>
                </c:pt>
                <c:pt idx="58">
                  <c:v>1.7333299999999998</c:v>
                </c:pt>
                <c:pt idx="59">
                  <c:v>1.73404</c:v>
                </c:pt>
                <c:pt idx="60">
                  <c:v>1.7359100000000001</c:v>
                </c:pt>
                <c:pt idx="61">
                  <c:v>1.73807</c:v>
                </c:pt>
                <c:pt idx="62">
                  <c:v>1.7419899999999999</c:v>
                </c:pt>
                <c:pt idx="63">
                  <c:v>1.7492700000000001</c:v>
                </c:pt>
                <c:pt idx="64">
                  <c:v>1.75728</c:v>
                </c:pt>
                <c:pt idx="65">
                  <c:v>1.7682200000000001</c:v>
                </c:pt>
                <c:pt idx="66">
                  <c:v>1.7753299999999999</c:v>
                </c:pt>
                <c:pt idx="67">
                  <c:v>1.7827899999999999</c:v>
                </c:pt>
                <c:pt idx="68">
                  <c:v>1.7858299999999998</c:v>
                </c:pt>
                <c:pt idx="69">
                  <c:v>1.7894699999999999</c:v>
                </c:pt>
                <c:pt idx="70">
                  <c:v>1.7949300000000001</c:v>
                </c:pt>
                <c:pt idx="71">
                  <c:v>1.8065</c:v>
                </c:pt>
                <c:pt idx="72">
                  <c:v>1.8208500000000001</c:v>
                </c:pt>
                <c:pt idx="73">
                  <c:v>1.82107</c:v>
                </c:pt>
                <c:pt idx="74">
                  <c:v>1.8251400000000002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14.9413</c:v>
                </c:pt>
                <c:pt idx="1">
                  <c:v>44.823900000000002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2.1171018918918909</c:v>
                </c:pt>
                <c:pt idx="1">
                  <c:v>1.989576081081081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0.404837</c:v>
                </c:pt>
                <c:pt idx="2">
                  <c:v>0.81077100000000002</c:v>
                </c:pt>
                <c:pt idx="3">
                  <c:v>1.21567</c:v>
                </c:pt>
                <c:pt idx="4">
                  <c:v>1.6197600000000001</c:v>
                </c:pt>
                <c:pt idx="5">
                  <c:v>2.03057</c:v>
                </c:pt>
                <c:pt idx="6">
                  <c:v>2.4405000000000001</c:v>
                </c:pt>
                <c:pt idx="7">
                  <c:v>2.8423699999999998</c:v>
                </c:pt>
                <c:pt idx="8">
                  <c:v>3.2472400000000001</c:v>
                </c:pt>
                <c:pt idx="9">
                  <c:v>3.6541899999999998</c:v>
                </c:pt>
                <c:pt idx="10">
                  <c:v>4.0610299999999997</c:v>
                </c:pt>
                <c:pt idx="11">
                  <c:v>4.4692699999999999</c:v>
                </c:pt>
                <c:pt idx="12">
                  <c:v>4.8705999999999996</c:v>
                </c:pt>
                <c:pt idx="13">
                  <c:v>5.2788199999999996</c:v>
                </c:pt>
                <c:pt idx="14">
                  <c:v>5.6860400000000002</c:v>
                </c:pt>
                <c:pt idx="15">
                  <c:v>6.09063</c:v>
                </c:pt>
                <c:pt idx="16">
                  <c:v>6.4995099999999999</c:v>
                </c:pt>
                <c:pt idx="17">
                  <c:v>6.9054399999999996</c:v>
                </c:pt>
                <c:pt idx="18">
                  <c:v>7.3074700000000004</c:v>
                </c:pt>
                <c:pt idx="19">
                  <c:v>7.71943</c:v>
                </c:pt>
                <c:pt idx="20">
                  <c:v>8.1261600000000005</c:v>
                </c:pt>
                <c:pt idx="21">
                  <c:v>8.5301200000000001</c:v>
                </c:pt>
                <c:pt idx="22">
                  <c:v>8.9340399999999995</c:v>
                </c:pt>
                <c:pt idx="23">
                  <c:v>9.3409200000000006</c:v>
                </c:pt>
                <c:pt idx="24">
                  <c:v>9.7489600000000003</c:v>
                </c:pt>
                <c:pt idx="25">
                  <c:v>10.151999999999999</c:v>
                </c:pt>
                <c:pt idx="26">
                  <c:v>10.5627</c:v>
                </c:pt>
                <c:pt idx="27">
                  <c:v>10.970599999999999</c:v>
                </c:pt>
                <c:pt idx="28">
                  <c:v>11.3725</c:v>
                </c:pt>
                <c:pt idx="29">
                  <c:v>11.7796</c:v>
                </c:pt>
                <c:pt idx="30">
                  <c:v>12.185600000000001</c:v>
                </c:pt>
                <c:pt idx="31">
                  <c:v>12.591200000000001</c:v>
                </c:pt>
                <c:pt idx="32">
                  <c:v>13.0001</c:v>
                </c:pt>
                <c:pt idx="33">
                  <c:v>13.4023</c:v>
                </c:pt>
                <c:pt idx="34">
                  <c:v>13.809200000000001</c:v>
                </c:pt>
                <c:pt idx="35">
                  <c:v>14.216799999999999</c:v>
                </c:pt>
                <c:pt idx="36">
                  <c:v>14.6249</c:v>
                </c:pt>
                <c:pt idx="37">
                  <c:v>15.0298</c:v>
                </c:pt>
                <c:pt idx="38">
                  <c:v>15.4358</c:v>
                </c:pt>
                <c:pt idx="39">
                  <c:v>15.841799999999999</c:v>
                </c:pt>
                <c:pt idx="40">
                  <c:v>16.247499999999999</c:v>
                </c:pt>
                <c:pt idx="41">
                  <c:v>16.656400000000001</c:v>
                </c:pt>
                <c:pt idx="42">
                  <c:v>17.063400000000001</c:v>
                </c:pt>
                <c:pt idx="43">
                  <c:v>17.466200000000001</c:v>
                </c:pt>
                <c:pt idx="44">
                  <c:v>17.870100000000001</c:v>
                </c:pt>
                <c:pt idx="45">
                  <c:v>18.280999999999999</c:v>
                </c:pt>
                <c:pt idx="46">
                  <c:v>18.684100000000001</c:v>
                </c:pt>
                <c:pt idx="47">
                  <c:v>19.0928</c:v>
                </c:pt>
                <c:pt idx="48">
                  <c:v>19.500800000000002</c:v>
                </c:pt>
                <c:pt idx="49">
                  <c:v>19.904699999999998</c:v>
                </c:pt>
                <c:pt idx="50">
                  <c:v>20.308700000000002</c:v>
                </c:pt>
                <c:pt idx="51">
                  <c:v>20.720600000000001</c:v>
                </c:pt>
                <c:pt idx="52">
                  <c:v>21.1235</c:v>
                </c:pt>
                <c:pt idx="53">
                  <c:v>21.532299999999999</c:v>
                </c:pt>
                <c:pt idx="54">
                  <c:v>21.9376</c:v>
                </c:pt>
                <c:pt idx="55">
                  <c:v>22.3385</c:v>
                </c:pt>
                <c:pt idx="56">
                  <c:v>22.7501</c:v>
                </c:pt>
                <c:pt idx="57">
                  <c:v>23.158000000000001</c:v>
                </c:pt>
                <c:pt idx="58">
                  <c:v>23.559000000000001</c:v>
                </c:pt>
                <c:pt idx="59">
                  <c:v>23.966799999999999</c:v>
                </c:pt>
                <c:pt idx="60">
                  <c:v>24.373000000000001</c:v>
                </c:pt>
                <c:pt idx="61">
                  <c:v>24.781700000000001</c:v>
                </c:pt>
                <c:pt idx="62">
                  <c:v>25.186699999999998</c:v>
                </c:pt>
                <c:pt idx="63">
                  <c:v>25.5945</c:v>
                </c:pt>
                <c:pt idx="64">
                  <c:v>25.997399999999999</c:v>
                </c:pt>
                <c:pt idx="65">
                  <c:v>26.4054</c:v>
                </c:pt>
                <c:pt idx="66">
                  <c:v>26.813300000000002</c:v>
                </c:pt>
                <c:pt idx="67">
                  <c:v>27.216100000000001</c:v>
                </c:pt>
                <c:pt idx="68">
                  <c:v>27.622</c:v>
                </c:pt>
                <c:pt idx="69">
                  <c:v>28.028099999999998</c:v>
                </c:pt>
                <c:pt idx="70">
                  <c:v>28.435099999999998</c:v>
                </c:pt>
                <c:pt idx="71">
                  <c:v>28.8428</c:v>
                </c:pt>
                <c:pt idx="72">
                  <c:v>29.250800000000002</c:v>
                </c:pt>
                <c:pt idx="73">
                  <c:v>29.652799999999999</c:v>
                </c:pt>
                <c:pt idx="74">
                  <c:v>30.061499999999999</c:v>
                </c:pt>
                <c:pt idx="75">
                  <c:v>30.517299999999999</c:v>
                </c:pt>
                <c:pt idx="76">
                  <c:v>30.920200000000001</c:v>
                </c:pt>
                <c:pt idx="77">
                  <c:v>31.3262</c:v>
                </c:pt>
                <c:pt idx="78">
                  <c:v>31.732600000000001</c:v>
                </c:pt>
                <c:pt idx="79">
                  <c:v>32.140999999999998</c:v>
                </c:pt>
                <c:pt idx="80">
                  <c:v>32.545999999999999</c:v>
                </c:pt>
                <c:pt idx="81">
                  <c:v>32.953800000000001</c:v>
                </c:pt>
                <c:pt idx="82">
                  <c:v>33.355800000000002</c:v>
                </c:pt>
                <c:pt idx="83">
                  <c:v>33.7607</c:v>
                </c:pt>
                <c:pt idx="84">
                  <c:v>34.165700000000001</c:v>
                </c:pt>
                <c:pt idx="85">
                  <c:v>34.576500000000003</c:v>
                </c:pt>
                <c:pt idx="86">
                  <c:v>34.983499999999999</c:v>
                </c:pt>
                <c:pt idx="87">
                  <c:v>35.3874</c:v>
                </c:pt>
                <c:pt idx="88">
                  <c:v>35.791200000000003</c:v>
                </c:pt>
                <c:pt idx="89">
                  <c:v>36.203600000000002</c:v>
                </c:pt>
                <c:pt idx="90">
                  <c:v>36.608400000000003</c:v>
                </c:pt>
                <c:pt idx="91">
                  <c:v>37.014000000000003</c:v>
                </c:pt>
                <c:pt idx="92">
                  <c:v>37.4178</c:v>
                </c:pt>
                <c:pt idx="93">
                  <c:v>37.824800000000003</c:v>
                </c:pt>
                <c:pt idx="94">
                  <c:v>38.233800000000002</c:v>
                </c:pt>
                <c:pt idx="95">
                  <c:v>38.640599999999999</c:v>
                </c:pt>
                <c:pt idx="96">
                  <c:v>39.043599999999998</c:v>
                </c:pt>
                <c:pt idx="97">
                  <c:v>39.450400000000002</c:v>
                </c:pt>
                <c:pt idx="98">
                  <c:v>39.856400000000001</c:v>
                </c:pt>
                <c:pt idx="99">
                  <c:v>40.262300000000003</c:v>
                </c:pt>
                <c:pt idx="100">
                  <c:v>40.674199999999999</c:v>
                </c:pt>
                <c:pt idx="101">
                  <c:v>41.080100000000002</c:v>
                </c:pt>
                <c:pt idx="102">
                  <c:v>41.482999999999997</c:v>
                </c:pt>
                <c:pt idx="103">
                  <c:v>41.889099999999999</c:v>
                </c:pt>
                <c:pt idx="104">
                  <c:v>42.294800000000002</c:v>
                </c:pt>
                <c:pt idx="105">
                  <c:v>42.702800000000003</c:v>
                </c:pt>
                <c:pt idx="106">
                  <c:v>43.1096</c:v>
                </c:pt>
                <c:pt idx="107">
                  <c:v>43.514499999999998</c:v>
                </c:pt>
                <c:pt idx="108">
                  <c:v>43.918700000000001</c:v>
                </c:pt>
                <c:pt idx="109">
                  <c:v>44.328400000000002</c:v>
                </c:pt>
                <c:pt idx="110">
                  <c:v>44.734299999999998</c:v>
                </c:pt>
                <c:pt idx="111">
                  <c:v>45.139299999999999</c:v>
                </c:pt>
                <c:pt idx="112">
                  <c:v>45.548099999999998</c:v>
                </c:pt>
                <c:pt idx="113">
                  <c:v>45.95</c:v>
                </c:pt>
                <c:pt idx="114">
                  <c:v>46.359099999999998</c:v>
                </c:pt>
                <c:pt idx="115">
                  <c:v>46.765900000000002</c:v>
                </c:pt>
                <c:pt idx="116">
                  <c:v>47.172699999999999</c:v>
                </c:pt>
                <c:pt idx="117">
                  <c:v>47.576700000000002</c:v>
                </c:pt>
                <c:pt idx="118">
                  <c:v>47.9846</c:v>
                </c:pt>
                <c:pt idx="119">
                  <c:v>48.3887</c:v>
                </c:pt>
                <c:pt idx="120">
                  <c:v>48.796500000000002</c:v>
                </c:pt>
                <c:pt idx="121">
                  <c:v>49.209299999999999</c:v>
                </c:pt>
                <c:pt idx="122">
                  <c:v>49.6083</c:v>
                </c:pt>
                <c:pt idx="123">
                  <c:v>50.0122</c:v>
                </c:pt>
                <c:pt idx="124">
                  <c:v>50.421599999999998</c:v>
                </c:pt>
                <c:pt idx="125">
                  <c:v>50.825000000000003</c:v>
                </c:pt>
                <c:pt idx="126">
                  <c:v>51.234000000000002</c:v>
                </c:pt>
                <c:pt idx="127">
                  <c:v>51.640900000000002</c:v>
                </c:pt>
                <c:pt idx="128">
                  <c:v>52.042700000000004</c:v>
                </c:pt>
                <c:pt idx="129">
                  <c:v>52.450699999999998</c:v>
                </c:pt>
                <c:pt idx="130">
                  <c:v>52.857599999999998</c:v>
                </c:pt>
                <c:pt idx="131">
                  <c:v>53.263599999999997</c:v>
                </c:pt>
                <c:pt idx="132">
                  <c:v>53.670299999999997</c:v>
                </c:pt>
                <c:pt idx="133">
                  <c:v>54.074300000000001</c:v>
                </c:pt>
                <c:pt idx="134">
                  <c:v>54.482300000000002</c:v>
                </c:pt>
                <c:pt idx="135">
                  <c:v>54.892099999999999</c:v>
                </c:pt>
                <c:pt idx="136">
                  <c:v>55.295099999999998</c:v>
                </c:pt>
                <c:pt idx="137">
                  <c:v>55.702399999999997</c:v>
                </c:pt>
                <c:pt idx="138">
                  <c:v>56.110900000000001</c:v>
                </c:pt>
                <c:pt idx="139">
                  <c:v>56.516800000000003</c:v>
                </c:pt>
                <c:pt idx="140">
                  <c:v>56.919699999999999</c:v>
                </c:pt>
                <c:pt idx="141">
                  <c:v>57.325600000000001</c:v>
                </c:pt>
                <c:pt idx="142">
                  <c:v>57.735900000000001</c:v>
                </c:pt>
                <c:pt idx="143">
                  <c:v>58.141800000000003</c:v>
                </c:pt>
                <c:pt idx="144">
                  <c:v>58.545699999999997</c:v>
                </c:pt>
                <c:pt idx="145">
                  <c:v>58.952599999999997</c:v>
                </c:pt>
                <c:pt idx="146">
                  <c:v>59.359200000000001</c:v>
                </c:pt>
                <c:pt idx="147">
                  <c:v>59.7652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61.722299999999997</c:v>
                </c:pt>
                <c:pt idx="1">
                  <c:v>60.915399999999998</c:v>
                </c:pt>
                <c:pt idx="2">
                  <c:v>60.197299999999998</c:v>
                </c:pt>
                <c:pt idx="3">
                  <c:v>59.615499999999997</c:v>
                </c:pt>
                <c:pt idx="4">
                  <c:v>59.124500000000005</c:v>
                </c:pt>
                <c:pt idx="5">
                  <c:v>58.653700000000001</c:v>
                </c:pt>
                <c:pt idx="6">
                  <c:v>58.140999999999998</c:v>
                </c:pt>
                <c:pt idx="7">
                  <c:v>57.635899999999992</c:v>
                </c:pt>
                <c:pt idx="8">
                  <c:v>57.010400000000004</c:v>
                </c:pt>
                <c:pt idx="9">
                  <c:v>56.278199999999998</c:v>
                </c:pt>
                <c:pt idx="10">
                  <c:v>55.474299999999999</c:v>
                </c:pt>
                <c:pt idx="11">
                  <c:v>54.737700000000004</c:v>
                </c:pt>
                <c:pt idx="12">
                  <c:v>54.037999999999997</c:v>
                </c:pt>
                <c:pt idx="13">
                  <c:v>53.479100000000003</c:v>
                </c:pt>
                <c:pt idx="14">
                  <c:v>53.043199999999999</c:v>
                </c:pt>
                <c:pt idx="15">
                  <c:v>52.695</c:v>
                </c:pt>
                <c:pt idx="16">
                  <c:v>52.373899999999992</c:v>
                </c:pt>
                <c:pt idx="17">
                  <c:v>52.143799999999999</c:v>
                </c:pt>
                <c:pt idx="18">
                  <c:v>51.941700000000004</c:v>
                </c:pt>
                <c:pt idx="19">
                  <c:v>51.747399999999999</c:v>
                </c:pt>
                <c:pt idx="20">
                  <c:v>51.5505</c:v>
                </c:pt>
                <c:pt idx="21">
                  <c:v>51.382099999999994</c:v>
                </c:pt>
                <c:pt idx="22">
                  <c:v>51.248699999999999</c:v>
                </c:pt>
                <c:pt idx="23">
                  <c:v>51.145300000000006</c:v>
                </c:pt>
                <c:pt idx="24">
                  <c:v>51.042000000000002</c:v>
                </c:pt>
                <c:pt idx="25">
                  <c:v>50.933900000000001</c:v>
                </c:pt>
                <c:pt idx="26">
                  <c:v>50.770299999999999</c:v>
                </c:pt>
                <c:pt idx="27">
                  <c:v>50.564900000000002</c:v>
                </c:pt>
                <c:pt idx="28">
                  <c:v>50.470700000000001</c:v>
                </c:pt>
                <c:pt idx="29">
                  <c:v>50.316200000000002</c:v>
                </c:pt>
                <c:pt idx="30">
                  <c:v>50.145200000000003</c:v>
                </c:pt>
                <c:pt idx="31">
                  <c:v>49.954999999999998</c:v>
                </c:pt>
                <c:pt idx="32">
                  <c:v>49.798099999999998</c:v>
                </c:pt>
                <c:pt idx="33">
                  <c:v>49.584299999999999</c:v>
                </c:pt>
                <c:pt idx="34">
                  <c:v>49.489100000000001</c:v>
                </c:pt>
                <c:pt idx="35">
                  <c:v>49.367800000000003</c:v>
                </c:pt>
                <c:pt idx="36">
                  <c:v>49.17</c:v>
                </c:pt>
                <c:pt idx="37">
                  <c:v>49.083799999999997</c:v>
                </c:pt>
                <c:pt idx="38">
                  <c:v>48.897600000000004</c:v>
                </c:pt>
                <c:pt idx="39">
                  <c:v>48.694700000000005</c:v>
                </c:pt>
                <c:pt idx="40">
                  <c:v>48.448399999999999</c:v>
                </c:pt>
                <c:pt idx="41">
                  <c:v>48.142400000000002</c:v>
                </c:pt>
                <c:pt idx="42">
                  <c:v>47.885100000000001</c:v>
                </c:pt>
                <c:pt idx="43">
                  <c:v>47.5762</c:v>
                </c:pt>
                <c:pt idx="44">
                  <c:v>47.319400000000002</c:v>
                </c:pt>
                <c:pt idx="45">
                  <c:v>47.122100000000003</c:v>
                </c:pt>
                <c:pt idx="46">
                  <c:v>46.9358</c:v>
                </c:pt>
                <c:pt idx="47">
                  <c:v>46.828199999999995</c:v>
                </c:pt>
                <c:pt idx="48">
                  <c:v>46.7348</c:v>
                </c:pt>
                <c:pt idx="49">
                  <c:v>46.688299999999998</c:v>
                </c:pt>
                <c:pt idx="50">
                  <c:v>46.620800000000003</c:v>
                </c:pt>
                <c:pt idx="51">
                  <c:v>46.4495</c:v>
                </c:pt>
                <c:pt idx="52">
                  <c:v>46.347000000000001</c:v>
                </c:pt>
                <c:pt idx="53">
                  <c:v>46.306199999999997</c:v>
                </c:pt>
                <c:pt idx="54">
                  <c:v>46.248100000000001</c:v>
                </c:pt>
                <c:pt idx="55">
                  <c:v>46.1419</c:v>
                </c:pt>
                <c:pt idx="56">
                  <c:v>46.0869</c:v>
                </c:pt>
                <c:pt idx="57">
                  <c:v>46.053899999999999</c:v>
                </c:pt>
                <c:pt idx="58">
                  <c:v>46.064500000000002</c:v>
                </c:pt>
                <c:pt idx="59">
                  <c:v>46.176000000000002</c:v>
                </c:pt>
                <c:pt idx="60">
                  <c:v>46.279900000000005</c:v>
                </c:pt>
                <c:pt idx="61">
                  <c:v>46.386000000000003</c:v>
                </c:pt>
                <c:pt idx="62">
                  <c:v>46.390599999999999</c:v>
                </c:pt>
                <c:pt idx="63">
                  <c:v>46.453299999999999</c:v>
                </c:pt>
                <c:pt idx="64">
                  <c:v>46.520400000000002</c:v>
                </c:pt>
                <c:pt idx="65">
                  <c:v>46.680700000000002</c:v>
                </c:pt>
                <c:pt idx="66">
                  <c:v>46.851500000000001</c:v>
                </c:pt>
                <c:pt idx="67">
                  <c:v>46.956199999999995</c:v>
                </c:pt>
                <c:pt idx="68">
                  <c:v>47.286899999999996</c:v>
                </c:pt>
                <c:pt idx="69">
                  <c:v>47.462299999999999</c:v>
                </c:pt>
                <c:pt idx="70">
                  <c:v>47.810499999999998</c:v>
                </c:pt>
                <c:pt idx="71">
                  <c:v>48.078299999999999</c:v>
                </c:pt>
                <c:pt idx="72">
                  <c:v>48.282899999999998</c:v>
                </c:pt>
                <c:pt idx="73">
                  <c:v>48.417000000000002</c:v>
                </c:pt>
                <c:pt idx="74">
                  <c:v>48.635899999999999</c:v>
                </c:pt>
                <c:pt idx="75">
                  <c:v>48.828400000000002</c:v>
                </c:pt>
                <c:pt idx="76">
                  <c:v>49.075800000000001</c:v>
                </c:pt>
                <c:pt idx="77">
                  <c:v>49.269600000000004</c:v>
                </c:pt>
                <c:pt idx="78">
                  <c:v>49.213699999999996</c:v>
                </c:pt>
                <c:pt idx="79">
                  <c:v>49.077199999999998</c:v>
                </c:pt>
                <c:pt idx="80">
                  <c:v>48.962200000000003</c:v>
                </c:pt>
                <c:pt idx="81">
                  <c:v>48.8919</c:v>
                </c:pt>
                <c:pt idx="82">
                  <c:v>48.836800000000004</c:v>
                </c:pt>
                <c:pt idx="83">
                  <c:v>48.846600000000002</c:v>
                </c:pt>
                <c:pt idx="84">
                  <c:v>48.7973</c:v>
                </c:pt>
                <c:pt idx="85">
                  <c:v>48.820399999999999</c:v>
                </c:pt>
                <c:pt idx="86">
                  <c:v>48.943399999999997</c:v>
                </c:pt>
                <c:pt idx="87">
                  <c:v>49.167100000000005</c:v>
                </c:pt>
                <c:pt idx="88">
                  <c:v>49.462200000000003</c:v>
                </c:pt>
                <c:pt idx="89">
                  <c:v>49.722000000000001</c:v>
                </c:pt>
                <c:pt idx="90">
                  <c:v>49.957499999999996</c:v>
                </c:pt>
                <c:pt idx="91">
                  <c:v>50.166900000000005</c:v>
                </c:pt>
                <c:pt idx="92">
                  <c:v>50.313900000000004</c:v>
                </c:pt>
                <c:pt idx="93">
                  <c:v>50.409300000000002</c:v>
                </c:pt>
                <c:pt idx="94">
                  <c:v>50.514700000000005</c:v>
                </c:pt>
                <c:pt idx="95">
                  <c:v>50.598399999999998</c:v>
                </c:pt>
                <c:pt idx="96">
                  <c:v>50.657600000000002</c:v>
                </c:pt>
                <c:pt idx="97">
                  <c:v>50.723600000000005</c:v>
                </c:pt>
                <c:pt idx="98">
                  <c:v>50.696600000000004</c:v>
                </c:pt>
                <c:pt idx="99">
                  <c:v>50.746000000000002</c:v>
                </c:pt>
                <c:pt idx="100">
                  <c:v>50.768599999999999</c:v>
                </c:pt>
                <c:pt idx="101">
                  <c:v>50.802899999999994</c:v>
                </c:pt>
                <c:pt idx="102">
                  <c:v>50.8733</c:v>
                </c:pt>
                <c:pt idx="103">
                  <c:v>51.164299999999997</c:v>
                </c:pt>
                <c:pt idx="104">
                  <c:v>51.626399999999997</c:v>
                </c:pt>
                <c:pt idx="105">
                  <c:v>52.152000000000001</c:v>
                </c:pt>
                <c:pt idx="106">
                  <c:v>52.652799999999999</c:v>
                </c:pt>
                <c:pt idx="107">
                  <c:v>53.101500000000001</c:v>
                </c:pt>
                <c:pt idx="108">
                  <c:v>53.518900000000002</c:v>
                </c:pt>
                <c:pt idx="109">
                  <c:v>53.935900000000004</c:v>
                </c:pt>
                <c:pt idx="110">
                  <c:v>54.3003</c:v>
                </c:pt>
                <c:pt idx="111">
                  <c:v>54.675300000000007</c:v>
                </c:pt>
                <c:pt idx="112">
                  <c:v>55.000400000000006</c:v>
                </c:pt>
                <c:pt idx="113">
                  <c:v>55.290300000000002</c:v>
                </c:pt>
                <c:pt idx="114">
                  <c:v>55.559199999999997</c:v>
                </c:pt>
                <c:pt idx="115">
                  <c:v>55.790199999999999</c:v>
                </c:pt>
                <c:pt idx="116">
                  <c:v>56.064999999999998</c:v>
                </c:pt>
                <c:pt idx="117">
                  <c:v>56.323599999999999</c:v>
                </c:pt>
                <c:pt idx="118">
                  <c:v>56.5242</c:v>
                </c:pt>
                <c:pt idx="119">
                  <c:v>56.745100000000001</c:v>
                </c:pt>
                <c:pt idx="120">
                  <c:v>56.923599999999993</c:v>
                </c:pt>
                <c:pt idx="121">
                  <c:v>57.094999999999999</c:v>
                </c:pt>
                <c:pt idx="122">
                  <c:v>57.290199999999999</c:v>
                </c:pt>
                <c:pt idx="123">
                  <c:v>57.596400000000003</c:v>
                </c:pt>
                <c:pt idx="124">
                  <c:v>57.847899999999996</c:v>
                </c:pt>
                <c:pt idx="125">
                  <c:v>58.094199999999994</c:v>
                </c:pt>
                <c:pt idx="126">
                  <c:v>58.277999999999999</c:v>
                </c:pt>
                <c:pt idx="127">
                  <c:v>58.478399999999993</c:v>
                </c:pt>
                <c:pt idx="128">
                  <c:v>58.663699999999999</c:v>
                </c:pt>
                <c:pt idx="129">
                  <c:v>58.716799999999999</c:v>
                </c:pt>
                <c:pt idx="130">
                  <c:v>58.661700000000003</c:v>
                </c:pt>
                <c:pt idx="131">
                  <c:v>58.619200000000006</c:v>
                </c:pt>
                <c:pt idx="132">
                  <c:v>58.597600000000007</c:v>
                </c:pt>
                <c:pt idx="133">
                  <c:v>58.526699999999998</c:v>
                </c:pt>
                <c:pt idx="134">
                  <c:v>58.463799999999999</c:v>
                </c:pt>
                <c:pt idx="135">
                  <c:v>58.362499999999997</c:v>
                </c:pt>
                <c:pt idx="136">
                  <c:v>58.165599999999998</c:v>
                </c:pt>
                <c:pt idx="137">
                  <c:v>57.970299999999995</c:v>
                </c:pt>
                <c:pt idx="138">
                  <c:v>57.693099999999994</c:v>
                </c:pt>
                <c:pt idx="139">
                  <c:v>57.462599999999995</c:v>
                </c:pt>
                <c:pt idx="140">
                  <c:v>57.195599999999999</c:v>
                </c:pt>
                <c:pt idx="141">
                  <c:v>56.9377</c:v>
                </c:pt>
                <c:pt idx="142">
                  <c:v>56.622199999999999</c:v>
                </c:pt>
                <c:pt idx="143">
                  <c:v>56.365699999999997</c:v>
                </c:pt>
                <c:pt idx="144">
                  <c:v>55.9617</c:v>
                </c:pt>
                <c:pt idx="145">
                  <c:v>55.467299999999994</c:v>
                </c:pt>
                <c:pt idx="146">
                  <c:v>55.645400000000002</c:v>
                </c:pt>
                <c:pt idx="147">
                  <c:v>55.643000000000001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0.404837</c:v>
                </c:pt>
                <c:pt idx="2">
                  <c:v>0.81077100000000002</c:v>
                </c:pt>
                <c:pt idx="3">
                  <c:v>1.21567</c:v>
                </c:pt>
                <c:pt idx="4">
                  <c:v>1.6197600000000001</c:v>
                </c:pt>
                <c:pt idx="5">
                  <c:v>2.03057</c:v>
                </c:pt>
                <c:pt idx="6">
                  <c:v>2.4405000000000001</c:v>
                </c:pt>
                <c:pt idx="7">
                  <c:v>2.8423699999999998</c:v>
                </c:pt>
                <c:pt idx="8">
                  <c:v>3.2472400000000001</c:v>
                </c:pt>
                <c:pt idx="9">
                  <c:v>3.6541899999999998</c:v>
                </c:pt>
                <c:pt idx="10">
                  <c:v>4.0610299999999997</c:v>
                </c:pt>
                <c:pt idx="11">
                  <c:v>4.4692699999999999</c:v>
                </c:pt>
                <c:pt idx="12">
                  <c:v>4.8705999999999996</c:v>
                </c:pt>
                <c:pt idx="13">
                  <c:v>5.2788199999999996</c:v>
                </c:pt>
                <c:pt idx="14">
                  <c:v>5.6860400000000002</c:v>
                </c:pt>
                <c:pt idx="15">
                  <c:v>6.09063</c:v>
                </c:pt>
                <c:pt idx="16">
                  <c:v>6.4995099999999999</c:v>
                </c:pt>
                <c:pt idx="17">
                  <c:v>6.9054399999999996</c:v>
                </c:pt>
                <c:pt idx="18">
                  <c:v>7.3074700000000004</c:v>
                </c:pt>
                <c:pt idx="19">
                  <c:v>7.71943</c:v>
                </c:pt>
                <c:pt idx="20">
                  <c:v>8.1261600000000005</c:v>
                </c:pt>
                <c:pt idx="21">
                  <c:v>8.5301200000000001</c:v>
                </c:pt>
                <c:pt idx="22">
                  <c:v>8.9340399999999995</c:v>
                </c:pt>
                <c:pt idx="23">
                  <c:v>9.3409200000000006</c:v>
                </c:pt>
                <c:pt idx="24">
                  <c:v>9.7489600000000003</c:v>
                </c:pt>
                <c:pt idx="25">
                  <c:v>10.151999999999999</c:v>
                </c:pt>
                <c:pt idx="26">
                  <c:v>10.5627</c:v>
                </c:pt>
                <c:pt idx="27">
                  <c:v>10.970599999999999</c:v>
                </c:pt>
                <c:pt idx="28">
                  <c:v>11.3725</c:v>
                </c:pt>
                <c:pt idx="29">
                  <c:v>11.7796</c:v>
                </c:pt>
                <c:pt idx="30">
                  <c:v>12.185600000000001</c:v>
                </c:pt>
                <c:pt idx="31">
                  <c:v>12.591200000000001</c:v>
                </c:pt>
                <c:pt idx="32">
                  <c:v>13.0001</c:v>
                </c:pt>
                <c:pt idx="33">
                  <c:v>13.4023</c:v>
                </c:pt>
                <c:pt idx="34">
                  <c:v>13.809200000000001</c:v>
                </c:pt>
                <c:pt idx="35">
                  <c:v>14.216799999999999</c:v>
                </c:pt>
                <c:pt idx="36">
                  <c:v>14.6249</c:v>
                </c:pt>
                <c:pt idx="37">
                  <c:v>15.0298</c:v>
                </c:pt>
                <c:pt idx="38">
                  <c:v>15.4358</c:v>
                </c:pt>
                <c:pt idx="39">
                  <c:v>15.841799999999999</c:v>
                </c:pt>
                <c:pt idx="40">
                  <c:v>16.247499999999999</c:v>
                </c:pt>
                <c:pt idx="41">
                  <c:v>16.656400000000001</c:v>
                </c:pt>
                <c:pt idx="42">
                  <c:v>17.063400000000001</c:v>
                </c:pt>
                <c:pt idx="43">
                  <c:v>17.466200000000001</c:v>
                </c:pt>
                <c:pt idx="44">
                  <c:v>17.870100000000001</c:v>
                </c:pt>
                <c:pt idx="45">
                  <c:v>18.280999999999999</c:v>
                </c:pt>
                <c:pt idx="46">
                  <c:v>18.684100000000001</c:v>
                </c:pt>
                <c:pt idx="47">
                  <c:v>19.0928</c:v>
                </c:pt>
                <c:pt idx="48">
                  <c:v>19.500800000000002</c:v>
                </c:pt>
                <c:pt idx="49">
                  <c:v>19.904699999999998</c:v>
                </c:pt>
                <c:pt idx="50">
                  <c:v>20.308700000000002</c:v>
                </c:pt>
                <c:pt idx="51">
                  <c:v>20.720600000000001</c:v>
                </c:pt>
                <c:pt idx="52">
                  <c:v>21.1235</c:v>
                </c:pt>
                <c:pt idx="53">
                  <c:v>21.532299999999999</c:v>
                </c:pt>
                <c:pt idx="54">
                  <c:v>21.9376</c:v>
                </c:pt>
                <c:pt idx="55">
                  <c:v>22.3385</c:v>
                </c:pt>
                <c:pt idx="56">
                  <c:v>22.7501</c:v>
                </c:pt>
                <c:pt idx="57">
                  <c:v>23.158000000000001</c:v>
                </c:pt>
                <c:pt idx="58">
                  <c:v>23.559000000000001</c:v>
                </c:pt>
                <c:pt idx="59">
                  <c:v>23.966799999999999</c:v>
                </c:pt>
                <c:pt idx="60">
                  <c:v>24.373000000000001</c:v>
                </c:pt>
                <c:pt idx="61">
                  <c:v>24.781700000000001</c:v>
                </c:pt>
                <c:pt idx="62">
                  <c:v>25.186699999999998</c:v>
                </c:pt>
                <c:pt idx="63">
                  <c:v>25.5945</c:v>
                </c:pt>
                <c:pt idx="64">
                  <c:v>25.997399999999999</c:v>
                </c:pt>
                <c:pt idx="65">
                  <c:v>26.4054</c:v>
                </c:pt>
                <c:pt idx="66">
                  <c:v>26.813300000000002</c:v>
                </c:pt>
                <c:pt idx="67">
                  <c:v>27.216100000000001</c:v>
                </c:pt>
                <c:pt idx="68">
                  <c:v>27.622</c:v>
                </c:pt>
                <c:pt idx="69">
                  <c:v>28.028099999999998</c:v>
                </c:pt>
                <c:pt idx="70">
                  <c:v>28.435099999999998</c:v>
                </c:pt>
                <c:pt idx="71">
                  <c:v>28.8428</c:v>
                </c:pt>
                <c:pt idx="72">
                  <c:v>29.250800000000002</c:v>
                </c:pt>
                <c:pt idx="73">
                  <c:v>29.652799999999999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61.722299999999997</c:v>
                </c:pt>
                <c:pt idx="1">
                  <c:v>60.915399999999998</c:v>
                </c:pt>
                <c:pt idx="2">
                  <c:v>60.197299999999998</c:v>
                </c:pt>
                <c:pt idx="3">
                  <c:v>59.615499999999997</c:v>
                </c:pt>
                <c:pt idx="4">
                  <c:v>59.124500000000005</c:v>
                </c:pt>
                <c:pt idx="5">
                  <c:v>58.653700000000001</c:v>
                </c:pt>
                <c:pt idx="6">
                  <c:v>58.140999999999998</c:v>
                </c:pt>
                <c:pt idx="7">
                  <c:v>57.635899999999992</c:v>
                </c:pt>
                <c:pt idx="8">
                  <c:v>57.010400000000004</c:v>
                </c:pt>
                <c:pt idx="9">
                  <c:v>56.278199999999998</c:v>
                </c:pt>
                <c:pt idx="10">
                  <c:v>55.474299999999999</c:v>
                </c:pt>
                <c:pt idx="11">
                  <c:v>54.737700000000004</c:v>
                </c:pt>
                <c:pt idx="12">
                  <c:v>54.037999999999997</c:v>
                </c:pt>
                <c:pt idx="13">
                  <c:v>53.479100000000003</c:v>
                </c:pt>
                <c:pt idx="14">
                  <c:v>53.043199999999999</c:v>
                </c:pt>
                <c:pt idx="15">
                  <c:v>52.695</c:v>
                </c:pt>
                <c:pt idx="16">
                  <c:v>52.373899999999992</c:v>
                </c:pt>
                <c:pt idx="17">
                  <c:v>52.143799999999999</c:v>
                </c:pt>
                <c:pt idx="18">
                  <c:v>51.941700000000004</c:v>
                </c:pt>
                <c:pt idx="19">
                  <c:v>51.747399999999999</c:v>
                </c:pt>
                <c:pt idx="20">
                  <c:v>51.5505</c:v>
                </c:pt>
                <c:pt idx="21">
                  <c:v>51.382099999999994</c:v>
                </c:pt>
                <c:pt idx="22">
                  <c:v>51.248699999999999</c:v>
                </c:pt>
                <c:pt idx="23">
                  <c:v>51.145300000000006</c:v>
                </c:pt>
                <c:pt idx="24">
                  <c:v>51.042000000000002</c:v>
                </c:pt>
                <c:pt idx="25">
                  <c:v>50.933900000000001</c:v>
                </c:pt>
                <c:pt idx="26">
                  <c:v>50.770299999999999</c:v>
                </c:pt>
                <c:pt idx="27">
                  <c:v>50.564900000000002</c:v>
                </c:pt>
                <c:pt idx="28">
                  <c:v>50.470700000000001</c:v>
                </c:pt>
                <c:pt idx="29">
                  <c:v>50.316200000000002</c:v>
                </c:pt>
                <c:pt idx="30">
                  <c:v>50.145200000000003</c:v>
                </c:pt>
                <c:pt idx="31">
                  <c:v>49.954999999999998</c:v>
                </c:pt>
                <c:pt idx="32">
                  <c:v>49.798099999999998</c:v>
                </c:pt>
                <c:pt idx="33">
                  <c:v>49.584299999999999</c:v>
                </c:pt>
                <c:pt idx="34">
                  <c:v>49.489100000000001</c:v>
                </c:pt>
                <c:pt idx="35">
                  <c:v>49.367800000000003</c:v>
                </c:pt>
                <c:pt idx="36">
                  <c:v>49.17</c:v>
                </c:pt>
                <c:pt idx="37">
                  <c:v>49.083799999999997</c:v>
                </c:pt>
                <c:pt idx="38">
                  <c:v>48.897600000000004</c:v>
                </c:pt>
                <c:pt idx="39">
                  <c:v>48.694700000000005</c:v>
                </c:pt>
                <c:pt idx="40">
                  <c:v>48.448399999999999</c:v>
                </c:pt>
                <c:pt idx="41">
                  <c:v>48.142400000000002</c:v>
                </c:pt>
                <c:pt idx="42">
                  <c:v>47.885100000000001</c:v>
                </c:pt>
                <c:pt idx="43">
                  <c:v>47.5762</c:v>
                </c:pt>
                <c:pt idx="44">
                  <c:v>47.319400000000002</c:v>
                </c:pt>
                <c:pt idx="45">
                  <c:v>47.122100000000003</c:v>
                </c:pt>
                <c:pt idx="46">
                  <c:v>46.9358</c:v>
                </c:pt>
                <c:pt idx="47">
                  <c:v>46.828199999999995</c:v>
                </c:pt>
                <c:pt idx="48">
                  <c:v>46.7348</c:v>
                </c:pt>
                <c:pt idx="49">
                  <c:v>46.688299999999998</c:v>
                </c:pt>
                <c:pt idx="50">
                  <c:v>46.620800000000003</c:v>
                </c:pt>
                <c:pt idx="51">
                  <c:v>46.4495</c:v>
                </c:pt>
                <c:pt idx="52">
                  <c:v>46.347000000000001</c:v>
                </c:pt>
                <c:pt idx="53">
                  <c:v>46.306199999999997</c:v>
                </c:pt>
                <c:pt idx="54">
                  <c:v>46.248100000000001</c:v>
                </c:pt>
                <c:pt idx="55">
                  <c:v>46.1419</c:v>
                </c:pt>
                <c:pt idx="56">
                  <c:v>46.0869</c:v>
                </c:pt>
                <c:pt idx="57">
                  <c:v>46.053899999999999</c:v>
                </c:pt>
                <c:pt idx="58">
                  <c:v>46.064500000000002</c:v>
                </c:pt>
                <c:pt idx="59">
                  <c:v>46.176000000000002</c:v>
                </c:pt>
                <c:pt idx="60">
                  <c:v>46.279900000000005</c:v>
                </c:pt>
                <c:pt idx="61">
                  <c:v>46.386000000000003</c:v>
                </c:pt>
                <c:pt idx="62">
                  <c:v>46.390599999999999</c:v>
                </c:pt>
                <c:pt idx="63">
                  <c:v>46.453299999999999</c:v>
                </c:pt>
                <c:pt idx="64">
                  <c:v>46.520400000000002</c:v>
                </c:pt>
                <c:pt idx="65">
                  <c:v>46.680700000000002</c:v>
                </c:pt>
                <c:pt idx="66">
                  <c:v>46.851500000000001</c:v>
                </c:pt>
                <c:pt idx="67">
                  <c:v>46.956199999999995</c:v>
                </c:pt>
                <c:pt idx="68">
                  <c:v>47.286899999999996</c:v>
                </c:pt>
                <c:pt idx="69">
                  <c:v>47.462299999999999</c:v>
                </c:pt>
                <c:pt idx="70">
                  <c:v>47.810499999999998</c:v>
                </c:pt>
                <c:pt idx="71">
                  <c:v>48.078299999999999</c:v>
                </c:pt>
                <c:pt idx="72">
                  <c:v>48.282899999999998</c:v>
                </c:pt>
                <c:pt idx="73">
                  <c:v>48.417000000000002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30.061499999999999</c:v>
                </c:pt>
                <c:pt idx="2">
                  <c:v>30.517299999999999</c:v>
                </c:pt>
                <c:pt idx="3">
                  <c:v>30.920200000000001</c:v>
                </c:pt>
                <c:pt idx="4">
                  <c:v>31.3262</c:v>
                </c:pt>
                <c:pt idx="5">
                  <c:v>31.732600000000001</c:v>
                </c:pt>
                <c:pt idx="6">
                  <c:v>32.140999999999998</c:v>
                </c:pt>
                <c:pt idx="7">
                  <c:v>32.545999999999999</c:v>
                </c:pt>
                <c:pt idx="8">
                  <c:v>32.953800000000001</c:v>
                </c:pt>
                <c:pt idx="9">
                  <c:v>33.355800000000002</c:v>
                </c:pt>
                <c:pt idx="10">
                  <c:v>33.7607</c:v>
                </c:pt>
                <c:pt idx="11">
                  <c:v>34.165700000000001</c:v>
                </c:pt>
                <c:pt idx="12">
                  <c:v>34.576500000000003</c:v>
                </c:pt>
                <c:pt idx="13">
                  <c:v>34.983499999999999</c:v>
                </c:pt>
                <c:pt idx="14">
                  <c:v>35.3874</c:v>
                </c:pt>
                <c:pt idx="15">
                  <c:v>35.791200000000003</c:v>
                </c:pt>
                <c:pt idx="16">
                  <c:v>36.203600000000002</c:v>
                </c:pt>
                <c:pt idx="17">
                  <c:v>36.608400000000003</c:v>
                </c:pt>
                <c:pt idx="18">
                  <c:v>37.014000000000003</c:v>
                </c:pt>
                <c:pt idx="19">
                  <c:v>37.4178</c:v>
                </c:pt>
                <c:pt idx="20">
                  <c:v>37.824800000000003</c:v>
                </c:pt>
                <c:pt idx="21">
                  <c:v>38.233800000000002</c:v>
                </c:pt>
                <c:pt idx="22">
                  <c:v>38.640599999999999</c:v>
                </c:pt>
                <c:pt idx="23">
                  <c:v>39.043599999999998</c:v>
                </c:pt>
                <c:pt idx="24">
                  <c:v>39.450400000000002</c:v>
                </c:pt>
                <c:pt idx="25">
                  <c:v>39.856400000000001</c:v>
                </c:pt>
                <c:pt idx="26">
                  <c:v>40.262300000000003</c:v>
                </c:pt>
                <c:pt idx="27">
                  <c:v>40.674199999999999</c:v>
                </c:pt>
                <c:pt idx="28">
                  <c:v>41.080100000000002</c:v>
                </c:pt>
                <c:pt idx="29">
                  <c:v>41.482999999999997</c:v>
                </c:pt>
                <c:pt idx="30">
                  <c:v>41.889099999999999</c:v>
                </c:pt>
                <c:pt idx="31">
                  <c:v>42.294800000000002</c:v>
                </c:pt>
                <c:pt idx="32">
                  <c:v>42.702800000000003</c:v>
                </c:pt>
                <c:pt idx="33">
                  <c:v>43.1096</c:v>
                </c:pt>
                <c:pt idx="34">
                  <c:v>43.514499999999998</c:v>
                </c:pt>
                <c:pt idx="35">
                  <c:v>43.918700000000001</c:v>
                </c:pt>
                <c:pt idx="36">
                  <c:v>44.328400000000002</c:v>
                </c:pt>
                <c:pt idx="37">
                  <c:v>44.734299999999998</c:v>
                </c:pt>
                <c:pt idx="38">
                  <c:v>45.139299999999999</c:v>
                </c:pt>
                <c:pt idx="39">
                  <c:v>45.548099999999998</c:v>
                </c:pt>
                <c:pt idx="40">
                  <c:v>45.95</c:v>
                </c:pt>
                <c:pt idx="41">
                  <c:v>46.359099999999998</c:v>
                </c:pt>
                <c:pt idx="42">
                  <c:v>46.765900000000002</c:v>
                </c:pt>
                <c:pt idx="43">
                  <c:v>47.172699999999999</c:v>
                </c:pt>
                <c:pt idx="44">
                  <c:v>47.576700000000002</c:v>
                </c:pt>
                <c:pt idx="45">
                  <c:v>47.9846</c:v>
                </c:pt>
                <c:pt idx="46">
                  <c:v>48.3887</c:v>
                </c:pt>
                <c:pt idx="47">
                  <c:v>48.796500000000002</c:v>
                </c:pt>
                <c:pt idx="48">
                  <c:v>49.209299999999999</c:v>
                </c:pt>
                <c:pt idx="49">
                  <c:v>49.6083</c:v>
                </c:pt>
                <c:pt idx="50">
                  <c:v>50.0122</c:v>
                </c:pt>
                <c:pt idx="51">
                  <c:v>50.421599999999998</c:v>
                </c:pt>
                <c:pt idx="52">
                  <c:v>50.825000000000003</c:v>
                </c:pt>
                <c:pt idx="53">
                  <c:v>51.234000000000002</c:v>
                </c:pt>
                <c:pt idx="54">
                  <c:v>51.640900000000002</c:v>
                </c:pt>
                <c:pt idx="55">
                  <c:v>52.042700000000004</c:v>
                </c:pt>
                <c:pt idx="56">
                  <c:v>52.450699999999998</c:v>
                </c:pt>
                <c:pt idx="57">
                  <c:v>52.857599999999998</c:v>
                </c:pt>
                <c:pt idx="58">
                  <c:v>53.263599999999997</c:v>
                </c:pt>
                <c:pt idx="59">
                  <c:v>53.670299999999997</c:v>
                </c:pt>
                <c:pt idx="60">
                  <c:v>54.074300000000001</c:v>
                </c:pt>
                <c:pt idx="61">
                  <c:v>54.482300000000002</c:v>
                </c:pt>
                <c:pt idx="62">
                  <c:v>54.892099999999999</c:v>
                </c:pt>
                <c:pt idx="63">
                  <c:v>55.295099999999998</c:v>
                </c:pt>
                <c:pt idx="64">
                  <c:v>55.702399999999997</c:v>
                </c:pt>
                <c:pt idx="65">
                  <c:v>56.110900000000001</c:v>
                </c:pt>
                <c:pt idx="66">
                  <c:v>56.516800000000003</c:v>
                </c:pt>
                <c:pt idx="67">
                  <c:v>56.919699999999999</c:v>
                </c:pt>
                <c:pt idx="68">
                  <c:v>57.325600000000001</c:v>
                </c:pt>
                <c:pt idx="69">
                  <c:v>57.735900000000001</c:v>
                </c:pt>
                <c:pt idx="70">
                  <c:v>58.141800000000003</c:v>
                </c:pt>
                <c:pt idx="71">
                  <c:v>58.545699999999997</c:v>
                </c:pt>
                <c:pt idx="72">
                  <c:v>58.952599999999997</c:v>
                </c:pt>
                <c:pt idx="73">
                  <c:v>59.359200000000001</c:v>
                </c:pt>
                <c:pt idx="74">
                  <c:v>59.7652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48.417000000000002</c:v>
                </c:pt>
                <c:pt idx="1">
                  <c:v>48.635899999999999</c:v>
                </c:pt>
                <c:pt idx="2">
                  <c:v>48.828400000000002</c:v>
                </c:pt>
                <c:pt idx="3">
                  <c:v>49.075800000000001</c:v>
                </c:pt>
                <c:pt idx="4">
                  <c:v>49.269600000000004</c:v>
                </c:pt>
                <c:pt idx="5">
                  <c:v>49.213699999999996</c:v>
                </c:pt>
                <c:pt idx="6">
                  <c:v>49.077199999999998</c:v>
                </c:pt>
                <c:pt idx="7">
                  <c:v>48.962200000000003</c:v>
                </c:pt>
                <c:pt idx="8">
                  <c:v>48.8919</c:v>
                </c:pt>
                <c:pt idx="9">
                  <c:v>48.836800000000004</c:v>
                </c:pt>
                <c:pt idx="10">
                  <c:v>48.846600000000002</c:v>
                </c:pt>
                <c:pt idx="11">
                  <c:v>48.7973</c:v>
                </c:pt>
                <c:pt idx="12">
                  <c:v>48.820399999999999</c:v>
                </c:pt>
                <c:pt idx="13">
                  <c:v>48.943399999999997</c:v>
                </c:pt>
                <c:pt idx="14">
                  <c:v>49.167100000000005</c:v>
                </c:pt>
                <c:pt idx="15">
                  <c:v>49.462200000000003</c:v>
                </c:pt>
                <c:pt idx="16">
                  <c:v>49.722000000000001</c:v>
                </c:pt>
                <c:pt idx="17">
                  <c:v>49.957499999999996</c:v>
                </c:pt>
                <c:pt idx="18">
                  <c:v>50.166900000000005</c:v>
                </c:pt>
                <c:pt idx="19">
                  <c:v>50.313900000000004</c:v>
                </c:pt>
                <c:pt idx="20">
                  <c:v>50.409300000000002</c:v>
                </c:pt>
                <c:pt idx="21">
                  <c:v>50.514700000000005</c:v>
                </c:pt>
                <c:pt idx="22">
                  <c:v>50.598399999999998</c:v>
                </c:pt>
                <c:pt idx="23">
                  <c:v>50.657600000000002</c:v>
                </c:pt>
                <c:pt idx="24">
                  <c:v>50.723600000000005</c:v>
                </c:pt>
                <c:pt idx="25">
                  <c:v>50.696600000000004</c:v>
                </c:pt>
                <c:pt idx="26">
                  <c:v>50.746000000000002</c:v>
                </c:pt>
                <c:pt idx="27">
                  <c:v>50.768599999999999</c:v>
                </c:pt>
                <c:pt idx="28">
                  <c:v>50.802899999999994</c:v>
                </c:pt>
                <c:pt idx="29">
                  <c:v>50.8733</c:v>
                </c:pt>
                <c:pt idx="30">
                  <c:v>51.164299999999997</c:v>
                </c:pt>
                <c:pt idx="31">
                  <c:v>51.626399999999997</c:v>
                </c:pt>
                <c:pt idx="32">
                  <c:v>52.152000000000001</c:v>
                </c:pt>
                <c:pt idx="33">
                  <c:v>52.652799999999999</c:v>
                </c:pt>
                <c:pt idx="34">
                  <c:v>53.101500000000001</c:v>
                </c:pt>
                <c:pt idx="35">
                  <c:v>53.518900000000002</c:v>
                </c:pt>
                <c:pt idx="36">
                  <c:v>53.935900000000004</c:v>
                </c:pt>
                <c:pt idx="37">
                  <c:v>54.3003</c:v>
                </c:pt>
                <c:pt idx="38">
                  <c:v>54.675300000000007</c:v>
                </c:pt>
                <c:pt idx="39">
                  <c:v>55.000400000000006</c:v>
                </c:pt>
                <c:pt idx="40">
                  <c:v>55.290300000000002</c:v>
                </c:pt>
                <c:pt idx="41">
                  <c:v>55.559199999999997</c:v>
                </c:pt>
                <c:pt idx="42">
                  <c:v>55.790199999999999</c:v>
                </c:pt>
                <c:pt idx="43">
                  <c:v>56.064999999999998</c:v>
                </c:pt>
                <c:pt idx="44">
                  <c:v>56.323599999999999</c:v>
                </c:pt>
                <c:pt idx="45">
                  <c:v>56.5242</c:v>
                </c:pt>
                <c:pt idx="46">
                  <c:v>56.745100000000001</c:v>
                </c:pt>
                <c:pt idx="47">
                  <c:v>56.923599999999993</c:v>
                </c:pt>
                <c:pt idx="48">
                  <c:v>57.094999999999999</c:v>
                </c:pt>
                <c:pt idx="49">
                  <c:v>57.290199999999999</c:v>
                </c:pt>
                <c:pt idx="50">
                  <c:v>57.596400000000003</c:v>
                </c:pt>
                <c:pt idx="51">
                  <c:v>57.847899999999996</c:v>
                </c:pt>
                <c:pt idx="52">
                  <c:v>58.094199999999994</c:v>
                </c:pt>
                <c:pt idx="53">
                  <c:v>58.277999999999999</c:v>
                </c:pt>
                <c:pt idx="54">
                  <c:v>58.478399999999993</c:v>
                </c:pt>
                <c:pt idx="55">
                  <c:v>58.663699999999999</c:v>
                </c:pt>
                <c:pt idx="56">
                  <c:v>58.716799999999999</c:v>
                </c:pt>
                <c:pt idx="57">
                  <c:v>58.661700000000003</c:v>
                </c:pt>
                <c:pt idx="58">
                  <c:v>58.619200000000006</c:v>
                </c:pt>
                <c:pt idx="59">
                  <c:v>58.597600000000007</c:v>
                </c:pt>
                <c:pt idx="60">
                  <c:v>58.526699999999998</c:v>
                </c:pt>
                <c:pt idx="61">
                  <c:v>58.463799999999999</c:v>
                </c:pt>
                <c:pt idx="62">
                  <c:v>58.362499999999997</c:v>
                </c:pt>
                <c:pt idx="63">
                  <c:v>58.165599999999998</c:v>
                </c:pt>
                <c:pt idx="64">
                  <c:v>57.970299999999995</c:v>
                </c:pt>
                <c:pt idx="65">
                  <c:v>57.693099999999994</c:v>
                </c:pt>
                <c:pt idx="66">
                  <c:v>57.462599999999995</c:v>
                </c:pt>
                <c:pt idx="67">
                  <c:v>57.195599999999999</c:v>
                </c:pt>
                <c:pt idx="68">
                  <c:v>56.9377</c:v>
                </c:pt>
                <c:pt idx="69">
                  <c:v>56.622199999999999</c:v>
                </c:pt>
                <c:pt idx="70">
                  <c:v>56.365699999999997</c:v>
                </c:pt>
                <c:pt idx="71">
                  <c:v>55.9617</c:v>
                </c:pt>
                <c:pt idx="72">
                  <c:v>55.467299999999994</c:v>
                </c:pt>
                <c:pt idx="73">
                  <c:v>55.645400000000002</c:v>
                </c:pt>
                <c:pt idx="74">
                  <c:v>55.643000000000001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14.9413</c:v>
                </c:pt>
                <c:pt idx="1">
                  <c:v>44.823900000000002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50.278520270270278</c:v>
                </c:pt>
                <c:pt idx="1">
                  <c:v>53.75069054054056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1.3989699999999998</c:v>
                </c:pt>
                <c:pt idx="1">
                  <c:v>1.4416000000000002</c:v>
                </c:pt>
                <c:pt idx="2">
                  <c:v>1.4836399999999998</c:v>
                </c:pt>
                <c:pt idx="3">
                  <c:v>1.5213399999999999</c:v>
                </c:pt>
                <c:pt idx="4">
                  <c:v>1.5548799999999998</c:v>
                </c:pt>
                <c:pt idx="5">
                  <c:v>1.58758</c:v>
                </c:pt>
                <c:pt idx="6">
                  <c:v>1.6215299999999999</c:v>
                </c:pt>
                <c:pt idx="7">
                  <c:v>1.6544700000000001</c:v>
                </c:pt>
                <c:pt idx="8">
                  <c:v>1.68987</c:v>
                </c:pt>
                <c:pt idx="9">
                  <c:v>1.7253399999999999</c:v>
                </c:pt>
                <c:pt idx="10">
                  <c:v>1.7610000000000001</c:v>
                </c:pt>
                <c:pt idx="11">
                  <c:v>1.7937400000000001</c:v>
                </c:pt>
                <c:pt idx="12">
                  <c:v>1.82372</c:v>
                </c:pt>
                <c:pt idx="13">
                  <c:v>1.85036</c:v>
                </c:pt>
                <c:pt idx="14">
                  <c:v>1.8720800000000002</c:v>
                </c:pt>
                <c:pt idx="15">
                  <c:v>1.8911</c:v>
                </c:pt>
                <c:pt idx="16">
                  <c:v>1.9101999999999999</c:v>
                </c:pt>
                <c:pt idx="17">
                  <c:v>1.9261300000000001</c:v>
                </c:pt>
                <c:pt idx="18">
                  <c:v>1.9393899999999999</c:v>
                </c:pt>
                <c:pt idx="19">
                  <c:v>1.9513</c:v>
                </c:pt>
                <c:pt idx="20">
                  <c:v>1.96187</c:v>
                </c:pt>
                <c:pt idx="21">
                  <c:v>1.9708999999999999</c:v>
                </c:pt>
                <c:pt idx="22">
                  <c:v>1.97786</c:v>
                </c:pt>
                <c:pt idx="23">
                  <c:v>1.9843199999999999</c:v>
                </c:pt>
                <c:pt idx="24">
                  <c:v>1.9919700000000002</c:v>
                </c:pt>
                <c:pt idx="25">
                  <c:v>1.9984299999999999</c:v>
                </c:pt>
                <c:pt idx="26">
                  <c:v>2.0076200000000002</c:v>
                </c:pt>
                <c:pt idx="27">
                  <c:v>2.01898</c:v>
                </c:pt>
                <c:pt idx="28">
                  <c:v>2.0323899999999999</c:v>
                </c:pt>
                <c:pt idx="29">
                  <c:v>2.0483799999999999</c:v>
                </c:pt>
                <c:pt idx="30">
                  <c:v>2.06447</c:v>
                </c:pt>
                <c:pt idx="31">
                  <c:v>2.07951</c:v>
                </c:pt>
                <c:pt idx="32">
                  <c:v>2.09382</c:v>
                </c:pt>
                <c:pt idx="33">
                  <c:v>2.1085400000000001</c:v>
                </c:pt>
                <c:pt idx="34">
                  <c:v>2.1184099999999999</c:v>
                </c:pt>
                <c:pt idx="35">
                  <c:v>2.1275200000000001</c:v>
                </c:pt>
                <c:pt idx="36">
                  <c:v>2.1380300000000001</c:v>
                </c:pt>
                <c:pt idx="37">
                  <c:v>2.1478199999999998</c:v>
                </c:pt>
                <c:pt idx="38">
                  <c:v>2.1601900000000001</c:v>
                </c:pt>
                <c:pt idx="39">
                  <c:v>2.1726899999999998</c:v>
                </c:pt>
                <c:pt idx="40">
                  <c:v>2.1876899999999999</c:v>
                </c:pt>
                <c:pt idx="41">
                  <c:v>2.20391</c:v>
                </c:pt>
                <c:pt idx="42">
                  <c:v>2.2202500000000001</c:v>
                </c:pt>
                <c:pt idx="43">
                  <c:v>2.2387600000000001</c:v>
                </c:pt>
                <c:pt idx="44">
                  <c:v>2.25536</c:v>
                </c:pt>
                <c:pt idx="45">
                  <c:v>2.2697000000000003</c:v>
                </c:pt>
                <c:pt idx="46">
                  <c:v>2.28451</c:v>
                </c:pt>
                <c:pt idx="47">
                  <c:v>2.3024</c:v>
                </c:pt>
                <c:pt idx="48">
                  <c:v>2.3197700000000001</c:v>
                </c:pt>
                <c:pt idx="49">
                  <c:v>2.33474</c:v>
                </c:pt>
                <c:pt idx="50">
                  <c:v>2.3476499999999998</c:v>
                </c:pt>
                <c:pt idx="51">
                  <c:v>2.3633000000000002</c:v>
                </c:pt>
                <c:pt idx="52">
                  <c:v>2.3722099999999999</c:v>
                </c:pt>
                <c:pt idx="53">
                  <c:v>2.3826200000000002</c:v>
                </c:pt>
                <c:pt idx="54">
                  <c:v>2.39161</c:v>
                </c:pt>
                <c:pt idx="55">
                  <c:v>2.39934</c:v>
                </c:pt>
                <c:pt idx="56">
                  <c:v>2.4155600000000002</c:v>
                </c:pt>
                <c:pt idx="57">
                  <c:v>2.4264999999999999</c:v>
                </c:pt>
                <c:pt idx="58">
                  <c:v>2.4314399999999998</c:v>
                </c:pt>
                <c:pt idx="59">
                  <c:v>2.4408500000000002</c:v>
                </c:pt>
                <c:pt idx="60">
                  <c:v>2.4456800000000003</c:v>
                </c:pt>
                <c:pt idx="61">
                  <c:v>2.4506000000000001</c:v>
                </c:pt>
                <c:pt idx="62">
                  <c:v>2.45614</c:v>
                </c:pt>
                <c:pt idx="63">
                  <c:v>2.4645000000000001</c:v>
                </c:pt>
                <c:pt idx="64">
                  <c:v>2.46936</c:v>
                </c:pt>
                <c:pt idx="65">
                  <c:v>2.4718599999999999</c:v>
                </c:pt>
                <c:pt idx="66">
                  <c:v>2.4722300000000001</c:v>
                </c:pt>
                <c:pt idx="67">
                  <c:v>2.47329</c:v>
                </c:pt>
                <c:pt idx="68">
                  <c:v>2.4678499999999999</c:v>
                </c:pt>
                <c:pt idx="69">
                  <c:v>2.4678499999999999</c:v>
                </c:pt>
                <c:pt idx="70">
                  <c:v>2.4628900000000002</c:v>
                </c:pt>
                <c:pt idx="71">
                  <c:v>2.46069</c:v>
                </c:pt>
                <c:pt idx="72">
                  <c:v>2.4571100000000001</c:v>
                </c:pt>
                <c:pt idx="73">
                  <c:v>2.4553600000000002</c:v>
                </c:pt>
                <c:pt idx="74">
                  <c:v>2.44692</c:v>
                </c:pt>
                <c:pt idx="75">
                  <c:v>2.4397500000000001</c:v>
                </c:pt>
                <c:pt idx="76">
                  <c:v>2.4292400000000001</c:v>
                </c:pt>
                <c:pt idx="77">
                  <c:v>2.4195700000000002</c:v>
                </c:pt>
                <c:pt idx="78">
                  <c:v>2.4119199999999998</c:v>
                </c:pt>
                <c:pt idx="79">
                  <c:v>2.4028200000000002</c:v>
                </c:pt>
                <c:pt idx="80">
                  <c:v>2.3898099999999998</c:v>
                </c:pt>
                <c:pt idx="81">
                  <c:v>2.3742000000000001</c:v>
                </c:pt>
                <c:pt idx="82">
                  <c:v>2.35791</c:v>
                </c:pt>
                <c:pt idx="83">
                  <c:v>2.3403900000000002</c:v>
                </c:pt>
                <c:pt idx="84">
                  <c:v>2.3253900000000001</c:v>
                </c:pt>
                <c:pt idx="85">
                  <c:v>2.3090299999999999</c:v>
                </c:pt>
                <c:pt idx="86">
                  <c:v>2.2911699999999997</c:v>
                </c:pt>
                <c:pt idx="87">
                  <c:v>2.2713299999999998</c:v>
                </c:pt>
                <c:pt idx="88">
                  <c:v>2.2497400000000001</c:v>
                </c:pt>
                <c:pt idx="89">
                  <c:v>2.2292200000000002</c:v>
                </c:pt>
                <c:pt idx="90">
                  <c:v>2.2101600000000001</c:v>
                </c:pt>
                <c:pt idx="91">
                  <c:v>2.19184</c:v>
                </c:pt>
                <c:pt idx="92">
                  <c:v>2.1748099999999999</c:v>
                </c:pt>
                <c:pt idx="93">
                  <c:v>2.1586600000000002</c:v>
                </c:pt>
                <c:pt idx="94">
                  <c:v>2.1427899999999998</c:v>
                </c:pt>
                <c:pt idx="95">
                  <c:v>2.1276800000000002</c:v>
                </c:pt>
                <c:pt idx="96">
                  <c:v>2.1124700000000001</c:v>
                </c:pt>
                <c:pt idx="97">
                  <c:v>2.0970499999999999</c:v>
                </c:pt>
                <c:pt idx="98">
                  <c:v>2.0851100000000002</c:v>
                </c:pt>
                <c:pt idx="99">
                  <c:v>2.0710500000000001</c:v>
                </c:pt>
                <c:pt idx="100">
                  <c:v>2.0583900000000002</c:v>
                </c:pt>
                <c:pt idx="101">
                  <c:v>2.0457000000000001</c:v>
                </c:pt>
                <c:pt idx="102">
                  <c:v>2.03294</c:v>
                </c:pt>
                <c:pt idx="103">
                  <c:v>2.0229400000000002</c:v>
                </c:pt>
                <c:pt idx="104">
                  <c:v>2.01092</c:v>
                </c:pt>
                <c:pt idx="105">
                  <c:v>1.9971000000000001</c:v>
                </c:pt>
                <c:pt idx="106">
                  <c:v>1.9834299999999998</c:v>
                </c:pt>
                <c:pt idx="107">
                  <c:v>1.9698599999999999</c:v>
                </c:pt>
                <c:pt idx="108">
                  <c:v>1.9554499999999999</c:v>
                </c:pt>
                <c:pt idx="109">
                  <c:v>1.94021</c:v>
                </c:pt>
                <c:pt idx="110">
                  <c:v>1.9254899999999999</c:v>
                </c:pt>
                <c:pt idx="111">
                  <c:v>1.90889</c:v>
                </c:pt>
                <c:pt idx="112">
                  <c:v>1.8926699999999999</c:v>
                </c:pt>
                <c:pt idx="113">
                  <c:v>1.8771499999999999</c:v>
                </c:pt>
                <c:pt idx="114">
                  <c:v>1.8639000000000001</c:v>
                </c:pt>
                <c:pt idx="115">
                  <c:v>1.8523100000000001</c:v>
                </c:pt>
                <c:pt idx="116">
                  <c:v>1.8412200000000001</c:v>
                </c:pt>
                <c:pt idx="117">
                  <c:v>1.83101</c:v>
                </c:pt>
                <c:pt idx="118">
                  <c:v>1.8215300000000001</c:v>
                </c:pt>
                <c:pt idx="119">
                  <c:v>1.8109</c:v>
                </c:pt>
                <c:pt idx="120">
                  <c:v>1.8012000000000001</c:v>
                </c:pt>
                <c:pt idx="121">
                  <c:v>1.79253</c:v>
                </c:pt>
                <c:pt idx="122">
                  <c:v>1.78426</c:v>
                </c:pt>
                <c:pt idx="123">
                  <c:v>1.7744399999999998</c:v>
                </c:pt>
                <c:pt idx="124">
                  <c:v>1.7657400000000001</c:v>
                </c:pt>
                <c:pt idx="125">
                  <c:v>1.75654</c:v>
                </c:pt>
                <c:pt idx="126">
                  <c:v>1.7495499999999999</c:v>
                </c:pt>
                <c:pt idx="127">
                  <c:v>1.7420800000000001</c:v>
                </c:pt>
                <c:pt idx="128">
                  <c:v>1.7352100000000001</c:v>
                </c:pt>
                <c:pt idx="129">
                  <c:v>1.7322199999999999</c:v>
                </c:pt>
                <c:pt idx="130">
                  <c:v>1.7327999999999999</c:v>
                </c:pt>
                <c:pt idx="131">
                  <c:v>1.7333299999999998</c:v>
                </c:pt>
                <c:pt idx="132">
                  <c:v>1.73404</c:v>
                </c:pt>
                <c:pt idx="133">
                  <c:v>1.7359100000000001</c:v>
                </c:pt>
                <c:pt idx="134">
                  <c:v>1.73807</c:v>
                </c:pt>
                <c:pt idx="135">
                  <c:v>1.7419899999999999</c:v>
                </c:pt>
                <c:pt idx="136">
                  <c:v>1.7492700000000001</c:v>
                </c:pt>
                <c:pt idx="137">
                  <c:v>1.75728</c:v>
                </c:pt>
                <c:pt idx="138">
                  <c:v>1.7682200000000001</c:v>
                </c:pt>
                <c:pt idx="139">
                  <c:v>1.7753299999999999</c:v>
                </c:pt>
                <c:pt idx="140">
                  <c:v>1.7827899999999999</c:v>
                </c:pt>
                <c:pt idx="141">
                  <c:v>1.7858299999999998</c:v>
                </c:pt>
                <c:pt idx="142">
                  <c:v>1.7894699999999999</c:v>
                </c:pt>
                <c:pt idx="143">
                  <c:v>1.7949300000000001</c:v>
                </c:pt>
                <c:pt idx="144">
                  <c:v>1.8065</c:v>
                </c:pt>
                <c:pt idx="145">
                  <c:v>1.8208500000000001</c:v>
                </c:pt>
                <c:pt idx="146">
                  <c:v>1.82107</c:v>
                </c:pt>
                <c:pt idx="147">
                  <c:v>1.8251400000000002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61.722299999999997</c:v>
                </c:pt>
                <c:pt idx="1">
                  <c:v>60.915399999999998</c:v>
                </c:pt>
                <c:pt idx="2">
                  <c:v>60.197299999999998</c:v>
                </c:pt>
                <c:pt idx="3">
                  <c:v>59.615499999999997</c:v>
                </c:pt>
                <c:pt idx="4">
                  <c:v>59.124500000000005</c:v>
                </c:pt>
                <c:pt idx="5">
                  <c:v>58.653700000000001</c:v>
                </c:pt>
                <c:pt idx="6">
                  <c:v>58.140999999999998</c:v>
                </c:pt>
                <c:pt idx="7">
                  <c:v>57.635899999999992</c:v>
                </c:pt>
                <c:pt idx="8">
                  <c:v>57.010400000000004</c:v>
                </c:pt>
                <c:pt idx="9">
                  <c:v>56.278199999999998</c:v>
                </c:pt>
                <c:pt idx="10">
                  <c:v>55.474299999999999</c:v>
                </c:pt>
                <c:pt idx="11">
                  <c:v>54.737700000000004</c:v>
                </c:pt>
                <c:pt idx="12">
                  <c:v>54.037999999999997</c:v>
                </c:pt>
                <c:pt idx="13">
                  <c:v>53.479100000000003</c:v>
                </c:pt>
                <c:pt idx="14">
                  <c:v>53.043199999999999</c:v>
                </c:pt>
                <c:pt idx="15">
                  <c:v>52.695</c:v>
                </c:pt>
                <c:pt idx="16">
                  <c:v>52.373899999999992</c:v>
                </c:pt>
                <c:pt idx="17">
                  <c:v>52.143799999999999</c:v>
                </c:pt>
                <c:pt idx="18">
                  <c:v>51.941700000000004</c:v>
                </c:pt>
                <c:pt idx="19">
                  <c:v>51.747399999999999</c:v>
                </c:pt>
                <c:pt idx="20">
                  <c:v>51.5505</c:v>
                </c:pt>
                <c:pt idx="21">
                  <c:v>51.382099999999994</c:v>
                </c:pt>
                <c:pt idx="22">
                  <c:v>51.248699999999999</c:v>
                </c:pt>
                <c:pt idx="23">
                  <c:v>51.145300000000006</c:v>
                </c:pt>
                <c:pt idx="24">
                  <c:v>51.042000000000002</c:v>
                </c:pt>
                <c:pt idx="25">
                  <c:v>50.933900000000001</c:v>
                </c:pt>
                <c:pt idx="26">
                  <c:v>50.770299999999999</c:v>
                </c:pt>
                <c:pt idx="27">
                  <c:v>50.564900000000002</c:v>
                </c:pt>
                <c:pt idx="28">
                  <c:v>50.470700000000001</c:v>
                </c:pt>
                <c:pt idx="29">
                  <c:v>50.316200000000002</c:v>
                </c:pt>
                <c:pt idx="30">
                  <c:v>50.145200000000003</c:v>
                </c:pt>
                <c:pt idx="31">
                  <c:v>49.954999999999998</c:v>
                </c:pt>
                <c:pt idx="32">
                  <c:v>49.798099999999998</c:v>
                </c:pt>
                <c:pt idx="33">
                  <c:v>49.584299999999999</c:v>
                </c:pt>
                <c:pt idx="34">
                  <c:v>49.489100000000001</c:v>
                </c:pt>
                <c:pt idx="35">
                  <c:v>49.367800000000003</c:v>
                </c:pt>
                <c:pt idx="36">
                  <c:v>49.17</c:v>
                </c:pt>
                <c:pt idx="37">
                  <c:v>49.083799999999997</c:v>
                </c:pt>
                <c:pt idx="38">
                  <c:v>48.897600000000004</c:v>
                </c:pt>
                <c:pt idx="39">
                  <c:v>48.694700000000005</c:v>
                </c:pt>
                <c:pt idx="40">
                  <c:v>48.448399999999999</c:v>
                </c:pt>
                <c:pt idx="41">
                  <c:v>48.142400000000002</c:v>
                </c:pt>
                <c:pt idx="42">
                  <c:v>47.885100000000001</c:v>
                </c:pt>
                <c:pt idx="43">
                  <c:v>47.5762</c:v>
                </c:pt>
                <c:pt idx="44">
                  <c:v>47.319400000000002</c:v>
                </c:pt>
                <c:pt idx="45">
                  <c:v>47.122100000000003</c:v>
                </c:pt>
                <c:pt idx="46">
                  <c:v>46.9358</c:v>
                </c:pt>
                <c:pt idx="47">
                  <c:v>46.828199999999995</c:v>
                </c:pt>
                <c:pt idx="48">
                  <c:v>46.7348</c:v>
                </c:pt>
                <c:pt idx="49">
                  <c:v>46.688299999999998</c:v>
                </c:pt>
                <c:pt idx="50">
                  <c:v>46.620800000000003</c:v>
                </c:pt>
                <c:pt idx="51">
                  <c:v>46.4495</c:v>
                </c:pt>
                <c:pt idx="52">
                  <c:v>46.347000000000001</c:v>
                </c:pt>
                <c:pt idx="53">
                  <c:v>46.306199999999997</c:v>
                </c:pt>
                <c:pt idx="54">
                  <c:v>46.248100000000001</c:v>
                </c:pt>
                <c:pt idx="55">
                  <c:v>46.1419</c:v>
                </c:pt>
                <c:pt idx="56">
                  <c:v>46.0869</c:v>
                </c:pt>
                <c:pt idx="57">
                  <c:v>46.053899999999999</c:v>
                </c:pt>
                <c:pt idx="58">
                  <c:v>46.064500000000002</c:v>
                </c:pt>
                <c:pt idx="59">
                  <c:v>46.176000000000002</c:v>
                </c:pt>
                <c:pt idx="60">
                  <c:v>46.279900000000005</c:v>
                </c:pt>
                <c:pt idx="61">
                  <c:v>46.386000000000003</c:v>
                </c:pt>
                <c:pt idx="62">
                  <c:v>46.390599999999999</c:v>
                </c:pt>
                <c:pt idx="63">
                  <c:v>46.453299999999999</c:v>
                </c:pt>
                <c:pt idx="64">
                  <c:v>46.520400000000002</c:v>
                </c:pt>
                <c:pt idx="65">
                  <c:v>46.680700000000002</c:v>
                </c:pt>
                <c:pt idx="66">
                  <c:v>46.851500000000001</c:v>
                </c:pt>
                <c:pt idx="67">
                  <c:v>46.956199999999995</c:v>
                </c:pt>
                <c:pt idx="68">
                  <c:v>47.286899999999996</c:v>
                </c:pt>
                <c:pt idx="69">
                  <c:v>47.462299999999999</c:v>
                </c:pt>
                <c:pt idx="70">
                  <c:v>47.810499999999998</c:v>
                </c:pt>
                <c:pt idx="71">
                  <c:v>48.078299999999999</c:v>
                </c:pt>
                <c:pt idx="72">
                  <c:v>48.282899999999998</c:v>
                </c:pt>
                <c:pt idx="73">
                  <c:v>48.417000000000002</c:v>
                </c:pt>
                <c:pt idx="74">
                  <c:v>48.635899999999999</c:v>
                </c:pt>
                <c:pt idx="75">
                  <c:v>48.828400000000002</c:v>
                </c:pt>
                <c:pt idx="76">
                  <c:v>49.075800000000001</c:v>
                </c:pt>
                <c:pt idx="77">
                  <c:v>49.269600000000004</c:v>
                </c:pt>
                <c:pt idx="78">
                  <c:v>49.213699999999996</c:v>
                </c:pt>
                <c:pt idx="79">
                  <c:v>49.077199999999998</c:v>
                </c:pt>
                <c:pt idx="80">
                  <c:v>48.962200000000003</c:v>
                </c:pt>
                <c:pt idx="81">
                  <c:v>48.8919</c:v>
                </c:pt>
                <c:pt idx="82">
                  <c:v>48.836800000000004</c:v>
                </c:pt>
                <c:pt idx="83">
                  <c:v>48.846600000000002</c:v>
                </c:pt>
                <c:pt idx="84">
                  <c:v>48.7973</c:v>
                </c:pt>
                <c:pt idx="85">
                  <c:v>48.820399999999999</c:v>
                </c:pt>
                <c:pt idx="86">
                  <c:v>48.943399999999997</c:v>
                </c:pt>
                <c:pt idx="87">
                  <c:v>49.167100000000005</c:v>
                </c:pt>
                <c:pt idx="88">
                  <c:v>49.462200000000003</c:v>
                </c:pt>
                <c:pt idx="89">
                  <c:v>49.722000000000001</c:v>
                </c:pt>
                <c:pt idx="90">
                  <c:v>49.957499999999996</c:v>
                </c:pt>
                <c:pt idx="91">
                  <c:v>50.166900000000005</c:v>
                </c:pt>
                <c:pt idx="92">
                  <c:v>50.313900000000004</c:v>
                </c:pt>
                <c:pt idx="93">
                  <c:v>50.409300000000002</c:v>
                </c:pt>
                <c:pt idx="94">
                  <c:v>50.514700000000005</c:v>
                </c:pt>
                <c:pt idx="95">
                  <c:v>50.598399999999998</c:v>
                </c:pt>
                <c:pt idx="96">
                  <c:v>50.657600000000002</c:v>
                </c:pt>
                <c:pt idx="97">
                  <c:v>50.723600000000005</c:v>
                </c:pt>
                <c:pt idx="98">
                  <c:v>50.696600000000004</c:v>
                </c:pt>
                <c:pt idx="99">
                  <c:v>50.746000000000002</c:v>
                </c:pt>
                <c:pt idx="100">
                  <c:v>50.768599999999999</c:v>
                </c:pt>
                <c:pt idx="101">
                  <c:v>50.802899999999994</c:v>
                </c:pt>
                <c:pt idx="102">
                  <c:v>50.8733</c:v>
                </c:pt>
                <c:pt idx="103">
                  <c:v>51.164299999999997</c:v>
                </c:pt>
                <c:pt idx="104">
                  <c:v>51.626399999999997</c:v>
                </c:pt>
                <c:pt idx="105">
                  <c:v>52.152000000000001</c:v>
                </c:pt>
                <c:pt idx="106">
                  <c:v>52.652799999999999</c:v>
                </c:pt>
                <c:pt idx="107">
                  <c:v>53.101500000000001</c:v>
                </c:pt>
                <c:pt idx="108">
                  <c:v>53.518900000000002</c:v>
                </c:pt>
                <c:pt idx="109">
                  <c:v>53.935900000000004</c:v>
                </c:pt>
                <c:pt idx="110">
                  <c:v>54.3003</c:v>
                </c:pt>
                <c:pt idx="111">
                  <c:v>54.675300000000007</c:v>
                </c:pt>
                <c:pt idx="112">
                  <c:v>55.000400000000006</c:v>
                </c:pt>
                <c:pt idx="113">
                  <c:v>55.290300000000002</c:v>
                </c:pt>
                <c:pt idx="114">
                  <c:v>55.559199999999997</c:v>
                </c:pt>
                <c:pt idx="115">
                  <c:v>55.790199999999999</c:v>
                </c:pt>
                <c:pt idx="116">
                  <c:v>56.064999999999998</c:v>
                </c:pt>
                <c:pt idx="117">
                  <c:v>56.323599999999999</c:v>
                </c:pt>
                <c:pt idx="118">
                  <c:v>56.5242</c:v>
                </c:pt>
                <c:pt idx="119">
                  <c:v>56.745100000000001</c:v>
                </c:pt>
                <c:pt idx="120">
                  <c:v>56.923599999999993</c:v>
                </c:pt>
                <c:pt idx="121">
                  <c:v>57.094999999999999</c:v>
                </c:pt>
                <c:pt idx="122">
                  <c:v>57.290199999999999</c:v>
                </c:pt>
                <c:pt idx="123">
                  <c:v>57.596400000000003</c:v>
                </c:pt>
                <c:pt idx="124">
                  <c:v>57.847899999999996</c:v>
                </c:pt>
                <c:pt idx="125">
                  <c:v>58.094199999999994</c:v>
                </c:pt>
                <c:pt idx="126">
                  <c:v>58.277999999999999</c:v>
                </c:pt>
                <c:pt idx="127">
                  <c:v>58.478399999999993</c:v>
                </c:pt>
                <c:pt idx="128">
                  <c:v>58.663699999999999</c:v>
                </c:pt>
                <c:pt idx="129">
                  <c:v>58.716799999999999</c:v>
                </c:pt>
                <c:pt idx="130">
                  <c:v>58.661700000000003</c:v>
                </c:pt>
                <c:pt idx="131">
                  <c:v>58.619200000000006</c:v>
                </c:pt>
                <c:pt idx="132">
                  <c:v>58.597600000000007</c:v>
                </c:pt>
                <c:pt idx="133">
                  <c:v>58.526699999999998</c:v>
                </c:pt>
                <c:pt idx="134">
                  <c:v>58.463799999999999</c:v>
                </c:pt>
                <c:pt idx="135">
                  <c:v>58.362499999999997</c:v>
                </c:pt>
                <c:pt idx="136">
                  <c:v>58.165599999999998</c:v>
                </c:pt>
                <c:pt idx="137">
                  <c:v>57.970299999999995</c:v>
                </c:pt>
                <c:pt idx="138">
                  <c:v>57.693099999999994</c:v>
                </c:pt>
                <c:pt idx="139">
                  <c:v>57.462599999999995</c:v>
                </c:pt>
                <c:pt idx="140">
                  <c:v>57.195599999999999</c:v>
                </c:pt>
                <c:pt idx="141">
                  <c:v>56.9377</c:v>
                </c:pt>
                <c:pt idx="142">
                  <c:v>56.622199999999999</c:v>
                </c:pt>
                <c:pt idx="143">
                  <c:v>56.365699999999997</c:v>
                </c:pt>
                <c:pt idx="144">
                  <c:v>55.9617</c:v>
                </c:pt>
                <c:pt idx="145">
                  <c:v>55.467299999999994</c:v>
                </c:pt>
                <c:pt idx="146">
                  <c:v>55.645400000000002</c:v>
                </c:pt>
                <c:pt idx="147">
                  <c:v>55.643000000000001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1.3989699999999998</c:v>
                </c:pt>
                <c:pt idx="1">
                  <c:v>1.4416000000000002</c:v>
                </c:pt>
                <c:pt idx="2">
                  <c:v>1.4836399999999998</c:v>
                </c:pt>
                <c:pt idx="3">
                  <c:v>1.5213399999999999</c:v>
                </c:pt>
                <c:pt idx="4">
                  <c:v>1.5548799999999998</c:v>
                </c:pt>
                <c:pt idx="5">
                  <c:v>1.58758</c:v>
                </c:pt>
                <c:pt idx="6">
                  <c:v>1.6215299999999999</c:v>
                </c:pt>
                <c:pt idx="7">
                  <c:v>1.6544700000000001</c:v>
                </c:pt>
                <c:pt idx="8">
                  <c:v>1.68987</c:v>
                </c:pt>
                <c:pt idx="9">
                  <c:v>1.7253399999999999</c:v>
                </c:pt>
                <c:pt idx="10">
                  <c:v>1.7610000000000001</c:v>
                </c:pt>
                <c:pt idx="11">
                  <c:v>1.7937400000000001</c:v>
                </c:pt>
                <c:pt idx="12">
                  <c:v>1.82372</c:v>
                </c:pt>
                <c:pt idx="13">
                  <c:v>1.85036</c:v>
                </c:pt>
                <c:pt idx="14">
                  <c:v>1.8720800000000002</c:v>
                </c:pt>
                <c:pt idx="15">
                  <c:v>1.8911</c:v>
                </c:pt>
                <c:pt idx="16">
                  <c:v>1.9101999999999999</c:v>
                </c:pt>
                <c:pt idx="17">
                  <c:v>1.9261300000000001</c:v>
                </c:pt>
                <c:pt idx="18">
                  <c:v>1.9393899999999999</c:v>
                </c:pt>
                <c:pt idx="19">
                  <c:v>1.9513</c:v>
                </c:pt>
                <c:pt idx="20">
                  <c:v>1.96187</c:v>
                </c:pt>
                <c:pt idx="21">
                  <c:v>1.9708999999999999</c:v>
                </c:pt>
                <c:pt idx="22">
                  <c:v>1.97786</c:v>
                </c:pt>
                <c:pt idx="23">
                  <c:v>1.9843199999999999</c:v>
                </c:pt>
                <c:pt idx="24">
                  <c:v>1.9919700000000002</c:v>
                </c:pt>
                <c:pt idx="25">
                  <c:v>1.9984299999999999</c:v>
                </c:pt>
                <c:pt idx="26">
                  <c:v>2.0076200000000002</c:v>
                </c:pt>
                <c:pt idx="27">
                  <c:v>2.01898</c:v>
                </c:pt>
                <c:pt idx="28">
                  <c:v>2.0323899999999999</c:v>
                </c:pt>
                <c:pt idx="29">
                  <c:v>2.0483799999999999</c:v>
                </c:pt>
                <c:pt idx="30">
                  <c:v>2.06447</c:v>
                </c:pt>
                <c:pt idx="31">
                  <c:v>2.07951</c:v>
                </c:pt>
                <c:pt idx="32">
                  <c:v>2.09382</c:v>
                </c:pt>
                <c:pt idx="33">
                  <c:v>2.1085400000000001</c:v>
                </c:pt>
                <c:pt idx="34">
                  <c:v>2.1184099999999999</c:v>
                </c:pt>
                <c:pt idx="35">
                  <c:v>2.1275200000000001</c:v>
                </c:pt>
                <c:pt idx="36">
                  <c:v>2.1380300000000001</c:v>
                </c:pt>
                <c:pt idx="37">
                  <c:v>2.1478199999999998</c:v>
                </c:pt>
                <c:pt idx="38">
                  <c:v>2.1601900000000001</c:v>
                </c:pt>
                <c:pt idx="39">
                  <c:v>2.1726899999999998</c:v>
                </c:pt>
                <c:pt idx="40">
                  <c:v>2.1876899999999999</c:v>
                </c:pt>
                <c:pt idx="41">
                  <c:v>2.20391</c:v>
                </c:pt>
                <c:pt idx="42">
                  <c:v>2.2202500000000001</c:v>
                </c:pt>
                <c:pt idx="43">
                  <c:v>2.2387600000000001</c:v>
                </c:pt>
                <c:pt idx="44">
                  <c:v>2.25536</c:v>
                </c:pt>
                <c:pt idx="45">
                  <c:v>2.2697000000000003</c:v>
                </c:pt>
                <c:pt idx="46">
                  <c:v>2.28451</c:v>
                </c:pt>
                <c:pt idx="47">
                  <c:v>2.3024</c:v>
                </c:pt>
                <c:pt idx="48">
                  <c:v>2.3197700000000001</c:v>
                </c:pt>
                <c:pt idx="49">
                  <c:v>2.33474</c:v>
                </c:pt>
                <c:pt idx="50">
                  <c:v>2.3476499999999998</c:v>
                </c:pt>
                <c:pt idx="51">
                  <c:v>2.3633000000000002</c:v>
                </c:pt>
                <c:pt idx="52">
                  <c:v>2.3722099999999999</c:v>
                </c:pt>
                <c:pt idx="53">
                  <c:v>2.3826200000000002</c:v>
                </c:pt>
                <c:pt idx="54">
                  <c:v>2.39161</c:v>
                </c:pt>
                <c:pt idx="55">
                  <c:v>2.39934</c:v>
                </c:pt>
                <c:pt idx="56">
                  <c:v>2.4155600000000002</c:v>
                </c:pt>
                <c:pt idx="57">
                  <c:v>2.4264999999999999</c:v>
                </c:pt>
                <c:pt idx="58">
                  <c:v>2.4314399999999998</c:v>
                </c:pt>
                <c:pt idx="59">
                  <c:v>2.4408500000000002</c:v>
                </c:pt>
                <c:pt idx="60">
                  <c:v>2.4456800000000003</c:v>
                </c:pt>
                <c:pt idx="61">
                  <c:v>2.4506000000000001</c:v>
                </c:pt>
                <c:pt idx="62">
                  <c:v>2.45614</c:v>
                </c:pt>
                <c:pt idx="63">
                  <c:v>2.4645000000000001</c:v>
                </c:pt>
                <c:pt idx="64">
                  <c:v>2.46936</c:v>
                </c:pt>
                <c:pt idx="65">
                  <c:v>2.4718599999999999</c:v>
                </c:pt>
                <c:pt idx="66">
                  <c:v>2.4722300000000001</c:v>
                </c:pt>
                <c:pt idx="67">
                  <c:v>2.47329</c:v>
                </c:pt>
                <c:pt idx="68">
                  <c:v>2.4678499999999999</c:v>
                </c:pt>
                <c:pt idx="69">
                  <c:v>2.4678499999999999</c:v>
                </c:pt>
                <c:pt idx="70">
                  <c:v>2.4628900000000002</c:v>
                </c:pt>
                <c:pt idx="71">
                  <c:v>2.46069</c:v>
                </c:pt>
                <c:pt idx="72">
                  <c:v>2.4571100000000001</c:v>
                </c:pt>
                <c:pt idx="73">
                  <c:v>2.4553600000000002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61.722299999999997</c:v>
                </c:pt>
                <c:pt idx="1">
                  <c:v>60.915399999999998</c:v>
                </c:pt>
                <c:pt idx="2">
                  <c:v>60.197299999999998</c:v>
                </c:pt>
                <c:pt idx="3">
                  <c:v>59.615499999999997</c:v>
                </c:pt>
                <c:pt idx="4">
                  <c:v>59.124500000000005</c:v>
                </c:pt>
                <c:pt idx="5">
                  <c:v>58.653700000000001</c:v>
                </c:pt>
                <c:pt idx="6">
                  <c:v>58.140999999999998</c:v>
                </c:pt>
                <c:pt idx="7">
                  <c:v>57.635899999999992</c:v>
                </c:pt>
                <c:pt idx="8">
                  <c:v>57.010400000000004</c:v>
                </c:pt>
                <c:pt idx="9">
                  <c:v>56.278199999999998</c:v>
                </c:pt>
                <c:pt idx="10">
                  <c:v>55.474299999999999</c:v>
                </c:pt>
                <c:pt idx="11">
                  <c:v>54.737700000000004</c:v>
                </c:pt>
                <c:pt idx="12">
                  <c:v>54.037999999999997</c:v>
                </c:pt>
                <c:pt idx="13">
                  <c:v>53.479100000000003</c:v>
                </c:pt>
                <c:pt idx="14">
                  <c:v>53.043199999999999</c:v>
                </c:pt>
                <c:pt idx="15">
                  <c:v>52.695</c:v>
                </c:pt>
                <c:pt idx="16">
                  <c:v>52.373899999999992</c:v>
                </c:pt>
                <c:pt idx="17">
                  <c:v>52.143799999999999</c:v>
                </c:pt>
                <c:pt idx="18">
                  <c:v>51.941700000000004</c:v>
                </c:pt>
                <c:pt idx="19">
                  <c:v>51.747399999999999</c:v>
                </c:pt>
                <c:pt idx="20">
                  <c:v>51.5505</c:v>
                </c:pt>
                <c:pt idx="21">
                  <c:v>51.382099999999994</c:v>
                </c:pt>
                <c:pt idx="22">
                  <c:v>51.248699999999999</c:v>
                </c:pt>
                <c:pt idx="23">
                  <c:v>51.145300000000006</c:v>
                </c:pt>
                <c:pt idx="24">
                  <c:v>51.042000000000002</c:v>
                </c:pt>
                <c:pt idx="25">
                  <c:v>50.933900000000001</c:v>
                </c:pt>
                <c:pt idx="26">
                  <c:v>50.770299999999999</c:v>
                </c:pt>
                <c:pt idx="27">
                  <c:v>50.564900000000002</c:v>
                </c:pt>
                <c:pt idx="28">
                  <c:v>50.470700000000001</c:v>
                </c:pt>
                <c:pt idx="29">
                  <c:v>50.316200000000002</c:v>
                </c:pt>
                <c:pt idx="30">
                  <c:v>50.145200000000003</c:v>
                </c:pt>
                <c:pt idx="31">
                  <c:v>49.954999999999998</c:v>
                </c:pt>
                <c:pt idx="32">
                  <c:v>49.798099999999998</c:v>
                </c:pt>
                <c:pt idx="33">
                  <c:v>49.584299999999999</c:v>
                </c:pt>
                <c:pt idx="34">
                  <c:v>49.489100000000001</c:v>
                </c:pt>
                <c:pt idx="35">
                  <c:v>49.367800000000003</c:v>
                </c:pt>
                <c:pt idx="36">
                  <c:v>49.17</c:v>
                </c:pt>
                <c:pt idx="37">
                  <c:v>49.083799999999997</c:v>
                </c:pt>
                <c:pt idx="38">
                  <c:v>48.897600000000004</c:v>
                </c:pt>
                <c:pt idx="39">
                  <c:v>48.694700000000005</c:v>
                </c:pt>
                <c:pt idx="40">
                  <c:v>48.448399999999999</c:v>
                </c:pt>
                <c:pt idx="41">
                  <c:v>48.142400000000002</c:v>
                </c:pt>
                <c:pt idx="42">
                  <c:v>47.885100000000001</c:v>
                </c:pt>
                <c:pt idx="43">
                  <c:v>47.5762</c:v>
                </c:pt>
                <c:pt idx="44">
                  <c:v>47.319400000000002</c:v>
                </c:pt>
                <c:pt idx="45">
                  <c:v>47.122100000000003</c:v>
                </c:pt>
                <c:pt idx="46">
                  <c:v>46.9358</c:v>
                </c:pt>
                <c:pt idx="47">
                  <c:v>46.828199999999995</c:v>
                </c:pt>
                <c:pt idx="48">
                  <c:v>46.7348</c:v>
                </c:pt>
                <c:pt idx="49">
                  <c:v>46.688299999999998</c:v>
                </c:pt>
                <c:pt idx="50">
                  <c:v>46.620800000000003</c:v>
                </c:pt>
                <c:pt idx="51">
                  <c:v>46.4495</c:v>
                </c:pt>
                <c:pt idx="52">
                  <c:v>46.347000000000001</c:v>
                </c:pt>
                <c:pt idx="53">
                  <c:v>46.306199999999997</c:v>
                </c:pt>
                <c:pt idx="54">
                  <c:v>46.248100000000001</c:v>
                </c:pt>
                <c:pt idx="55">
                  <c:v>46.1419</c:v>
                </c:pt>
                <c:pt idx="56">
                  <c:v>46.0869</c:v>
                </c:pt>
                <c:pt idx="57">
                  <c:v>46.053899999999999</c:v>
                </c:pt>
                <c:pt idx="58">
                  <c:v>46.064500000000002</c:v>
                </c:pt>
                <c:pt idx="59">
                  <c:v>46.176000000000002</c:v>
                </c:pt>
                <c:pt idx="60">
                  <c:v>46.279900000000005</c:v>
                </c:pt>
                <c:pt idx="61">
                  <c:v>46.386000000000003</c:v>
                </c:pt>
                <c:pt idx="62">
                  <c:v>46.390599999999999</c:v>
                </c:pt>
                <c:pt idx="63">
                  <c:v>46.453299999999999</c:v>
                </c:pt>
                <c:pt idx="64">
                  <c:v>46.520400000000002</c:v>
                </c:pt>
                <c:pt idx="65">
                  <c:v>46.680700000000002</c:v>
                </c:pt>
                <c:pt idx="66">
                  <c:v>46.851500000000001</c:v>
                </c:pt>
                <c:pt idx="67">
                  <c:v>46.956199999999995</c:v>
                </c:pt>
                <c:pt idx="68">
                  <c:v>47.286899999999996</c:v>
                </c:pt>
                <c:pt idx="69">
                  <c:v>47.462299999999999</c:v>
                </c:pt>
                <c:pt idx="70">
                  <c:v>47.810499999999998</c:v>
                </c:pt>
                <c:pt idx="71">
                  <c:v>48.078299999999999</c:v>
                </c:pt>
                <c:pt idx="72">
                  <c:v>48.282899999999998</c:v>
                </c:pt>
                <c:pt idx="73">
                  <c:v>48.417000000000002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2.4553600000000002</c:v>
                </c:pt>
                <c:pt idx="1">
                  <c:v>2.44692</c:v>
                </c:pt>
                <c:pt idx="2">
                  <c:v>2.4397500000000001</c:v>
                </c:pt>
                <c:pt idx="3">
                  <c:v>2.4292400000000001</c:v>
                </c:pt>
                <c:pt idx="4">
                  <c:v>2.4195700000000002</c:v>
                </c:pt>
                <c:pt idx="5">
                  <c:v>2.4119199999999998</c:v>
                </c:pt>
                <c:pt idx="6">
                  <c:v>2.4028200000000002</c:v>
                </c:pt>
                <c:pt idx="7">
                  <c:v>2.3898099999999998</c:v>
                </c:pt>
                <c:pt idx="8">
                  <c:v>2.3742000000000001</c:v>
                </c:pt>
                <c:pt idx="9">
                  <c:v>2.35791</c:v>
                </c:pt>
                <c:pt idx="10">
                  <c:v>2.3403900000000002</c:v>
                </c:pt>
                <c:pt idx="11">
                  <c:v>2.3253900000000001</c:v>
                </c:pt>
                <c:pt idx="12">
                  <c:v>2.3090299999999999</c:v>
                </c:pt>
                <c:pt idx="13">
                  <c:v>2.2911699999999997</c:v>
                </c:pt>
                <c:pt idx="14">
                  <c:v>2.2713299999999998</c:v>
                </c:pt>
                <c:pt idx="15">
                  <c:v>2.2497400000000001</c:v>
                </c:pt>
                <c:pt idx="16">
                  <c:v>2.2292200000000002</c:v>
                </c:pt>
                <c:pt idx="17">
                  <c:v>2.2101600000000001</c:v>
                </c:pt>
                <c:pt idx="18">
                  <c:v>2.19184</c:v>
                </c:pt>
                <c:pt idx="19">
                  <c:v>2.1748099999999999</c:v>
                </c:pt>
                <c:pt idx="20">
                  <c:v>2.1586600000000002</c:v>
                </c:pt>
                <c:pt idx="21">
                  <c:v>2.1427899999999998</c:v>
                </c:pt>
                <c:pt idx="22">
                  <c:v>2.1276800000000002</c:v>
                </c:pt>
                <c:pt idx="23">
                  <c:v>2.1124700000000001</c:v>
                </c:pt>
                <c:pt idx="24">
                  <c:v>2.0970499999999999</c:v>
                </c:pt>
                <c:pt idx="25">
                  <c:v>2.0851100000000002</c:v>
                </c:pt>
                <c:pt idx="26">
                  <c:v>2.0710500000000001</c:v>
                </c:pt>
                <c:pt idx="27">
                  <c:v>2.0583900000000002</c:v>
                </c:pt>
                <c:pt idx="28">
                  <c:v>2.0457000000000001</c:v>
                </c:pt>
                <c:pt idx="29">
                  <c:v>2.03294</c:v>
                </c:pt>
                <c:pt idx="30">
                  <c:v>2.0229400000000002</c:v>
                </c:pt>
                <c:pt idx="31">
                  <c:v>2.01092</c:v>
                </c:pt>
                <c:pt idx="32">
                  <c:v>1.9971000000000001</c:v>
                </c:pt>
                <c:pt idx="33">
                  <c:v>1.9834299999999998</c:v>
                </c:pt>
                <c:pt idx="34">
                  <c:v>1.9698599999999999</c:v>
                </c:pt>
                <c:pt idx="35">
                  <c:v>1.9554499999999999</c:v>
                </c:pt>
                <c:pt idx="36">
                  <c:v>1.94021</c:v>
                </c:pt>
                <c:pt idx="37">
                  <c:v>1.9254899999999999</c:v>
                </c:pt>
                <c:pt idx="38">
                  <c:v>1.90889</c:v>
                </c:pt>
                <c:pt idx="39">
                  <c:v>1.8926699999999999</c:v>
                </c:pt>
                <c:pt idx="40">
                  <c:v>1.8771499999999999</c:v>
                </c:pt>
                <c:pt idx="41">
                  <c:v>1.8639000000000001</c:v>
                </c:pt>
                <c:pt idx="42">
                  <c:v>1.8523100000000001</c:v>
                </c:pt>
                <c:pt idx="43">
                  <c:v>1.8412200000000001</c:v>
                </c:pt>
                <c:pt idx="44">
                  <c:v>1.83101</c:v>
                </c:pt>
                <c:pt idx="45">
                  <c:v>1.8215300000000001</c:v>
                </c:pt>
                <c:pt idx="46">
                  <c:v>1.8109</c:v>
                </c:pt>
                <c:pt idx="47">
                  <c:v>1.8012000000000001</c:v>
                </c:pt>
                <c:pt idx="48">
                  <c:v>1.79253</c:v>
                </c:pt>
                <c:pt idx="49">
                  <c:v>1.78426</c:v>
                </c:pt>
                <c:pt idx="50">
                  <c:v>1.7744399999999998</c:v>
                </c:pt>
                <c:pt idx="51">
                  <c:v>1.7657400000000001</c:v>
                </c:pt>
                <c:pt idx="52">
                  <c:v>1.75654</c:v>
                </c:pt>
                <c:pt idx="53">
                  <c:v>1.7495499999999999</c:v>
                </c:pt>
                <c:pt idx="54">
                  <c:v>1.7420800000000001</c:v>
                </c:pt>
                <c:pt idx="55">
                  <c:v>1.7352100000000001</c:v>
                </c:pt>
                <c:pt idx="56">
                  <c:v>1.7322199999999999</c:v>
                </c:pt>
                <c:pt idx="57">
                  <c:v>1.7327999999999999</c:v>
                </c:pt>
                <c:pt idx="58">
                  <c:v>1.7333299999999998</c:v>
                </c:pt>
                <c:pt idx="59">
                  <c:v>1.73404</c:v>
                </c:pt>
                <c:pt idx="60">
                  <c:v>1.7359100000000001</c:v>
                </c:pt>
                <c:pt idx="61">
                  <c:v>1.73807</c:v>
                </c:pt>
                <c:pt idx="62">
                  <c:v>1.7419899999999999</c:v>
                </c:pt>
                <c:pt idx="63">
                  <c:v>1.7492700000000001</c:v>
                </c:pt>
                <c:pt idx="64">
                  <c:v>1.75728</c:v>
                </c:pt>
                <c:pt idx="65">
                  <c:v>1.7682200000000001</c:v>
                </c:pt>
                <c:pt idx="66">
                  <c:v>1.7753299999999999</c:v>
                </c:pt>
                <c:pt idx="67">
                  <c:v>1.7827899999999999</c:v>
                </c:pt>
                <c:pt idx="68">
                  <c:v>1.7858299999999998</c:v>
                </c:pt>
                <c:pt idx="69">
                  <c:v>1.7894699999999999</c:v>
                </c:pt>
                <c:pt idx="70">
                  <c:v>1.7949300000000001</c:v>
                </c:pt>
                <c:pt idx="71">
                  <c:v>1.8065</c:v>
                </c:pt>
                <c:pt idx="72">
                  <c:v>1.8208500000000001</c:v>
                </c:pt>
                <c:pt idx="73">
                  <c:v>1.82107</c:v>
                </c:pt>
                <c:pt idx="74">
                  <c:v>1.8251400000000002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48.417000000000002</c:v>
                </c:pt>
                <c:pt idx="1">
                  <c:v>48.635899999999999</c:v>
                </c:pt>
                <c:pt idx="2">
                  <c:v>48.828400000000002</c:v>
                </c:pt>
                <c:pt idx="3">
                  <c:v>49.075800000000001</c:v>
                </c:pt>
                <c:pt idx="4">
                  <c:v>49.269600000000004</c:v>
                </c:pt>
                <c:pt idx="5">
                  <c:v>49.213699999999996</c:v>
                </c:pt>
                <c:pt idx="6">
                  <c:v>49.077199999999998</c:v>
                </c:pt>
                <c:pt idx="7">
                  <c:v>48.962200000000003</c:v>
                </c:pt>
                <c:pt idx="8">
                  <c:v>48.8919</c:v>
                </c:pt>
                <c:pt idx="9">
                  <c:v>48.836800000000004</c:v>
                </c:pt>
                <c:pt idx="10">
                  <c:v>48.846600000000002</c:v>
                </c:pt>
                <c:pt idx="11">
                  <c:v>48.7973</c:v>
                </c:pt>
                <c:pt idx="12">
                  <c:v>48.820399999999999</c:v>
                </c:pt>
                <c:pt idx="13">
                  <c:v>48.943399999999997</c:v>
                </c:pt>
                <c:pt idx="14">
                  <c:v>49.167100000000005</c:v>
                </c:pt>
                <c:pt idx="15">
                  <c:v>49.462200000000003</c:v>
                </c:pt>
                <c:pt idx="16">
                  <c:v>49.722000000000001</c:v>
                </c:pt>
                <c:pt idx="17">
                  <c:v>49.957499999999996</c:v>
                </c:pt>
                <c:pt idx="18">
                  <c:v>50.166900000000005</c:v>
                </c:pt>
                <c:pt idx="19">
                  <c:v>50.313900000000004</c:v>
                </c:pt>
                <c:pt idx="20">
                  <c:v>50.409300000000002</c:v>
                </c:pt>
                <c:pt idx="21">
                  <c:v>50.514700000000005</c:v>
                </c:pt>
                <c:pt idx="22">
                  <c:v>50.598399999999998</c:v>
                </c:pt>
                <c:pt idx="23">
                  <c:v>50.657600000000002</c:v>
                </c:pt>
                <c:pt idx="24">
                  <c:v>50.723600000000005</c:v>
                </c:pt>
                <c:pt idx="25">
                  <c:v>50.696600000000004</c:v>
                </c:pt>
                <c:pt idx="26">
                  <c:v>50.746000000000002</c:v>
                </c:pt>
                <c:pt idx="27">
                  <c:v>50.768599999999999</c:v>
                </c:pt>
                <c:pt idx="28">
                  <c:v>50.802899999999994</c:v>
                </c:pt>
                <c:pt idx="29">
                  <c:v>50.8733</c:v>
                </c:pt>
                <c:pt idx="30">
                  <c:v>51.164299999999997</c:v>
                </c:pt>
                <c:pt idx="31">
                  <c:v>51.626399999999997</c:v>
                </c:pt>
                <c:pt idx="32">
                  <c:v>52.152000000000001</c:v>
                </c:pt>
                <c:pt idx="33">
                  <c:v>52.652799999999999</c:v>
                </c:pt>
                <c:pt idx="34">
                  <c:v>53.101500000000001</c:v>
                </c:pt>
                <c:pt idx="35">
                  <c:v>53.518900000000002</c:v>
                </c:pt>
                <c:pt idx="36">
                  <c:v>53.935900000000004</c:v>
                </c:pt>
                <c:pt idx="37">
                  <c:v>54.3003</c:v>
                </c:pt>
                <c:pt idx="38">
                  <c:v>54.675300000000007</c:v>
                </c:pt>
                <c:pt idx="39">
                  <c:v>55.000400000000006</c:v>
                </c:pt>
                <c:pt idx="40">
                  <c:v>55.290300000000002</c:v>
                </c:pt>
                <c:pt idx="41">
                  <c:v>55.559199999999997</c:v>
                </c:pt>
                <c:pt idx="42">
                  <c:v>55.790199999999999</c:v>
                </c:pt>
                <c:pt idx="43">
                  <c:v>56.064999999999998</c:v>
                </c:pt>
                <c:pt idx="44">
                  <c:v>56.323599999999999</c:v>
                </c:pt>
                <c:pt idx="45">
                  <c:v>56.5242</c:v>
                </c:pt>
                <c:pt idx="46">
                  <c:v>56.745100000000001</c:v>
                </c:pt>
                <c:pt idx="47">
                  <c:v>56.923599999999993</c:v>
                </c:pt>
                <c:pt idx="48">
                  <c:v>57.094999999999999</c:v>
                </c:pt>
                <c:pt idx="49">
                  <c:v>57.290199999999999</c:v>
                </c:pt>
                <c:pt idx="50">
                  <c:v>57.596400000000003</c:v>
                </c:pt>
                <c:pt idx="51">
                  <c:v>57.847899999999996</c:v>
                </c:pt>
                <c:pt idx="52">
                  <c:v>58.094199999999994</c:v>
                </c:pt>
                <c:pt idx="53">
                  <c:v>58.277999999999999</c:v>
                </c:pt>
                <c:pt idx="54">
                  <c:v>58.478399999999993</c:v>
                </c:pt>
                <c:pt idx="55">
                  <c:v>58.663699999999999</c:v>
                </c:pt>
                <c:pt idx="56">
                  <c:v>58.716799999999999</c:v>
                </c:pt>
                <c:pt idx="57">
                  <c:v>58.661700000000003</c:v>
                </c:pt>
                <c:pt idx="58">
                  <c:v>58.619200000000006</c:v>
                </c:pt>
                <c:pt idx="59">
                  <c:v>58.597600000000007</c:v>
                </c:pt>
                <c:pt idx="60">
                  <c:v>58.526699999999998</c:v>
                </c:pt>
                <c:pt idx="61">
                  <c:v>58.463799999999999</c:v>
                </c:pt>
                <c:pt idx="62">
                  <c:v>58.362499999999997</c:v>
                </c:pt>
                <c:pt idx="63">
                  <c:v>58.165599999999998</c:v>
                </c:pt>
                <c:pt idx="64">
                  <c:v>57.970299999999995</c:v>
                </c:pt>
                <c:pt idx="65">
                  <c:v>57.693099999999994</c:v>
                </c:pt>
                <c:pt idx="66">
                  <c:v>57.462599999999995</c:v>
                </c:pt>
                <c:pt idx="67">
                  <c:v>57.195599999999999</c:v>
                </c:pt>
                <c:pt idx="68">
                  <c:v>56.9377</c:v>
                </c:pt>
                <c:pt idx="69">
                  <c:v>56.622199999999999</c:v>
                </c:pt>
                <c:pt idx="70">
                  <c:v>56.365699999999997</c:v>
                </c:pt>
                <c:pt idx="71">
                  <c:v>55.9617</c:v>
                </c:pt>
                <c:pt idx="72">
                  <c:v>55.467299999999994</c:v>
                </c:pt>
                <c:pt idx="73">
                  <c:v>55.645400000000002</c:v>
                </c:pt>
                <c:pt idx="74">
                  <c:v>55.643000000000001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1.3989699999999998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61.722299999999997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2.1171018918918909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50.278520270270278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1.989576081081081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53.75069054054056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1.989576081081081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53.75069054054056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570</v>
      </c>
      <c r="D5" s="151"/>
      <c r="E5" s="151"/>
      <c r="F5" s="152"/>
      <c r="G5" s="48" t="str">
        <f>lang!B27</f>
        <v>编号</v>
      </c>
      <c r="H5" s="150">
        <v>15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571</v>
      </c>
      <c r="D6" s="188"/>
      <c r="E6" s="188"/>
      <c r="F6" s="189"/>
      <c r="G6" s="49" t="str">
        <f>lang!B28</f>
        <v xml:space="preserve"> 日期</v>
      </c>
      <c r="H6" s="172">
        <f>FH_info!A2</f>
        <v>43607.418541666666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29</v>
      </c>
      <c r="D7" s="191"/>
      <c r="E7" s="191"/>
      <c r="F7" s="192"/>
      <c r="G7" s="50" t="str">
        <f>lang!B29</f>
        <v>误差率（%）</v>
      </c>
      <c r="H7" s="175">
        <f>M!B17*1</f>
        <v>17.355499999999999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29.943200000000001</v>
      </c>
      <c r="O8" s="59">
        <f>M!C5*1</f>
        <v>5.6504099999999999</v>
      </c>
      <c r="P8" s="59">
        <f>M!D5*1</f>
        <v>18.8704</v>
      </c>
      <c r="Q8" s="59">
        <f>M!E5*1</f>
        <v>20</v>
      </c>
      <c r="R8" s="59">
        <f>M!F5*1</f>
        <v>11.559200000000001</v>
      </c>
      <c r="S8" s="59">
        <f>M!G5*1</f>
        <v>50</v>
      </c>
      <c r="T8" s="59">
        <f>M!H5*1</f>
        <v>37.951700000000002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39.9666</v>
      </c>
      <c r="O9" s="59">
        <f>M!C6*1</f>
        <v>5.4341699999999999</v>
      </c>
      <c r="P9" s="59">
        <f>M!D6*1</f>
        <v>13.5968</v>
      </c>
      <c r="Q9" s="59">
        <f>M!E6*1</f>
        <v>20</v>
      </c>
      <c r="R9" s="59">
        <f>M!F6*1</f>
        <v>30.172699999999999</v>
      </c>
      <c r="S9" s="59">
        <f>M!G6*1</f>
        <v>40</v>
      </c>
      <c r="T9" s="59">
        <f>M!H6*1</f>
        <v>49.7318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11.559200000000001</v>
      </c>
      <c r="D10" s="99">
        <f>N8</f>
        <v>29.943200000000001</v>
      </c>
      <c r="E10" s="100">
        <f>T8</f>
        <v>37.951700000000002</v>
      </c>
      <c r="F10" s="91">
        <f>P8</f>
        <v>18.8704</v>
      </c>
      <c r="G10" s="81" t="str">
        <f>CONCATENATE(M9,"
(20 ~ 40)")</f>
        <v>压力
(20 ~ 40)</v>
      </c>
      <c r="H10" s="98">
        <f>R9</f>
        <v>30.172699999999999</v>
      </c>
      <c r="I10" s="108">
        <f>N9</f>
        <v>39.9666</v>
      </c>
      <c r="J10" s="98">
        <f>T9</f>
        <v>49.7318</v>
      </c>
      <c r="K10" s="92">
        <f>P9</f>
        <v>13.5968</v>
      </c>
      <c r="L10" s="6"/>
      <c r="M10" s="27" t="str">
        <f>lang!B16</f>
        <v>焦虑</v>
      </c>
      <c r="N10" s="59">
        <f>M!B7*1</f>
        <v>42.369900000000001</v>
      </c>
      <c r="O10" s="59">
        <f>M!C7*1</f>
        <v>13.5489</v>
      </c>
      <c r="P10" s="59">
        <f>M!D7*1</f>
        <v>31.977699999999999</v>
      </c>
      <c r="Q10" s="59">
        <f>M!E7*1</f>
        <v>15</v>
      </c>
      <c r="R10" s="59">
        <f>M!F7*1</f>
        <v>7.1391</v>
      </c>
      <c r="S10" s="59">
        <f>M!G7*1</f>
        <v>40</v>
      </c>
      <c r="T10" s="59">
        <f>M!H7*1</f>
        <v>51.239400000000003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7.1391</v>
      </c>
      <c r="D11" s="102">
        <f>N10</f>
        <v>42.369900000000001</v>
      </c>
      <c r="E11" s="103">
        <f>T10</f>
        <v>51.239400000000003</v>
      </c>
      <c r="F11" s="94">
        <f>P10</f>
        <v>31.977699999999999</v>
      </c>
      <c r="G11" s="52" t="str">
        <f>CONCATENATE(M11,"
(20 ~ 50)")</f>
        <v>可疑
(20 ~ 50)</v>
      </c>
      <c r="H11" s="101">
        <f>R11</f>
        <v>19.471</v>
      </c>
      <c r="I11" s="104">
        <f>N11</f>
        <v>34.732199999999999</v>
      </c>
      <c r="J11" s="101">
        <f>T11</f>
        <v>43.297400000000003</v>
      </c>
      <c r="K11" s="95">
        <f>P11</f>
        <v>18.375800000000002</v>
      </c>
      <c r="L11" s="4"/>
      <c r="M11" s="27" t="str">
        <f>lang!B17</f>
        <v>可疑</v>
      </c>
      <c r="N11" s="59">
        <f>M!B8*1</f>
        <v>34.732199999999999</v>
      </c>
      <c r="O11" s="59">
        <f>M!C8*1</f>
        <v>6.3823299999999996</v>
      </c>
      <c r="P11" s="59">
        <f>M!D8*1</f>
        <v>18.375800000000002</v>
      </c>
      <c r="Q11" s="59">
        <f>M!E8*1</f>
        <v>20</v>
      </c>
      <c r="R11" s="59">
        <f>M!F8*1</f>
        <v>19.471</v>
      </c>
      <c r="S11" s="59">
        <f>M!G8*1</f>
        <v>50</v>
      </c>
      <c r="T11" s="59">
        <f>M!H8*1</f>
        <v>43.297400000000003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52.701500000000003</v>
      </c>
      <c r="D12" s="104">
        <f>N12</f>
        <v>64.840800000000002</v>
      </c>
      <c r="E12" s="101">
        <f>T12</f>
        <v>76.693200000000004</v>
      </c>
      <c r="F12" s="93">
        <f>P12</f>
        <v>6.5918700000000001</v>
      </c>
      <c r="G12" s="52" t="str">
        <f>CONCATENATE(M13,"
(40 ~ 100)")</f>
        <v>自信
(40 ~ 100)</v>
      </c>
      <c r="H12" s="101">
        <f>R13</f>
        <v>40.5276</v>
      </c>
      <c r="I12" s="104">
        <f>N13</f>
        <v>69.321399999999997</v>
      </c>
      <c r="J12" s="101">
        <f>T13</f>
        <v>77.046099999999996</v>
      </c>
      <c r="K12" s="95">
        <f>P13</f>
        <v>11.7615</v>
      </c>
      <c r="L12" s="4"/>
      <c r="M12" s="27" t="str">
        <f>lang!B18</f>
        <v>平衡</v>
      </c>
      <c r="N12" s="59">
        <f>M!B9*1</f>
        <v>64.840800000000002</v>
      </c>
      <c r="O12" s="59">
        <f>M!C9*1</f>
        <v>4.2742199999999997</v>
      </c>
      <c r="P12" s="59">
        <f>M!D9*1</f>
        <v>6.5918700000000001</v>
      </c>
      <c r="Q12" s="59">
        <f>M!E9*1</f>
        <v>50</v>
      </c>
      <c r="R12" s="59">
        <f>M!F9*1</f>
        <v>52.701500000000003</v>
      </c>
      <c r="S12" s="59">
        <f>M!G9*1</f>
        <v>100</v>
      </c>
      <c r="T12" s="59">
        <f>M!H9*1</f>
        <v>76.693200000000004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4.4343199999999996</v>
      </c>
      <c r="D13" s="102">
        <f>N14</f>
        <v>10.4474</v>
      </c>
      <c r="E13" s="103">
        <f>T14</f>
        <v>14.957000000000001</v>
      </c>
      <c r="F13" s="94">
        <f>P14</f>
        <v>23.762899999999998</v>
      </c>
      <c r="G13" s="52" t="str">
        <f>CONCATENATE(M15,"
(50 ~ 100)")</f>
        <v>自我调节
(50 ~ 100)</v>
      </c>
      <c r="H13" s="101">
        <f>R15</f>
        <v>52.999699999999997</v>
      </c>
      <c r="I13" s="104">
        <f>N15</f>
        <v>65.863200000000006</v>
      </c>
      <c r="J13" s="101">
        <f>T15</f>
        <v>71.121600000000001</v>
      </c>
      <c r="K13" s="95">
        <f>P15</f>
        <v>5.8791900000000004</v>
      </c>
      <c r="L13" s="4"/>
      <c r="M13" s="27" t="str">
        <f>lang!B19</f>
        <v>自信</v>
      </c>
      <c r="N13" s="59">
        <f>M!B10*1</f>
        <v>69.321399999999997</v>
      </c>
      <c r="O13" s="59">
        <f>M!C10*1</f>
        <v>8.1532499999999999</v>
      </c>
      <c r="P13" s="59">
        <f>M!D10*1</f>
        <v>11.7615</v>
      </c>
      <c r="Q13" s="59">
        <f>M!E10*1</f>
        <v>40</v>
      </c>
      <c r="R13" s="59">
        <f>M!F10*1</f>
        <v>40.5276</v>
      </c>
      <c r="S13" s="59">
        <f>M!G10*1</f>
        <v>100</v>
      </c>
      <c r="T13" s="59">
        <f>M!H10*1</f>
        <v>77.046099999999996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12.157400000000001</v>
      </c>
      <c r="D14" s="106">
        <f>N16</f>
        <v>15.480700000000001</v>
      </c>
      <c r="E14" s="107">
        <f>T16</f>
        <v>23.074999999999999</v>
      </c>
      <c r="F14" s="96">
        <f>P16</f>
        <v>13.086499999999999</v>
      </c>
      <c r="G14" s="112" t="str">
        <f>CONCATENATE(M17,"
(10 ~ 50)")</f>
        <v>神经质
(10 ~ 50)</v>
      </c>
      <c r="H14" s="105">
        <f>R17</f>
        <v>0.14876600000000001</v>
      </c>
      <c r="I14" s="106">
        <f>N17</f>
        <v>20.258800000000001</v>
      </c>
      <c r="J14" s="107">
        <f>T17</f>
        <v>25.4864</v>
      </c>
      <c r="K14" s="97">
        <f>P17</f>
        <v>29.652699999999999</v>
      </c>
      <c r="M14" s="27" t="str">
        <f>lang!B20</f>
        <v>活力</v>
      </c>
      <c r="N14" s="59">
        <f>M!B11*1</f>
        <v>10.4474</v>
      </c>
      <c r="O14" s="59">
        <f>M!C11*1</f>
        <v>2.4826100000000002</v>
      </c>
      <c r="P14" s="59">
        <f>M!D11*1</f>
        <v>23.762899999999998</v>
      </c>
      <c r="Q14" s="59">
        <f>M!E11*1</f>
        <v>10</v>
      </c>
      <c r="R14" s="59">
        <f>M!F11*1</f>
        <v>4.4343199999999996</v>
      </c>
      <c r="S14" s="59">
        <f>M!G11*1</f>
        <v>50</v>
      </c>
      <c r="T14" s="59">
        <f>M!H11*1</f>
        <v>14.957000000000001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65.863200000000006</v>
      </c>
      <c r="O15" s="59">
        <f>M!C12*1</f>
        <v>3.87222</v>
      </c>
      <c r="P15" s="59">
        <f>M!D12*1</f>
        <v>5.8791900000000004</v>
      </c>
      <c r="Q15" s="59">
        <f>M!E12*1</f>
        <v>50</v>
      </c>
      <c r="R15" s="59">
        <f>M!F12*1</f>
        <v>52.999699999999997</v>
      </c>
      <c r="S15" s="59">
        <f>M!G12*1</f>
        <v>100</v>
      </c>
      <c r="T15" s="59">
        <f>M!H12*1</f>
        <v>71.121600000000001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15.480700000000001</v>
      </c>
      <c r="O16" s="59">
        <f>M!C13*1</f>
        <v>2.0258799999999999</v>
      </c>
      <c r="P16" s="59">
        <f>M!D13*1</f>
        <v>13.086499999999999</v>
      </c>
      <c r="Q16" s="59">
        <f>M!E13*1</f>
        <v>10</v>
      </c>
      <c r="R16" s="59">
        <f>M!F13*1</f>
        <v>12.157400000000001</v>
      </c>
      <c r="S16" s="59">
        <f>M!G13*1</f>
        <v>25</v>
      </c>
      <c r="T16" s="59">
        <f>M!H13*1</f>
        <v>23.074999999999999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20.258800000000001</v>
      </c>
      <c r="O17" s="59">
        <f>M!C14*1</f>
        <v>6.0072900000000002</v>
      </c>
      <c r="P17" s="59">
        <f>M!D14*1</f>
        <v>29.652699999999999</v>
      </c>
      <c r="Q17" s="59">
        <f>M!E14*1</f>
        <v>10</v>
      </c>
      <c r="R17" s="59">
        <f>M!F14*1</f>
        <v>0.14876600000000001</v>
      </c>
      <c r="S17" s="59">
        <f>M!G14*1</f>
        <v>50</v>
      </c>
      <c r="T17" s="59">
        <f>M!H14*1</f>
        <v>25.4864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52.618199999999995</v>
      </c>
      <c r="O18" s="22">
        <f>N18/(N18+N19+N20)</f>
        <v>0.49065410429833572</v>
      </c>
      <c r="P18" s="65">
        <f>SUM(P12:P15)/4</f>
        <v>11.998865</v>
      </c>
      <c r="Q18" s="22">
        <f>P18/(P18+P19+P20)</f>
        <v>0.22189859976136247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36.752974999999999</v>
      </c>
      <c r="O19" s="22">
        <f>N19/(N18+N19+N20)</f>
        <v>0.34271408046881358</v>
      </c>
      <c r="P19" s="18">
        <f>SUM(P8:P11)/4</f>
        <v>20.705174999999997</v>
      </c>
      <c r="Q19" s="22">
        <f>P19/(P18+P19+P20)</f>
        <v>0.38290699497943909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17.86975</v>
      </c>
      <c r="O20" s="22">
        <f>N20/(N18+N19+N20)</f>
        <v>0.16663181523285073</v>
      </c>
      <c r="P20" s="18">
        <f>(P16+P17)/2</f>
        <v>21.369599999999998</v>
      </c>
      <c r="Q20" s="22">
        <f>P20/(P18+P19+P20)</f>
        <v>0.39519440525919836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4.7474283783783822E-2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1.0220793468586284</v>
      </c>
      <c r="D25" s="44" t="str">
        <f>lang!B11</f>
        <v>频率方差</v>
      </c>
      <c r="E25" s="142">
        <f ca="1">FH!L3</f>
        <v>0.50107414505394932</v>
      </c>
      <c r="F25" s="143"/>
      <c r="G25" s="134" t="str">
        <f>lang!B12</f>
        <v>生理变化率</v>
      </c>
      <c r="H25" s="135"/>
      <c r="I25" s="62" t="str">
        <f ca="1">CONCATENATE(info!M7,"-",info!M8)</f>
        <v>46.1-61.7</v>
      </c>
      <c r="J25" s="42" t="str">
        <f>lang!B13</f>
        <v>千卡l/分钟</v>
      </c>
      <c r="K25" s="41" t="str">
        <f ca="1">CONCATENATE(info!M5,"-",info!M6)</f>
        <v>1.4-2.5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61.298299999999998</v>
      </c>
      <c r="F28" s="164"/>
      <c r="G28" s="178" t="str">
        <f>lang!B33</f>
        <v>稳定性</v>
      </c>
      <c r="H28" s="179"/>
      <c r="I28" s="180"/>
      <c r="J28" s="181">
        <f>M!B19*100</f>
        <v>72.116499999999988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43607.418541666666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-2.9052000000000042</v>
      </c>
      <c r="O7" s="59">
        <f t="shared" ref="O7:T7" si="2">AG7-X7</f>
        <v>-2.7679800000000006</v>
      </c>
      <c r="P7" s="59">
        <f t="shared" si="2"/>
        <v>-7.3522999999999996</v>
      </c>
      <c r="Q7" s="59">
        <f t="shared" si="2"/>
        <v>0</v>
      </c>
      <c r="R7" s="59">
        <f t="shared" si="2"/>
        <v>9.6607999999999983</v>
      </c>
      <c r="S7" s="59">
        <f t="shared" si="2"/>
        <v>0</v>
      </c>
      <c r="T7" s="59">
        <f t="shared" si="2"/>
        <v>-2.9649000000000001</v>
      </c>
      <c r="U7" s="14"/>
      <c r="V7" s="27" t="str">
        <f>M7</f>
        <v>攻击性</v>
      </c>
      <c r="W7" s="59">
        <f>'M1'!B5*1</f>
        <v>32.115900000000003</v>
      </c>
      <c r="X7" s="59">
        <f>'M1'!C5*1</f>
        <v>6.8575400000000002</v>
      </c>
      <c r="Y7" s="59">
        <f>'M1'!D5*1</f>
        <v>21.352499999999999</v>
      </c>
      <c r="Z7" s="59">
        <f>'M1'!E5*1</f>
        <v>20</v>
      </c>
      <c r="AA7" s="59">
        <f>'M1'!F5*1</f>
        <v>11.559200000000001</v>
      </c>
      <c r="AB7" s="59">
        <f>'M1'!G5*1</f>
        <v>50</v>
      </c>
      <c r="AC7" s="59">
        <f>'M1'!H5*1</f>
        <v>37.951700000000002</v>
      </c>
      <c r="AE7" s="27" t="str">
        <f>V7</f>
        <v>攻击性</v>
      </c>
      <c r="AF7" s="59">
        <f>'M2'!B5*1</f>
        <v>29.210699999999999</v>
      </c>
      <c r="AG7" s="59">
        <f>'M2'!C5*1</f>
        <v>4.0895599999999996</v>
      </c>
      <c r="AH7" s="59">
        <f>'M2'!D5*1</f>
        <v>14.0002</v>
      </c>
      <c r="AI7" s="59">
        <f>'M2'!E5*1</f>
        <v>20</v>
      </c>
      <c r="AJ7" s="59">
        <f>'M2'!F5*1</f>
        <v>21.22</v>
      </c>
      <c r="AK7" s="59">
        <f>'M2'!G5*1</f>
        <v>50</v>
      </c>
      <c r="AL7" s="59">
        <f>'M2'!H5*1</f>
        <v>34.986800000000002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-6.3826999999999998</v>
      </c>
      <c r="O8" s="59">
        <f t="shared" ref="O8:O16" si="5">AG8-X8</f>
        <v>3.1897799999999998</v>
      </c>
      <c r="P8" s="59">
        <f t="shared" ref="P8:P16" si="6">AH8-Y8</f>
        <v>10.973430000000002</v>
      </c>
      <c r="Q8" s="59">
        <f t="shared" ref="Q8:Q16" si="7">AI8-Z8</f>
        <v>0</v>
      </c>
      <c r="R8" s="59">
        <f t="shared" ref="R8:R16" si="8">AJ8-AA8</f>
        <v>-4.7972000000000037</v>
      </c>
      <c r="S8" s="59">
        <f t="shared" ref="S8:S16" si="9">AK8-AB8</f>
        <v>0</v>
      </c>
      <c r="T8" s="59">
        <f t="shared" ref="T8:T16" si="10">AL8-AC8</f>
        <v>0.34120000000000061</v>
      </c>
      <c r="U8" s="15"/>
      <c r="V8" s="27" t="str">
        <f t="shared" ref="V8:V16" si="11">M8</f>
        <v>压力</v>
      </c>
      <c r="W8" s="59">
        <f>'M1'!B6*1</f>
        <v>40.158299999999997</v>
      </c>
      <c r="X8" s="59">
        <f>'M1'!C6*1</f>
        <v>3.25</v>
      </c>
      <c r="Y8" s="59">
        <f>'M1'!D6*1</f>
        <v>8.0929699999999993</v>
      </c>
      <c r="Z8" s="59">
        <f>'M1'!E6*1</f>
        <v>20</v>
      </c>
      <c r="AA8" s="59">
        <f>'M1'!F6*1</f>
        <v>34.969900000000003</v>
      </c>
      <c r="AB8" s="59">
        <f>'M1'!G6*1</f>
        <v>40</v>
      </c>
      <c r="AC8" s="59">
        <f>'M1'!H6*1</f>
        <v>49.390599999999999</v>
      </c>
      <c r="AE8" s="27" t="str">
        <f t="shared" ref="AE8:AE16" si="12">V8</f>
        <v>压力</v>
      </c>
      <c r="AF8" s="59">
        <f>'M2'!B6*1</f>
        <v>33.775599999999997</v>
      </c>
      <c r="AG8" s="59">
        <f>'M2'!C6*1</f>
        <v>6.4397799999999998</v>
      </c>
      <c r="AH8" s="59">
        <f>'M2'!D6*1</f>
        <v>19.066400000000002</v>
      </c>
      <c r="AI8" s="59">
        <f>'M2'!E6*1</f>
        <v>20</v>
      </c>
      <c r="AJ8" s="59">
        <f>'M2'!F6*1</f>
        <v>30.172699999999999</v>
      </c>
      <c r="AK8" s="59">
        <f>'M2'!G6*1</f>
        <v>40</v>
      </c>
      <c r="AL8" s="59">
        <f>'M2'!H6*1</f>
        <v>49.7318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9.6607999999999983</v>
      </c>
      <c r="D9" s="78">
        <f>N7</f>
        <v>-2.9052000000000042</v>
      </c>
      <c r="E9" s="79">
        <f>T7</f>
        <v>-2.9649000000000001</v>
      </c>
      <c r="F9" s="79">
        <f>P7</f>
        <v>-7.3522999999999996</v>
      </c>
      <c r="G9" s="80" t="str">
        <f>CONCATENATE(M8,"
(20 ~ 40)")</f>
        <v>压力
(20 ~ 40)</v>
      </c>
      <c r="H9" s="77">
        <f>R8</f>
        <v>-4.7972000000000037</v>
      </c>
      <c r="I9" s="81">
        <f>N8</f>
        <v>-6.3826999999999998</v>
      </c>
      <c r="J9" s="77">
        <f>T8</f>
        <v>0.34120000000000061</v>
      </c>
      <c r="K9" s="82">
        <f>P8</f>
        <v>10.973430000000002</v>
      </c>
      <c r="L9" s="6"/>
      <c r="M9" s="27" t="str">
        <f>lang!B16</f>
        <v>焦虑</v>
      </c>
      <c r="N9" s="59">
        <f t="shared" si="4"/>
        <v>8.0231999999999957</v>
      </c>
      <c r="O9" s="59">
        <f t="shared" si="5"/>
        <v>0.65470000000000006</v>
      </c>
      <c r="P9" s="59">
        <f t="shared" si="6"/>
        <v>-5.2249000000000017</v>
      </c>
      <c r="Q9" s="59">
        <f t="shared" si="7"/>
        <v>0</v>
      </c>
      <c r="R9" s="59">
        <f t="shared" si="8"/>
        <v>-0.69350000000000023</v>
      </c>
      <c r="S9" s="59">
        <f t="shared" si="9"/>
        <v>0</v>
      </c>
      <c r="T9" s="59">
        <f t="shared" si="10"/>
        <v>0.50790000000000646</v>
      </c>
      <c r="U9" s="14"/>
      <c r="V9" s="27" t="str">
        <f t="shared" si="11"/>
        <v>焦虑</v>
      </c>
      <c r="W9" s="59">
        <f>'M1'!B7*1</f>
        <v>35.826300000000003</v>
      </c>
      <c r="X9" s="59">
        <f>'M1'!C7*1</f>
        <v>13.1534</v>
      </c>
      <c r="Y9" s="59">
        <f>'M1'!D7*1</f>
        <v>36.714500000000001</v>
      </c>
      <c r="Z9" s="59">
        <f>'M1'!E7*1</f>
        <v>15</v>
      </c>
      <c r="AA9" s="59">
        <f>'M1'!F7*1</f>
        <v>7.8326000000000002</v>
      </c>
      <c r="AB9" s="59">
        <f>'M1'!G7*1</f>
        <v>40</v>
      </c>
      <c r="AC9" s="59">
        <f>'M1'!H7*1</f>
        <v>50.731499999999997</v>
      </c>
      <c r="AE9" s="27" t="str">
        <f t="shared" si="12"/>
        <v>焦虑</v>
      </c>
      <c r="AF9" s="59">
        <f>'M2'!B7*1</f>
        <v>43.849499999999999</v>
      </c>
      <c r="AG9" s="59">
        <f>'M2'!C7*1</f>
        <v>13.8081</v>
      </c>
      <c r="AH9" s="59">
        <f>'M2'!D7*1</f>
        <v>31.489599999999999</v>
      </c>
      <c r="AI9" s="59">
        <f>'M2'!E7*1</f>
        <v>15</v>
      </c>
      <c r="AJ9" s="59">
        <f>'M2'!F7*1</f>
        <v>7.1391</v>
      </c>
      <c r="AK9" s="59">
        <f>'M2'!G7*1</f>
        <v>40</v>
      </c>
      <c r="AL9" s="59">
        <f>'M2'!H7*1</f>
        <v>51.239400000000003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-0.69350000000000023</v>
      </c>
      <c r="D10" s="51">
        <f>N9</f>
        <v>8.0231999999999957</v>
      </c>
      <c r="E10" s="53">
        <f>T9</f>
        <v>0.50790000000000646</v>
      </c>
      <c r="F10" s="53">
        <f>P9</f>
        <v>-5.2249000000000017</v>
      </c>
      <c r="G10" s="73" t="str">
        <f>CONCATENATE(M10,"
(20 ~ 50)")</f>
        <v>可疑
(20 ~ 50)</v>
      </c>
      <c r="H10" s="24">
        <f>R10</f>
        <v>4.6118999999999986</v>
      </c>
      <c r="I10" s="52">
        <f>N10</f>
        <v>-1.4890000000000043</v>
      </c>
      <c r="J10" s="24">
        <f>T10</f>
        <v>0.70240000000000435</v>
      </c>
      <c r="K10" s="25">
        <f>P10</f>
        <v>-1.6804999999999986</v>
      </c>
      <c r="L10" s="4"/>
      <c r="M10" s="27" t="str">
        <f>lang!B17</f>
        <v>可疑</v>
      </c>
      <c r="N10" s="59">
        <f t="shared" si="4"/>
        <v>-1.4890000000000043</v>
      </c>
      <c r="O10" s="59">
        <f t="shared" si="5"/>
        <v>-0.8555299999999999</v>
      </c>
      <c r="P10" s="59">
        <f t="shared" si="6"/>
        <v>-1.6804999999999986</v>
      </c>
      <c r="Q10" s="59">
        <f t="shared" si="7"/>
        <v>0</v>
      </c>
      <c r="R10" s="59">
        <f t="shared" si="8"/>
        <v>4.6118999999999986</v>
      </c>
      <c r="S10" s="59">
        <f t="shared" si="9"/>
        <v>0</v>
      </c>
      <c r="T10" s="59">
        <f t="shared" si="10"/>
        <v>0.70240000000000435</v>
      </c>
      <c r="U10" s="14"/>
      <c r="V10" s="27" t="str">
        <f t="shared" si="11"/>
        <v>可疑</v>
      </c>
      <c r="W10" s="59">
        <f>'M1'!B8*1</f>
        <v>35.386000000000003</v>
      </c>
      <c r="X10" s="59">
        <f>'M1'!C8*1</f>
        <v>6.7936899999999998</v>
      </c>
      <c r="Y10" s="59">
        <f>'M1'!D8*1</f>
        <v>19.198799999999999</v>
      </c>
      <c r="Z10" s="59">
        <f>'M1'!E8*1</f>
        <v>20</v>
      </c>
      <c r="AA10" s="59">
        <f>'M1'!F8*1</f>
        <v>19.471</v>
      </c>
      <c r="AB10" s="59">
        <f>'M1'!G8*1</f>
        <v>50</v>
      </c>
      <c r="AC10" s="59">
        <f>'M1'!H8*1</f>
        <v>42.594999999999999</v>
      </c>
      <c r="AE10" s="27" t="str">
        <f t="shared" si="12"/>
        <v>可疑</v>
      </c>
      <c r="AF10" s="59">
        <f>'M2'!B8*1</f>
        <v>33.896999999999998</v>
      </c>
      <c r="AG10" s="59">
        <f>'M2'!C8*1</f>
        <v>5.9381599999999999</v>
      </c>
      <c r="AH10" s="59">
        <f>'M2'!D8*1</f>
        <v>17.5183</v>
      </c>
      <c r="AI10" s="59">
        <f>'M2'!E8*1</f>
        <v>20</v>
      </c>
      <c r="AJ10" s="59">
        <f>'M2'!F8*1</f>
        <v>24.082899999999999</v>
      </c>
      <c r="AK10" s="59">
        <f>'M2'!G8*1</f>
        <v>50</v>
      </c>
      <c r="AL10" s="59">
        <f>'M2'!H8*1</f>
        <v>43.297400000000003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-5.1061999999999941</v>
      </c>
      <c r="D11" s="52">
        <f>N11</f>
        <v>-2.1725000000000065</v>
      </c>
      <c r="E11" s="24">
        <f>T11</f>
        <v>-6.2629000000000019</v>
      </c>
      <c r="F11" s="24">
        <f>P11</f>
        <v>-0.60733000000000015</v>
      </c>
      <c r="G11" s="73" t="str">
        <f>CONCATENATE(M12,"
(40 ~ 100)")</f>
        <v>自信
(40 ~ 100)</v>
      </c>
      <c r="H11" s="24">
        <f>R12</f>
        <v>9.8226000000000013</v>
      </c>
      <c r="I11" s="52">
        <f>N12</f>
        <v>-2.1851999999999947</v>
      </c>
      <c r="J11" s="24">
        <f>T12</f>
        <v>-6.0121999999999929</v>
      </c>
      <c r="K11" s="25">
        <f>P12</f>
        <v>8.2499999999999574E-2</v>
      </c>
      <c r="L11" s="4"/>
      <c r="M11" s="27" t="str">
        <f>lang!B18</f>
        <v>平衡</v>
      </c>
      <c r="N11" s="59">
        <f t="shared" si="4"/>
        <v>-2.1725000000000065</v>
      </c>
      <c r="O11" s="59">
        <f t="shared" si="5"/>
        <v>-0.52881999999999962</v>
      </c>
      <c r="P11" s="59">
        <f t="shared" si="6"/>
        <v>-0.60733000000000015</v>
      </c>
      <c r="Q11" s="59">
        <f t="shared" si="7"/>
        <v>0</v>
      </c>
      <c r="R11" s="59">
        <f t="shared" si="8"/>
        <v>-5.1061999999999941</v>
      </c>
      <c r="S11" s="59">
        <f t="shared" si="9"/>
        <v>0</v>
      </c>
      <c r="T11" s="59">
        <f t="shared" si="10"/>
        <v>-6.2629000000000019</v>
      </c>
      <c r="U11" s="14"/>
      <c r="V11" s="27" t="str">
        <f t="shared" si="11"/>
        <v>平衡</v>
      </c>
      <c r="W11" s="59">
        <f>'M1'!B9*1</f>
        <v>65.854200000000006</v>
      </c>
      <c r="X11" s="59">
        <f>'M1'!C9*1</f>
        <v>4.3064099999999996</v>
      </c>
      <c r="Y11" s="59">
        <f>'M1'!D9*1</f>
        <v>6.5393100000000004</v>
      </c>
      <c r="Z11" s="59">
        <f>'M1'!E9*1</f>
        <v>50</v>
      </c>
      <c r="AA11" s="59">
        <f>'M1'!F9*1</f>
        <v>57.807699999999997</v>
      </c>
      <c r="AB11" s="59">
        <f>'M1'!G9*1</f>
        <v>100</v>
      </c>
      <c r="AC11" s="59">
        <f>'M1'!H9*1</f>
        <v>76.693200000000004</v>
      </c>
      <c r="AE11" s="27" t="str">
        <f t="shared" si="12"/>
        <v>平衡</v>
      </c>
      <c r="AF11" s="59">
        <f>'M2'!B9*1</f>
        <v>63.681699999999999</v>
      </c>
      <c r="AG11" s="59">
        <f>'M2'!C9*1</f>
        <v>3.77759</v>
      </c>
      <c r="AH11" s="59">
        <f>'M2'!D9*1</f>
        <v>5.9319800000000003</v>
      </c>
      <c r="AI11" s="59">
        <f>'M2'!E9*1</f>
        <v>50</v>
      </c>
      <c r="AJ11" s="59">
        <f>'M2'!F9*1</f>
        <v>52.701500000000003</v>
      </c>
      <c r="AK11" s="59">
        <f>'M2'!G9*1</f>
        <v>100</v>
      </c>
      <c r="AL11" s="59">
        <f>'M2'!H9*1</f>
        <v>70.430300000000003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4.25685</v>
      </c>
      <c r="D12" s="51">
        <f>N13</f>
        <v>0.62110000000000021</v>
      </c>
      <c r="E12" s="53">
        <f>T13</f>
        <v>1.3409000000000013</v>
      </c>
      <c r="F12" s="53">
        <f>P13</f>
        <v>-5.4213999999999984</v>
      </c>
      <c r="G12" s="73" t="str">
        <f>CONCATENATE(M14,"
(50 ~ 100)")</f>
        <v>自我调节
(50 ~ 100)</v>
      </c>
      <c r="H12" s="24">
        <f>R14</f>
        <v>1.929000000000002</v>
      </c>
      <c r="I12" s="52">
        <f>N14</f>
        <v>-2.1834999999999951</v>
      </c>
      <c r="J12" s="24">
        <f>T14</f>
        <v>-1.7524999999999977</v>
      </c>
      <c r="K12" s="25">
        <f>P14</f>
        <v>0.70481000000000016</v>
      </c>
      <c r="L12" s="4"/>
      <c r="M12" s="27" t="str">
        <f>lang!B19</f>
        <v>自信</v>
      </c>
      <c r="N12" s="59">
        <f t="shared" si="4"/>
        <v>-2.1851999999999947</v>
      </c>
      <c r="O12" s="59">
        <f t="shared" si="5"/>
        <v>-0.19236999999999949</v>
      </c>
      <c r="P12" s="59">
        <f t="shared" si="6"/>
        <v>8.2499999999999574E-2</v>
      </c>
      <c r="Q12" s="59">
        <f t="shared" si="7"/>
        <v>0</v>
      </c>
      <c r="R12" s="59">
        <f t="shared" si="8"/>
        <v>9.8226000000000013</v>
      </c>
      <c r="S12" s="59">
        <f t="shared" si="9"/>
        <v>0</v>
      </c>
      <c r="T12" s="59">
        <f t="shared" si="10"/>
        <v>-6.0121999999999929</v>
      </c>
      <c r="U12" s="15"/>
      <c r="V12" s="27" t="str">
        <f t="shared" si="11"/>
        <v>自信</v>
      </c>
      <c r="W12" s="59">
        <f>'M1'!B10*1</f>
        <v>71.050899999999999</v>
      </c>
      <c r="X12" s="59">
        <f>'M1'!C10*1</f>
        <v>8.1023899999999998</v>
      </c>
      <c r="Y12" s="59">
        <f>'M1'!D10*1</f>
        <v>11.403600000000001</v>
      </c>
      <c r="Z12" s="59">
        <f>'M1'!E10*1</f>
        <v>40</v>
      </c>
      <c r="AA12" s="59">
        <f>'M1'!F10*1</f>
        <v>40.5276</v>
      </c>
      <c r="AB12" s="59">
        <f>'M1'!G10*1</f>
        <v>100</v>
      </c>
      <c r="AC12" s="59">
        <f>'M1'!H10*1</f>
        <v>77.046099999999996</v>
      </c>
      <c r="AE12" s="27" t="str">
        <f t="shared" si="12"/>
        <v>自信</v>
      </c>
      <c r="AF12" s="59">
        <f>'M2'!B10*1</f>
        <v>68.865700000000004</v>
      </c>
      <c r="AG12" s="59">
        <f>'M2'!C10*1</f>
        <v>7.9100200000000003</v>
      </c>
      <c r="AH12" s="59">
        <f>'M2'!D10*1</f>
        <v>11.4861</v>
      </c>
      <c r="AI12" s="59">
        <f>'M2'!E10*1</f>
        <v>40</v>
      </c>
      <c r="AJ12" s="59">
        <f>'M2'!F10*1</f>
        <v>50.350200000000001</v>
      </c>
      <c r="AK12" s="59">
        <f>'M2'!G10*1</f>
        <v>100</v>
      </c>
      <c r="AL12" s="59">
        <f>'M2'!H10*1</f>
        <v>71.033900000000003</v>
      </c>
    </row>
    <row r="13" spans="2:38" ht="25.5" customHeight="1" thickBot="1">
      <c r="B13" s="72" t="str">
        <f>CONCATENATE(M15,"
(10 ~ 25)")</f>
        <v>抑郁
(10 ~ 25)</v>
      </c>
      <c r="C13" s="54">
        <f>R15</f>
        <v>-0.95759999999999934</v>
      </c>
      <c r="D13" s="55">
        <f>N15</f>
        <v>-0.37639999999999851</v>
      </c>
      <c r="E13" s="56">
        <f>T15</f>
        <v>3.6555999999999997</v>
      </c>
      <c r="F13" s="56">
        <f>P15</f>
        <v>5.4926999999999992</v>
      </c>
      <c r="G13" s="74" t="str">
        <f>CONCATENATE(M16,"
(10 ~ 50)")</f>
        <v>神经质
(10 ~ 50)</v>
      </c>
      <c r="H13" s="54">
        <f>R16</f>
        <v>2.227004</v>
      </c>
      <c r="I13" s="55">
        <f>N16</f>
        <v>8.0522999999999989</v>
      </c>
      <c r="J13" s="56">
        <f>T16</f>
        <v>7.6568000000000005</v>
      </c>
      <c r="K13" s="57">
        <f>P16</f>
        <v>-7.6828000000000003</v>
      </c>
      <c r="M13" s="27" t="str">
        <f>lang!B20</f>
        <v>活力</v>
      </c>
      <c r="N13" s="59">
        <f t="shared" si="4"/>
        <v>0.62110000000000021</v>
      </c>
      <c r="O13" s="59">
        <f t="shared" si="5"/>
        <v>-0.42937000000000003</v>
      </c>
      <c r="P13" s="59">
        <f t="shared" si="6"/>
        <v>-5.4213999999999984</v>
      </c>
      <c r="Q13" s="59">
        <f t="shared" si="7"/>
        <v>0</v>
      </c>
      <c r="R13" s="59">
        <f t="shared" si="8"/>
        <v>4.25685</v>
      </c>
      <c r="S13" s="59">
        <f t="shared" si="9"/>
        <v>0</v>
      </c>
      <c r="T13" s="59">
        <f t="shared" si="10"/>
        <v>1.3409000000000013</v>
      </c>
      <c r="U13" s="14"/>
      <c r="V13" s="27" t="str">
        <f t="shared" si="11"/>
        <v>活力</v>
      </c>
      <c r="W13" s="59">
        <f>'M1'!B11*1</f>
        <v>10.188000000000001</v>
      </c>
      <c r="X13" s="59">
        <f>'M1'!C11*1</f>
        <v>2.5693700000000002</v>
      </c>
      <c r="Y13" s="59">
        <f>'M1'!D11*1</f>
        <v>25.2196</v>
      </c>
      <c r="Z13" s="59">
        <f>'M1'!E11*1</f>
        <v>10</v>
      </c>
      <c r="AA13" s="59">
        <f>'M1'!F11*1</f>
        <v>4.4343199999999996</v>
      </c>
      <c r="AB13" s="59">
        <f>'M1'!G11*1</f>
        <v>50</v>
      </c>
      <c r="AC13" s="59">
        <f>'M1'!H11*1</f>
        <v>13.616099999999999</v>
      </c>
      <c r="AE13" s="27" t="str">
        <f t="shared" si="12"/>
        <v>活力</v>
      </c>
      <c r="AF13" s="59">
        <f>'M2'!B11*1</f>
        <v>10.809100000000001</v>
      </c>
      <c r="AG13" s="59">
        <f>'M2'!C11*1</f>
        <v>2.14</v>
      </c>
      <c r="AH13" s="59">
        <f>'M2'!D11*1</f>
        <v>19.798200000000001</v>
      </c>
      <c r="AI13" s="59">
        <f>'M2'!E11*1</f>
        <v>10</v>
      </c>
      <c r="AJ13" s="59">
        <f>'M2'!F11*1</f>
        <v>8.6911699999999996</v>
      </c>
      <c r="AK13" s="59">
        <f>'M2'!G11*1</f>
        <v>50</v>
      </c>
      <c r="AL13" s="59">
        <f>'M2'!H11*1</f>
        <v>14.957000000000001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-2.1834999999999951</v>
      </c>
      <c r="O14" s="59">
        <f t="shared" si="5"/>
        <v>0.34526999999999974</v>
      </c>
      <c r="P14" s="59">
        <f t="shared" si="6"/>
        <v>0.70481000000000016</v>
      </c>
      <c r="Q14" s="59">
        <f t="shared" si="7"/>
        <v>0</v>
      </c>
      <c r="R14" s="59">
        <f t="shared" si="8"/>
        <v>1.929000000000002</v>
      </c>
      <c r="S14" s="59">
        <f t="shared" si="9"/>
        <v>0</v>
      </c>
      <c r="T14" s="59">
        <f t="shared" si="10"/>
        <v>-1.7524999999999977</v>
      </c>
      <c r="U14" s="14"/>
      <c r="V14" s="27" t="str">
        <f t="shared" si="11"/>
        <v>自我调节</v>
      </c>
      <c r="W14" s="59">
        <f>'M1'!B12*1</f>
        <v>66.967699999999994</v>
      </c>
      <c r="X14" s="59">
        <f>'M1'!C12*1</f>
        <v>3.4146100000000001</v>
      </c>
      <c r="Y14" s="59">
        <f>'M1'!D12*1</f>
        <v>5.0988899999999999</v>
      </c>
      <c r="Z14" s="59">
        <f>'M1'!E12*1</f>
        <v>50</v>
      </c>
      <c r="AA14" s="59">
        <f>'M1'!F12*1</f>
        <v>52.999699999999997</v>
      </c>
      <c r="AB14" s="59">
        <f>'M1'!G12*1</f>
        <v>100</v>
      </c>
      <c r="AC14" s="59">
        <f>'M1'!H12*1</f>
        <v>71.121600000000001</v>
      </c>
      <c r="AE14" s="27" t="str">
        <f t="shared" si="12"/>
        <v>自我调节</v>
      </c>
      <c r="AF14" s="59">
        <f>'M2'!B12*1</f>
        <v>64.784199999999998</v>
      </c>
      <c r="AG14" s="59">
        <f>'M2'!C12*1</f>
        <v>3.7598799999999999</v>
      </c>
      <c r="AH14" s="59">
        <f>'M2'!D12*1</f>
        <v>5.8037000000000001</v>
      </c>
      <c r="AI14" s="59">
        <f>'M2'!E12*1</f>
        <v>50</v>
      </c>
      <c r="AJ14" s="59">
        <f>'M2'!F12*1</f>
        <v>54.928699999999999</v>
      </c>
      <c r="AK14" s="59">
        <f>'M2'!G12*1</f>
        <v>100</v>
      </c>
      <c r="AL14" s="59">
        <f>'M2'!H12*1</f>
        <v>69.369100000000003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-0.37639999999999851</v>
      </c>
      <c r="O15" s="59">
        <f t="shared" si="5"/>
        <v>0.80522999999999989</v>
      </c>
      <c r="P15" s="59">
        <f t="shared" si="6"/>
        <v>5.4926999999999992</v>
      </c>
      <c r="Q15" s="59">
        <f t="shared" si="7"/>
        <v>0</v>
      </c>
      <c r="R15" s="59">
        <f t="shared" si="8"/>
        <v>-0.95759999999999934</v>
      </c>
      <c r="S15" s="59">
        <f t="shared" si="9"/>
        <v>0</v>
      </c>
      <c r="T15" s="59">
        <f t="shared" si="10"/>
        <v>3.6555999999999997</v>
      </c>
      <c r="U15" s="14"/>
      <c r="V15" s="27" t="str">
        <f t="shared" si="11"/>
        <v>抑郁</v>
      </c>
      <c r="W15" s="59">
        <f>'M1'!B13*1</f>
        <v>15.727499999999999</v>
      </c>
      <c r="X15" s="59">
        <f>'M1'!C13*1</f>
        <v>1.58595</v>
      </c>
      <c r="Y15" s="59">
        <f>'M1'!D13*1</f>
        <v>10.0839</v>
      </c>
      <c r="Z15" s="59">
        <f>'M1'!E13*1</f>
        <v>10</v>
      </c>
      <c r="AA15" s="59">
        <f>'M1'!F13*1</f>
        <v>13.115</v>
      </c>
      <c r="AB15" s="59">
        <f>'M1'!G13*1</f>
        <v>25</v>
      </c>
      <c r="AC15" s="59">
        <f>'M1'!H13*1</f>
        <v>19.4194</v>
      </c>
      <c r="AE15" s="27" t="str">
        <f t="shared" si="12"/>
        <v>抑郁</v>
      </c>
      <c r="AF15" s="59">
        <f>'M2'!B13*1</f>
        <v>15.351100000000001</v>
      </c>
      <c r="AG15" s="59">
        <f>'M2'!C13*1</f>
        <v>2.3911799999999999</v>
      </c>
      <c r="AH15" s="59">
        <f>'M2'!D13*1</f>
        <v>15.576599999999999</v>
      </c>
      <c r="AI15" s="59">
        <f>'M2'!E13*1</f>
        <v>10</v>
      </c>
      <c r="AJ15" s="59">
        <f>'M2'!F13*1</f>
        <v>12.157400000000001</v>
      </c>
      <c r="AK15" s="59">
        <f>'M2'!G13*1</f>
        <v>25</v>
      </c>
      <c r="AL15" s="59">
        <f>'M2'!H13*1</f>
        <v>23.074999999999999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8.0522999999999989</v>
      </c>
      <c r="O16" s="59">
        <f t="shared" si="5"/>
        <v>0.94261000000000017</v>
      </c>
      <c r="P16" s="59">
        <f t="shared" si="6"/>
        <v>-7.6828000000000003</v>
      </c>
      <c r="Q16" s="59">
        <f t="shared" si="7"/>
        <v>0</v>
      </c>
      <c r="R16" s="59">
        <f t="shared" si="8"/>
        <v>2.227004</v>
      </c>
      <c r="S16" s="59">
        <f t="shared" si="9"/>
        <v>0</v>
      </c>
      <c r="T16" s="59">
        <f t="shared" si="10"/>
        <v>7.6568000000000005</v>
      </c>
      <c r="U16" s="15"/>
      <c r="V16" s="27" t="str">
        <f t="shared" si="11"/>
        <v>神经质</v>
      </c>
      <c r="W16" s="59">
        <f>'M1'!B14*1</f>
        <v>15.859500000000001</v>
      </c>
      <c r="X16" s="59">
        <f>'M1'!C14*1</f>
        <v>5.47478</v>
      </c>
      <c r="Y16" s="59">
        <f>'M1'!D14*1</f>
        <v>34.520600000000002</v>
      </c>
      <c r="Z16" s="59">
        <f>'M1'!E14*1</f>
        <v>10</v>
      </c>
      <c r="AA16" s="59">
        <f>'M1'!F14*1</f>
        <v>0.14876600000000001</v>
      </c>
      <c r="AB16" s="59">
        <f>'M1'!G14*1</f>
        <v>50</v>
      </c>
      <c r="AC16" s="59">
        <f>'M1'!H14*1</f>
        <v>17.829599999999999</v>
      </c>
      <c r="AE16" s="27" t="str">
        <f t="shared" si="12"/>
        <v>神经质</v>
      </c>
      <c r="AF16" s="59">
        <f>'M2'!B14*1</f>
        <v>23.911799999999999</v>
      </c>
      <c r="AG16" s="59">
        <f>'M2'!C14*1</f>
        <v>6.4173900000000001</v>
      </c>
      <c r="AH16" s="59">
        <f>'M2'!D14*1</f>
        <v>26.837800000000001</v>
      </c>
      <c r="AI16" s="59">
        <f>'M2'!E14*1</f>
        <v>10</v>
      </c>
      <c r="AJ16" s="59">
        <f>'M2'!F14*1</f>
        <v>2.3757700000000002</v>
      </c>
      <c r="AK16" s="59">
        <f>'M2'!G14*1</f>
        <v>50</v>
      </c>
      <c r="AL16" s="59">
        <f>'M2'!H14*1</f>
        <v>25.4864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-1.480024999999999</v>
      </c>
      <c r="O17" s="22">
        <f>N17/(N17+N18+N19)</f>
        <v>-0.88650793650793702</v>
      </c>
      <c r="P17" s="65">
        <f>SUM(P11:P14)/4</f>
        <v>-1.3103549999999997</v>
      </c>
      <c r="Q17" s="22">
        <f>P17/(P17+P18+P19)</f>
        <v>0.40612619509386794</v>
      </c>
      <c r="R17" s="14"/>
      <c r="S17" s="14"/>
      <c r="T17" s="14"/>
      <c r="U17" s="14"/>
      <c r="V17" s="21" t="str">
        <f>M17</f>
        <v>Positive</v>
      </c>
      <c r="W17" s="65">
        <f>SUM(W11:W14)/4</f>
        <v>53.515199999999993</v>
      </c>
      <c r="X17" s="22">
        <f>W17/(W17+W18+W19)</f>
        <v>0.50879477696993236</v>
      </c>
      <c r="Y17" s="65">
        <f>SUM(Y11:Y14)/4</f>
        <v>12.065349999999999</v>
      </c>
      <c r="Z17" s="22">
        <f>Y17/(Y17+Y18+Y19)</f>
        <v>0.21658474965373697</v>
      </c>
      <c r="AA17" s="14"/>
      <c r="AB17" s="14"/>
      <c r="AC17" s="14"/>
      <c r="AE17" s="21" t="str">
        <f>V17</f>
        <v>Positive</v>
      </c>
      <c r="AF17" s="65">
        <f>SUM(AF11:AF14)/4</f>
        <v>52.035175000000002</v>
      </c>
      <c r="AG17" s="22">
        <f>AF17/(AF17+AF18+AF19)</f>
        <v>0.48699354444427023</v>
      </c>
      <c r="AH17" s="65">
        <f>SUM(AH11:AH14)/4</f>
        <v>10.754994999999999</v>
      </c>
      <c r="AI17" s="22">
        <f>AH17/(AH17+AH18+AH19)</f>
        <v>0.20493191607905514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-0.68842500000000317</v>
      </c>
      <c r="O18" s="22">
        <f>N18/(N17+N18+N19)</f>
        <v>-0.41235399820305718</v>
      </c>
      <c r="P18" s="18">
        <f>SUM(P7:P10)/4</f>
        <v>-0.8210674999999994</v>
      </c>
      <c r="Q18" s="22">
        <f>P18/(P17+P18+P19)</f>
        <v>0.25447838157616387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35.871625000000002</v>
      </c>
      <c r="X18" s="22">
        <f>W18/(W17+W18+W19)</f>
        <v>0.34104881307411827</v>
      </c>
      <c r="Y18" s="18">
        <f>SUM(Y7:Y10)/4</f>
        <v>21.339692499999998</v>
      </c>
      <c r="Z18" s="22">
        <f>Y18/(Y17+Y18+Y19)</f>
        <v>0.38306820422119781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35.183199999999999</v>
      </c>
      <c r="AG18" s="22">
        <f>AF18/(AF17+AF18+AF19)</f>
        <v>0.32927709521283721</v>
      </c>
      <c r="AH18" s="18">
        <f>SUM(AH7:AH10)/4</f>
        <v>20.518625</v>
      </c>
      <c r="AI18" s="22">
        <f>AH18/(AH17+AH18+AH19)</f>
        <v>0.39097378813821887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3.8379500000000002</v>
      </c>
      <c r="O19" s="22">
        <f>N19/(N17+N18+N19)</f>
        <v>2.2988619347109944</v>
      </c>
      <c r="P19" s="18">
        <f>(P15+P16)/2</f>
        <v>-1.0950500000000005</v>
      </c>
      <c r="Q19" s="22">
        <f>P19/(P17+P18+P19)</f>
        <v>0.33939542332996814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15.7935</v>
      </c>
      <c r="X19" s="22">
        <f>W19/(W17+W18+W19)</f>
        <v>0.15015640995594948</v>
      </c>
      <c r="Y19" s="18">
        <f>(Y15+Y16)/2</f>
        <v>22.302250000000001</v>
      </c>
      <c r="Z19" s="22">
        <f>Y19/(Y17+Y18+Y19)</f>
        <v>0.40034704612506528</v>
      </c>
      <c r="AA19" s="14"/>
      <c r="AB19" s="14"/>
      <c r="AC19" s="14"/>
      <c r="AE19" s="21" t="str">
        <f t="shared" si="14"/>
        <v>Physiological</v>
      </c>
      <c r="AF19" s="18">
        <f>(AF15+AF16)/2</f>
        <v>19.631450000000001</v>
      </c>
      <c r="AG19" s="22">
        <f>AF19/(AF17+AF18+AF19)</f>
        <v>0.18372936034289244</v>
      </c>
      <c r="AH19" s="18">
        <f>(AH15+AH16)/2</f>
        <v>21.2072</v>
      </c>
      <c r="AI19" s="22">
        <f>AH19/(AH17+AH18+AH19)</f>
        <v>0.40409429578272593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0.98/1.06</v>
      </c>
      <c r="D24" s="44" t="str">
        <f>lang!B11</f>
        <v>频率方差</v>
      </c>
      <c r="E24" s="142" t="str">
        <f ca="1">CONCATENATE(ROUND('FH1'!L3,2),"/",ROUND('FH2'!L3,2))</f>
        <v>0.51/0.49</v>
      </c>
      <c r="F24" s="143"/>
      <c r="G24" s="134" t="str">
        <f>lang!B12</f>
        <v>生理变化率</v>
      </c>
      <c r="H24" s="135"/>
      <c r="I24" s="62" t="str">
        <f ca="1">CONCATENATE(info!M7,"-",info!M8)</f>
        <v>46.1-61.7</v>
      </c>
      <c r="J24" s="42" t="str">
        <f>lang!B13</f>
        <v>千卡l/分钟</v>
      </c>
      <c r="K24" s="41" t="str">
        <f ca="1">CONCATENATE(info!M5,"-",info!M6)</f>
        <v>1.4-2.5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-5.7124000000000059</v>
      </c>
      <c r="F27" s="164"/>
      <c r="G27" s="178" t="str">
        <f>lang!B33</f>
        <v>稳定性</v>
      </c>
      <c r="H27" s="179"/>
      <c r="I27" s="180"/>
      <c r="J27" s="181">
        <f>dM!B19*100</f>
        <v>-2.8603000000000045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-0.96644037373569647</v>
      </c>
      <c r="C2">
        <f t="array" aca="1" ref="C2" ca="1">CORREL(FT_E02,FT_PH02)</f>
        <v>-0.95888182351990314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1.3989699999999998</v>
      </c>
      <c r="G2" s="61">
        <f>IF(FT!B2&lt;&gt;"",FT!B2*100,"")</f>
        <v>61.722299999999997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1.4416000000000002</v>
      </c>
      <c r="G3" s="61">
        <f>IF(FT!B3&lt;&gt;"",FT!B3*100,"")</f>
        <v>60.915399999999998</v>
      </c>
      <c r="H3" s="61">
        <f t="shared" ref="H3:H66" si="1">(IF(F3&lt;&gt;"",1,""))</f>
        <v>1</v>
      </c>
      <c r="I3" t="str">
        <f>IF(FT!B3&lt;&gt;"",FT!E3,"")</f>
        <v>1 [0.404837]</v>
      </c>
      <c r="J3">
        <f>IF(FT!B3&lt;&gt;"",FT!C3,"")</f>
        <v>0.404837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0.50278520270270277</v>
      </c>
      <c r="V3">
        <f ca="1">AVERAGE(OFFSET(FT!B2,info!$L$3/2,0,info!$L$3/2,1))</f>
        <v>0.53750690540540558</v>
      </c>
      <c r="W3">
        <f ca="1">AVERAGE(OFFSET(FT!A2,0,0,info!$L$3/2,1))</f>
        <v>0.2117101891891891</v>
      </c>
      <c r="X3">
        <f ca="1">AVERAGE(OFFSET(FT!A2,info!$L$3/2,0,info!$L$3/2,1))</f>
        <v>0.19895760810810809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1.4836399999999998</v>
      </c>
      <c r="G4" s="61">
        <f>IF(FT!B4&lt;&gt;"",FT!B4*100,"")</f>
        <v>60.197299999999998</v>
      </c>
      <c r="H4" s="61">
        <f t="shared" si="1"/>
        <v>1</v>
      </c>
      <c r="I4" t="str">
        <f>IF(FT!B4&lt;&gt;"",FT!E4,"")</f>
        <v>1 [0.810771]</v>
      </c>
      <c r="J4">
        <f>IF(FT!B4&lt;&gt;"",FT!C4,"")</f>
        <v>0.81077100000000002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14.9413</v>
      </c>
      <c r="V4">
        <f>U4*3</f>
        <v>44.823900000000002</v>
      </c>
      <c r="W4">
        <f>U4</f>
        <v>14.9413</v>
      </c>
      <c r="X4">
        <f>V4</f>
        <v>44.823900000000002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1.5213399999999999</v>
      </c>
      <c r="G5" s="61">
        <f>IF(FT!B5&lt;&gt;"",FT!B5*100,"")</f>
        <v>59.615499999999997</v>
      </c>
      <c r="H5" s="61">
        <f t="shared" si="1"/>
        <v>1</v>
      </c>
      <c r="I5" t="str">
        <f>IF(FT!B5&lt;&gt;"",FT!E5,"")</f>
        <v>1 [1.215672]</v>
      </c>
      <c r="J5">
        <f>IF(FT!B5&lt;&gt;"",FT!C5,"")</f>
        <v>1.21567</v>
      </c>
      <c r="K5" t="s">
        <v>53</v>
      </c>
      <c r="L5" s="63">
        <f ca="1">MIN(FT_E)</f>
        <v>1.3989699999999998</v>
      </c>
      <c r="M5" s="63">
        <f ca="1">ROUND(L5,1)</f>
        <v>1.4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50.278520270270278</v>
      </c>
      <c r="V5">
        <f ca="1">V3*100</f>
        <v>53.75069054054056</v>
      </c>
      <c r="W5">
        <f ca="1">W3*10</f>
        <v>2.1171018918918909</v>
      </c>
      <c r="X5">
        <f ca="1">X3*10</f>
        <v>1.989576081081081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1.5548799999999998</v>
      </c>
      <c r="G6" s="61">
        <f>IF(FT!B6&lt;&gt;"",FT!B6*100,"")</f>
        <v>59.124500000000005</v>
      </c>
      <c r="H6" s="61">
        <f t="shared" si="1"/>
        <v>1</v>
      </c>
      <c r="I6" t="str">
        <f>IF(FT!B6&lt;&gt;"",FT!E6,"")</f>
        <v>1 [1.619758]</v>
      </c>
      <c r="J6">
        <f>IF(FT!B6&lt;&gt;"",FT!C6,"")</f>
        <v>1.6197600000000001</v>
      </c>
      <c r="K6" t="s">
        <v>54</v>
      </c>
      <c r="L6" s="63">
        <f ca="1">MAX(FT_E)</f>
        <v>2.47329</v>
      </c>
      <c r="M6" s="63">
        <f ca="1">ROUND(L6,1)</f>
        <v>2.5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1.58758</v>
      </c>
      <c r="G7" s="61">
        <f>IF(FT!B7&lt;&gt;"",FT!B7*100,"")</f>
        <v>58.653700000000001</v>
      </c>
      <c r="H7" s="61">
        <f t="shared" si="1"/>
        <v>1</v>
      </c>
      <c r="I7" t="str">
        <f>IF(FT!B7&lt;&gt;"",FT!E7,"")</f>
        <v>1 [2.030574]</v>
      </c>
      <c r="J7">
        <f>IF(FT!B7&lt;&gt;"",FT!C7,"")</f>
        <v>2.03057</v>
      </c>
      <c r="K7" t="s">
        <v>55</v>
      </c>
      <c r="L7" s="63">
        <f ca="1">MIN(FT_PH)</f>
        <v>46.053899999999999</v>
      </c>
      <c r="M7" s="63">
        <f ca="1">ROUND(L7,1)</f>
        <v>46.1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26066</v>
      </c>
      <c r="D8" s="61">
        <f>FH!B8*1</f>
        <v>26066</v>
      </c>
      <c r="E8">
        <f t="shared" si="3"/>
        <v>6</v>
      </c>
      <c r="F8" s="61">
        <f>IF(FT!A8&lt;&gt;"",FT!A8*10,"")</f>
        <v>1.6215299999999999</v>
      </c>
      <c r="G8" s="61">
        <f>IF(FT!B8&lt;&gt;"",FT!B8*100,"")</f>
        <v>58.140999999999998</v>
      </c>
      <c r="H8" s="61">
        <f t="shared" si="1"/>
        <v>1</v>
      </c>
      <c r="I8" t="str">
        <f>IF(FT!B8&lt;&gt;"",FT!E8,"")</f>
        <v>1 [2.440499]</v>
      </c>
      <c r="J8">
        <f>IF(FT!B8&lt;&gt;"",FT!C8,"")</f>
        <v>2.4405000000000001</v>
      </c>
      <c r="K8" t="s">
        <v>56</v>
      </c>
      <c r="L8" s="63">
        <f ca="1">MAX(FT_PH)</f>
        <v>61.722299999999997</v>
      </c>
      <c r="M8" s="63">
        <f ca="1">ROUND(L8,1)</f>
        <v>61.7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1.6544700000000001</v>
      </c>
      <c r="G9" s="61">
        <f>IF(FT!B9&lt;&gt;"",FT!B9*100,"")</f>
        <v>57.635899999999992</v>
      </c>
      <c r="H9" s="61">
        <f t="shared" si="1"/>
        <v>1</v>
      </c>
      <c r="I9" t="str">
        <f>IF(FT!B9&lt;&gt;"",FT!E9,"")</f>
        <v>1 [2.842366]</v>
      </c>
      <c r="J9">
        <f>IF(FT!B9&lt;&gt;"",FT!C9,"")</f>
        <v>2.8423699999999998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45604</v>
      </c>
      <c r="D10" s="61">
        <f>FH!B10*1</f>
        <v>45604</v>
      </c>
      <c r="E10">
        <f t="shared" si="3"/>
        <v>8</v>
      </c>
      <c r="F10" s="61">
        <f>IF(FT!A10&lt;&gt;"",FT!A10*10,"")</f>
        <v>1.68987</v>
      </c>
      <c r="G10" s="61">
        <f>IF(FT!B10&lt;&gt;"",FT!B10*100,"")</f>
        <v>57.010400000000004</v>
      </c>
      <c r="H10" s="61">
        <f t="shared" si="1"/>
        <v>1</v>
      </c>
      <c r="I10" t="str">
        <f>IF(FT!B10&lt;&gt;"",FT!E10,"")</f>
        <v>1 [3.247242]</v>
      </c>
      <c r="J10">
        <f>IF(FT!B10&lt;&gt;"",FT!C10,"")</f>
        <v>3.2472400000000001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1.7253399999999999</v>
      </c>
      <c r="G11" s="61">
        <f>IF(FT!B11&lt;&gt;"",FT!B11*100,"")</f>
        <v>56.278199999999998</v>
      </c>
      <c r="H11" s="61">
        <f t="shared" si="1"/>
        <v>1</v>
      </c>
      <c r="I11" t="str">
        <f>IF(FT!B11&lt;&gt;"",FT!E11,"")</f>
        <v>1 [3.654192]</v>
      </c>
      <c r="J11">
        <f>IF(FT!B11&lt;&gt;"",FT!C11,"")</f>
        <v>3.6541899999999998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1.7610000000000001</v>
      </c>
      <c r="G12" s="61">
        <f>IF(FT!B12&lt;&gt;"",FT!B12*100,"")</f>
        <v>55.474299999999999</v>
      </c>
      <c r="H12" s="61">
        <f t="shared" si="1"/>
        <v>1</v>
      </c>
      <c r="I12" t="str">
        <f>IF(FT!B12&lt;&gt;"",FT!E12,"")</f>
        <v>1 [4.061034]</v>
      </c>
      <c r="J12">
        <f>IF(FT!B12&lt;&gt;"",FT!C12,"")</f>
        <v>4.0610299999999997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50884</v>
      </c>
      <c r="D13" s="61">
        <f>FH!B13*1</f>
        <v>50884</v>
      </c>
      <c r="E13">
        <f t="shared" si="3"/>
        <v>11</v>
      </c>
      <c r="F13" s="61">
        <f>IF(FT!A13&lt;&gt;"",FT!A13*10,"")</f>
        <v>1.7937400000000001</v>
      </c>
      <c r="G13" s="61">
        <f>IF(FT!B13&lt;&gt;"",FT!B13*100,"")</f>
        <v>54.737700000000004</v>
      </c>
      <c r="H13" s="61">
        <f t="shared" si="1"/>
        <v>1</v>
      </c>
      <c r="I13" t="str">
        <f>IF(FT!B13&lt;&gt;"",FT!E13,"")</f>
        <v>1 [4.469266]</v>
      </c>
      <c r="J13">
        <f>IF(FT!B13&lt;&gt;"",FT!C13,"")</f>
        <v>4.4692699999999999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1.82372</v>
      </c>
      <c r="G14" s="61">
        <f>IF(FT!B14&lt;&gt;"",FT!B14*100,"")</f>
        <v>54.037999999999997</v>
      </c>
      <c r="H14" s="61">
        <f t="shared" si="1"/>
        <v>1</v>
      </c>
      <c r="I14" t="str">
        <f>IF(FT!B14&lt;&gt;"",FT!E14,"")</f>
        <v>1 [4.870601]</v>
      </c>
      <c r="J14">
        <f>IF(FT!B14&lt;&gt;"",FT!C14,"")</f>
        <v>4.8705999999999996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68710</v>
      </c>
      <c r="D15" s="61">
        <f>FH!B15*1</f>
        <v>68710</v>
      </c>
      <c r="E15">
        <f t="shared" si="3"/>
        <v>13</v>
      </c>
      <c r="F15" s="61">
        <f>IF(FT!A15&lt;&gt;"",FT!A15*10,"")</f>
        <v>1.85036</v>
      </c>
      <c r="G15" s="61">
        <f>IF(FT!B15&lt;&gt;"",FT!B15*100,"")</f>
        <v>53.479100000000003</v>
      </c>
      <c r="H15" s="61">
        <f t="shared" si="1"/>
        <v>1</v>
      </c>
      <c r="I15" t="str">
        <f>IF(FT!B15&lt;&gt;"",FT!E15,"")</f>
        <v>1 [5.278817]</v>
      </c>
      <c r="J15">
        <f>IF(FT!B15&lt;&gt;"",FT!C15,"")</f>
        <v>5.2788199999999996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1.8720800000000002</v>
      </c>
      <c r="G16" s="61">
        <f>IF(FT!B16&lt;&gt;"",FT!B16*100,"")</f>
        <v>53.043199999999999</v>
      </c>
      <c r="H16" s="61">
        <f t="shared" si="1"/>
        <v>1</v>
      </c>
      <c r="I16" t="str">
        <f>IF(FT!B16&lt;&gt;"",FT!E16,"")</f>
        <v>1 [5.686041]</v>
      </c>
      <c r="J16">
        <f>IF(FT!B16&lt;&gt;"",FT!C16,"")</f>
        <v>5.6860400000000002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1.8911</v>
      </c>
      <c r="G17" s="61">
        <f>IF(FT!B17&lt;&gt;"",FT!B17*100,"")</f>
        <v>52.695</v>
      </c>
      <c r="H17" s="61">
        <f t="shared" si="1"/>
        <v>1</v>
      </c>
      <c r="I17" t="str">
        <f>IF(FT!B17&lt;&gt;"",FT!E17,"")</f>
        <v>1 [6.090631]</v>
      </c>
      <c r="J17">
        <f>IF(FT!B17&lt;&gt;"",FT!C17,"")</f>
        <v>6.09063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74749</v>
      </c>
      <c r="D18" s="61">
        <f>FH!B18*1</f>
        <v>74749</v>
      </c>
      <c r="E18">
        <f t="shared" si="3"/>
        <v>16</v>
      </c>
      <c r="F18" s="61">
        <f>IF(FT!A18&lt;&gt;"",FT!A18*10,"")</f>
        <v>1.9101999999999999</v>
      </c>
      <c r="G18" s="61">
        <f>IF(FT!B18&lt;&gt;"",FT!B18*100,"")</f>
        <v>52.373899999999992</v>
      </c>
      <c r="H18" s="61">
        <f t="shared" si="1"/>
        <v>1</v>
      </c>
      <c r="I18" t="str">
        <f>IF(FT!B18&lt;&gt;"",FT!E18,"")</f>
        <v>1 [6.499507]</v>
      </c>
      <c r="J18">
        <f>IF(FT!B18&lt;&gt;"",FT!C18,"")</f>
        <v>6.4995099999999999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1.9261300000000001</v>
      </c>
      <c r="G19" s="61">
        <f>IF(FT!B19&lt;&gt;"",FT!B19*100,"")</f>
        <v>52.143799999999999</v>
      </c>
      <c r="H19" s="61">
        <f t="shared" si="1"/>
        <v>1</v>
      </c>
      <c r="I19" t="str">
        <f>IF(FT!B19&lt;&gt;"",FT!E19,"")</f>
        <v>1 [6.905444]</v>
      </c>
      <c r="J19">
        <f>IF(FT!B19&lt;&gt;"",FT!C19,"")</f>
        <v>6.9054399999999996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1.9393899999999999</v>
      </c>
      <c r="G20" s="61">
        <f>IF(FT!B20&lt;&gt;"",FT!B20*100,"")</f>
        <v>51.941700000000004</v>
      </c>
      <c r="H20" s="61">
        <f t="shared" si="1"/>
        <v>1</v>
      </c>
      <c r="I20" t="str">
        <f>IF(FT!B20&lt;&gt;"",FT!E20,"")</f>
        <v>1 [7.307468]</v>
      </c>
      <c r="J20">
        <f>IF(FT!B20&lt;&gt;"",FT!C20,"")</f>
        <v>7.3074700000000004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85903</v>
      </c>
      <c r="D21" s="61">
        <f>FH!B21*1</f>
        <v>85903</v>
      </c>
      <c r="E21">
        <f t="shared" si="3"/>
        <v>19</v>
      </c>
      <c r="F21" s="61">
        <f>IF(FT!A21&lt;&gt;"",FT!A21*10,"")</f>
        <v>1.9513</v>
      </c>
      <c r="G21" s="61">
        <f>IF(FT!B21&lt;&gt;"",FT!B21*100,"")</f>
        <v>51.747399999999999</v>
      </c>
      <c r="H21" s="61">
        <f t="shared" si="1"/>
        <v>1</v>
      </c>
      <c r="I21" t="str">
        <f>IF(FT!B21&lt;&gt;"",FT!E21,"")</f>
        <v>1 [7.719427]</v>
      </c>
      <c r="J21">
        <f>IF(FT!B21&lt;&gt;"",FT!C21,"")</f>
        <v>7.71943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1.96187</v>
      </c>
      <c r="G22" s="61">
        <f>IF(FT!B22&lt;&gt;"",FT!B22*100,"")</f>
        <v>51.5505</v>
      </c>
      <c r="H22" s="61">
        <f t="shared" si="1"/>
        <v>1</v>
      </c>
      <c r="I22" t="str">
        <f>IF(FT!B22&lt;&gt;"",FT!E22,"")</f>
        <v>1 [8.126156]</v>
      </c>
      <c r="J22">
        <f>IF(FT!B22&lt;&gt;"",FT!C22,"")</f>
        <v>8.1261600000000005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85812</v>
      </c>
      <c r="D23" s="61">
        <f>FH!B23*1</f>
        <v>85812</v>
      </c>
      <c r="E23">
        <f t="shared" si="3"/>
        <v>21</v>
      </c>
      <c r="F23" s="61">
        <f>IF(FT!A23&lt;&gt;"",FT!A23*10,"")</f>
        <v>1.9708999999999999</v>
      </c>
      <c r="G23" s="61">
        <f>IF(FT!B23&lt;&gt;"",FT!B23*100,"")</f>
        <v>51.382099999999994</v>
      </c>
      <c r="H23" s="61">
        <f t="shared" si="1"/>
        <v>1</v>
      </c>
      <c r="I23" t="str">
        <f>IF(FT!B23&lt;&gt;"",FT!E23,"")</f>
        <v>1 [8.530121]</v>
      </c>
      <c r="J23">
        <f>IF(FT!B23&lt;&gt;"",FT!C23,"")</f>
        <v>8.5301200000000001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1.97786</v>
      </c>
      <c r="G24" s="61">
        <f>IF(FT!B24&lt;&gt;"",FT!B24*100,"")</f>
        <v>51.248699999999999</v>
      </c>
      <c r="H24" s="61">
        <f t="shared" si="1"/>
        <v>1</v>
      </c>
      <c r="I24" t="str">
        <f>IF(FT!B24&lt;&gt;"",FT!E24,"")</f>
        <v>1 [8.934042]</v>
      </c>
      <c r="J24">
        <f>IF(FT!B24&lt;&gt;"",FT!C24,"")</f>
        <v>8.9340399999999995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1.9843199999999999</v>
      </c>
      <c r="G25" s="61">
        <f>IF(FT!B25&lt;&gt;"",FT!B25*100,"")</f>
        <v>51.145300000000006</v>
      </c>
      <c r="H25" s="61">
        <f t="shared" si="1"/>
        <v>1</v>
      </c>
      <c r="I25" t="str">
        <f>IF(FT!B25&lt;&gt;"",FT!E25,"")</f>
        <v>1 [9.340920]</v>
      </c>
      <c r="J25">
        <f>IF(FT!B25&lt;&gt;"",FT!C25,"")</f>
        <v>9.3409200000000006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80440</v>
      </c>
      <c r="D26" s="61">
        <f>FH!B26*1</f>
        <v>80440</v>
      </c>
      <c r="E26">
        <f t="shared" si="3"/>
        <v>24</v>
      </c>
      <c r="F26" s="61">
        <f>IF(FT!A26&lt;&gt;"",FT!A26*10,"")</f>
        <v>1.9919700000000002</v>
      </c>
      <c r="G26" s="61">
        <f>IF(FT!B26&lt;&gt;"",FT!B26*100,"")</f>
        <v>51.042000000000002</v>
      </c>
      <c r="H26" s="61">
        <f t="shared" si="1"/>
        <v>1</v>
      </c>
      <c r="I26" t="str">
        <f>IF(FT!B26&lt;&gt;"",FT!E26,"")</f>
        <v>1 [9.748960]</v>
      </c>
      <c r="J26">
        <f>IF(FT!B26&lt;&gt;"",FT!C26,"")</f>
        <v>9.7489600000000003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1.9984299999999999</v>
      </c>
      <c r="G27" s="61">
        <f>IF(FT!B27&lt;&gt;"",FT!B27*100,"")</f>
        <v>50.933900000000001</v>
      </c>
      <c r="H27" s="61">
        <f t="shared" si="1"/>
        <v>1</v>
      </c>
      <c r="I27" t="str">
        <f>IF(FT!B27&lt;&gt;"",FT!E27,"")</f>
        <v>1 [10.152036]</v>
      </c>
      <c r="J27">
        <f>IF(FT!B27&lt;&gt;"",FT!C27,"")</f>
        <v>10.151999999999999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81418</v>
      </c>
      <c r="D28" s="61">
        <f>FH!B28*1</f>
        <v>81418</v>
      </c>
      <c r="E28">
        <f t="shared" si="3"/>
        <v>26</v>
      </c>
      <c r="F28" s="61">
        <f>IF(FT!A28&lt;&gt;"",FT!A28*10,"")</f>
        <v>2.0076200000000002</v>
      </c>
      <c r="G28" s="61">
        <f>IF(FT!B28&lt;&gt;"",FT!B28*100,"")</f>
        <v>50.770299999999999</v>
      </c>
      <c r="H28" s="61">
        <f t="shared" si="1"/>
        <v>1</v>
      </c>
      <c r="I28" t="str">
        <f>IF(FT!B28&lt;&gt;"",FT!E28,"")</f>
        <v>1 [10.562656]</v>
      </c>
      <c r="J28">
        <f>IF(FT!B28&lt;&gt;"",FT!C28,"")</f>
        <v>10.5627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2.01898</v>
      </c>
      <c r="G29" s="61">
        <f>IF(FT!B29&lt;&gt;"",FT!B29*100,"")</f>
        <v>50.564900000000002</v>
      </c>
      <c r="H29" s="61">
        <f t="shared" si="1"/>
        <v>1</v>
      </c>
      <c r="I29" t="str">
        <f>IF(FT!B29&lt;&gt;"",FT!E29,"")</f>
        <v>1 [10.970604]</v>
      </c>
      <c r="J29">
        <f>IF(FT!B29&lt;&gt;"",FT!C29,"")</f>
        <v>10.970599999999999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2.0323899999999999</v>
      </c>
      <c r="G30" s="61">
        <f>IF(FT!B30&lt;&gt;"",FT!B30*100,"")</f>
        <v>50.470700000000001</v>
      </c>
      <c r="H30" s="61">
        <f t="shared" si="1"/>
        <v>1</v>
      </c>
      <c r="I30" t="str">
        <f>IF(FT!B30&lt;&gt;"",FT!E30,"")</f>
        <v>1 [11.372484]</v>
      </c>
      <c r="J30">
        <f>IF(FT!B30&lt;&gt;"",FT!C30,"")</f>
        <v>11.3725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87898</v>
      </c>
      <c r="D31" s="61">
        <f>FH!B31*1</f>
        <v>87898</v>
      </c>
      <c r="E31">
        <f t="shared" si="3"/>
        <v>29</v>
      </c>
      <c r="F31" s="61">
        <f>IF(FT!A31&lt;&gt;"",FT!A31*10,"")</f>
        <v>2.0483799999999999</v>
      </c>
      <c r="G31" s="61">
        <f>IF(FT!B31&lt;&gt;"",FT!B31*100,"")</f>
        <v>50.316200000000002</v>
      </c>
      <c r="H31" s="61">
        <f t="shared" si="1"/>
        <v>1</v>
      </c>
      <c r="I31" t="str">
        <f>IF(FT!B31&lt;&gt;"",FT!E31,"")</f>
        <v>1 [11.779587]</v>
      </c>
      <c r="J31">
        <f>IF(FT!B31&lt;&gt;"",FT!C31,"")</f>
        <v>11.7796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2.06447</v>
      </c>
      <c r="G32" s="61">
        <f>IF(FT!B32&lt;&gt;"",FT!B32*100,"")</f>
        <v>50.145200000000003</v>
      </c>
      <c r="H32" s="61">
        <f t="shared" si="1"/>
        <v>1</v>
      </c>
      <c r="I32" t="str">
        <f>IF(FT!B32&lt;&gt;"",FT!E32,"")</f>
        <v>1 [12.185645]</v>
      </c>
      <c r="J32">
        <f>IF(FT!B32&lt;&gt;"",FT!C32,"")</f>
        <v>12.185600000000001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92777</v>
      </c>
      <c r="D33" s="61">
        <f>FH!B33*1</f>
        <v>92777</v>
      </c>
      <c r="E33">
        <f t="shared" si="3"/>
        <v>31</v>
      </c>
      <c r="F33" s="61">
        <f>IF(FT!A33&lt;&gt;"",FT!A33*10,"")</f>
        <v>2.07951</v>
      </c>
      <c r="G33" s="61">
        <f>IF(FT!B33&lt;&gt;"",FT!B33*100,"")</f>
        <v>49.954999999999998</v>
      </c>
      <c r="H33" s="61">
        <f t="shared" si="1"/>
        <v>1</v>
      </c>
      <c r="I33" t="str">
        <f>IF(FT!B33&lt;&gt;"",FT!E33,"")</f>
        <v>1 [12.591208]</v>
      </c>
      <c r="J33">
        <f>IF(FT!B33&lt;&gt;"",FT!C33,"")</f>
        <v>12.591200000000001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2.09382</v>
      </c>
      <c r="G34" s="61">
        <f>IF(FT!B34&lt;&gt;"",FT!B34*100,"")</f>
        <v>49.798099999999998</v>
      </c>
      <c r="H34" s="61">
        <f t="shared" si="1"/>
        <v>1</v>
      </c>
      <c r="I34" t="str">
        <f>IF(FT!B34&lt;&gt;"",FT!E34,"")</f>
        <v>1 [13.000109]</v>
      </c>
      <c r="J34">
        <f>IF(FT!B34&lt;&gt;"",FT!C34,"")</f>
        <v>13.0001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2.1085400000000001</v>
      </c>
      <c r="G35" s="61">
        <f>IF(FT!B35&lt;&gt;"",FT!B35*100,"")</f>
        <v>49.584299999999999</v>
      </c>
      <c r="H35" s="61">
        <f t="shared" si="1"/>
        <v>1</v>
      </c>
      <c r="I35" t="str">
        <f>IF(FT!B35&lt;&gt;"",FT!E35,"")</f>
        <v>1 [13.402315]</v>
      </c>
      <c r="J35">
        <f>IF(FT!B35&lt;&gt;"",FT!C35,"")</f>
        <v>13.4023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100034</v>
      </c>
      <c r="D36" s="61">
        <f>FH!B36*1</f>
        <v>100034</v>
      </c>
      <c r="E36">
        <f t="shared" si="3"/>
        <v>34</v>
      </c>
      <c r="F36" s="61">
        <f>IF(FT!A36&lt;&gt;"",FT!A36*10,"")</f>
        <v>2.1184099999999999</v>
      </c>
      <c r="G36" s="61">
        <f>IF(FT!B36&lt;&gt;"",FT!B36*100,"")</f>
        <v>49.489100000000001</v>
      </c>
      <c r="H36" s="61">
        <f t="shared" si="1"/>
        <v>1</v>
      </c>
      <c r="I36" t="str">
        <f>IF(FT!B36&lt;&gt;"",FT!E36,"")</f>
        <v>1 [13.809183]</v>
      </c>
      <c r="J36">
        <f>IF(FT!B36&lt;&gt;"",FT!C36,"")</f>
        <v>13.809200000000001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2.1275200000000001</v>
      </c>
      <c r="G37" s="61">
        <f>IF(FT!B37&lt;&gt;"",FT!B37*100,"")</f>
        <v>49.367800000000003</v>
      </c>
      <c r="H37" s="61">
        <f t="shared" si="1"/>
        <v>1</v>
      </c>
      <c r="I37" t="str">
        <f>IF(FT!B37&lt;&gt;"",FT!E37,"")</f>
        <v>1 [14.216838]</v>
      </c>
      <c r="J37">
        <f>IF(FT!B37&lt;&gt;"",FT!C37,"")</f>
        <v>14.216799999999999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2.1380300000000001</v>
      </c>
      <c r="G38" s="61">
        <f>IF(FT!B38&lt;&gt;"",FT!B38*100,"")</f>
        <v>49.17</v>
      </c>
      <c r="H38" s="61">
        <f t="shared" si="1"/>
        <v>1</v>
      </c>
      <c r="I38" t="str">
        <f>IF(FT!B38&lt;&gt;"",FT!E38,"")</f>
        <v>1 [14.624882]</v>
      </c>
      <c r="J38">
        <f>IF(FT!B38&lt;&gt;"",FT!C38,"")</f>
        <v>14.6249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103742</v>
      </c>
      <c r="D39" s="61">
        <f>FH!B39*1</f>
        <v>103742</v>
      </c>
      <c r="E39">
        <f t="shared" si="3"/>
        <v>37</v>
      </c>
      <c r="F39" s="61">
        <f>IF(FT!A39&lt;&gt;"",FT!A39*10,"")</f>
        <v>2.1478199999999998</v>
      </c>
      <c r="G39" s="61">
        <f>IF(FT!B39&lt;&gt;"",FT!B39*100,"")</f>
        <v>49.083799999999997</v>
      </c>
      <c r="H39" s="61">
        <f t="shared" si="1"/>
        <v>1</v>
      </c>
      <c r="I39" t="str">
        <f>IF(FT!B39&lt;&gt;"",FT!E39,"")</f>
        <v>1 [15.029757]</v>
      </c>
      <c r="J39">
        <f>IF(FT!B39&lt;&gt;"",FT!C39,"")</f>
        <v>15.0298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2.1601900000000001</v>
      </c>
      <c r="G40" s="61">
        <f>IF(FT!B40&lt;&gt;"",FT!B40*100,"")</f>
        <v>48.897600000000004</v>
      </c>
      <c r="H40" s="61">
        <f t="shared" si="1"/>
        <v>1</v>
      </c>
      <c r="I40" t="str">
        <f>IF(FT!B40&lt;&gt;"",FT!E40,"")</f>
        <v>1 [15.435847]</v>
      </c>
      <c r="J40">
        <f>IF(FT!B40&lt;&gt;"",FT!C40,"")</f>
        <v>15.4358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111571</v>
      </c>
      <c r="D41" s="61">
        <f>FH!B41*1</f>
        <v>111571</v>
      </c>
      <c r="E41">
        <f t="shared" si="3"/>
        <v>39</v>
      </c>
      <c r="F41" s="61">
        <f>IF(FT!A41&lt;&gt;"",FT!A41*10,"")</f>
        <v>2.1726899999999998</v>
      </c>
      <c r="G41" s="61">
        <f>IF(FT!B41&lt;&gt;"",FT!B41*100,"")</f>
        <v>48.694700000000005</v>
      </c>
      <c r="H41" s="61">
        <f t="shared" si="1"/>
        <v>1</v>
      </c>
      <c r="I41" t="str">
        <f>IF(FT!B41&lt;&gt;"",FT!E41,"")</f>
        <v>1 [15.841827]</v>
      </c>
      <c r="J41">
        <f>IF(FT!B41&lt;&gt;"",FT!C41,"")</f>
        <v>15.841799999999999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2.1876899999999999</v>
      </c>
      <c r="G42" s="61">
        <f>IF(FT!B42&lt;&gt;"",FT!B42*100,"")</f>
        <v>48.448399999999999</v>
      </c>
      <c r="H42" s="61">
        <f t="shared" si="1"/>
        <v>1</v>
      </c>
      <c r="I42" t="str">
        <f>IF(FT!B42&lt;&gt;"",FT!E42,"")</f>
        <v>1 [16.247464]</v>
      </c>
      <c r="J42">
        <f>IF(FT!B42&lt;&gt;"",FT!C42,"")</f>
        <v>16.247499999999999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2.20391</v>
      </c>
      <c r="G43" s="61">
        <f>IF(FT!B43&lt;&gt;"",FT!B43*100,"")</f>
        <v>48.142400000000002</v>
      </c>
      <c r="H43" s="61">
        <f t="shared" si="1"/>
        <v>1</v>
      </c>
      <c r="I43" t="str">
        <f>IF(FT!B43&lt;&gt;"",FT!E43,"")</f>
        <v>1 [16.656391]</v>
      </c>
      <c r="J43">
        <f>IF(FT!B43&lt;&gt;"",FT!C43,"")</f>
        <v>16.656400000000001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94987</v>
      </c>
      <c r="D44" s="61">
        <f>FH!B44*1</f>
        <v>94987</v>
      </c>
      <c r="E44">
        <f t="shared" si="3"/>
        <v>42</v>
      </c>
      <c r="F44" s="61">
        <f>IF(FT!A44&lt;&gt;"",FT!A44*10,"")</f>
        <v>2.2202500000000001</v>
      </c>
      <c r="G44" s="61">
        <f>IF(FT!B44&lt;&gt;"",FT!B44*100,"")</f>
        <v>47.885100000000001</v>
      </c>
      <c r="H44" s="61">
        <f t="shared" si="1"/>
        <v>1</v>
      </c>
      <c r="I44" t="str">
        <f>IF(FT!B44&lt;&gt;"",FT!E44,"")</f>
        <v>1 [17.063393]</v>
      </c>
      <c r="J44">
        <f>IF(FT!B44&lt;&gt;"",FT!C44,"")</f>
        <v>17.063400000000001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2.2387600000000001</v>
      </c>
      <c r="G45" s="61">
        <f>IF(FT!B45&lt;&gt;"",FT!B45*100,"")</f>
        <v>47.5762</v>
      </c>
      <c r="H45" s="61">
        <f t="shared" si="1"/>
        <v>1</v>
      </c>
      <c r="I45" t="str">
        <f>IF(FT!B45&lt;&gt;"",FT!E45,"")</f>
        <v>1 [17.466210]</v>
      </c>
      <c r="J45">
        <f>IF(FT!B45&lt;&gt;"",FT!C45,"")</f>
        <v>17.466200000000001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113354</v>
      </c>
      <c r="D46" s="61">
        <f>FH!B46*1</f>
        <v>113354</v>
      </c>
      <c r="E46">
        <f t="shared" si="3"/>
        <v>44</v>
      </c>
      <c r="F46" s="61">
        <f>IF(FT!A46&lt;&gt;"",FT!A46*10,"")</f>
        <v>2.25536</v>
      </c>
      <c r="G46" s="61">
        <f>IF(FT!B46&lt;&gt;"",FT!B46*100,"")</f>
        <v>47.319400000000002</v>
      </c>
      <c r="H46" s="61">
        <f t="shared" si="1"/>
        <v>1</v>
      </c>
      <c r="I46" t="str">
        <f>IF(FT!B46&lt;&gt;"",FT!E46,"")</f>
        <v>1 [17.870077]</v>
      </c>
      <c r="J46">
        <f>IF(FT!B46&lt;&gt;"",FT!C46,"")</f>
        <v>17.870100000000001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2.2697000000000003</v>
      </c>
      <c r="G47" s="61">
        <f>IF(FT!B47&lt;&gt;"",FT!B47*100,"")</f>
        <v>47.122100000000003</v>
      </c>
      <c r="H47" s="61">
        <f t="shared" si="1"/>
        <v>1</v>
      </c>
      <c r="I47" t="str">
        <f>IF(FT!B47&lt;&gt;"",FT!E47,"")</f>
        <v>1 [18.280984]</v>
      </c>
      <c r="J47">
        <f>IF(FT!B47&lt;&gt;"",FT!C47,"")</f>
        <v>18.280999999999999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2.28451</v>
      </c>
      <c r="G48" s="61">
        <f>IF(FT!B48&lt;&gt;"",FT!B48*100,"")</f>
        <v>46.9358</v>
      </c>
      <c r="H48" s="61">
        <f t="shared" si="1"/>
        <v>1</v>
      </c>
      <c r="I48" t="str">
        <f>IF(FT!B48&lt;&gt;"",FT!E48,"")</f>
        <v>1 [18.684052]</v>
      </c>
      <c r="J48">
        <f>IF(FT!B48&lt;&gt;"",FT!C48,"")</f>
        <v>18.684100000000001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122064</v>
      </c>
      <c r="D49" s="61">
        <f>FH!B49*1</f>
        <v>122064</v>
      </c>
      <c r="E49">
        <f t="shared" si="3"/>
        <v>47</v>
      </c>
      <c r="F49" s="61">
        <f>IF(FT!A49&lt;&gt;"",FT!A49*10,"")</f>
        <v>2.3024</v>
      </c>
      <c r="G49" s="61">
        <f>IF(FT!B49&lt;&gt;"",FT!B49*100,"")</f>
        <v>46.828199999999995</v>
      </c>
      <c r="H49" s="61">
        <f t="shared" si="1"/>
        <v>1</v>
      </c>
      <c r="I49" t="str">
        <f>IF(FT!B49&lt;&gt;"",FT!E49,"")</f>
        <v>1 [19.092820]</v>
      </c>
      <c r="J49">
        <f>IF(FT!B49&lt;&gt;"",FT!C49,"")</f>
        <v>19.0928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2.3197700000000001</v>
      </c>
      <c r="G50" s="61">
        <f>IF(FT!B50&lt;&gt;"",FT!B50*100,"")</f>
        <v>46.7348</v>
      </c>
      <c r="H50" s="61">
        <f t="shared" si="1"/>
        <v>1</v>
      </c>
      <c r="I50" t="str">
        <f>IF(FT!B50&lt;&gt;"",FT!E50,"")</f>
        <v>1 [19.500796]</v>
      </c>
      <c r="J50">
        <f>IF(FT!B50&lt;&gt;"",FT!C50,"")</f>
        <v>19.500800000000002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117817</v>
      </c>
      <c r="D51" s="61">
        <f>FH!B51*1</f>
        <v>117817</v>
      </c>
      <c r="E51">
        <f t="shared" si="3"/>
        <v>49</v>
      </c>
      <c r="F51" s="61">
        <f>IF(FT!A51&lt;&gt;"",FT!A51*10,"")</f>
        <v>2.33474</v>
      </c>
      <c r="G51" s="61">
        <f>IF(FT!B51&lt;&gt;"",FT!B51*100,"")</f>
        <v>46.688299999999998</v>
      </c>
      <c r="H51" s="61">
        <f t="shared" si="1"/>
        <v>1</v>
      </c>
      <c r="I51" t="str">
        <f>IF(FT!B51&lt;&gt;"",FT!E51,"")</f>
        <v>1 [19.904688]</v>
      </c>
      <c r="J51">
        <f>IF(FT!B51&lt;&gt;"",FT!C51,"")</f>
        <v>19.904699999999998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2.3476499999999998</v>
      </c>
      <c r="G52" s="61">
        <f>IF(FT!B52&lt;&gt;"",FT!B52*100,"")</f>
        <v>46.620800000000003</v>
      </c>
      <c r="H52" s="61">
        <f t="shared" si="1"/>
        <v>1</v>
      </c>
      <c r="I52" t="str">
        <f>IF(FT!B52&lt;&gt;"",FT!E52,"")</f>
        <v>1 [20.308700]</v>
      </c>
      <c r="J52">
        <f>IF(FT!B52&lt;&gt;"",FT!C52,"")</f>
        <v>20.308700000000002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2.3633000000000002</v>
      </c>
      <c r="G53" s="61">
        <f>IF(FT!B53&lt;&gt;"",FT!B53*100,"")</f>
        <v>46.4495</v>
      </c>
      <c r="H53" s="61">
        <f t="shared" si="1"/>
        <v>1</v>
      </c>
      <c r="I53" t="str">
        <f>IF(FT!B53&lt;&gt;"",FT!E53,"")</f>
        <v>1 [20.720551]</v>
      </c>
      <c r="J53">
        <f>IF(FT!B53&lt;&gt;"",FT!C53,"")</f>
        <v>20.720600000000001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114402</v>
      </c>
      <c r="D54" s="61">
        <f>FH!B54*1</f>
        <v>114402</v>
      </c>
      <c r="E54">
        <f t="shared" si="3"/>
        <v>52</v>
      </c>
      <c r="F54" s="61">
        <f>IF(FT!A54&lt;&gt;"",FT!A54*10,"")</f>
        <v>2.3722099999999999</v>
      </c>
      <c r="G54" s="61">
        <f>IF(FT!B54&lt;&gt;"",FT!B54*100,"")</f>
        <v>46.347000000000001</v>
      </c>
      <c r="H54" s="61">
        <f t="shared" si="1"/>
        <v>1</v>
      </c>
      <c r="I54" t="str">
        <f>IF(FT!B54&lt;&gt;"",FT!E54,"")</f>
        <v>1 [21.123501]</v>
      </c>
      <c r="J54">
        <f>IF(FT!B54&lt;&gt;"",FT!C54,"")</f>
        <v>21.1235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2.3826200000000002</v>
      </c>
      <c r="G55" s="61">
        <f>IF(FT!B55&lt;&gt;"",FT!B55*100,"")</f>
        <v>46.306199999999997</v>
      </c>
      <c r="H55" s="61">
        <f t="shared" si="1"/>
        <v>1</v>
      </c>
      <c r="I55" t="str">
        <f>IF(FT!B55&lt;&gt;"",FT!E55,"")</f>
        <v>1 [21.532335]</v>
      </c>
      <c r="J55">
        <f>IF(FT!B55&lt;&gt;"",FT!C55,"")</f>
        <v>21.532299999999999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2.39161</v>
      </c>
      <c r="G56" s="61">
        <f>IF(FT!B56&lt;&gt;"",FT!B56*100,"")</f>
        <v>46.248100000000001</v>
      </c>
      <c r="H56" s="61">
        <f t="shared" si="1"/>
        <v>1</v>
      </c>
      <c r="I56" t="str">
        <f>IF(FT!B56&lt;&gt;"",FT!E56,"")</f>
        <v>1 [21.937595]</v>
      </c>
      <c r="J56">
        <f>IF(FT!B56&lt;&gt;"",FT!C56,"")</f>
        <v>21.9376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119281</v>
      </c>
      <c r="D57" s="61">
        <f>FH!B57*1</f>
        <v>119281</v>
      </c>
      <c r="E57">
        <f t="shared" si="3"/>
        <v>55</v>
      </c>
      <c r="F57" s="61">
        <f>IF(FT!A57&lt;&gt;"",FT!A57*10,"")</f>
        <v>2.39934</v>
      </c>
      <c r="G57" s="61">
        <f>IF(FT!B57&lt;&gt;"",FT!B57*100,"")</f>
        <v>46.1419</v>
      </c>
      <c r="H57" s="61">
        <f t="shared" si="1"/>
        <v>1</v>
      </c>
      <c r="I57" t="str">
        <f>IF(FT!B57&lt;&gt;"",FT!E57,"")</f>
        <v>1 [22.338458]</v>
      </c>
      <c r="J57">
        <f>IF(FT!B57&lt;&gt;"",FT!C57,"")</f>
        <v>22.3385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2.4155600000000002</v>
      </c>
      <c r="G58" s="61">
        <f>IF(FT!B58&lt;&gt;"",FT!B58*100,"")</f>
        <v>46.0869</v>
      </c>
      <c r="H58" s="61">
        <f t="shared" si="1"/>
        <v>1</v>
      </c>
      <c r="I58" t="str">
        <f>IF(FT!B58&lt;&gt;"",FT!E58,"")</f>
        <v>1 [22.750088]</v>
      </c>
      <c r="J58">
        <f>IF(FT!B58&lt;&gt;"",FT!C58,"")</f>
        <v>22.7501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121801</v>
      </c>
      <c r="D59" s="61">
        <f>FH!B59*1</f>
        <v>121801</v>
      </c>
      <c r="E59">
        <f t="shared" si="3"/>
        <v>57</v>
      </c>
      <c r="F59" s="61">
        <f>IF(FT!A59&lt;&gt;"",FT!A59*10,"")</f>
        <v>2.4264999999999999</v>
      </c>
      <c r="G59" s="61">
        <f>IF(FT!B59&lt;&gt;"",FT!B59*100,"")</f>
        <v>46.053899999999999</v>
      </c>
      <c r="H59" s="61">
        <f t="shared" si="1"/>
        <v>1</v>
      </c>
      <c r="I59" t="str">
        <f>IF(FT!B59&lt;&gt;"",FT!E59,"")</f>
        <v>1 [23.158028]</v>
      </c>
      <c r="J59">
        <f>IF(FT!B59&lt;&gt;"",FT!C59,"")</f>
        <v>23.158000000000001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2.4314399999999998</v>
      </c>
      <c r="G60" s="61">
        <f>IF(FT!B60&lt;&gt;"",FT!B60*100,"")</f>
        <v>46.064500000000002</v>
      </c>
      <c r="H60" s="61">
        <f t="shared" si="1"/>
        <v>1</v>
      </c>
      <c r="I60" t="str">
        <f>IF(FT!B60&lt;&gt;"",FT!E60,"")</f>
        <v>1 [23.559003]</v>
      </c>
      <c r="J60">
        <f>IF(FT!B60&lt;&gt;"",FT!C60,"")</f>
        <v>23.559000000000001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2.4408500000000002</v>
      </c>
      <c r="G61" s="61">
        <f>IF(FT!B61&lt;&gt;"",FT!B61*100,"")</f>
        <v>46.176000000000002</v>
      </c>
      <c r="H61" s="61">
        <f t="shared" si="1"/>
        <v>1</v>
      </c>
      <c r="I61" t="str">
        <f>IF(FT!B61&lt;&gt;"",FT!E61,"")</f>
        <v>1 [23.966830]</v>
      </c>
      <c r="J61">
        <f>IF(FT!B61&lt;&gt;"",FT!C61,"")</f>
        <v>23.966799999999999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117361</v>
      </c>
      <c r="D62" s="61">
        <f>FH!B62*1</f>
        <v>117361</v>
      </c>
      <c r="E62">
        <f t="shared" si="3"/>
        <v>60</v>
      </c>
      <c r="F62" s="61">
        <f>IF(FT!A62&lt;&gt;"",FT!A62*10,"")</f>
        <v>2.4456800000000003</v>
      </c>
      <c r="G62" s="61">
        <f>IF(FT!B62&lt;&gt;"",FT!B62*100,"")</f>
        <v>46.279900000000005</v>
      </c>
      <c r="H62" s="61">
        <f t="shared" si="1"/>
        <v>1</v>
      </c>
      <c r="I62" t="str">
        <f>IF(FT!B62&lt;&gt;"",FT!E62,"")</f>
        <v>1 [24.372978]</v>
      </c>
      <c r="J62">
        <f>IF(FT!B62&lt;&gt;"",FT!C62,"")</f>
        <v>24.373000000000001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2.4506000000000001</v>
      </c>
      <c r="G63" s="61">
        <f>IF(FT!B63&lt;&gt;"",FT!B63*100,"")</f>
        <v>46.386000000000003</v>
      </c>
      <c r="H63" s="61">
        <f t="shared" si="1"/>
        <v>1</v>
      </c>
      <c r="I63" t="str">
        <f>IF(FT!B63&lt;&gt;"",FT!E63,"")</f>
        <v>1 [24.781671]</v>
      </c>
      <c r="J63">
        <f>IF(FT!B63&lt;&gt;"",FT!C63,"")</f>
        <v>24.781700000000001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110722</v>
      </c>
      <c r="D64" s="61">
        <f>FH!B64*1</f>
        <v>110722</v>
      </c>
      <c r="E64">
        <f t="shared" si="3"/>
        <v>62</v>
      </c>
      <c r="F64" s="61">
        <f>IF(FT!A64&lt;&gt;"",FT!A64*10,"")</f>
        <v>2.45614</v>
      </c>
      <c r="G64" s="61">
        <f>IF(FT!B64&lt;&gt;"",FT!B64*100,"")</f>
        <v>46.390599999999999</v>
      </c>
      <c r="H64" s="61">
        <f t="shared" si="1"/>
        <v>1</v>
      </c>
      <c r="I64" t="str">
        <f>IF(FT!B64&lt;&gt;"",FT!E64,"")</f>
        <v>1 [25.186675]</v>
      </c>
      <c r="J64">
        <f>IF(FT!B64&lt;&gt;"",FT!C64,"")</f>
        <v>25.186699999999998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2.4645000000000001</v>
      </c>
      <c r="G65" s="61">
        <f>IF(FT!B65&lt;&gt;"",FT!B65*100,"")</f>
        <v>46.453299999999999</v>
      </c>
      <c r="H65" s="61">
        <f t="shared" si="1"/>
        <v>1</v>
      </c>
      <c r="I65" t="str">
        <f>IF(FT!B65&lt;&gt;"",FT!E65,"")</f>
        <v>1 [25.594462]</v>
      </c>
      <c r="J65">
        <f>IF(FT!B65&lt;&gt;"",FT!C65,"")</f>
        <v>25.5945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2.46936</v>
      </c>
      <c r="G66" s="61">
        <f>IF(FT!B66&lt;&gt;"",FT!B66*100,"")</f>
        <v>46.520400000000002</v>
      </c>
      <c r="H66" s="61">
        <f t="shared" si="1"/>
        <v>1</v>
      </c>
      <c r="I66" t="str">
        <f>IF(FT!B66&lt;&gt;"",FT!E66,"")</f>
        <v>1 [25.997385]</v>
      </c>
      <c r="J66">
        <f>IF(FT!B66&lt;&gt;"",FT!C66,"")</f>
        <v>25.997399999999999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111393</v>
      </c>
      <c r="D67" s="61">
        <f>FH!B67*1</f>
        <v>111393</v>
      </c>
      <c r="E67">
        <f t="shared" si="3"/>
        <v>65</v>
      </c>
      <c r="F67" s="61">
        <f>IF(FT!A67&lt;&gt;"",FT!A67*10,"")</f>
        <v>2.4718599999999999</v>
      </c>
      <c r="G67" s="61">
        <f>IF(FT!B67&lt;&gt;"",FT!B67*100,"")</f>
        <v>46.680700000000002</v>
      </c>
      <c r="H67" s="61">
        <f t="shared" ref="H67:H130" si="9">(IF(F67&lt;&gt;"",1,""))</f>
        <v>1</v>
      </c>
      <c r="I67" t="str">
        <f>IF(FT!B67&lt;&gt;"",FT!E67,"")</f>
        <v>1 [26.405377]</v>
      </c>
      <c r="J67">
        <f>IF(FT!B67&lt;&gt;"",FT!C67,"")</f>
        <v>26.4054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2.4722300000000001</v>
      </c>
      <c r="G68" s="61">
        <f>IF(FT!B68&lt;&gt;"",FT!B68*100,"")</f>
        <v>46.851500000000001</v>
      </c>
      <c r="H68" s="61">
        <f t="shared" si="9"/>
        <v>1</v>
      </c>
      <c r="I68" t="str">
        <f>IF(FT!B68&lt;&gt;"",FT!E68,"")</f>
        <v>1 [26.813273]</v>
      </c>
      <c r="J68">
        <f>IF(FT!B68&lt;&gt;"",FT!C68,"")</f>
        <v>26.813300000000002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107121</v>
      </c>
      <c r="D69" s="61">
        <f>FH!B69*1</f>
        <v>107121</v>
      </c>
      <c r="E69">
        <f t="shared" si="11"/>
        <v>67</v>
      </c>
      <c r="F69" s="61">
        <f>IF(FT!A69&lt;&gt;"",FT!A69*10,"")</f>
        <v>2.47329</v>
      </c>
      <c r="G69" s="61">
        <f>IF(FT!B69&lt;&gt;"",FT!B69*100,"")</f>
        <v>46.956199999999995</v>
      </c>
      <c r="H69" s="61">
        <f t="shared" si="9"/>
        <v>1</v>
      </c>
      <c r="I69" t="str">
        <f>IF(FT!B69&lt;&gt;"",FT!E69,"")</f>
        <v>1 [27.216138]</v>
      </c>
      <c r="J69">
        <f>IF(FT!B69&lt;&gt;"",FT!C69,"")</f>
        <v>27.216100000000001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2.4678499999999999</v>
      </c>
      <c r="G70" s="61">
        <f>IF(FT!B70&lt;&gt;"",FT!B70*100,"")</f>
        <v>47.286899999999996</v>
      </c>
      <c r="H70" s="61">
        <f t="shared" si="9"/>
        <v>1</v>
      </c>
      <c r="I70" t="str">
        <f>IF(FT!B70&lt;&gt;"",FT!E70,"")</f>
        <v>1 [27.622009]</v>
      </c>
      <c r="J70">
        <f>IF(FT!B70&lt;&gt;"",FT!C70,"")</f>
        <v>27.622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2.4678499999999999</v>
      </c>
      <c r="G71" s="61">
        <f>IF(FT!B71&lt;&gt;"",FT!B71*100,"")</f>
        <v>47.462299999999999</v>
      </c>
      <c r="H71" s="61">
        <f t="shared" si="9"/>
        <v>1</v>
      </c>
      <c r="I71" t="str">
        <f>IF(FT!B71&lt;&gt;"",FT!E71,"")</f>
        <v>1 [28.028059]</v>
      </c>
      <c r="J71">
        <f>IF(FT!B71&lt;&gt;"",FT!C71,"")</f>
        <v>28.028099999999998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90356</v>
      </c>
      <c r="D72" s="61">
        <f>FH!B72*1</f>
        <v>90356</v>
      </c>
      <c r="E72">
        <f t="shared" si="11"/>
        <v>70</v>
      </c>
      <c r="F72" s="61">
        <f>IF(FT!A72&lt;&gt;"",FT!A72*10,"")</f>
        <v>2.4628900000000002</v>
      </c>
      <c r="G72" s="61">
        <f>IF(FT!B72&lt;&gt;"",FT!B72*100,"")</f>
        <v>47.810499999999998</v>
      </c>
      <c r="H72" s="61">
        <f t="shared" si="9"/>
        <v>1</v>
      </c>
      <c r="I72" t="str">
        <f>IF(FT!B72&lt;&gt;"",FT!E72,"")</f>
        <v>1 [28.435139]</v>
      </c>
      <c r="J72">
        <f>IF(FT!B72&lt;&gt;"",FT!C72,"")</f>
        <v>28.435099999999998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2.46069</v>
      </c>
      <c r="G73" s="61">
        <f>IF(FT!B73&lt;&gt;"",FT!B73*100,"")</f>
        <v>48.078299999999999</v>
      </c>
      <c r="H73" s="61">
        <f t="shared" si="9"/>
        <v>1</v>
      </c>
      <c r="I73" t="str">
        <f>IF(FT!B73&lt;&gt;"",FT!E73,"")</f>
        <v>1 [28.842787]</v>
      </c>
      <c r="J73">
        <f>IF(FT!B73&lt;&gt;"",FT!C73,"")</f>
        <v>28.8428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2.4571100000000001</v>
      </c>
      <c r="G74" s="61">
        <f>IF(FT!B74&lt;&gt;"",FT!B74*100,"")</f>
        <v>48.282899999999998</v>
      </c>
      <c r="H74" s="61">
        <f t="shared" si="9"/>
        <v>1</v>
      </c>
      <c r="I74" t="str">
        <f>IF(FT!B74&lt;&gt;"",FT!E74,"")</f>
        <v>1 [29.250791]</v>
      </c>
      <c r="J74">
        <f>IF(FT!B74&lt;&gt;"",FT!C74,"")</f>
        <v>29.250800000000002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84506</v>
      </c>
      <c r="D75" s="61">
        <f>FH!B75*1</f>
        <v>84506</v>
      </c>
      <c r="E75">
        <f t="shared" si="11"/>
        <v>73</v>
      </c>
      <c r="F75" s="61">
        <f>IF(FT!A75&lt;&gt;"",FT!A75*10,"")</f>
        <v>2.4553600000000002</v>
      </c>
      <c r="G75" s="61">
        <f>IF(FT!B75&lt;&gt;"",FT!B75*100,"")</f>
        <v>48.417000000000002</v>
      </c>
      <c r="H75" s="61">
        <f t="shared" si="9"/>
        <v>1</v>
      </c>
      <c r="I75" t="str">
        <f>IF(FT!B75&lt;&gt;"",FT!E75,"")</f>
        <v>1 [29.652844]</v>
      </c>
      <c r="J75">
        <f>IF(FT!B75&lt;&gt;"",FT!C75,"")</f>
        <v>29.652799999999999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2.44692</v>
      </c>
      <c r="G76" s="61">
        <f>IF(FT!B76&lt;&gt;"",FT!B76*100,"")</f>
        <v>48.635899999999999</v>
      </c>
      <c r="H76" s="61">
        <f t="shared" si="9"/>
        <v>1</v>
      </c>
      <c r="I76" t="str">
        <f>IF(FT!B76&lt;&gt;"",FT!E76,"")</f>
        <v>2 [30.061514]</v>
      </c>
      <c r="J76">
        <f>IF(FT!B76&lt;&gt;"",FT!C76,"")</f>
        <v>30.061499999999999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74421</v>
      </c>
      <c r="D77" s="61">
        <f>FH!B77*1</f>
        <v>74421</v>
      </c>
      <c r="E77">
        <f t="shared" si="11"/>
        <v>75</v>
      </c>
      <c r="F77" s="61">
        <f>IF(FT!A77&lt;&gt;"",FT!A77*10,"")</f>
        <v>2.4397500000000001</v>
      </c>
      <c r="G77" s="61">
        <f>IF(FT!B77&lt;&gt;"",FT!B77*100,"")</f>
        <v>48.828400000000002</v>
      </c>
      <c r="H77" s="61">
        <f t="shared" si="9"/>
        <v>1</v>
      </c>
      <c r="I77" t="str">
        <f>IF(FT!B77&lt;&gt;"",FT!E77,"")</f>
        <v>2 [30.517349]</v>
      </c>
      <c r="J77">
        <f>IF(FT!B77&lt;&gt;"",FT!C77,"")</f>
        <v>30.517299999999999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2.4292400000000001</v>
      </c>
      <c r="G78" s="61">
        <f>IF(FT!B78&lt;&gt;"",FT!B78*100,"")</f>
        <v>49.075800000000001</v>
      </c>
      <c r="H78" s="61">
        <f t="shared" si="9"/>
        <v>1</v>
      </c>
      <c r="I78" t="str">
        <f>IF(FT!B78&lt;&gt;"",FT!E78,"")</f>
        <v>2 [30.920234]</v>
      </c>
      <c r="J78">
        <f>IF(FT!B78&lt;&gt;"",FT!C78,"")</f>
        <v>30.920200000000001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2.4195700000000002</v>
      </c>
      <c r="G79" s="61">
        <f>IF(FT!B79&lt;&gt;"",FT!B79*100,"")</f>
        <v>49.269600000000004</v>
      </c>
      <c r="H79" s="61">
        <f t="shared" si="9"/>
        <v>1</v>
      </c>
      <c r="I79" t="str">
        <f>IF(FT!B79&lt;&gt;"",FT!E79,"")</f>
        <v>2 [31.326156]</v>
      </c>
      <c r="J79">
        <f>IF(FT!B79&lt;&gt;"",FT!C79,"")</f>
        <v>31.3262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75380</v>
      </c>
      <c r="D80" s="61">
        <f>FH!B80*1</f>
        <v>75380</v>
      </c>
      <c r="E80">
        <f t="shared" si="11"/>
        <v>78</v>
      </c>
      <c r="F80" s="61">
        <f>IF(FT!A80&lt;&gt;"",FT!A80*10,"")</f>
        <v>2.4119199999999998</v>
      </c>
      <c r="G80" s="61">
        <f>IF(FT!B80&lt;&gt;"",FT!B80*100,"")</f>
        <v>49.213699999999996</v>
      </c>
      <c r="H80" s="61">
        <f t="shared" si="9"/>
        <v>1</v>
      </c>
      <c r="I80" t="str">
        <f>IF(FT!B80&lt;&gt;"",FT!E80,"")</f>
        <v>2 [31.732558]</v>
      </c>
      <c r="J80">
        <f>IF(FT!B80&lt;&gt;"",FT!C80,"")</f>
        <v>31.732600000000001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2.4028200000000002</v>
      </c>
      <c r="G81" s="61">
        <f>IF(FT!B81&lt;&gt;"",FT!B81*100,"")</f>
        <v>49.077199999999998</v>
      </c>
      <c r="H81" s="61">
        <f t="shared" si="9"/>
        <v>1</v>
      </c>
      <c r="I81" t="str">
        <f>IF(FT!B81&lt;&gt;"",FT!E81,"")</f>
        <v>2 [32.140966]</v>
      </c>
      <c r="J81">
        <f>IF(FT!B81&lt;&gt;"",FT!C81,"")</f>
        <v>32.140999999999998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65892</v>
      </c>
      <c r="D82" s="61">
        <f>FH!B82*1</f>
        <v>65892</v>
      </c>
      <c r="E82">
        <f t="shared" si="11"/>
        <v>80</v>
      </c>
      <c r="F82" s="61">
        <f>IF(FT!A82&lt;&gt;"",FT!A82*10,"")</f>
        <v>2.3898099999999998</v>
      </c>
      <c r="G82" s="61">
        <f>IF(FT!B82&lt;&gt;"",FT!B82*100,"")</f>
        <v>48.962200000000003</v>
      </c>
      <c r="H82" s="61">
        <f t="shared" si="9"/>
        <v>1</v>
      </c>
      <c r="I82" t="str">
        <f>IF(FT!B82&lt;&gt;"",FT!E82,"")</f>
        <v>2 [32.545994]</v>
      </c>
      <c r="J82">
        <f>IF(FT!B82&lt;&gt;"",FT!C82,"")</f>
        <v>32.545999999999999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2.3742000000000001</v>
      </c>
      <c r="G83" s="61">
        <f>IF(FT!B83&lt;&gt;"",FT!B83*100,"")</f>
        <v>48.8919</v>
      </c>
      <c r="H83" s="61">
        <f t="shared" si="9"/>
        <v>1</v>
      </c>
      <c r="I83" t="str">
        <f>IF(FT!B83&lt;&gt;"",FT!E83,"")</f>
        <v>2 [32.953752]</v>
      </c>
      <c r="J83">
        <f>IF(FT!B83&lt;&gt;"",FT!C83,"")</f>
        <v>32.953800000000001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2.35791</v>
      </c>
      <c r="G84" s="61">
        <f>IF(FT!B84&lt;&gt;"",FT!B84*100,"")</f>
        <v>48.836800000000004</v>
      </c>
      <c r="H84" s="61">
        <f t="shared" si="9"/>
        <v>1</v>
      </c>
      <c r="I84" t="str">
        <f>IF(FT!B84&lt;&gt;"",FT!E84,"")</f>
        <v>2 [33.355805]</v>
      </c>
      <c r="J84">
        <f>IF(FT!B84&lt;&gt;"",FT!C84,"")</f>
        <v>33.355800000000002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55044</v>
      </c>
      <c r="D85" s="61">
        <f>FH!B85*1</f>
        <v>55044</v>
      </c>
      <c r="E85">
        <f t="shared" si="11"/>
        <v>83</v>
      </c>
      <c r="F85" s="61">
        <f>IF(FT!A85&lt;&gt;"",FT!A85*10,"")</f>
        <v>2.3403900000000002</v>
      </c>
      <c r="G85" s="61">
        <f>IF(FT!B85&lt;&gt;"",FT!B85*100,"")</f>
        <v>48.846600000000002</v>
      </c>
      <c r="H85" s="61">
        <f t="shared" si="9"/>
        <v>1</v>
      </c>
      <c r="I85" t="str">
        <f>IF(FT!B85&lt;&gt;"",FT!E85,"")</f>
        <v>2 [33.760667]</v>
      </c>
      <c r="J85">
        <f>IF(FT!B85&lt;&gt;"",FT!C85,"")</f>
        <v>33.7607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2.3253900000000001</v>
      </c>
      <c r="G86" s="61">
        <f>IF(FT!B86&lt;&gt;"",FT!B86*100,"")</f>
        <v>48.7973</v>
      </c>
      <c r="H86" s="61">
        <f t="shared" si="9"/>
        <v>1</v>
      </c>
      <c r="I86" t="str">
        <f>IF(FT!B86&lt;&gt;"",FT!E86,"")</f>
        <v>2 [34.165748]</v>
      </c>
      <c r="J86">
        <f>IF(FT!B86&lt;&gt;"",FT!C86,"")</f>
        <v>34.165700000000001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2.3090299999999999</v>
      </c>
      <c r="G87" s="61">
        <f>IF(FT!B87&lt;&gt;"",FT!B87*100,"")</f>
        <v>48.820399999999999</v>
      </c>
      <c r="H87" s="61">
        <f t="shared" si="9"/>
        <v>1</v>
      </c>
      <c r="I87" t="str">
        <f>IF(FT!B87&lt;&gt;"",FT!E87,"")</f>
        <v>2 [34.576526]</v>
      </c>
      <c r="J87">
        <f>IF(FT!B87&lt;&gt;"",FT!C87,"")</f>
        <v>34.576500000000003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50355</v>
      </c>
      <c r="D88" s="61">
        <f>FH!B88*1</f>
        <v>50355</v>
      </c>
      <c r="E88">
        <f t="shared" si="11"/>
        <v>86</v>
      </c>
      <c r="F88" s="61">
        <f>IF(FT!A88&lt;&gt;"",FT!A88*10,"")</f>
        <v>2.2911699999999997</v>
      </c>
      <c r="G88" s="61">
        <f>IF(FT!B88&lt;&gt;"",FT!B88*100,"")</f>
        <v>48.943399999999997</v>
      </c>
      <c r="H88" s="61">
        <f t="shared" si="9"/>
        <v>1</v>
      </c>
      <c r="I88" t="str">
        <f>IF(FT!B88&lt;&gt;"",FT!E88,"")</f>
        <v>2 [34.983500]</v>
      </c>
      <c r="J88">
        <f>IF(FT!B88&lt;&gt;"",FT!C88,"")</f>
        <v>34.983499999999999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2.2713299999999998</v>
      </c>
      <c r="G89" s="61">
        <f>IF(FT!B89&lt;&gt;"",FT!B89*100,"")</f>
        <v>49.167100000000005</v>
      </c>
      <c r="H89" s="61">
        <f t="shared" si="9"/>
        <v>1</v>
      </c>
      <c r="I89" t="str">
        <f>IF(FT!B89&lt;&gt;"",FT!E89,"")</f>
        <v>2 [35.387353]</v>
      </c>
      <c r="J89">
        <f>IF(FT!B89&lt;&gt;"",FT!C89,"")</f>
        <v>35.3874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50504</v>
      </c>
      <c r="D90" s="61">
        <f>FH!B90*1</f>
        <v>50504</v>
      </c>
      <c r="E90">
        <f t="shared" si="11"/>
        <v>88</v>
      </c>
      <c r="F90" s="61">
        <f>IF(FT!A90&lt;&gt;"",FT!A90*10,"")</f>
        <v>2.2497400000000001</v>
      </c>
      <c r="G90" s="61">
        <f>IF(FT!B90&lt;&gt;"",FT!B90*100,"")</f>
        <v>49.462200000000003</v>
      </c>
      <c r="H90" s="61">
        <f t="shared" si="9"/>
        <v>1</v>
      </c>
      <c r="I90" t="str">
        <f>IF(FT!B90&lt;&gt;"",FT!E90,"")</f>
        <v>2 [35.791169]</v>
      </c>
      <c r="J90">
        <f>IF(FT!B90&lt;&gt;"",FT!C90,"")</f>
        <v>35.791200000000003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2.2292200000000002</v>
      </c>
      <c r="G91" s="61">
        <f>IF(FT!B91&lt;&gt;"",FT!B91*100,"")</f>
        <v>49.722000000000001</v>
      </c>
      <c r="H91" s="61">
        <f t="shared" si="9"/>
        <v>1</v>
      </c>
      <c r="I91" t="str">
        <f>IF(FT!B91&lt;&gt;"",FT!E91,"")</f>
        <v>2 [36.203623]</v>
      </c>
      <c r="J91">
        <f>IF(FT!B91&lt;&gt;"",FT!C91,"")</f>
        <v>36.203600000000002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2.2101600000000001</v>
      </c>
      <c r="G92" s="61">
        <f>IF(FT!B92&lt;&gt;"",FT!B92*100,"")</f>
        <v>49.957499999999996</v>
      </c>
      <c r="H92" s="61">
        <f t="shared" si="9"/>
        <v>1</v>
      </c>
      <c r="I92" t="str">
        <f>IF(FT!B92&lt;&gt;"",FT!E92,"")</f>
        <v>2 [36.608400]</v>
      </c>
      <c r="J92">
        <f>IF(FT!B92&lt;&gt;"",FT!C92,"")</f>
        <v>36.608400000000003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43496</v>
      </c>
      <c r="D93" s="61">
        <f>FH!B93*1</f>
        <v>43496</v>
      </c>
      <c r="E93">
        <f t="shared" si="11"/>
        <v>91</v>
      </c>
      <c r="F93" s="61">
        <f>IF(FT!A93&lt;&gt;"",FT!A93*10,"")</f>
        <v>2.19184</v>
      </c>
      <c r="G93" s="61">
        <f>IF(FT!B93&lt;&gt;"",FT!B93*100,"")</f>
        <v>50.166900000000005</v>
      </c>
      <c r="H93" s="61">
        <f t="shared" si="9"/>
        <v>1</v>
      </c>
      <c r="I93" t="str">
        <f>IF(FT!B93&lt;&gt;"",FT!E93,"")</f>
        <v>2 [37.014022]</v>
      </c>
      <c r="J93">
        <f>IF(FT!B93&lt;&gt;"",FT!C93,"")</f>
        <v>37.014000000000003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2.1748099999999999</v>
      </c>
      <c r="G94" s="61">
        <f>IF(FT!B94&lt;&gt;"",FT!B94*100,"")</f>
        <v>50.313900000000004</v>
      </c>
      <c r="H94" s="61">
        <f t="shared" si="9"/>
        <v>1</v>
      </c>
      <c r="I94" t="str">
        <f>IF(FT!B94&lt;&gt;"",FT!E94,"")</f>
        <v>2 [37.417849]</v>
      </c>
      <c r="J94">
        <f>IF(FT!B94&lt;&gt;"",FT!C94,"")</f>
        <v>37.4178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38158</v>
      </c>
      <c r="D95" s="61">
        <f>FH!B95*1</f>
        <v>38158</v>
      </c>
      <c r="E95">
        <f t="shared" si="11"/>
        <v>93</v>
      </c>
      <c r="F95" s="61">
        <f>IF(FT!A95&lt;&gt;"",FT!A95*10,"")</f>
        <v>2.1586600000000002</v>
      </c>
      <c r="G95" s="61">
        <f>IF(FT!B95&lt;&gt;"",FT!B95*100,"")</f>
        <v>50.409300000000002</v>
      </c>
      <c r="H95" s="61">
        <f t="shared" si="9"/>
        <v>1</v>
      </c>
      <c r="I95" t="str">
        <f>IF(FT!B95&lt;&gt;"",FT!E95,"")</f>
        <v>2 [37.824797]</v>
      </c>
      <c r="J95">
        <f>IF(FT!B95&lt;&gt;"",FT!C95,"")</f>
        <v>37.824800000000003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2.1427899999999998</v>
      </c>
      <c r="G96" s="61">
        <f>IF(FT!B96&lt;&gt;"",FT!B96*100,"")</f>
        <v>50.514700000000005</v>
      </c>
      <c r="H96" s="61">
        <f t="shared" si="9"/>
        <v>1</v>
      </c>
      <c r="I96" t="str">
        <f>IF(FT!B96&lt;&gt;"",FT!E96,"")</f>
        <v>2 [38.233759]</v>
      </c>
      <c r="J96">
        <f>IF(FT!B96&lt;&gt;"",FT!C96,"")</f>
        <v>38.233800000000002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2.1276800000000002</v>
      </c>
      <c r="G97" s="61">
        <f>IF(FT!B97&lt;&gt;"",FT!B97*100,"")</f>
        <v>50.598399999999998</v>
      </c>
      <c r="H97" s="61">
        <f t="shared" si="9"/>
        <v>1</v>
      </c>
      <c r="I97" t="str">
        <f>IF(FT!B97&lt;&gt;"",FT!E97,"")</f>
        <v>2 [38.640641]</v>
      </c>
      <c r="J97">
        <f>IF(FT!B97&lt;&gt;"",FT!C97,"")</f>
        <v>38.640599999999999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35137</v>
      </c>
      <c r="D98" s="61">
        <f>FH!B98*1</f>
        <v>35137</v>
      </c>
      <c r="E98">
        <f t="shared" si="11"/>
        <v>96</v>
      </c>
      <c r="F98" s="61">
        <f>IF(FT!A98&lt;&gt;"",FT!A98*10,"")</f>
        <v>2.1124700000000001</v>
      </c>
      <c r="G98" s="61">
        <f>IF(FT!B98&lt;&gt;"",FT!B98*100,"")</f>
        <v>50.657600000000002</v>
      </c>
      <c r="H98" s="61">
        <f t="shared" si="9"/>
        <v>1</v>
      </c>
      <c r="I98" t="str">
        <f>IF(FT!B98&lt;&gt;"",FT!E98,"")</f>
        <v>2 [39.043618]</v>
      </c>
      <c r="J98">
        <f>IF(FT!B98&lt;&gt;"",FT!C98,"")</f>
        <v>39.043599999999998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2.0970499999999999</v>
      </c>
      <c r="G99" s="61">
        <f>IF(FT!B99&lt;&gt;"",FT!B99*100,"")</f>
        <v>50.723600000000005</v>
      </c>
      <c r="H99" s="61">
        <f t="shared" si="9"/>
        <v>1</v>
      </c>
      <c r="I99" t="str">
        <f>IF(FT!B99&lt;&gt;"",FT!E99,"")</f>
        <v>2 [39.450389]</v>
      </c>
      <c r="J99">
        <f>IF(FT!B99&lt;&gt;"",FT!C99,"")</f>
        <v>39.450400000000002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28529</v>
      </c>
      <c r="D100" s="61">
        <f>FH!B100*1</f>
        <v>28529</v>
      </c>
      <c r="E100">
        <f t="shared" si="11"/>
        <v>98</v>
      </c>
      <c r="F100" s="61">
        <f>IF(FT!A100&lt;&gt;"",FT!A100*10,"")</f>
        <v>2.0851100000000002</v>
      </c>
      <c r="G100" s="61">
        <f>IF(FT!B100&lt;&gt;"",FT!B100*100,"")</f>
        <v>50.696600000000004</v>
      </c>
      <c r="H100" s="61">
        <f t="shared" si="9"/>
        <v>1</v>
      </c>
      <c r="I100" t="str">
        <f>IF(FT!B100&lt;&gt;"",FT!E100,"")</f>
        <v>2 [39.856372]</v>
      </c>
      <c r="J100">
        <f>IF(FT!B100&lt;&gt;"",FT!C100,"")</f>
        <v>39.856400000000001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2.0710500000000001</v>
      </c>
      <c r="G101" s="61">
        <f>IF(FT!B101&lt;&gt;"",FT!B101*100,"")</f>
        <v>50.746000000000002</v>
      </c>
      <c r="H101" s="61">
        <f t="shared" si="9"/>
        <v>1</v>
      </c>
      <c r="I101" t="str">
        <f>IF(FT!B101&lt;&gt;"",FT!E101,"")</f>
        <v>2 [40.262325]</v>
      </c>
      <c r="J101">
        <f>IF(FT!B101&lt;&gt;"",FT!C101,"")</f>
        <v>40.262300000000003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2.0583900000000002</v>
      </c>
      <c r="G102" s="61">
        <f>IF(FT!B102&lt;&gt;"",FT!B102*100,"")</f>
        <v>50.768599999999999</v>
      </c>
      <c r="H102" s="61">
        <f t="shared" si="9"/>
        <v>1</v>
      </c>
      <c r="I102" t="str">
        <f>IF(FT!B102&lt;&gt;"",FT!E102,"")</f>
        <v>2 [40.674177]</v>
      </c>
      <c r="J102">
        <f>IF(FT!B102&lt;&gt;"",FT!C102,"")</f>
        <v>40.674199999999999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25606</v>
      </c>
      <c r="D103" s="61">
        <f>FH!B103*1</f>
        <v>25606</v>
      </c>
      <c r="E103">
        <f t="shared" si="11"/>
        <v>101</v>
      </c>
      <c r="F103" s="61">
        <f>IF(FT!A103&lt;&gt;"",FT!A103*10,"")</f>
        <v>2.0457000000000001</v>
      </c>
      <c r="G103" s="61">
        <f>IF(FT!B103&lt;&gt;"",FT!B103*100,"")</f>
        <v>50.802899999999994</v>
      </c>
      <c r="H103" s="61">
        <f t="shared" si="9"/>
        <v>1</v>
      </c>
      <c r="I103" t="str">
        <f>IF(FT!B103&lt;&gt;"",FT!E103,"")</f>
        <v>2 [41.080124]</v>
      </c>
      <c r="J103">
        <f>IF(FT!B103&lt;&gt;"",FT!C103,"")</f>
        <v>41.080100000000002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2.03294</v>
      </c>
      <c r="G104" s="61">
        <f>IF(FT!B104&lt;&gt;"",FT!B104*100,"")</f>
        <v>50.8733</v>
      </c>
      <c r="H104" s="61">
        <f t="shared" si="9"/>
        <v>1</v>
      </c>
      <c r="I104" t="str">
        <f>IF(FT!B104&lt;&gt;"",FT!E104,"")</f>
        <v>2 [41.483036]</v>
      </c>
      <c r="J104">
        <f>IF(FT!B104&lt;&gt;"",FT!C104,"")</f>
        <v>41.482999999999997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2.0229400000000002</v>
      </c>
      <c r="G105" s="61">
        <f>IF(FT!B105&lt;&gt;"",FT!B105*100,"")</f>
        <v>51.164299999999997</v>
      </c>
      <c r="H105" s="61">
        <f t="shared" si="9"/>
        <v>1</v>
      </c>
      <c r="I105" t="str">
        <f>IF(FT!B105&lt;&gt;"",FT!E105,"")</f>
        <v>2 [41.889062]</v>
      </c>
      <c r="J105">
        <f>IF(FT!B105&lt;&gt;"",FT!C105,"")</f>
        <v>41.889099999999999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19837</v>
      </c>
      <c r="D106" s="61">
        <f>FH!B106*1</f>
        <v>19837</v>
      </c>
      <c r="E106">
        <f t="shared" si="11"/>
        <v>104</v>
      </c>
      <c r="F106" s="61">
        <f>IF(FT!A106&lt;&gt;"",FT!A106*10,"")</f>
        <v>2.01092</v>
      </c>
      <c r="G106" s="61">
        <f>IF(FT!B106&lt;&gt;"",FT!B106*100,"")</f>
        <v>51.626399999999997</v>
      </c>
      <c r="H106" s="61">
        <f t="shared" si="9"/>
        <v>1</v>
      </c>
      <c r="I106" t="str">
        <f>IF(FT!B106&lt;&gt;"",FT!E106,"")</f>
        <v>2 [42.294840]</v>
      </c>
      <c r="J106">
        <f>IF(FT!B106&lt;&gt;"",FT!C106,"")</f>
        <v>42.294800000000002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1.9971000000000001</v>
      </c>
      <c r="G107" s="61">
        <f>IF(FT!B107&lt;&gt;"",FT!B107*100,"")</f>
        <v>52.152000000000001</v>
      </c>
      <c r="H107" s="61">
        <f t="shared" si="9"/>
        <v>1</v>
      </c>
      <c r="I107" t="str">
        <f>IF(FT!B107&lt;&gt;"",FT!E107,"")</f>
        <v>2 [42.702807]</v>
      </c>
      <c r="J107">
        <f>IF(FT!B107&lt;&gt;"",FT!C107,"")</f>
        <v>42.702800000000003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17063</v>
      </c>
      <c r="D108" s="61">
        <f>FH!B108*1</f>
        <v>17063</v>
      </c>
      <c r="E108">
        <f t="shared" si="11"/>
        <v>106</v>
      </c>
      <c r="F108" s="61">
        <f>IF(FT!A108&lt;&gt;"",FT!A108*10,"")</f>
        <v>1.9834299999999998</v>
      </c>
      <c r="G108" s="61">
        <f>IF(FT!B108&lt;&gt;"",FT!B108*100,"")</f>
        <v>52.652799999999999</v>
      </c>
      <c r="H108" s="61">
        <f t="shared" si="9"/>
        <v>1</v>
      </c>
      <c r="I108" t="str">
        <f>IF(FT!B108&lt;&gt;"",FT!E108,"")</f>
        <v>2 [43.109574]</v>
      </c>
      <c r="J108">
        <f>IF(FT!B108&lt;&gt;"",FT!C108,"")</f>
        <v>43.1096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1.9698599999999999</v>
      </c>
      <c r="G109" s="61">
        <f>IF(FT!B109&lt;&gt;"",FT!B109*100,"")</f>
        <v>53.101500000000001</v>
      </c>
      <c r="H109" s="61">
        <f t="shared" si="9"/>
        <v>1</v>
      </c>
      <c r="I109" t="str">
        <f>IF(FT!B109&lt;&gt;"",FT!E109,"")</f>
        <v>2 [43.514527]</v>
      </c>
      <c r="J109">
        <f>IF(FT!B109&lt;&gt;"",FT!C109,"")</f>
        <v>43.514499999999998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1.9554499999999999</v>
      </c>
      <c r="G110" s="61">
        <f>IF(FT!B110&lt;&gt;"",FT!B110*100,"")</f>
        <v>53.518900000000002</v>
      </c>
      <c r="H110" s="61">
        <f t="shared" si="9"/>
        <v>1</v>
      </c>
      <c r="I110" t="str">
        <f>IF(FT!B110&lt;&gt;"",FT!E110,"")</f>
        <v>2 [43.918692]</v>
      </c>
      <c r="J110">
        <f>IF(FT!B110&lt;&gt;"",FT!C110,"")</f>
        <v>43.918700000000001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17485</v>
      </c>
      <c r="D111" s="61">
        <f>FH!B111*1</f>
        <v>17485</v>
      </c>
      <c r="E111">
        <f t="shared" si="11"/>
        <v>109</v>
      </c>
      <c r="F111" s="61">
        <f>IF(FT!A111&lt;&gt;"",FT!A111*10,"")</f>
        <v>1.94021</v>
      </c>
      <c r="G111" s="61">
        <f>IF(FT!B111&lt;&gt;"",FT!B111*100,"")</f>
        <v>53.935900000000004</v>
      </c>
      <c r="H111" s="61">
        <f t="shared" si="9"/>
        <v>1</v>
      </c>
      <c r="I111" t="str">
        <f>IF(FT!B111&lt;&gt;"",FT!E111,"")</f>
        <v>2 [44.328351]</v>
      </c>
      <c r="J111">
        <f>IF(FT!B111&lt;&gt;"",FT!C111,"")</f>
        <v>44.328400000000002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1.9254899999999999</v>
      </c>
      <c r="G112" s="61">
        <f>IF(FT!B112&lt;&gt;"",FT!B112*100,"")</f>
        <v>54.3003</v>
      </c>
      <c r="H112" s="61">
        <f t="shared" si="9"/>
        <v>1</v>
      </c>
      <c r="I112" t="str">
        <f>IF(FT!B112&lt;&gt;"",FT!E112,"")</f>
        <v>2 [44.734303]</v>
      </c>
      <c r="J112">
        <f>IF(FT!B112&lt;&gt;"",FT!C112,"")</f>
        <v>44.734299999999998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14891</v>
      </c>
      <c r="D113" s="61">
        <f>FH!B113*1</f>
        <v>14891</v>
      </c>
      <c r="E113">
        <f t="shared" si="11"/>
        <v>111</v>
      </c>
      <c r="F113" s="61">
        <f>IF(FT!A113&lt;&gt;"",FT!A113*10,"")</f>
        <v>1.90889</v>
      </c>
      <c r="G113" s="61">
        <f>IF(FT!B113&lt;&gt;"",FT!B113*100,"")</f>
        <v>54.675300000000007</v>
      </c>
      <c r="H113" s="61">
        <f t="shared" si="9"/>
        <v>1</v>
      </c>
      <c r="I113" t="str">
        <f>IF(FT!B113&lt;&gt;"",FT!E113,"")</f>
        <v>2 [45.139252]</v>
      </c>
      <c r="J113">
        <f>IF(FT!B113&lt;&gt;"",FT!C113,"")</f>
        <v>45.139299999999999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1.8926699999999999</v>
      </c>
      <c r="G114" s="61">
        <f>IF(FT!B114&lt;&gt;"",FT!B114*100,"")</f>
        <v>55.000400000000006</v>
      </c>
      <c r="H114" s="61">
        <f t="shared" si="9"/>
        <v>1</v>
      </c>
      <c r="I114" t="str">
        <f>IF(FT!B114&lt;&gt;"",FT!E114,"")</f>
        <v>2 [45.548129]</v>
      </c>
      <c r="J114">
        <f>IF(FT!B114&lt;&gt;"",FT!C114,"")</f>
        <v>45.548099999999998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1.8771499999999999</v>
      </c>
      <c r="G115" s="61">
        <f>IF(FT!B115&lt;&gt;"",FT!B115*100,"")</f>
        <v>55.290300000000002</v>
      </c>
      <c r="H115" s="61">
        <f t="shared" si="9"/>
        <v>1</v>
      </c>
      <c r="I115" t="str">
        <f>IF(FT!B115&lt;&gt;"",FT!E115,"")</f>
        <v>2 [45.950011]</v>
      </c>
      <c r="J115">
        <f>IF(FT!B115&lt;&gt;"",FT!C115,"")</f>
        <v>45.95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12537</v>
      </c>
      <c r="D116" s="61">
        <f>FH!B116*1</f>
        <v>12537</v>
      </c>
      <c r="E116">
        <f t="shared" si="11"/>
        <v>114</v>
      </c>
      <c r="F116" s="61">
        <f>IF(FT!A116&lt;&gt;"",FT!A116*10,"")</f>
        <v>1.8639000000000001</v>
      </c>
      <c r="G116" s="61">
        <f>IF(FT!B116&lt;&gt;"",FT!B116*100,"")</f>
        <v>55.559199999999997</v>
      </c>
      <c r="H116" s="61">
        <f t="shared" si="9"/>
        <v>1</v>
      </c>
      <c r="I116" t="str">
        <f>IF(FT!B116&lt;&gt;"",FT!E116,"")</f>
        <v>2 [46.359064]</v>
      </c>
      <c r="J116">
        <f>IF(FT!B116&lt;&gt;"",FT!C116,"")</f>
        <v>46.359099999999998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1.8523100000000001</v>
      </c>
      <c r="G117" s="61">
        <f>IF(FT!B117&lt;&gt;"",FT!B117*100,"")</f>
        <v>55.790199999999999</v>
      </c>
      <c r="H117" s="61">
        <f t="shared" si="9"/>
        <v>1</v>
      </c>
      <c r="I117" t="str">
        <f>IF(FT!B117&lt;&gt;"",FT!E117,"")</f>
        <v>2 [46.765912]</v>
      </c>
      <c r="J117">
        <f>IF(FT!B117&lt;&gt;"",FT!C117,"")</f>
        <v>46.765900000000002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11424</v>
      </c>
      <c r="D118" s="61">
        <f>FH!B118*1</f>
        <v>11424</v>
      </c>
      <c r="E118">
        <f t="shared" si="11"/>
        <v>116</v>
      </c>
      <c r="F118" s="61">
        <f>IF(FT!A118&lt;&gt;"",FT!A118*10,"")</f>
        <v>1.8412200000000001</v>
      </c>
      <c r="G118" s="61">
        <f>IF(FT!B118&lt;&gt;"",FT!B118*100,"")</f>
        <v>56.064999999999998</v>
      </c>
      <c r="H118" s="61">
        <f t="shared" si="9"/>
        <v>1</v>
      </c>
      <c r="I118" t="str">
        <f>IF(FT!B118&lt;&gt;"",FT!E118,"")</f>
        <v>2 [47.172740]</v>
      </c>
      <c r="J118">
        <f>IF(FT!B118&lt;&gt;"",FT!C118,"")</f>
        <v>47.172699999999999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1.83101</v>
      </c>
      <c r="G119" s="61">
        <f>IF(FT!B119&lt;&gt;"",FT!B119*100,"")</f>
        <v>56.323599999999999</v>
      </c>
      <c r="H119" s="61">
        <f t="shared" si="9"/>
        <v>1</v>
      </c>
      <c r="I119" t="str">
        <f>IF(FT!B119&lt;&gt;"",FT!E119,"")</f>
        <v>2 [47.576664]</v>
      </c>
      <c r="J119">
        <f>IF(FT!B119&lt;&gt;"",FT!C119,"")</f>
        <v>47.576700000000002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1.8215300000000001</v>
      </c>
      <c r="G120" s="61">
        <f>IF(FT!B120&lt;&gt;"",FT!B120*100,"")</f>
        <v>56.5242</v>
      </c>
      <c r="H120" s="61">
        <f t="shared" si="9"/>
        <v>1</v>
      </c>
      <c r="I120" t="str">
        <f>IF(FT!B120&lt;&gt;"",FT!E120,"")</f>
        <v>2 [47.984552]</v>
      </c>
      <c r="J120">
        <f>IF(FT!B120&lt;&gt;"",FT!C120,"")</f>
        <v>47.9846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6513</v>
      </c>
      <c r="D121" s="61">
        <f>FH!B121*1</f>
        <v>6513</v>
      </c>
      <c r="E121">
        <f t="shared" si="11"/>
        <v>119</v>
      </c>
      <c r="F121" s="61">
        <f>IF(FT!A121&lt;&gt;"",FT!A121*10,"")</f>
        <v>1.8109</v>
      </c>
      <c r="G121" s="61">
        <f>IF(FT!B121&lt;&gt;"",FT!B121*100,"")</f>
        <v>56.745100000000001</v>
      </c>
      <c r="H121" s="61">
        <f t="shared" si="9"/>
        <v>1</v>
      </c>
      <c r="I121" t="str">
        <f>IF(FT!B121&lt;&gt;"",FT!E121,"")</f>
        <v>2 [48.388739]</v>
      </c>
      <c r="J121">
        <f>IF(FT!B121&lt;&gt;"",FT!C121,"")</f>
        <v>48.3887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1.8012000000000001</v>
      </c>
      <c r="G122" s="61">
        <f>IF(FT!B122&lt;&gt;"",FT!B122*100,"")</f>
        <v>56.923599999999993</v>
      </c>
      <c r="H122" s="61">
        <f t="shared" si="9"/>
        <v>1</v>
      </c>
      <c r="I122" t="str">
        <f>IF(FT!B122&lt;&gt;"",FT!E122,"")</f>
        <v>2 [48.796496]</v>
      </c>
      <c r="J122">
        <f>IF(FT!B122&lt;&gt;"",FT!C122,"")</f>
        <v>48.796500000000002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1.79253</v>
      </c>
      <c r="G123" s="61">
        <f>IF(FT!B123&lt;&gt;"",FT!B123*100,"")</f>
        <v>57.094999999999999</v>
      </c>
      <c r="H123" s="61">
        <f t="shared" si="9"/>
        <v>1</v>
      </c>
      <c r="I123" t="str">
        <f>IF(FT!B123&lt;&gt;"",FT!E123,"")</f>
        <v>2 [49.209293]</v>
      </c>
      <c r="J123">
        <f>IF(FT!B123&lt;&gt;"",FT!C123,"")</f>
        <v>49.209299999999999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4690</v>
      </c>
      <c r="D124" s="61">
        <f>FH!B124*1</f>
        <v>4690</v>
      </c>
      <c r="E124">
        <f t="shared" si="11"/>
        <v>122</v>
      </c>
      <c r="F124" s="61">
        <f>IF(FT!A124&lt;&gt;"",FT!A124*10,"")</f>
        <v>1.78426</v>
      </c>
      <c r="G124" s="61">
        <f>IF(FT!B124&lt;&gt;"",FT!B124*100,"")</f>
        <v>57.290199999999999</v>
      </c>
      <c r="H124" s="61">
        <f t="shared" si="9"/>
        <v>1</v>
      </c>
      <c r="I124" t="str">
        <f>IF(FT!B124&lt;&gt;"",FT!E124,"")</f>
        <v>2 [49.608332]</v>
      </c>
      <c r="J124">
        <f>IF(FT!B124&lt;&gt;"",FT!C124,"")</f>
        <v>49.6083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1.7744399999999998</v>
      </c>
      <c r="G125" s="61">
        <f>IF(FT!B125&lt;&gt;"",FT!B125*100,"")</f>
        <v>57.596400000000003</v>
      </c>
      <c r="H125" s="61">
        <f t="shared" si="9"/>
        <v>1</v>
      </c>
      <c r="I125" t="str">
        <f>IF(FT!B125&lt;&gt;"",FT!E125,"")</f>
        <v>2 [50.012150]</v>
      </c>
      <c r="J125">
        <f>IF(FT!B125&lt;&gt;"",FT!C125,"")</f>
        <v>50.0122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3767</v>
      </c>
      <c r="D126" s="61">
        <f>FH!B126*1</f>
        <v>3767</v>
      </c>
      <c r="E126">
        <f t="shared" si="11"/>
        <v>124</v>
      </c>
      <c r="F126" s="61">
        <f>IF(FT!A126&lt;&gt;"",FT!A126*10,"")</f>
        <v>1.7657400000000001</v>
      </c>
      <c r="G126" s="61">
        <f>IF(FT!B126&lt;&gt;"",FT!B126*100,"")</f>
        <v>57.847899999999996</v>
      </c>
      <c r="H126" s="61">
        <f t="shared" si="9"/>
        <v>1</v>
      </c>
      <c r="I126" t="str">
        <f>IF(FT!B126&lt;&gt;"",FT!E126,"")</f>
        <v>2 [50.421640]</v>
      </c>
      <c r="J126">
        <f>IF(FT!B126&lt;&gt;"",FT!C126,"")</f>
        <v>50.421599999999998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1.75654</v>
      </c>
      <c r="G127" s="61">
        <f>IF(FT!B127&lt;&gt;"",FT!B127*100,"")</f>
        <v>58.094199999999994</v>
      </c>
      <c r="H127" s="61">
        <f t="shared" si="9"/>
        <v>1</v>
      </c>
      <c r="I127" t="str">
        <f>IF(FT!B127&lt;&gt;"",FT!E127,"")</f>
        <v>2 [50.824972]</v>
      </c>
      <c r="J127">
        <f>IF(FT!B127&lt;&gt;"",FT!C127,"")</f>
        <v>50.825000000000003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1.7495499999999999</v>
      </c>
      <c r="G128" s="61">
        <f>IF(FT!B128&lt;&gt;"",FT!B128*100,"")</f>
        <v>58.277999999999999</v>
      </c>
      <c r="H128" s="61">
        <f t="shared" si="9"/>
        <v>1</v>
      </c>
      <c r="I128" t="str">
        <f>IF(FT!B128&lt;&gt;"",FT!E128,"")</f>
        <v>2 [51.233963]</v>
      </c>
      <c r="J128">
        <f>IF(FT!B128&lt;&gt;"",FT!C128,"")</f>
        <v>51.234000000000002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3908</v>
      </c>
      <c r="D129" s="61">
        <f>FH!B129*1</f>
        <v>3908</v>
      </c>
      <c r="E129">
        <f t="shared" si="11"/>
        <v>127</v>
      </c>
      <c r="F129" s="61">
        <f>IF(FT!A129&lt;&gt;"",FT!A129*10,"")</f>
        <v>1.7420800000000001</v>
      </c>
      <c r="G129" s="61">
        <f>IF(FT!B129&lt;&gt;"",FT!B129*100,"")</f>
        <v>58.478399999999993</v>
      </c>
      <c r="H129" s="61">
        <f t="shared" si="9"/>
        <v>1</v>
      </c>
      <c r="I129" t="str">
        <f>IF(FT!B129&lt;&gt;"",FT!E129,"")</f>
        <v>2 [51.640854]</v>
      </c>
      <c r="J129">
        <f>IF(FT!B129&lt;&gt;"",FT!C129,"")</f>
        <v>51.640900000000002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1.7352100000000001</v>
      </c>
      <c r="G130" s="61">
        <f>IF(FT!B130&lt;&gt;"",FT!B130*100,"")</f>
        <v>58.663699999999999</v>
      </c>
      <c r="H130" s="61">
        <f t="shared" si="9"/>
        <v>1</v>
      </c>
      <c r="I130" t="str">
        <f>IF(FT!B130&lt;&gt;"",FT!E130,"")</f>
        <v>2 [52.042732]</v>
      </c>
      <c r="J130">
        <f>IF(FT!B130&lt;&gt;"",FT!C130,"")</f>
        <v>52.042700000000004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2624</v>
      </c>
      <c r="D131" s="61">
        <f>FH!B131*1</f>
        <v>2624</v>
      </c>
      <c r="E131">
        <f t="shared" si="11"/>
        <v>129</v>
      </c>
      <c r="F131" s="61">
        <f>IF(FT!A131&lt;&gt;"",FT!A131*10,"")</f>
        <v>1.7322199999999999</v>
      </c>
      <c r="G131" s="61">
        <f>IF(FT!B131&lt;&gt;"",FT!B131*100,"")</f>
        <v>58.716799999999999</v>
      </c>
      <c r="H131" s="61">
        <f t="shared" ref="H131:H194" si="13">(IF(F131&lt;&gt;"",1,""))</f>
        <v>1</v>
      </c>
      <c r="I131" t="str">
        <f>IF(FT!B131&lt;&gt;"",FT!E131,"")</f>
        <v>2 [52.450658]</v>
      </c>
      <c r="J131">
        <f>IF(FT!B131&lt;&gt;"",FT!C131,"")</f>
        <v>52.450699999999998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1.7327999999999999</v>
      </c>
      <c r="G132" s="61">
        <f>IF(FT!B132&lt;&gt;"",FT!B132*100,"")</f>
        <v>58.661700000000003</v>
      </c>
      <c r="H132" s="61">
        <f t="shared" si="13"/>
        <v>1</v>
      </c>
      <c r="I132" t="str">
        <f>IF(FT!B132&lt;&gt;"",FT!E132,"")</f>
        <v>2 [52.857569]</v>
      </c>
      <c r="J132">
        <f>IF(FT!B132&lt;&gt;"",FT!C132,"")</f>
        <v>52.857599999999998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1.7333299999999998</v>
      </c>
      <c r="G133" s="61">
        <f>IF(FT!B133&lt;&gt;"",FT!B133*100,"")</f>
        <v>58.619200000000006</v>
      </c>
      <c r="H133" s="61">
        <f t="shared" si="13"/>
        <v>1</v>
      </c>
      <c r="I133" t="str">
        <f>IF(FT!B133&lt;&gt;"",FT!E133,"")</f>
        <v>2 [53.263573]</v>
      </c>
      <c r="J133">
        <f>IF(FT!B133&lt;&gt;"",FT!C133,"")</f>
        <v>53.263599999999997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2170</v>
      </c>
      <c r="D134" s="61">
        <f>FH!B134*1</f>
        <v>2170</v>
      </c>
      <c r="E134">
        <f t="shared" si="15"/>
        <v>132</v>
      </c>
      <c r="F134" s="61">
        <f>IF(FT!A134&lt;&gt;"",FT!A134*10,"")</f>
        <v>1.73404</v>
      </c>
      <c r="G134" s="61">
        <f>IF(FT!B134&lt;&gt;"",FT!B134*100,"")</f>
        <v>58.597600000000007</v>
      </c>
      <c r="H134" s="61">
        <f t="shared" si="13"/>
        <v>1</v>
      </c>
      <c r="I134" t="str">
        <f>IF(FT!B134&lt;&gt;"",FT!E134,"")</f>
        <v>2 [53.670343]</v>
      </c>
      <c r="J134">
        <f>IF(FT!B134&lt;&gt;"",FT!C134,"")</f>
        <v>53.670299999999997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1.7359100000000001</v>
      </c>
      <c r="G135" s="61">
        <f>IF(FT!B135&lt;&gt;"",FT!B135*100,"")</f>
        <v>58.526699999999998</v>
      </c>
      <c r="H135" s="61">
        <f t="shared" si="13"/>
        <v>1</v>
      </c>
      <c r="I135" t="str">
        <f>IF(FT!B135&lt;&gt;"",FT!E135,"")</f>
        <v>2 [54.074324]</v>
      </c>
      <c r="J135">
        <f>IF(FT!B135&lt;&gt;"",FT!C135,"")</f>
        <v>54.074300000000001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2201</v>
      </c>
      <c r="D136" s="61">
        <f>FH!B136*1</f>
        <v>2201</v>
      </c>
      <c r="E136">
        <f t="shared" si="15"/>
        <v>134</v>
      </c>
      <c r="F136" s="61">
        <f>IF(FT!A136&lt;&gt;"",FT!A136*10,"")</f>
        <v>1.73807</v>
      </c>
      <c r="G136" s="61">
        <f>IF(FT!B136&lt;&gt;"",FT!B136*100,"")</f>
        <v>58.463799999999999</v>
      </c>
      <c r="H136" s="61">
        <f t="shared" si="13"/>
        <v>1</v>
      </c>
      <c r="I136" t="str">
        <f>IF(FT!B136&lt;&gt;"",FT!E136,"")</f>
        <v>2 [54.482280]</v>
      </c>
      <c r="J136">
        <f>IF(FT!B136&lt;&gt;"",FT!C136,"")</f>
        <v>54.482300000000002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1.7419899999999999</v>
      </c>
      <c r="G137" s="61">
        <f>IF(FT!B137&lt;&gt;"",FT!B137*100,"")</f>
        <v>58.362499999999997</v>
      </c>
      <c r="H137" s="61">
        <f t="shared" si="13"/>
        <v>1</v>
      </c>
      <c r="I137" t="str">
        <f>IF(FT!B137&lt;&gt;"",FT!E137,"")</f>
        <v>2 [54.892140]</v>
      </c>
      <c r="J137">
        <f>IF(FT!B137&lt;&gt;"",FT!C137,"")</f>
        <v>54.892099999999999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1.7492700000000001</v>
      </c>
      <c r="G138" s="61">
        <f>IF(FT!B138&lt;&gt;"",FT!B138*100,"")</f>
        <v>58.165599999999998</v>
      </c>
      <c r="H138" s="61">
        <f t="shared" si="13"/>
        <v>1</v>
      </c>
      <c r="I138" t="str">
        <f>IF(FT!B138&lt;&gt;"",FT!E138,"")</f>
        <v>2 [55.295113]</v>
      </c>
      <c r="J138">
        <f>IF(FT!B138&lt;&gt;"",FT!C138,"")</f>
        <v>55.295099999999998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1941</v>
      </c>
      <c r="D139" s="61">
        <f>FH!B139*1</f>
        <v>1941</v>
      </c>
      <c r="E139">
        <f t="shared" si="15"/>
        <v>137</v>
      </c>
      <c r="F139" s="61">
        <f>IF(FT!A139&lt;&gt;"",FT!A139*10,"")</f>
        <v>1.75728</v>
      </c>
      <c r="G139" s="61">
        <f>IF(FT!B139&lt;&gt;"",FT!B139*100,"")</f>
        <v>57.970299999999995</v>
      </c>
      <c r="H139" s="61">
        <f t="shared" si="13"/>
        <v>1</v>
      </c>
      <c r="I139" t="str">
        <f>IF(FT!B139&lt;&gt;"",FT!E139,"")</f>
        <v>2 [55.702396]</v>
      </c>
      <c r="J139">
        <f>IF(FT!B139&lt;&gt;"",FT!C139,"")</f>
        <v>55.702399999999997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1.7682200000000001</v>
      </c>
      <c r="G140" s="61">
        <f>IF(FT!B140&lt;&gt;"",FT!B140*100,"")</f>
        <v>57.693099999999994</v>
      </c>
      <c r="H140" s="61">
        <f t="shared" si="13"/>
        <v>1</v>
      </c>
      <c r="I140" t="str">
        <f>IF(FT!B140&lt;&gt;"",FT!E140,"")</f>
        <v>2 [56.110871]</v>
      </c>
      <c r="J140">
        <f>IF(FT!B140&lt;&gt;"",FT!C140,"")</f>
        <v>56.110900000000001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1.7753299999999999</v>
      </c>
      <c r="G141" s="61">
        <f>IF(FT!B141&lt;&gt;"",FT!B141*100,"")</f>
        <v>57.462599999999995</v>
      </c>
      <c r="H141" s="61">
        <f t="shared" si="13"/>
        <v>1</v>
      </c>
      <c r="I141" t="str">
        <f>IF(FT!B141&lt;&gt;"",FT!E141,"")</f>
        <v>2 [56.516786]</v>
      </c>
      <c r="J141">
        <f>IF(FT!B141&lt;&gt;"",FT!C141,"")</f>
        <v>56.516800000000003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1029</v>
      </c>
      <c r="D142" s="61">
        <f>FH!B142*1</f>
        <v>1029</v>
      </c>
      <c r="E142">
        <f t="shared" si="15"/>
        <v>140</v>
      </c>
      <c r="F142" s="61">
        <f>IF(FT!A142&lt;&gt;"",FT!A142*10,"")</f>
        <v>1.7827899999999999</v>
      </c>
      <c r="G142" s="61">
        <f>IF(FT!B142&lt;&gt;"",FT!B142*100,"")</f>
        <v>57.195599999999999</v>
      </c>
      <c r="H142" s="61">
        <f t="shared" si="13"/>
        <v>1</v>
      </c>
      <c r="I142" t="str">
        <f>IF(FT!B142&lt;&gt;"",FT!E142,"")</f>
        <v>2 [56.919748]</v>
      </c>
      <c r="J142">
        <f>IF(FT!B142&lt;&gt;"",FT!C142,"")</f>
        <v>56.919699999999999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1.7858299999999998</v>
      </c>
      <c r="G143" s="61">
        <f>IF(FT!B143&lt;&gt;"",FT!B143*100,"")</f>
        <v>56.9377</v>
      </c>
      <c r="H143" s="61">
        <f t="shared" si="13"/>
        <v>1</v>
      </c>
      <c r="I143" t="str">
        <f>IF(FT!B143&lt;&gt;"",FT!E143,"")</f>
        <v>2 [57.325638]</v>
      </c>
      <c r="J143">
        <f>IF(FT!B143&lt;&gt;"",FT!C143,"")</f>
        <v>57.325600000000001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400</v>
      </c>
      <c r="D144" s="61">
        <f>FH!B144*1</f>
        <v>400</v>
      </c>
      <c r="E144">
        <f t="shared" si="15"/>
        <v>142</v>
      </c>
      <c r="F144" s="61">
        <f>IF(FT!A144&lt;&gt;"",FT!A144*10,"")</f>
        <v>1.7894699999999999</v>
      </c>
      <c r="G144" s="61">
        <f>IF(FT!B144&lt;&gt;"",FT!B144*100,"")</f>
        <v>56.622199999999999</v>
      </c>
      <c r="H144" s="61">
        <f t="shared" si="13"/>
        <v>1</v>
      </c>
      <c r="I144" t="str">
        <f>IF(FT!B144&lt;&gt;"",FT!E144,"")</f>
        <v>2 [57.735876]</v>
      </c>
      <c r="J144">
        <f>IF(FT!B144&lt;&gt;"",FT!C144,"")</f>
        <v>57.735900000000001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1.7949300000000001</v>
      </c>
      <c r="G145" s="61">
        <f>IF(FT!B145&lt;&gt;"",FT!B145*100,"")</f>
        <v>56.365699999999997</v>
      </c>
      <c r="H145" s="61">
        <f t="shared" si="13"/>
        <v>1</v>
      </c>
      <c r="I145" t="str">
        <f>IF(FT!B145&lt;&gt;"",FT!E145,"")</f>
        <v>2 [58.141768]</v>
      </c>
      <c r="J145">
        <f>IF(FT!B145&lt;&gt;"",FT!C145,"")</f>
        <v>58.141800000000003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1.8065</v>
      </c>
      <c r="G146" s="61">
        <f>IF(FT!B146&lt;&gt;"",FT!B146*100,"")</f>
        <v>55.9617</v>
      </c>
      <c r="H146" s="61">
        <f t="shared" si="13"/>
        <v>1</v>
      </c>
      <c r="I146" t="str">
        <f>IF(FT!B146&lt;&gt;"",FT!E146,"")</f>
        <v>2 [58.545717]</v>
      </c>
      <c r="J146">
        <f>IF(FT!B146&lt;&gt;"",FT!C146,"")</f>
        <v>58.545699999999997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0</v>
      </c>
      <c r="D147" s="61">
        <f>FH!B147*1</f>
        <v>0</v>
      </c>
      <c r="E147">
        <f t="shared" si="15"/>
        <v>145</v>
      </c>
      <c r="F147" s="61">
        <f>IF(FT!A147&lt;&gt;"",FT!A147*10,"")</f>
        <v>1.8208500000000001</v>
      </c>
      <c r="G147" s="61">
        <f>IF(FT!B147&lt;&gt;"",FT!B147*100,"")</f>
        <v>55.467299999999994</v>
      </c>
      <c r="H147" s="61">
        <f t="shared" si="13"/>
        <v>1</v>
      </c>
      <c r="I147" t="str">
        <f>IF(FT!B147&lt;&gt;"",FT!E147,"")</f>
        <v>2 [58.952608]</v>
      </c>
      <c r="J147">
        <f>IF(FT!B147&lt;&gt;"",FT!C147,"")</f>
        <v>58.952599999999997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1.82107</v>
      </c>
      <c r="G148" s="61">
        <f>IF(FT!B148&lt;&gt;"",FT!B148*100,"")</f>
        <v>55.645400000000002</v>
      </c>
      <c r="H148" s="61">
        <f t="shared" si="13"/>
        <v>1</v>
      </c>
      <c r="I148" t="str">
        <f>IF(FT!B148&lt;&gt;"",FT!E148,"")</f>
        <v>2 [59.359190]</v>
      </c>
      <c r="J148">
        <f>IF(FT!B148&lt;&gt;"",FT!C148,"")</f>
        <v>59.359200000000001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0</v>
      </c>
      <c r="D149" s="61">
        <f>FH!B149*1</f>
        <v>0</v>
      </c>
      <c r="E149">
        <f t="shared" si="15"/>
        <v>147</v>
      </c>
      <c r="F149" s="61">
        <f>IF(FT!A149&lt;&gt;"",FT!A149*10,"")</f>
        <v>1.8251400000000002</v>
      </c>
      <c r="G149" s="61">
        <f>IF(FT!B149&lt;&gt;"",FT!B149*100,"")</f>
        <v>55.643000000000001</v>
      </c>
      <c r="H149" s="61">
        <f t="shared" si="13"/>
        <v>1</v>
      </c>
      <c r="I149" t="str">
        <f>IF(FT!B149&lt;&gt;"",FT!E149,"")</f>
        <v>2 [59.765168]</v>
      </c>
      <c r="J149">
        <f>IF(FT!B149&lt;&gt;"",FT!C149,"")</f>
        <v>59.7652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0</v>
      </c>
      <c r="D152" s="61">
        <f>FH!B152*1</f>
        <v>0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0</v>
      </c>
      <c r="D154" s="61">
        <f>FH!B154*1</f>
        <v>0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0</v>
      </c>
      <c r="D157" s="61">
        <f>FH!B157*1</f>
        <v>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0</v>
      </c>
      <c r="D160" s="61">
        <f>FH!B160*1</f>
        <v>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0</v>
      </c>
      <c r="D162" s="61">
        <f>FH!B162*1</f>
        <v>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0</v>
      </c>
      <c r="D165" s="61">
        <f>FH!B165*1</f>
        <v>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0</v>
      </c>
      <c r="D167" s="61">
        <f>FH!B167*1</f>
        <v>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29.943200000000001</v>
      </c>
      <c r="C5" s="66">
        <v>5.6504099999999999</v>
      </c>
      <c r="D5" s="66">
        <v>18.8704</v>
      </c>
      <c r="E5" s="66">
        <v>20</v>
      </c>
      <c r="F5" s="66">
        <v>11.559200000000001</v>
      </c>
      <c r="G5" s="66">
        <v>50</v>
      </c>
      <c r="H5" s="66">
        <v>37.951700000000002</v>
      </c>
    </row>
    <row r="6" spans="1:8">
      <c r="A6" s="58" t="s">
        <v>303</v>
      </c>
      <c r="B6" s="66">
        <v>39.9666</v>
      </c>
      <c r="C6" s="66">
        <v>5.4341699999999999</v>
      </c>
      <c r="D6" s="66">
        <v>13.5968</v>
      </c>
      <c r="E6" s="66">
        <v>20</v>
      </c>
      <c r="F6" s="66">
        <v>30.172699999999999</v>
      </c>
      <c r="G6" s="66">
        <v>40</v>
      </c>
      <c r="H6" s="66">
        <v>49.7318</v>
      </c>
    </row>
    <row r="7" spans="1:8">
      <c r="A7" s="58" t="s">
        <v>304</v>
      </c>
      <c r="B7" s="66">
        <v>42.369900000000001</v>
      </c>
      <c r="C7" s="66">
        <v>13.5489</v>
      </c>
      <c r="D7" s="66">
        <v>31.977699999999999</v>
      </c>
      <c r="E7" s="66">
        <v>15</v>
      </c>
      <c r="F7" s="66">
        <v>7.1391</v>
      </c>
      <c r="G7" s="66">
        <v>40</v>
      </c>
      <c r="H7" s="66">
        <v>51.239400000000003</v>
      </c>
    </row>
    <row r="8" spans="1:8">
      <c r="A8" s="58" t="s">
        <v>305</v>
      </c>
      <c r="B8" s="66">
        <v>34.732199999999999</v>
      </c>
      <c r="C8" s="66">
        <v>6.3823299999999996</v>
      </c>
      <c r="D8" s="66">
        <v>18.375800000000002</v>
      </c>
      <c r="E8" s="66">
        <v>20</v>
      </c>
      <c r="F8" s="66">
        <v>19.471</v>
      </c>
      <c r="G8" s="66">
        <v>50</v>
      </c>
      <c r="H8" s="66">
        <v>43.297400000000003</v>
      </c>
    </row>
    <row r="9" spans="1:8">
      <c r="A9" s="58" t="s">
        <v>306</v>
      </c>
      <c r="B9" s="66">
        <v>64.840800000000002</v>
      </c>
      <c r="C9" s="66">
        <v>4.2742199999999997</v>
      </c>
      <c r="D9" s="66">
        <v>6.5918700000000001</v>
      </c>
      <c r="E9" s="66">
        <v>50</v>
      </c>
      <c r="F9" s="66">
        <v>52.701500000000003</v>
      </c>
      <c r="G9" s="66">
        <v>100</v>
      </c>
      <c r="H9" s="66">
        <v>76.693200000000004</v>
      </c>
    </row>
    <row r="10" spans="1:8">
      <c r="A10" s="58" t="s">
        <v>307</v>
      </c>
      <c r="B10" s="66">
        <v>69.321399999999997</v>
      </c>
      <c r="C10" s="66">
        <v>8.1532499999999999</v>
      </c>
      <c r="D10" s="66">
        <v>11.7615</v>
      </c>
      <c r="E10" s="66">
        <v>40</v>
      </c>
      <c r="F10" s="66">
        <v>40.5276</v>
      </c>
      <c r="G10" s="66">
        <v>100</v>
      </c>
      <c r="H10" s="66">
        <v>77.046099999999996</v>
      </c>
    </row>
    <row r="11" spans="1:8">
      <c r="A11" s="58" t="s">
        <v>308</v>
      </c>
      <c r="B11" s="66">
        <v>10.4474</v>
      </c>
      <c r="C11" s="66">
        <v>2.4826100000000002</v>
      </c>
      <c r="D11" s="66">
        <v>23.762899999999998</v>
      </c>
      <c r="E11" s="66">
        <v>10</v>
      </c>
      <c r="F11" s="66">
        <v>4.4343199999999996</v>
      </c>
      <c r="G11" s="66">
        <v>50</v>
      </c>
      <c r="H11" s="66">
        <v>14.957000000000001</v>
      </c>
    </row>
    <row r="12" spans="1:8">
      <c r="A12" s="58" t="s">
        <v>309</v>
      </c>
      <c r="B12" s="66">
        <v>65.863200000000006</v>
      </c>
      <c r="C12" s="66">
        <v>3.87222</v>
      </c>
      <c r="D12" s="66">
        <v>5.8791900000000004</v>
      </c>
      <c r="E12" s="66">
        <v>50</v>
      </c>
      <c r="F12" s="66">
        <v>52.999699999999997</v>
      </c>
      <c r="G12" s="66">
        <v>100</v>
      </c>
      <c r="H12" s="66">
        <v>71.121600000000001</v>
      </c>
    </row>
    <row r="13" spans="1:8">
      <c r="A13" s="58" t="s">
        <v>310</v>
      </c>
      <c r="B13" s="66">
        <v>15.480700000000001</v>
      </c>
      <c r="C13" s="66">
        <v>2.0258799999999999</v>
      </c>
      <c r="D13" s="66">
        <v>13.086499999999999</v>
      </c>
      <c r="E13" s="66">
        <v>10</v>
      </c>
      <c r="F13" s="66">
        <v>12.157400000000001</v>
      </c>
      <c r="G13" s="66">
        <v>25</v>
      </c>
      <c r="H13" s="66">
        <v>23.074999999999999</v>
      </c>
    </row>
    <row r="14" spans="1:8">
      <c r="A14" s="58" t="s">
        <v>311</v>
      </c>
      <c r="B14" s="66">
        <v>20.258800000000001</v>
      </c>
      <c r="C14" s="66">
        <v>6.0072900000000002</v>
      </c>
      <c r="D14" s="66">
        <v>29.652699999999999</v>
      </c>
      <c r="E14" s="66">
        <v>10</v>
      </c>
      <c r="F14" s="66">
        <v>0.14876600000000001</v>
      </c>
      <c r="G14" s="66">
        <v>50</v>
      </c>
      <c r="H14" s="66">
        <v>25.4864</v>
      </c>
    </row>
    <row r="15" spans="1:8">
      <c r="A15" s="58" t="s">
        <v>312</v>
      </c>
      <c r="B15" s="66">
        <v>3.8191200000000002E-2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7.5359499999999996E-2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17.355499999999999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0.61298299999999994</v>
      </c>
      <c r="C18" s="66">
        <v>1.20211E-2</v>
      </c>
      <c r="D18" s="66">
        <v>1.9610800000000001E-2</v>
      </c>
      <c r="E18" s="66">
        <v>0</v>
      </c>
      <c r="F18" s="66">
        <v>0.600962</v>
      </c>
      <c r="G18" s="66">
        <v>0</v>
      </c>
      <c r="H18" s="66">
        <v>0.625004</v>
      </c>
    </row>
    <row r="19" spans="1:8">
      <c r="A19" s="58" t="s">
        <v>316</v>
      </c>
      <c r="B19" s="66">
        <v>0.72116499999999994</v>
      </c>
      <c r="C19" s="66">
        <v>1.52823E-2</v>
      </c>
      <c r="D19" s="66">
        <v>2.1191100000000001E-2</v>
      </c>
      <c r="E19" s="66">
        <v>0</v>
      </c>
      <c r="F19" s="66">
        <v>0.70588200000000001</v>
      </c>
      <c r="G19" s="66">
        <v>0</v>
      </c>
      <c r="H19" s="66">
        <v>0.73644699999999996</v>
      </c>
    </row>
    <row r="20" spans="1:8">
      <c r="A20" s="58" t="s">
        <v>317</v>
      </c>
      <c r="B20" s="196">
        <v>5.4722300000000003E-5</v>
      </c>
      <c r="C20" s="66">
        <v>1.8266600000000001E-2</v>
      </c>
      <c r="D20" s="66">
        <v>333.80500000000001</v>
      </c>
      <c r="E20" s="66">
        <v>0</v>
      </c>
      <c r="F20" s="66">
        <v>0</v>
      </c>
      <c r="G20" s="66">
        <v>0</v>
      </c>
      <c r="H20" s="66">
        <v>0.55787799999999999</v>
      </c>
    </row>
    <row r="21" spans="1:8">
      <c r="A21" s="58" t="s">
        <v>318</v>
      </c>
      <c r="B21" s="66">
        <v>8.5094100000000002E-3</v>
      </c>
      <c r="C21" s="66">
        <v>0.209982</v>
      </c>
      <c r="D21" s="66">
        <v>24.676500000000001</v>
      </c>
      <c r="E21" s="66">
        <v>0</v>
      </c>
      <c r="F21" s="66">
        <v>0</v>
      </c>
      <c r="G21" s="66">
        <v>0</v>
      </c>
      <c r="H21" s="66">
        <v>1.89039</v>
      </c>
    </row>
    <row r="22" spans="1:8">
      <c r="A22" s="58" t="s">
        <v>319</v>
      </c>
      <c r="B22" s="66">
        <v>22.1312</v>
      </c>
      <c r="C22" s="66">
        <v>12.058</v>
      </c>
      <c r="D22" s="66">
        <v>0.54483899999999996</v>
      </c>
      <c r="E22" s="66">
        <v>0</v>
      </c>
      <c r="F22" s="66">
        <v>11.2674</v>
      </c>
      <c r="G22" s="66">
        <v>0</v>
      </c>
      <c r="H22" s="66">
        <v>82.5017</v>
      </c>
    </row>
    <row r="23" spans="1:8">
      <c r="A23" s="58" t="s">
        <v>320</v>
      </c>
      <c r="B23" s="66">
        <v>9.5324799999999996</v>
      </c>
      <c r="C23" s="66">
        <v>2.2018499999999999</v>
      </c>
      <c r="D23" s="66">
        <v>0.23098399999999999</v>
      </c>
      <c r="E23" s="66">
        <v>0</v>
      </c>
      <c r="F23" s="66">
        <v>5.6234799999999998</v>
      </c>
      <c r="G23" s="66">
        <v>0</v>
      </c>
      <c r="H23" s="66">
        <v>12.9222</v>
      </c>
    </row>
    <row r="24" spans="1:8">
      <c r="A24" s="58" t="s">
        <v>321</v>
      </c>
      <c r="B24" s="66">
        <v>1.09048E-4</v>
      </c>
      <c r="C24" s="66">
        <v>1.15464E-2</v>
      </c>
      <c r="D24" s="66">
        <v>105.883</v>
      </c>
      <c r="E24" s="66">
        <v>0</v>
      </c>
      <c r="F24" s="196">
        <v>1.16451E-5</v>
      </c>
      <c r="G24" s="66">
        <v>0</v>
      </c>
      <c r="H24" s="66">
        <v>0.121855</v>
      </c>
    </row>
    <row r="25" spans="1:8">
      <c r="A25" s="58" t="s">
        <v>322</v>
      </c>
      <c r="B25" s="66">
        <v>1.65171E-2</v>
      </c>
      <c r="C25" s="66">
        <v>0.13917599999999999</v>
      </c>
      <c r="D25" s="66">
        <v>8.4262200000000007</v>
      </c>
      <c r="E25" s="66">
        <v>0</v>
      </c>
      <c r="F25" s="66">
        <v>2.6296000000000002E-3</v>
      </c>
      <c r="G25" s="66">
        <v>0</v>
      </c>
      <c r="H25" s="66">
        <v>0.84033599999999997</v>
      </c>
    </row>
    <row r="26" spans="1:8">
      <c r="A26" s="58" t="s">
        <v>323</v>
      </c>
      <c r="B26" s="196">
        <v>1.9695400000000001E-5</v>
      </c>
      <c r="C26" s="66">
        <v>2.13145E-3</v>
      </c>
      <c r="D26" s="66">
        <v>108.221</v>
      </c>
      <c r="E26" s="66">
        <v>0</v>
      </c>
      <c r="F26" s="66">
        <v>0</v>
      </c>
      <c r="G26" s="66">
        <v>0</v>
      </c>
      <c r="H26" s="66">
        <v>6.8503800000000004E-2</v>
      </c>
    </row>
    <row r="27" spans="1:8">
      <c r="A27" s="58" t="s">
        <v>324</v>
      </c>
      <c r="B27" s="66">
        <v>0</v>
      </c>
      <c r="C27" s="66">
        <v>2.3384299999999998E-3</v>
      </c>
      <c r="D27" s="66">
        <v>0</v>
      </c>
      <c r="E27" s="66">
        <v>0</v>
      </c>
      <c r="F27" s="66">
        <v>-6.8503800000000004E-2</v>
      </c>
      <c r="G27" s="66">
        <v>0</v>
      </c>
      <c r="H27" s="66">
        <v>6.8497199999999994E-2</v>
      </c>
    </row>
    <row r="28" spans="1:8">
      <c r="A28" s="58" t="s">
        <v>325</v>
      </c>
      <c r="B28" s="66">
        <v>2.03776E-3</v>
      </c>
      <c r="C28" s="66">
        <v>1.42025E-2</v>
      </c>
      <c r="D28" s="66">
        <v>6.9696600000000002</v>
      </c>
      <c r="E28" s="66">
        <v>0</v>
      </c>
      <c r="F28" s="66">
        <v>0</v>
      </c>
      <c r="G28" s="66">
        <v>0</v>
      </c>
      <c r="H28" s="66">
        <v>0.109128</v>
      </c>
    </row>
    <row r="29" spans="1:8">
      <c r="A29" s="58" t="s">
        <v>326</v>
      </c>
      <c r="B29" s="66">
        <v>60.585500000000003</v>
      </c>
      <c r="C29" s="66">
        <v>11.0596</v>
      </c>
      <c r="D29" s="66">
        <v>0.18254600000000001</v>
      </c>
      <c r="E29" s="66">
        <v>0</v>
      </c>
      <c r="F29" s="66">
        <v>34.384799999999998</v>
      </c>
      <c r="G29" s="66">
        <v>0</v>
      </c>
      <c r="H29" s="66">
        <v>89.107500000000002</v>
      </c>
    </row>
    <row r="30" spans="1:8">
      <c r="A30" s="58" t="s">
        <v>327</v>
      </c>
      <c r="B30" s="66">
        <v>14.068199999999999</v>
      </c>
      <c r="C30" s="66">
        <v>3.99458</v>
      </c>
      <c r="D30" s="66">
        <v>0.28394399999999997</v>
      </c>
      <c r="E30" s="66">
        <v>0</v>
      </c>
      <c r="F30" s="66">
        <v>6.3787500000000001</v>
      </c>
      <c r="G30" s="66">
        <v>0</v>
      </c>
      <c r="H30" s="66">
        <v>22.268699999999999</v>
      </c>
    </row>
    <row r="31" spans="1:8">
      <c r="A31" s="58" t="s">
        <v>328</v>
      </c>
      <c r="B31" s="66">
        <v>46.695599999999999</v>
      </c>
      <c r="C31" s="66">
        <v>14.3383</v>
      </c>
      <c r="D31" s="66">
        <v>0.30705900000000003</v>
      </c>
      <c r="E31" s="66">
        <v>0</v>
      </c>
      <c r="F31" s="66">
        <v>31.411200000000001</v>
      </c>
      <c r="G31" s="66">
        <v>0</v>
      </c>
      <c r="H31" s="66">
        <v>76.709999999999994</v>
      </c>
    </row>
    <row r="32" spans="1:8">
      <c r="A32" s="58" t="s">
        <v>329</v>
      </c>
      <c r="B32" s="66">
        <v>0.42369899999999999</v>
      </c>
      <c r="C32" s="66">
        <v>0.135489</v>
      </c>
      <c r="D32" s="66">
        <v>0.31977699999999998</v>
      </c>
      <c r="E32" s="66">
        <v>0.15</v>
      </c>
      <c r="F32" s="66">
        <v>7.1390999999999996E-2</v>
      </c>
      <c r="G32" s="66">
        <v>0.4</v>
      </c>
      <c r="H32" s="66">
        <v>0.51239400000000002</v>
      </c>
    </row>
    <row r="33" spans="1:8">
      <c r="A33" s="58" t="s">
        <v>330</v>
      </c>
      <c r="B33" s="66">
        <v>0.42178700000000002</v>
      </c>
      <c r="C33" s="66">
        <v>0.11774</v>
      </c>
      <c r="D33" s="66">
        <v>0.27914499999999998</v>
      </c>
      <c r="E33" s="66">
        <v>0</v>
      </c>
      <c r="F33" s="66">
        <v>0.158634</v>
      </c>
      <c r="G33" s="66">
        <v>0</v>
      </c>
      <c r="H33" s="66">
        <v>0.47720400000000002</v>
      </c>
    </row>
    <row r="34" spans="1:8">
      <c r="A34" s="58" t="s">
        <v>331</v>
      </c>
      <c r="B34" s="66">
        <v>0.154807</v>
      </c>
      <c r="C34" s="66">
        <v>2.02588E-2</v>
      </c>
      <c r="D34" s="66">
        <v>0.13086500000000001</v>
      </c>
      <c r="E34" s="66">
        <v>0.1</v>
      </c>
      <c r="F34" s="66">
        <v>0.121574</v>
      </c>
      <c r="G34" s="66">
        <v>0.25</v>
      </c>
      <c r="H34" s="66">
        <v>0.23075000000000001</v>
      </c>
    </row>
    <row r="35" spans="1:8">
      <c r="A35" s="58" t="s">
        <v>332</v>
      </c>
      <c r="B35" s="66">
        <v>6.46901E-2</v>
      </c>
      <c r="C35" s="66">
        <v>1.5646400000000001E-2</v>
      </c>
      <c r="D35" s="66">
        <v>0.241867</v>
      </c>
      <c r="E35" s="66">
        <v>0</v>
      </c>
      <c r="F35" s="66">
        <v>2.4067999999999999E-2</v>
      </c>
      <c r="G35" s="66">
        <v>0</v>
      </c>
      <c r="H35" s="66">
        <v>0.105419</v>
      </c>
    </row>
    <row r="36" spans="1:8">
      <c r="A36" s="58" t="s">
        <v>333</v>
      </c>
      <c r="B36" s="66">
        <v>0.14600099999999999</v>
      </c>
      <c r="C36" s="66">
        <v>7.0554699999999998E-2</v>
      </c>
      <c r="D36" s="66">
        <v>0.48324899999999998</v>
      </c>
      <c r="E36" s="66">
        <v>0</v>
      </c>
      <c r="F36" s="66">
        <v>3.2318399999999997E-2</v>
      </c>
      <c r="G36" s="66">
        <v>0</v>
      </c>
      <c r="H36" s="66">
        <v>0.417769</v>
      </c>
    </row>
    <row r="37" spans="1:8">
      <c r="A37" s="58" t="s">
        <v>334</v>
      </c>
      <c r="B37" s="66">
        <v>0.20258799999999999</v>
      </c>
      <c r="C37" s="66">
        <v>6.0072899999999999E-2</v>
      </c>
      <c r="D37" s="66">
        <v>0.29652699999999999</v>
      </c>
      <c r="E37" s="66">
        <v>0.1</v>
      </c>
      <c r="F37" s="66">
        <v>1.48766E-3</v>
      </c>
      <c r="G37" s="66">
        <v>0.5</v>
      </c>
      <c r="H37" s="66">
        <v>0.25486399999999998</v>
      </c>
    </row>
    <row r="38" spans="1:8">
      <c r="A38" s="58" t="s">
        <v>335</v>
      </c>
      <c r="B38" s="66">
        <v>-7.1731699999999998</v>
      </c>
      <c r="C38" s="66">
        <v>33.933500000000002</v>
      </c>
      <c r="D38" s="66">
        <v>-4.73062</v>
      </c>
      <c r="E38" s="66">
        <v>0</v>
      </c>
      <c r="F38" s="66">
        <v>-168.08699999999999</v>
      </c>
      <c r="G38" s="66">
        <v>0</v>
      </c>
      <c r="H38" s="66">
        <v>77.426599999999993</v>
      </c>
    </row>
    <row r="39" spans="1:8">
      <c r="A39" s="58" t="s">
        <v>336</v>
      </c>
      <c r="B39" s="66">
        <v>-3.2127500000000002</v>
      </c>
      <c r="C39" s="66">
        <v>5.2313099999999997</v>
      </c>
      <c r="D39" s="66">
        <v>-1.62829</v>
      </c>
      <c r="E39" s="66">
        <v>0</v>
      </c>
      <c r="F39" s="66">
        <v>-27.964600000000001</v>
      </c>
      <c r="G39" s="66">
        <v>0</v>
      </c>
      <c r="H39" s="66">
        <v>6.5572100000000004</v>
      </c>
    </row>
    <row r="40" spans="1:8">
      <c r="A40" s="58" t="s">
        <v>337</v>
      </c>
      <c r="B40" s="66">
        <v>-2.1338699999999999</v>
      </c>
      <c r="C40" s="66">
        <v>0.98515299999999995</v>
      </c>
      <c r="D40" s="66">
        <v>-0.461675</v>
      </c>
      <c r="E40" s="66">
        <v>0</v>
      </c>
      <c r="F40" s="66">
        <v>-3.9638900000000001</v>
      </c>
      <c r="G40" s="66">
        <v>0</v>
      </c>
      <c r="H40" s="66">
        <v>-0.83870800000000001</v>
      </c>
    </row>
    <row r="41" spans="1:8">
      <c r="A41" s="58" t="s">
        <v>338</v>
      </c>
      <c r="B41" s="66">
        <v>-2.4466399999999999E-2</v>
      </c>
      <c r="C41" s="66">
        <v>0.45469399999999999</v>
      </c>
      <c r="D41" s="66">
        <v>-18.584399999999999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-0.146172</v>
      </c>
      <c r="C42" s="66">
        <v>0.14972199999999999</v>
      </c>
      <c r="D42" s="66">
        <v>-1.0242899999999999</v>
      </c>
      <c r="E42" s="66">
        <v>0</v>
      </c>
      <c r="F42" s="66">
        <v>-0.84615399999999996</v>
      </c>
      <c r="G42" s="66">
        <v>0</v>
      </c>
      <c r="H42" s="66">
        <v>0.323162</v>
      </c>
    </row>
    <row r="43" spans="1:8">
      <c r="A43" s="58" t="s">
        <v>340</v>
      </c>
      <c r="B43" s="66">
        <v>-0.25187799999999999</v>
      </c>
      <c r="C43" s="66">
        <v>7.3617100000000005E-2</v>
      </c>
      <c r="D43" s="66">
        <v>-0.29227300000000001</v>
      </c>
      <c r="E43" s="66">
        <v>0</v>
      </c>
      <c r="F43" s="66">
        <v>-0.38931300000000002</v>
      </c>
      <c r="G43" s="66">
        <v>0</v>
      </c>
      <c r="H43" s="66">
        <v>-8.2345799999999997E-2</v>
      </c>
    </row>
    <row r="44" spans="1:8">
      <c r="A44" s="58" t="s">
        <v>341</v>
      </c>
      <c r="B44" s="66">
        <v>-4.1006200000000002</v>
      </c>
      <c r="C44" s="66">
        <v>3.9091</v>
      </c>
      <c r="D44" s="66">
        <v>-0.95329600000000003</v>
      </c>
      <c r="E44" s="66">
        <v>0</v>
      </c>
      <c r="F44" s="66">
        <v>-11.8848</v>
      </c>
      <c r="G44" s="66">
        <v>0</v>
      </c>
      <c r="H44" s="66">
        <v>4.51511</v>
      </c>
    </row>
    <row r="45" spans="1:8">
      <c r="A45" s="58" t="s">
        <v>342</v>
      </c>
      <c r="B45" s="66">
        <v>48.145699999999998</v>
      </c>
      <c r="C45" s="66">
        <v>8.0216100000000008</v>
      </c>
      <c r="D45" s="66">
        <v>0.16661100000000001</v>
      </c>
      <c r="E45" s="66">
        <v>0</v>
      </c>
      <c r="F45" s="66">
        <v>25.731999999999999</v>
      </c>
      <c r="G45" s="66">
        <v>0</v>
      </c>
      <c r="H45" s="66">
        <v>68.943200000000004</v>
      </c>
    </row>
    <row r="46" spans="1:8">
      <c r="A46" s="58" t="s">
        <v>343</v>
      </c>
      <c r="B46" s="66">
        <v>24.889600000000002</v>
      </c>
      <c r="C46" s="66">
        <v>5.4789899999999996</v>
      </c>
      <c r="D46" s="66">
        <v>0.22013199999999999</v>
      </c>
      <c r="E46" s="66">
        <v>0</v>
      </c>
      <c r="F46" s="66">
        <v>10.780799999999999</v>
      </c>
      <c r="G46" s="66">
        <v>0</v>
      </c>
      <c r="H46" s="66">
        <v>33.4315</v>
      </c>
    </row>
    <row r="47" spans="1:8">
      <c r="A47" s="58" t="s">
        <v>344</v>
      </c>
      <c r="B47" s="66">
        <v>0.45828799999999997</v>
      </c>
      <c r="C47" s="66">
        <v>0.29217900000000002</v>
      </c>
      <c r="D47" s="66">
        <v>0.637544</v>
      </c>
      <c r="E47" s="66">
        <v>0</v>
      </c>
      <c r="F47" s="66">
        <v>0.131554</v>
      </c>
      <c r="G47" s="66">
        <v>0</v>
      </c>
      <c r="H47" s="66">
        <v>1.96391</v>
      </c>
    </row>
    <row r="48" spans="1:8">
      <c r="A48" s="58" t="s">
        <v>345</v>
      </c>
      <c r="B48" s="66">
        <v>0.56019200000000002</v>
      </c>
      <c r="C48" s="66">
        <v>5.9262099999999998E-2</v>
      </c>
      <c r="D48" s="66">
        <v>0.10578899999999999</v>
      </c>
      <c r="E48" s="66">
        <v>0</v>
      </c>
      <c r="F48" s="66">
        <v>0.432778</v>
      </c>
      <c r="G48" s="66">
        <v>0</v>
      </c>
      <c r="H48" s="66">
        <v>0.68391900000000005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-2.9052000000000042</v>
      </c>
      <c r="C5" s="66">
        <f>'M2'!C5-'M1'!C5</f>
        <v>-2.7679800000000006</v>
      </c>
      <c r="D5" s="66">
        <f>'M2'!D5-'M1'!D5</f>
        <v>-7.3522999999999996</v>
      </c>
      <c r="E5" s="66">
        <f>'M2'!E5-'M1'!E5</f>
        <v>0</v>
      </c>
      <c r="F5" s="66">
        <f>'M2'!F5-'M1'!F5</f>
        <v>9.6607999999999983</v>
      </c>
      <c r="G5" s="66">
        <f>'M2'!G5-'M1'!G5</f>
        <v>0</v>
      </c>
      <c r="H5" s="66">
        <f>'M2'!H5-'M1'!H5</f>
        <v>-2.9649000000000001</v>
      </c>
    </row>
    <row r="6" spans="1:8">
      <c r="A6" s="66" t="s">
        <v>244</v>
      </c>
      <c r="B6" s="66">
        <f>'M2'!B6-'M1'!B6</f>
        <v>-6.3826999999999998</v>
      </c>
      <c r="C6" s="66">
        <f>'M2'!C6-'M1'!C6</f>
        <v>3.1897799999999998</v>
      </c>
      <c r="D6" s="66">
        <f>'M2'!D6-'M1'!D6</f>
        <v>10.973430000000002</v>
      </c>
      <c r="E6" s="66">
        <f>'M2'!E6-'M1'!E6</f>
        <v>0</v>
      </c>
      <c r="F6" s="66">
        <f>'M2'!F6-'M1'!F6</f>
        <v>-4.7972000000000037</v>
      </c>
      <c r="G6" s="66">
        <f>'M2'!G6-'M1'!G6</f>
        <v>0</v>
      </c>
      <c r="H6" s="66">
        <f>'M2'!H6-'M1'!H6</f>
        <v>0.34120000000000061</v>
      </c>
    </row>
    <row r="7" spans="1:8">
      <c r="A7" s="66" t="s">
        <v>245</v>
      </c>
      <c r="B7" s="66">
        <f>'M2'!B7-'M1'!B7</f>
        <v>8.0231999999999957</v>
      </c>
      <c r="C7" s="66">
        <f>'M2'!C7-'M1'!C7</f>
        <v>0.65470000000000006</v>
      </c>
      <c r="D7" s="66">
        <f>'M2'!D7-'M1'!D7</f>
        <v>-5.2249000000000017</v>
      </c>
      <c r="E7" s="66">
        <f>'M2'!E7-'M1'!E7</f>
        <v>0</v>
      </c>
      <c r="F7" s="66">
        <f>'M2'!F7-'M1'!F7</f>
        <v>-0.69350000000000023</v>
      </c>
      <c r="G7" s="66">
        <f>'M2'!G7-'M1'!G7</f>
        <v>0</v>
      </c>
      <c r="H7" s="66">
        <f>'M2'!H7-'M1'!H7</f>
        <v>0.50790000000000646</v>
      </c>
    </row>
    <row r="8" spans="1:8">
      <c r="A8" s="66" t="s">
        <v>246</v>
      </c>
      <c r="B8" s="66">
        <f>'M2'!B8-'M1'!B8</f>
        <v>-1.4890000000000043</v>
      </c>
      <c r="C8" s="66">
        <f>'M2'!C8-'M1'!C8</f>
        <v>-0.8555299999999999</v>
      </c>
      <c r="D8" s="66">
        <f>'M2'!D8-'M1'!D8</f>
        <v>-1.6804999999999986</v>
      </c>
      <c r="E8" s="66">
        <f>'M2'!E8-'M1'!E8</f>
        <v>0</v>
      </c>
      <c r="F8" s="66">
        <f>'M2'!F8-'M1'!F8</f>
        <v>4.6118999999999986</v>
      </c>
      <c r="G8" s="66">
        <f>'M2'!G8-'M1'!G8</f>
        <v>0</v>
      </c>
      <c r="H8" s="66">
        <f>'M2'!H8-'M1'!H8</f>
        <v>0.70240000000000435</v>
      </c>
    </row>
    <row r="9" spans="1:8">
      <c r="A9" s="66" t="s">
        <v>247</v>
      </c>
      <c r="B9" s="66">
        <f>'M2'!B9-'M1'!B9</f>
        <v>-2.1725000000000065</v>
      </c>
      <c r="C9" s="66">
        <f>'M2'!C9-'M1'!C9</f>
        <v>-0.52881999999999962</v>
      </c>
      <c r="D9" s="66">
        <f>'M2'!D9-'M1'!D9</f>
        <v>-0.60733000000000015</v>
      </c>
      <c r="E9" s="66">
        <f>'M2'!E9-'M1'!E9</f>
        <v>0</v>
      </c>
      <c r="F9" s="66">
        <f>'M2'!F9-'M1'!F9</f>
        <v>-5.1061999999999941</v>
      </c>
      <c r="G9" s="66">
        <f>'M2'!G9-'M1'!G9</f>
        <v>0</v>
      </c>
      <c r="H9" s="66">
        <f>'M2'!H9-'M1'!H9</f>
        <v>-6.2629000000000019</v>
      </c>
    </row>
    <row r="10" spans="1:8">
      <c r="A10" s="66" t="s">
        <v>248</v>
      </c>
      <c r="B10" s="66">
        <f>'M2'!B10-'M1'!B10</f>
        <v>-2.1851999999999947</v>
      </c>
      <c r="C10" s="66">
        <f>'M2'!C10-'M1'!C10</f>
        <v>-0.19236999999999949</v>
      </c>
      <c r="D10" s="66">
        <f>'M2'!D10-'M1'!D10</f>
        <v>8.2499999999999574E-2</v>
      </c>
      <c r="E10" s="66">
        <f>'M2'!E10-'M1'!E10</f>
        <v>0</v>
      </c>
      <c r="F10" s="66">
        <f>'M2'!F10-'M1'!F10</f>
        <v>9.8226000000000013</v>
      </c>
      <c r="G10" s="66">
        <f>'M2'!G10-'M1'!G10</f>
        <v>0</v>
      </c>
      <c r="H10" s="66">
        <f>'M2'!H10-'M1'!H10</f>
        <v>-6.0121999999999929</v>
      </c>
    </row>
    <row r="11" spans="1:8">
      <c r="A11" s="66" t="s">
        <v>249</v>
      </c>
      <c r="B11" s="66">
        <f>'M2'!B11-'M1'!B11</f>
        <v>0.62110000000000021</v>
      </c>
      <c r="C11" s="66">
        <f>'M2'!C11-'M1'!C11</f>
        <v>-0.42937000000000003</v>
      </c>
      <c r="D11" s="66">
        <f>'M2'!D11-'M1'!D11</f>
        <v>-5.4213999999999984</v>
      </c>
      <c r="E11" s="66">
        <f>'M2'!E11-'M1'!E11</f>
        <v>0</v>
      </c>
      <c r="F11" s="66">
        <f>'M2'!F11-'M1'!F11</f>
        <v>4.25685</v>
      </c>
      <c r="G11" s="66">
        <f>'M2'!G11-'M1'!G11</f>
        <v>0</v>
      </c>
      <c r="H11" s="66">
        <f>'M2'!H11-'M1'!H11</f>
        <v>1.3409000000000013</v>
      </c>
    </row>
    <row r="12" spans="1:8">
      <c r="A12" s="66" t="s">
        <v>250</v>
      </c>
      <c r="B12" s="66">
        <f>'M2'!B12-'M1'!B12</f>
        <v>-2.1834999999999951</v>
      </c>
      <c r="C12" s="66">
        <f>'M2'!C12-'M1'!C12</f>
        <v>0.34526999999999974</v>
      </c>
      <c r="D12" s="66">
        <f>'M2'!D12-'M1'!D12</f>
        <v>0.70481000000000016</v>
      </c>
      <c r="E12" s="66">
        <f>'M2'!E12-'M1'!E12</f>
        <v>0</v>
      </c>
      <c r="F12" s="66">
        <f>'M2'!F12-'M1'!F12</f>
        <v>1.929000000000002</v>
      </c>
      <c r="G12" s="66">
        <f>'M2'!G12-'M1'!G12</f>
        <v>0</v>
      </c>
      <c r="H12" s="66">
        <f>'M2'!H12-'M1'!H12</f>
        <v>-1.7524999999999977</v>
      </c>
    </row>
    <row r="13" spans="1:8">
      <c r="A13" s="66" t="s">
        <v>251</v>
      </c>
      <c r="B13" s="66">
        <f>'M2'!B13-'M1'!B13</f>
        <v>-0.37639999999999851</v>
      </c>
      <c r="C13" s="66">
        <f>'M2'!C13-'M1'!C13</f>
        <v>0.80522999999999989</v>
      </c>
      <c r="D13" s="66">
        <f>'M2'!D13-'M1'!D13</f>
        <v>5.4926999999999992</v>
      </c>
      <c r="E13" s="66">
        <f>'M2'!E13-'M1'!E13</f>
        <v>0</v>
      </c>
      <c r="F13" s="66">
        <f>'M2'!F13-'M1'!F13</f>
        <v>-0.95759999999999934</v>
      </c>
      <c r="G13" s="66">
        <f>'M2'!G13-'M1'!G13</f>
        <v>0</v>
      </c>
      <c r="H13" s="66">
        <f>'M2'!H13-'M1'!H13</f>
        <v>3.6555999999999997</v>
      </c>
    </row>
    <row r="14" spans="1:8">
      <c r="A14" s="66" t="s">
        <v>252</v>
      </c>
      <c r="B14" s="66">
        <f>'M2'!B14-'M1'!B14</f>
        <v>8.0522999999999989</v>
      </c>
      <c r="C14" s="66">
        <f>'M2'!C14-'M1'!C14</f>
        <v>0.94261000000000017</v>
      </c>
      <c r="D14" s="66">
        <f>'M2'!D14-'M1'!D14</f>
        <v>-7.6828000000000003</v>
      </c>
      <c r="E14" s="66">
        <f>'M2'!E14-'M1'!E14</f>
        <v>0</v>
      </c>
      <c r="F14" s="66">
        <f>'M2'!F14-'M1'!F14</f>
        <v>2.227004</v>
      </c>
      <c r="G14" s="66">
        <f>'M2'!G14-'M1'!G14</f>
        <v>0</v>
      </c>
      <c r="H14" s="66">
        <f>'M2'!H14-'M1'!H14</f>
        <v>7.6568000000000005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-5.7124000000000064E-2</v>
      </c>
      <c r="C18" s="66">
        <f>'M2'!C18-'M1'!C18</f>
        <v>1.20211E-2</v>
      </c>
      <c r="D18" s="66">
        <f>'M2'!D18-'M1'!D18</f>
        <v>1.9610800000000001E-2</v>
      </c>
      <c r="E18" s="66">
        <f>'M2'!E18-'M1'!E18</f>
        <v>0</v>
      </c>
      <c r="F18" s="66">
        <f>'M2'!F18-'M1'!F18</f>
        <v>0.600962</v>
      </c>
      <c r="G18" s="66">
        <f>'M2'!G18-'M1'!G18</f>
        <v>0</v>
      </c>
      <c r="H18" s="66">
        <f>'M2'!H18-'M1'!H18</f>
        <v>0.625004</v>
      </c>
    </row>
    <row r="19" spans="1:8">
      <c r="A19" s="66" t="s">
        <v>256</v>
      </c>
      <c r="B19" s="66">
        <f>'M2'!B19-'M1'!B19</f>
        <v>-2.8603000000000045E-2</v>
      </c>
      <c r="C19" s="66">
        <f>'M2'!C19-'M1'!C19</f>
        <v>1.52823E-2</v>
      </c>
      <c r="D19" s="66">
        <f>'M2'!D19-'M1'!D19</f>
        <v>2.1191100000000001E-2</v>
      </c>
      <c r="E19" s="66">
        <f>'M2'!E19-'M1'!E19</f>
        <v>0</v>
      </c>
      <c r="F19" s="66">
        <f>'M2'!F19-'M1'!F19</f>
        <v>0.70588200000000001</v>
      </c>
      <c r="G19" s="66">
        <f>'M2'!G19-'M1'!G19</f>
        <v>0</v>
      </c>
      <c r="H19" s="66">
        <f>'M2'!H19-'M1'!H19</f>
        <v>0.73644699999999996</v>
      </c>
    </row>
    <row r="20" spans="1:8">
      <c r="A20" s="66" t="s">
        <v>63</v>
      </c>
      <c r="B20" s="66">
        <f>'M2'!B20-'M1'!B20</f>
        <v>1.3374899999999993E-5</v>
      </c>
      <c r="C20" s="66">
        <f>'M2'!C20-'M1'!C20</f>
        <v>-4.0720999999999986E-3</v>
      </c>
      <c r="D20" s="66">
        <f>'M2'!D20-'M1'!D20</f>
        <v>-155.82600000000002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-0.381467</v>
      </c>
    </row>
    <row r="21" spans="1:8">
      <c r="A21" s="66" t="s">
        <v>64</v>
      </c>
      <c r="B21" s="66">
        <f>'M2'!B21-'M1'!B21</f>
        <v>-2.4884700000000004E-3</v>
      </c>
      <c r="C21" s="66">
        <f>'M2'!C21-'M1'!C21</f>
        <v>0.15783</v>
      </c>
      <c r="D21" s="66">
        <f>'M2'!D21-'M1'!D21</f>
        <v>24.844900000000003</v>
      </c>
      <c r="E21" s="66">
        <f>'M2'!E21-'M1'!E21</f>
        <v>0</v>
      </c>
      <c r="F21" s="66">
        <f>'M2'!F21-'M1'!F21</f>
        <v>-2.0565300000000001E-5</v>
      </c>
      <c r="G21" s="66">
        <f>'M2'!G21-'M1'!G21</f>
        <v>0</v>
      </c>
      <c r="H21" s="66">
        <f>'M2'!H21-'M1'!H21</f>
        <v>0.67521999999999993</v>
      </c>
    </row>
    <row r="22" spans="1:8">
      <c r="A22" s="66" t="s">
        <v>65</v>
      </c>
      <c r="B22" s="66">
        <f>'M2'!B22-'M1'!B22</f>
        <v>-1.2142999999999979</v>
      </c>
      <c r="C22" s="66">
        <f>'M2'!C22-'M1'!C22</f>
        <v>10.749599999999999</v>
      </c>
      <c r="D22" s="66">
        <f>'M2'!D22-'M1'!D22</f>
        <v>0.51920999999999995</v>
      </c>
      <c r="E22" s="66">
        <f>'M2'!E22-'M1'!E22</f>
        <v>0</v>
      </c>
      <c r="F22" s="66">
        <f>'M2'!F22-'M1'!F22</f>
        <v>1.218</v>
      </c>
      <c r="G22" s="66">
        <f>'M2'!G22-'M1'!G22</f>
        <v>0</v>
      </c>
      <c r="H22" s="66">
        <f>'M2'!H22-'M1'!H22</f>
        <v>48.267899999999997</v>
      </c>
    </row>
    <row r="23" spans="1:8">
      <c r="A23" s="66" t="s">
        <v>66</v>
      </c>
      <c r="B23" s="66">
        <f>'M2'!B23-'M1'!B23</f>
        <v>4.6282600000000009</v>
      </c>
      <c r="C23" s="66">
        <f>'M2'!C23-'M1'!C23</f>
        <v>0.30312899999999998</v>
      </c>
      <c r="D23" s="66">
        <f>'M2'!D23-'M1'!D23</f>
        <v>-2.2189E-2</v>
      </c>
      <c r="E23" s="66">
        <f>'M2'!E23-'M1'!E23</f>
        <v>0</v>
      </c>
      <c r="F23" s="66">
        <f>'M2'!F23-'M1'!F23</f>
        <v>2.6467599999999996</v>
      </c>
      <c r="G23" s="66">
        <f>'M2'!G23-'M1'!G23</f>
        <v>0</v>
      </c>
      <c r="H23" s="66">
        <f>'M2'!H23-'M1'!H23</f>
        <v>2.8988999999999994</v>
      </c>
    </row>
    <row r="24" spans="1:8">
      <c r="A24" s="66" t="s">
        <v>67</v>
      </c>
      <c r="B24" s="66">
        <f>'M2'!B24-'M1'!B24</f>
        <v>3.0582500000000007E-5</v>
      </c>
      <c r="C24" s="66">
        <f>'M2'!C24-'M1'!C24</f>
        <v>6.2810699999999997E-3</v>
      </c>
      <c r="D24" s="66">
        <f>'M2'!D24-'M1'!D24</f>
        <v>29.6541</v>
      </c>
      <c r="E24" s="66">
        <f>'M2'!E24-'M1'!E24</f>
        <v>0</v>
      </c>
      <c r="F24" s="66">
        <f>'M2'!F24-'M1'!F24</f>
        <v>3.1404999999999998E-6</v>
      </c>
      <c r="G24" s="66">
        <f>'M2'!G24-'M1'!G24</f>
        <v>0</v>
      </c>
      <c r="H24" s="66">
        <f>'M2'!H24-'M1'!H24</f>
        <v>6.0179600000000007E-2</v>
      </c>
    </row>
    <row r="25" spans="1:8">
      <c r="A25" s="66" t="s">
        <v>68</v>
      </c>
      <c r="B25" s="66">
        <f>'M2'!B25-'M1'!B25</f>
        <v>-5.5779999999999996E-3</v>
      </c>
      <c r="C25" s="66">
        <f>'M2'!C25-'M1'!C25</f>
        <v>0.15147569999999999</v>
      </c>
      <c r="D25" s="66">
        <f>'M2'!D25-'M1'!D25</f>
        <v>12.12651</v>
      </c>
      <c r="E25" s="66">
        <f>'M2'!E25-'M1'!E25</f>
        <v>0</v>
      </c>
      <c r="F25" s="66">
        <f>'M2'!F25-'M1'!F25</f>
        <v>7.8646999999999962E-4</v>
      </c>
      <c r="G25" s="66">
        <f>'M2'!G25-'M1'!G25</f>
        <v>0</v>
      </c>
      <c r="H25" s="66">
        <f>'M2'!H25-'M1'!H25</f>
        <v>0.67952799999999991</v>
      </c>
    </row>
    <row r="26" spans="1:8">
      <c r="A26" s="66" t="s">
        <v>69</v>
      </c>
      <c r="B26" s="66">
        <f>'M2'!B26-'M1'!B26</f>
        <v>6.5650999999999992E-6</v>
      </c>
      <c r="C26" s="66">
        <f>'M2'!C26-'M1'!C26</f>
        <v>-6.4061000000000001E-4</v>
      </c>
      <c r="D26" s="66">
        <f>'M2'!D26-'M1'!D26</f>
        <v>-70.10499999999999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-5.0610500000000003E-2</v>
      </c>
    </row>
    <row r="27" spans="1:8">
      <c r="A27" s="66" t="s">
        <v>70</v>
      </c>
      <c r="B27" s="66">
        <f>'M2'!B27-'M1'!B27</f>
        <v>0</v>
      </c>
      <c r="C27" s="66">
        <f>'M2'!C27-'M1'!C27</f>
        <v>-2.8384619999999999E-3</v>
      </c>
      <c r="D27" s="66">
        <f>'M2'!D27-'M1'!D27</f>
        <v>0</v>
      </c>
      <c r="E27" s="66">
        <f>'M2'!E27-'M1'!E27</f>
        <v>0</v>
      </c>
      <c r="F27" s="66">
        <f>'M2'!F27-'M1'!F27</f>
        <v>6.4302120000000004E-2</v>
      </c>
      <c r="G27" s="66">
        <f>'M2'!G27-'M1'!G27</f>
        <v>0</v>
      </c>
      <c r="H27" s="66">
        <f>'M2'!H27-'M1'!H27</f>
        <v>-6.441696999999999E-2</v>
      </c>
    </row>
    <row r="28" spans="1:8">
      <c r="A28" s="66" t="s">
        <v>71</v>
      </c>
      <c r="B28" s="66">
        <f>'M2'!B28-'M1'!B28</f>
        <v>-3.8900000000000002E-4</v>
      </c>
      <c r="C28" s="66">
        <f>'M2'!C28-'M1'!C28</f>
        <v>7.5639399999999982E-3</v>
      </c>
      <c r="D28" s="66">
        <f>'M2'!D28-'M1'!D28</f>
        <v>5.0500899999999991</v>
      </c>
      <c r="E28" s="66">
        <f>'M2'!E28-'M1'!E28</f>
        <v>0</v>
      </c>
      <c r="F28" s="66">
        <f>'M2'!F28-'M1'!F28</f>
        <v>-3.25521E-6</v>
      </c>
      <c r="G28" s="66">
        <f>'M2'!G28-'M1'!G28</f>
        <v>0</v>
      </c>
      <c r="H28" s="66">
        <f>'M2'!H28-'M1'!H28</f>
        <v>2.6377400000000009E-2</v>
      </c>
    </row>
    <row r="29" spans="1:8">
      <c r="A29" s="66" t="s">
        <v>72</v>
      </c>
      <c r="B29" s="66">
        <f>'M2'!B29-'M1'!B29</f>
        <v>2.0654000000000039</v>
      </c>
      <c r="C29" s="66">
        <f>'M2'!C29-'M1'!C29</f>
        <v>-2.4053199999999997</v>
      </c>
      <c r="D29" s="66">
        <f>'M2'!D29-'M1'!D29</f>
        <v>-4.6265000000000001E-2</v>
      </c>
      <c r="E29" s="66">
        <f>'M2'!E29-'M1'!E29</f>
        <v>0</v>
      </c>
      <c r="F29" s="66">
        <f>'M2'!F29-'M1'!F29</f>
        <v>9.6628000000000043</v>
      </c>
      <c r="G29" s="66">
        <f>'M2'!G29-'M1'!G29</f>
        <v>0</v>
      </c>
      <c r="H29" s="66">
        <f>'M2'!H29-'M1'!H29</f>
        <v>6.401600000000002</v>
      </c>
    </row>
    <row r="30" spans="1:8">
      <c r="A30" s="66" t="s">
        <v>73</v>
      </c>
      <c r="B30" s="66">
        <f>'M2'!B30-'M1'!B30</f>
        <v>4.1273999999999997</v>
      </c>
      <c r="C30" s="66">
        <f>'M2'!C30-'M1'!C30</f>
        <v>1.1732100000000001</v>
      </c>
      <c r="D30" s="66">
        <f>'M2'!D30-'M1'!D30</f>
        <v>2.2899000000000003E-2</v>
      </c>
      <c r="E30" s="66">
        <f>'M2'!E30-'M1'!E30</f>
        <v>0</v>
      </c>
      <c r="F30" s="66">
        <f>'M2'!F30-'M1'!F30</f>
        <v>3.9752499999999991</v>
      </c>
      <c r="G30" s="66">
        <f>'M2'!G30-'M1'!G30</f>
        <v>0</v>
      </c>
      <c r="H30" s="66">
        <f>'M2'!H30-'M1'!H30</f>
        <v>6.8825999999999983</v>
      </c>
    </row>
    <row r="31" spans="1:8">
      <c r="A31" s="66" t="s">
        <v>74</v>
      </c>
      <c r="B31" s="66">
        <f>'M2'!B31-'M1'!B31</f>
        <v>31.549999999999997</v>
      </c>
      <c r="C31" s="66">
        <f>'M2'!C31-'M1'!C31</f>
        <v>9.5543399999999998</v>
      </c>
      <c r="D31" s="66">
        <f>'M2'!D31-'M1'!D31</f>
        <v>8.7240700000000018E-2</v>
      </c>
      <c r="E31" s="66">
        <f>'M2'!E31-'M1'!E31</f>
        <v>0</v>
      </c>
      <c r="F31" s="66">
        <f>'M2'!F31-'M1'!F31</f>
        <v>10.979100000000003</v>
      </c>
      <c r="G31" s="66">
        <f>'M2'!G31-'M1'!G31</f>
        <v>0</v>
      </c>
      <c r="H31" s="66">
        <f>'M2'!H31-'M1'!H31</f>
        <v>28.132699999999993</v>
      </c>
    </row>
    <row r="32" spans="1:8">
      <c r="A32" s="66" t="s">
        <v>75</v>
      </c>
      <c r="B32" s="66">
        <f>'M2'!B32-'M1'!B32</f>
        <v>8.0232000000000026E-2</v>
      </c>
      <c r="C32" s="66">
        <f>'M2'!C32-'M1'!C32</f>
        <v>6.5469999999999973E-3</v>
      </c>
      <c r="D32" s="66">
        <f>'M2'!D32-'M1'!D32</f>
        <v>-5.224899999999999E-2</v>
      </c>
      <c r="E32" s="66">
        <f>'M2'!E32-'M1'!E32</f>
        <v>0</v>
      </c>
      <c r="F32" s="66">
        <f>'M2'!F32-'M1'!F32</f>
        <v>-6.9350000000000106E-3</v>
      </c>
      <c r="G32" s="66">
        <f>'M2'!G32-'M1'!G32</f>
        <v>0</v>
      </c>
      <c r="H32" s="66">
        <f>'M2'!H32-'M1'!H32</f>
        <v>5.0790000000000557E-3</v>
      </c>
    </row>
    <row r="33" spans="1:8">
      <c r="A33" s="66" t="s">
        <v>76</v>
      </c>
      <c r="B33" s="66">
        <f>'M2'!B33-'M1'!B33</f>
        <v>-0.25930199999999998</v>
      </c>
      <c r="C33" s="66">
        <f>'M2'!C33-'M1'!C33</f>
        <v>0.1052835</v>
      </c>
      <c r="D33" s="66">
        <f>'M2'!D33-'M1'!D33</f>
        <v>0.66464619999999996</v>
      </c>
      <c r="E33" s="66">
        <f>'M2'!E33-'M1'!E33</f>
        <v>0</v>
      </c>
      <c r="F33" s="66">
        <f>'M2'!F33-'M1'!F33</f>
        <v>-0.19653700000000002</v>
      </c>
      <c r="G33" s="66">
        <f>'M2'!G33-'M1'!G33</f>
        <v>0</v>
      </c>
      <c r="H33" s="66">
        <f>'M2'!H33-'M1'!H33</f>
        <v>9.5089999999999897E-3</v>
      </c>
    </row>
    <row r="34" spans="1:8">
      <c r="A34" s="66" t="s">
        <v>77</v>
      </c>
      <c r="B34" s="66">
        <f>'M2'!B34-'M1'!B34</f>
        <v>-3.7639999999999896E-3</v>
      </c>
      <c r="C34" s="66">
        <f>'M2'!C34-'M1'!C34</f>
        <v>8.0523000000000018E-3</v>
      </c>
      <c r="D34" s="66">
        <f>'M2'!D34-'M1'!D34</f>
        <v>5.492699999999999E-2</v>
      </c>
      <c r="E34" s="66">
        <f>'M2'!E34-'M1'!E34</f>
        <v>0</v>
      </c>
      <c r="F34" s="66">
        <f>'M2'!F34-'M1'!F34</f>
        <v>-9.5759999999999873E-3</v>
      </c>
      <c r="G34" s="66">
        <f>'M2'!G34-'M1'!G34</f>
        <v>0</v>
      </c>
      <c r="H34" s="66">
        <f>'M2'!H34-'M1'!H34</f>
        <v>3.6556000000000005E-2</v>
      </c>
    </row>
    <row r="35" spans="1:8">
      <c r="A35" s="66" t="s">
        <v>78</v>
      </c>
      <c r="B35" s="66">
        <f>'M2'!B35-'M1'!B35</f>
        <v>-5.4217000000000015E-3</v>
      </c>
      <c r="C35" s="66">
        <f>'M2'!C35-'M1'!C35</f>
        <v>1.7466999999999986E-3</v>
      </c>
      <c r="D35" s="66">
        <f>'M2'!D35-'M1'!D35</f>
        <v>4.7333000000000014E-2</v>
      </c>
      <c r="E35" s="66">
        <f>'M2'!E35-'M1'!E35</f>
        <v>0</v>
      </c>
      <c r="F35" s="66">
        <f>'M2'!F35-'M1'!F35</f>
        <v>-1.2807199999999998E-2</v>
      </c>
      <c r="G35" s="66">
        <f>'M2'!G35-'M1'!G35</f>
        <v>0</v>
      </c>
      <c r="H35" s="66">
        <f>'M2'!H35-'M1'!H35</f>
        <v>2.6289999999999925E-3</v>
      </c>
    </row>
    <row r="36" spans="1:8">
      <c r="A36" s="66" t="s">
        <v>79</v>
      </c>
      <c r="B36" s="66">
        <f>'M2'!B36-'M1'!B36</f>
        <v>1.0181999999999997E-2</v>
      </c>
      <c r="C36" s="66">
        <f>'M2'!C36-'M1'!C36</f>
        <v>-7.9189999999999816E-4</v>
      </c>
      <c r="D36" s="66">
        <f>'M2'!D36-'M1'!D36</f>
        <v>-3.8266999999999995E-2</v>
      </c>
      <c r="E36" s="66">
        <f>'M2'!E36-'M1'!E36</f>
        <v>0</v>
      </c>
      <c r="F36" s="66">
        <f>'M2'!F36-'M1'!F36</f>
        <v>-1.2052500000000001E-2</v>
      </c>
      <c r="G36" s="66">
        <f>'M2'!G36-'M1'!G36</f>
        <v>0</v>
      </c>
      <c r="H36" s="66">
        <f>'M2'!H36-'M1'!H36</f>
        <v>-2.0369999999999999E-2</v>
      </c>
    </row>
    <row r="37" spans="1:8">
      <c r="A37" s="66" t="s">
        <v>80</v>
      </c>
      <c r="B37" s="66">
        <f>'M2'!B37-'M1'!B37</f>
        <v>8.0522999999999983E-2</v>
      </c>
      <c r="C37" s="66">
        <f>'M2'!C37-'M1'!C37</f>
        <v>9.4261000000000067E-3</v>
      </c>
      <c r="D37" s="66">
        <f>'M2'!D37-'M1'!D37</f>
        <v>-7.6828000000000007E-2</v>
      </c>
      <c r="E37" s="66">
        <f>'M2'!E37-'M1'!E37</f>
        <v>0</v>
      </c>
      <c r="F37" s="66">
        <f>'M2'!F37-'M1'!F37</f>
        <v>2.2270039999999998E-2</v>
      </c>
      <c r="G37" s="66">
        <f>'M2'!G37-'M1'!G37</f>
        <v>0</v>
      </c>
      <c r="H37" s="66">
        <f>'M2'!H37-'M1'!H37</f>
        <v>7.6567999999999969E-2</v>
      </c>
    </row>
    <row r="38" spans="1:8">
      <c r="A38" s="66" t="s">
        <v>81</v>
      </c>
      <c r="B38" s="66">
        <f>'M2'!B38-'M1'!B38</f>
        <v>-3.5953599999999999</v>
      </c>
      <c r="C38" s="66">
        <f>'M2'!C38-'M1'!C38</f>
        <v>-4.5330000000000013</v>
      </c>
      <c r="D38" s="66">
        <f>'M2'!D38-'M1'!D38</f>
        <v>4.8824199999999998</v>
      </c>
      <c r="E38" s="66">
        <f>'M2'!E38-'M1'!E38</f>
        <v>0</v>
      </c>
      <c r="F38" s="66">
        <f>'M2'!F38-'M1'!F38</f>
        <v>74.183999999999983</v>
      </c>
      <c r="G38" s="66">
        <f>'M2'!G38-'M1'!G38</f>
        <v>0</v>
      </c>
      <c r="H38" s="66">
        <f>'M2'!H38-'M1'!H38</f>
        <v>-10.205399999999997</v>
      </c>
    </row>
    <row r="39" spans="1:8">
      <c r="A39" s="66" t="s">
        <v>82</v>
      </c>
      <c r="B39" s="66">
        <f>'M2'!B39-'M1'!B39</f>
        <v>-0.16224000000000016</v>
      </c>
      <c r="C39" s="66">
        <f>'M2'!C39-'M1'!C39</f>
        <v>1.9427099999999999</v>
      </c>
      <c r="D39" s="66">
        <f>'M2'!D39-'M1'!D39</f>
        <v>-0.53439000000000014</v>
      </c>
      <c r="E39" s="66">
        <f>'M2'!E39-'M1'!E39</f>
        <v>0</v>
      </c>
      <c r="F39" s="66">
        <f>'M2'!F39-'M1'!F39</f>
        <v>-10.4785</v>
      </c>
      <c r="G39" s="66">
        <f>'M2'!G39-'M1'!G39</f>
        <v>0</v>
      </c>
      <c r="H39" s="66">
        <f>'M2'!H39-'M1'!H39</f>
        <v>2.9375800000000005</v>
      </c>
    </row>
    <row r="40" spans="1:8">
      <c r="A40" s="66" t="s">
        <v>83</v>
      </c>
      <c r="B40" s="66">
        <f>'M2'!B40-'M1'!B40</f>
        <v>-1.6276300000000001</v>
      </c>
      <c r="C40" s="66">
        <f>'M2'!C40-'M1'!C40</f>
        <v>0.88962400000000008</v>
      </c>
      <c r="D40" s="66">
        <f>'M2'!D40-'M1'!D40</f>
        <v>-0.16847000000000001</v>
      </c>
      <c r="E40" s="66">
        <f>'M2'!E40-'M1'!E40</f>
        <v>0</v>
      </c>
      <c r="F40" s="66">
        <f>'M2'!F40-'M1'!F40</f>
        <v>-1.4946200000000003</v>
      </c>
      <c r="G40" s="66">
        <f>'M2'!G40-'M1'!G40</f>
        <v>0</v>
      </c>
      <c r="H40" s="66">
        <f>'M2'!H40-'M1'!H40</f>
        <v>0.25299199999999988</v>
      </c>
    </row>
    <row r="41" spans="1:8">
      <c r="A41" s="66" t="s">
        <v>84</v>
      </c>
      <c r="B41" s="66">
        <f>'M2'!B41-'M1'!B41</f>
        <v>-8.6894999999999993E-3</v>
      </c>
      <c r="C41" s="66">
        <f>'M2'!C41-'M1'!C41</f>
        <v>-2.6546000000000014E-2</v>
      </c>
      <c r="D41" s="66">
        <f>'M2'!D41-'M1'!D41</f>
        <v>9.3472000000000008</v>
      </c>
      <c r="E41" s="66">
        <f>'M2'!E41-'M1'!E41</f>
        <v>0</v>
      </c>
      <c r="F41" s="66">
        <f>'M2'!F41-'M1'!F41</f>
        <v>0.13333300000000003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-1.8063999999999997E-2</v>
      </c>
      <c r="C42" s="66">
        <f>'M2'!C42-'M1'!C42</f>
        <v>-8.7816900000000003E-2</v>
      </c>
      <c r="D42" s="66">
        <f>'M2'!D42-'M1'!D42</f>
        <v>0.72151599999999994</v>
      </c>
      <c r="E42" s="66">
        <f>'M2'!E42-'M1'!E42</f>
        <v>0</v>
      </c>
      <c r="F42" s="66">
        <f>'M2'!F42-'M1'!F42</f>
        <v>0.46136299999999997</v>
      </c>
      <c r="G42" s="66">
        <f>'M2'!G42-'M1'!G42</f>
        <v>0</v>
      </c>
      <c r="H42" s="66">
        <f>'M2'!H42-'M1'!H42</f>
        <v>-0.17341000000000001</v>
      </c>
    </row>
    <row r="43" spans="1:8">
      <c r="A43" s="66" t="s">
        <v>86</v>
      </c>
      <c r="B43" s="66">
        <f>'M2'!B43-'M1'!B43</f>
        <v>8.203599999999997E-2</v>
      </c>
      <c r="C43" s="66">
        <f>'M2'!C43-'M1'!C43</f>
        <v>1.4469200000000008E-2</v>
      </c>
      <c r="D43" s="66">
        <f>'M2'!D43-'M1'!D43</f>
        <v>-0.134518</v>
      </c>
      <c r="E43" s="66">
        <f>'M2'!E43-'M1'!E43</f>
        <v>0</v>
      </c>
      <c r="F43" s="66">
        <f>'M2'!F43-'M1'!F43</f>
        <v>0.11277500000000001</v>
      </c>
      <c r="G43" s="66">
        <f>'M2'!G43-'M1'!G43</f>
        <v>0</v>
      </c>
      <c r="H43" s="66">
        <f>'M2'!H43-'M1'!H43</f>
        <v>7.0139200000000013E-2</v>
      </c>
    </row>
    <row r="44" spans="1:8">
      <c r="A44" s="66" t="s">
        <v>87</v>
      </c>
      <c r="B44" s="66">
        <f>'M2'!B44-'M1'!B44</f>
        <v>-2.9724799999999996</v>
      </c>
      <c r="C44" s="66">
        <f>'M2'!C44-'M1'!C44</f>
        <v>-0.77732000000000001</v>
      </c>
      <c r="D44" s="66">
        <f>'M2'!D44-'M1'!D44</f>
        <v>0.91328000000000009</v>
      </c>
      <c r="E44" s="66">
        <f>'M2'!E44-'M1'!E44</f>
        <v>0</v>
      </c>
      <c r="F44" s="66">
        <f>'M2'!F44-'M1'!F44</f>
        <v>-0.74660000000000082</v>
      </c>
      <c r="G44" s="66">
        <f>'M2'!G44-'M1'!G44</f>
        <v>0</v>
      </c>
      <c r="H44" s="66">
        <f>'M2'!H44-'M1'!H44</f>
        <v>-4.4878501999999996</v>
      </c>
    </row>
    <row r="45" spans="1:8">
      <c r="A45" s="66" t="s">
        <v>88</v>
      </c>
      <c r="B45" s="66">
        <f>'M2'!B45-'M1'!B45</f>
        <v>-1.9600000000000009</v>
      </c>
      <c r="C45" s="66">
        <f>'M2'!C45-'M1'!C45</f>
        <v>-2.8679699999999997</v>
      </c>
      <c r="D45" s="66">
        <f>'M2'!D45-'M1'!D45</f>
        <v>-5.2549999999999986E-2</v>
      </c>
      <c r="E45" s="66">
        <f>'M2'!E45-'M1'!E45</f>
        <v>0</v>
      </c>
      <c r="F45" s="66">
        <f>'M2'!F45-'M1'!F45</f>
        <v>8.3811000000000035</v>
      </c>
      <c r="G45" s="66">
        <f>'M2'!G45-'M1'!G45</f>
        <v>0</v>
      </c>
      <c r="H45" s="66">
        <f>'M2'!H45-'M1'!H45</f>
        <v>-4.0127999999999986</v>
      </c>
    </row>
    <row r="46" spans="1:8">
      <c r="A46" s="66" t="s">
        <v>89</v>
      </c>
      <c r="B46" s="66">
        <f>'M2'!B46-'M1'!B46</f>
        <v>-4.1100000000000136E-2</v>
      </c>
      <c r="C46" s="66">
        <f>'M2'!C46-'M1'!C46</f>
        <v>-0.82864000000000004</v>
      </c>
      <c r="D46" s="66">
        <f>'M2'!D46-'M1'!D46</f>
        <v>-3.2949999999999979E-2</v>
      </c>
      <c r="E46" s="66">
        <f>'M2'!E46-'M1'!E46</f>
        <v>0</v>
      </c>
      <c r="F46" s="66">
        <f>'M2'!F46-'M1'!F46</f>
        <v>7.6119000000000021</v>
      </c>
      <c r="G46" s="66">
        <f>'M2'!G46-'M1'!G46</f>
        <v>0</v>
      </c>
      <c r="H46" s="66">
        <f>'M2'!H46-'M1'!H46</f>
        <v>1.5779999999999994</v>
      </c>
    </row>
    <row r="47" spans="1:8">
      <c r="A47" s="66" t="s">
        <v>90</v>
      </c>
      <c r="B47" s="66">
        <f>'M2'!B47-'M1'!B47</f>
        <v>-0.110178</v>
      </c>
      <c r="C47" s="66">
        <f>'M2'!C47-'M1'!C47</f>
        <v>0.15097100000000002</v>
      </c>
      <c r="D47" s="66">
        <f>'M2'!D47-'M1'!D47</f>
        <v>0.48496099999999998</v>
      </c>
      <c r="E47" s="66">
        <f>'M2'!E47-'M1'!E47</f>
        <v>0</v>
      </c>
      <c r="F47" s="66">
        <f>'M2'!F47-'M1'!F47</f>
        <v>1.208999999999999E-2</v>
      </c>
      <c r="G47" s="66">
        <f>'M2'!G47-'M1'!G47</f>
        <v>0</v>
      </c>
      <c r="H47" s="66">
        <f>'M2'!H47-'M1'!H47</f>
        <v>0.8426800000000001</v>
      </c>
    </row>
    <row r="48" spans="1:8">
      <c r="A48" s="66" t="s">
        <v>91</v>
      </c>
      <c r="B48" s="66">
        <f>'M2'!B48-'M1'!B48</f>
        <v>-4.6768000000000032E-2</v>
      </c>
      <c r="C48" s="66">
        <f>'M2'!C48-'M1'!C48</f>
        <v>1.5295400000000001E-2</v>
      </c>
      <c r="D48" s="66">
        <f>'M2'!D48-'M1'!D48</f>
        <v>3.5233300000000009E-2</v>
      </c>
      <c r="E48" s="66">
        <f>'M2'!E48-'M1'!E48</f>
        <v>0</v>
      </c>
      <c r="F48" s="66">
        <f>'M2'!F48-'M1'!F48</f>
        <v>-6.0902000000000012E-2</v>
      </c>
      <c r="G48" s="66">
        <f>'M2'!G48-'M1'!G48</f>
        <v>0</v>
      </c>
      <c r="H48" s="66">
        <f>'M2'!H48-'M1'!H48</f>
        <v>-1.676500000000003E-2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32.115900000000003</v>
      </c>
      <c r="C5" s="66">
        <v>6.8575400000000002</v>
      </c>
      <c r="D5" s="66">
        <v>21.352499999999999</v>
      </c>
      <c r="E5" s="66">
        <v>20</v>
      </c>
      <c r="F5" s="66">
        <v>11.559200000000001</v>
      </c>
      <c r="G5" s="66">
        <v>50</v>
      </c>
      <c r="H5" s="66">
        <v>37.951700000000002</v>
      </c>
    </row>
    <row r="6" spans="1:8">
      <c r="A6" s="66" t="s">
        <v>358</v>
      </c>
      <c r="B6" s="66">
        <v>40.158299999999997</v>
      </c>
      <c r="C6" s="66">
        <v>3.25</v>
      </c>
      <c r="D6" s="66">
        <v>8.0929699999999993</v>
      </c>
      <c r="E6" s="66">
        <v>20</v>
      </c>
      <c r="F6" s="66">
        <v>34.969900000000003</v>
      </c>
      <c r="G6" s="66">
        <v>40</v>
      </c>
      <c r="H6" s="66">
        <v>49.390599999999999</v>
      </c>
    </row>
    <row r="7" spans="1:8">
      <c r="A7" s="66" t="s">
        <v>359</v>
      </c>
      <c r="B7" s="66">
        <v>35.826300000000003</v>
      </c>
      <c r="C7" s="66">
        <v>13.1534</v>
      </c>
      <c r="D7" s="66">
        <v>36.714500000000001</v>
      </c>
      <c r="E7" s="66">
        <v>15</v>
      </c>
      <c r="F7" s="66">
        <v>7.8326000000000002</v>
      </c>
      <c r="G7" s="66">
        <v>40</v>
      </c>
      <c r="H7" s="66">
        <v>50.731499999999997</v>
      </c>
    </row>
    <row r="8" spans="1:8">
      <c r="A8" s="66" t="s">
        <v>360</v>
      </c>
      <c r="B8" s="66">
        <v>35.386000000000003</v>
      </c>
      <c r="C8" s="66">
        <v>6.7936899999999998</v>
      </c>
      <c r="D8" s="66">
        <v>19.198799999999999</v>
      </c>
      <c r="E8" s="66">
        <v>20</v>
      </c>
      <c r="F8" s="66">
        <v>19.471</v>
      </c>
      <c r="G8" s="66">
        <v>50</v>
      </c>
      <c r="H8" s="66">
        <v>42.594999999999999</v>
      </c>
    </row>
    <row r="9" spans="1:8">
      <c r="A9" s="66" t="s">
        <v>361</v>
      </c>
      <c r="B9" s="66">
        <v>65.854200000000006</v>
      </c>
      <c r="C9" s="66">
        <v>4.3064099999999996</v>
      </c>
      <c r="D9" s="66">
        <v>6.5393100000000004</v>
      </c>
      <c r="E9" s="66">
        <v>50</v>
      </c>
      <c r="F9" s="66">
        <v>57.807699999999997</v>
      </c>
      <c r="G9" s="66">
        <v>100</v>
      </c>
      <c r="H9" s="66">
        <v>76.693200000000004</v>
      </c>
    </row>
    <row r="10" spans="1:8">
      <c r="A10" s="66" t="s">
        <v>362</v>
      </c>
      <c r="B10" s="66">
        <v>71.050899999999999</v>
      </c>
      <c r="C10" s="66">
        <v>8.1023899999999998</v>
      </c>
      <c r="D10" s="66">
        <v>11.403600000000001</v>
      </c>
      <c r="E10" s="66">
        <v>40</v>
      </c>
      <c r="F10" s="66">
        <v>40.5276</v>
      </c>
      <c r="G10" s="66">
        <v>100</v>
      </c>
      <c r="H10" s="66">
        <v>77.046099999999996</v>
      </c>
    </row>
    <row r="11" spans="1:8">
      <c r="A11" s="66" t="s">
        <v>363</v>
      </c>
      <c r="B11" s="66">
        <v>10.188000000000001</v>
      </c>
      <c r="C11" s="66">
        <v>2.5693700000000002</v>
      </c>
      <c r="D11" s="66">
        <v>25.2196</v>
      </c>
      <c r="E11" s="66">
        <v>10</v>
      </c>
      <c r="F11" s="66">
        <v>4.4343199999999996</v>
      </c>
      <c r="G11" s="66">
        <v>50</v>
      </c>
      <c r="H11" s="66">
        <v>13.616099999999999</v>
      </c>
    </row>
    <row r="12" spans="1:8">
      <c r="A12" s="66" t="s">
        <v>364</v>
      </c>
      <c r="B12" s="66">
        <v>66.967699999999994</v>
      </c>
      <c r="C12" s="66">
        <v>3.4146100000000001</v>
      </c>
      <c r="D12" s="66">
        <v>5.0988899999999999</v>
      </c>
      <c r="E12" s="66">
        <v>50</v>
      </c>
      <c r="F12" s="66">
        <v>52.999699999999997</v>
      </c>
      <c r="G12" s="66">
        <v>100</v>
      </c>
      <c r="H12" s="66">
        <v>71.121600000000001</v>
      </c>
    </row>
    <row r="13" spans="1:8">
      <c r="A13" s="66" t="s">
        <v>365</v>
      </c>
      <c r="B13" s="66">
        <v>15.727499999999999</v>
      </c>
      <c r="C13" s="66">
        <v>1.58595</v>
      </c>
      <c r="D13" s="66">
        <v>10.0839</v>
      </c>
      <c r="E13" s="66">
        <v>10</v>
      </c>
      <c r="F13" s="66">
        <v>13.115</v>
      </c>
      <c r="G13" s="66">
        <v>25</v>
      </c>
      <c r="H13" s="66">
        <v>19.4194</v>
      </c>
    </row>
    <row r="14" spans="1:8">
      <c r="A14" s="66" t="s">
        <v>366</v>
      </c>
      <c r="B14" s="66">
        <v>15.859500000000001</v>
      </c>
      <c r="C14" s="66">
        <v>5.47478</v>
      </c>
      <c r="D14" s="66">
        <v>34.520600000000002</v>
      </c>
      <c r="E14" s="66">
        <v>10</v>
      </c>
      <c r="F14" s="66">
        <v>0.14876600000000001</v>
      </c>
      <c r="G14" s="66">
        <v>50</v>
      </c>
      <c r="H14" s="66">
        <v>17.829599999999999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0.67010700000000001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0.74976799999999999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196">
        <v>4.8478900000000001E-5</v>
      </c>
      <c r="C20" s="66">
        <v>2.0175999999999999E-2</v>
      </c>
      <c r="D20" s="66">
        <v>416.18</v>
      </c>
      <c r="E20" s="66">
        <v>0</v>
      </c>
      <c r="F20" s="66">
        <v>0</v>
      </c>
      <c r="G20" s="66">
        <v>0</v>
      </c>
      <c r="H20" s="66">
        <v>0.55787799999999999</v>
      </c>
    </row>
    <row r="21" spans="1:8">
      <c r="A21" s="66" t="s">
        <v>373</v>
      </c>
      <c r="B21" s="66">
        <v>9.99127E-3</v>
      </c>
      <c r="C21" s="66">
        <v>0.114731</v>
      </c>
      <c r="D21" s="66">
        <v>11.4831</v>
      </c>
      <c r="E21" s="66">
        <v>0</v>
      </c>
      <c r="F21" s="196">
        <v>2.0565300000000001E-5</v>
      </c>
      <c r="G21" s="66">
        <v>0</v>
      </c>
      <c r="H21" s="66">
        <v>1.2151700000000001</v>
      </c>
    </row>
    <row r="22" spans="1:8">
      <c r="A22" s="66" t="s">
        <v>374</v>
      </c>
      <c r="B22" s="66">
        <v>22.464099999999998</v>
      </c>
      <c r="C22" s="66">
        <v>5.2453000000000003</v>
      </c>
      <c r="D22" s="66">
        <v>0.23349700000000001</v>
      </c>
      <c r="E22" s="66">
        <v>0</v>
      </c>
      <c r="F22" s="66">
        <v>11.2674</v>
      </c>
      <c r="G22" s="66">
        <v>0</v>
      </c>
      <c r="H22" s="66">
        <v>34.233800000000002</v>
      </c>
    </row>
    <row r="23" spans="1:8">
      <c r="A23" s="66" t="s">
        <v>375</v>
      </c>
      <c r="B23" s="66">
        <v>7.9384399999999999</v>
      </c>
      <c r="C23" s="66">
        <v>0.99821099999999996</v>
      </c>
      <c r="D23" s="66">
        <v>0.12574399999999999</v>
      </c>
      <c r="E23" s="66">
        <v>0</v>
      </c>
      <c r="F23" s="66">
        <v>5.6234799999999998</v>
      </c>
      <c r="G23" s="66">
        <v>0</v>
      </c>
      <c r="H23" s="66">
        <v>10.023300000000001</v>
      </c>
    </row>
    <row r="24" spans="1:8">
      <c r="A24" s="66" t="s">
        <v>376</v>
      </c>
      <c r="B24" s="196">
        <v>9.3844499999999999E-5</v>
      </c>
      <c r="C24" s="66">
        <v>7.9515300000000001E-3</v>
      </c>
      <c r="D24" s="66">
        <v>84.730900000000005</v>
      </c>
      <c r="E24" s="66">
        <v>0</v>
      </c>
      <c r="F24" s="196">
        <v>1.16451E-5</v>
      </c>
      <c r="G24" s="66">
        <v>0</v>
      </c>
      <c r="H24" s="66">
        <v>6.1675399999999998E-2</v>
      </c>
    </row>
    <row r="25" spans="1:8">
      <c r="A25" s="66" t="s">
        <v>377</v>
      </c>
      <c r="B25" s="66">
        <v>1.90192E-2</v>
      </c>
      <c r="C25" s="66">
        <v>3.92763E-2</v>
      </c>
      <c r="D25" s="66">
        <v>2.0650900000000001</v>
      </c>
      <c r="E25" s="66">
        <v>0</v>
      </c>
      <c r="F25" s="66">
        <v>2.6296000000000002E-3</v>
      </c>
      <c r="G25" s="66">
        <v>0</v>
      </c>
      <c r="H25" s="66">
        <v>0.16080800000000001</v>
      </c>
    </row>
    <row r="26" spans="1:8">
      <c r="A26" s="66" t="s">
        <v>378</v>
      </c>
      <c r="B26" s="196">
        <v>1.64128E-5</v>
      </c>
      <c r="C26" s="66">
        <v>2.4256500000000001E-3</v>
      </c>
      <c r="D26" s="66">
        <v>147.79</v>
      </c>
      <c r="E26" s="66">
        <v>0</v>
      </c>
      <c r="F26" s="66">
        <v>0</v>
      </c>
      <c r="G26" s="66">
        <v>0</v>
      </c>
      <c r="H26" s="66">
        <v>6.8503800000000004E-2</v>
      </c>
    </row>
    <row r="27" spans="1:8">
      <c r="A27" s="66" t="s">
        <v>379</v>
      </c>
      <c r="B27" s="66">
        <v>0</v>
      </c>
      <c r="C27" s="66">
        <v>3.2769800000000001E-3</v>
      </c>
      <c r="D27" s="66">
        <v>0</v>
      </c>
      <c r="E27" s="66">
        <v>0</v>
      </c>
      <c r="F27" s="66">
        <v>-6.8503800000000004E-2</v>
      </c>
      <c r="G27" s="66">
        <v>0</v>
      </c>
      <c r="H27" s="66">
        <v>6.8497199999999994E-2</v>
      </c>
    </row>
    <row r="28" spans="1:8">
      <c r="A28" s="66" t="s">
        <v>380</v>
      </c>
      <c r="B28" s="66">
        <v>2.2281900000000001E-3</v>
      </c>
      <c r="C28" s="66">
        <v>9.8757600000000008E-3</v>
      </c>
      <c r="D28" s="66">
        <v>4.4321900000000003</v>
      </c>
      <c r="E28" s="66">
        <v>0</v>
      </c>
      <c r="F28" s="196">
        <v>3.25521E-6</v>
      </c>
      <c r="G28" s="66">
        <v>0</v>
      </c>
      <c r="H28" s="66">
        <v>8.2750599999999994E-2</v>
      </c>
    </row>
    <row r="29" spans="1:8">
      <c r="A29" s="66" t="s">
        <v>381</v>
      </c>
      <c r="B29" s="66">
        <v>59.032899999999998</v>
      </c>
      <c r="C29" s="66">
        <v>12.0425</v>
      </c>
      <c r="D29" s="66">
        <v>0.20399700000000001</v>
      </c>
      <c r="E29" s="66">
        <v>0</v>
      </c>
      <c r="F29" s="66">
        <v>34.384799999999998</v>
      </c>
      <c r="G29" s="66">
        <v>0</v>
      </c>
      <c r="H29" s="66">
        <v>82.7059</v>
      </c>
    </row>
    <row r="30" spans="1:8">
      <c r="A30" s="66" t="s">
        <v>382</v>
      </c>
      <c r="B30" s="66">
        <v>10.6479</v>
      </c>
      <c r="C30" s="66">
        <v>2.15388</v>
      </c>
      <c r="D30" s="66">
        <v>0.20228099999999999</v>
      </c>
      <c r="E30" s="66">
        <v>0</v>
      </c>
      <c r="F30" s="66">
        <v>6.3787500000000001</v>
      </c>
      <c r="G30" s="66">
        <v>0</v>
      </c>
      <c r="H30" s="66">
        <v>15.386100000000001</v>
      </c>
    </row>
    <row r="31" spans="1:8">
      <c r="A31" s="66" t="s">
        <v>383</v>
      </c>
      <c r="B31" s="66">
        <v>42.005600000000001</v>
      </c>
      <c r="C31" s="66">
        <v>4.1769600000000002</v>
      </c>
      <c r="D31" s="66">
        <v>9.9438299999999993E-2</v>
      </c>
      <c r="E31" s="66">
        <v>0</v>
      </c>
      <c r="F31" s="66">
        <v>31.411200000000001</v>
      </c>
      <c r="G31" s="66">
        <v>0</v>
      </c>
      <c r="H31" s="66">
        <v>48.577300000000001</v>
      </c>
    </row>
    <row r="32" spans="1:8">
      <c r="A32" s="66" t="s">
        <v>384</v>
      </c>
      <c r="B32" s="66">
        <v>0.358263</v>
      </c>
      <c r="C32" s="66">
        <v>0.13153400000000001</v>
      </c>
      <c r="D32" s="66">
        <v>0.367145</v>
      </c>
      <c r="E32" s="66">
        <v>0.15</v>
      </c>
      <c r="F32" s="66">
        <v>7.8326000000000007E-2</v>
      </c>
      <c r="G32" s="66">
        <v>0.4</v>
      </c>
      <c r="H32" s="66">
        <v>0.50731499999999996</v>
      </c>
    </row>
    <row r="33" spans="1:8">
      <c r="A33" s="66" t="s">
        <v>385</v>
      </c>
      <c r="B33" s="66">
        <v>0.43201499999999998</v>
      </c>
      <c r="C33" s="66">
        <v>1.5844500000000001E-2</v>
      </c>
      <c r="D33" s="66">
        <v>3.6675800000000001E-2</v>
      </c>
      <c r="E33" s="66">
        <v>0</v>
      </c>
      <c r="F33" s="66">
        <v>0.35517100000000001</v>
      </c>
      <c r="G33" s="66">
        <v>0</v>
      </c>
      <c r="H33" s="66">
        <v>0.46769500000000003</v>
      </c>
    </row>
    <row r="34" spans="1:8">
      <c r="A34" s="66" t="s">
        <v>386</v>
      </c>
      <c r="B34" s="66">
        <v>0.157275</v>
      </c>
      <c r="C34" s="66">
        <v>1.5859499999999999E-2</v>
      </c>
      <c r="D34" s="66">
        <v>0.100839</v>
      </c>
      <c r="E34" s="66">
        <v>0.1</v>
      </c>
      <c r="F34" s="66">
        <v>0.13114999999999999</v>
      </c>
      <c r="G34" s="66">
        <v>0.25</v>
      </c>
      <c r="H34" s="66">
        <v>0.19419400000000001</v>
      </c>
    </row>
    <row r="35" spans="1:8">
      <c r="A35" s="66" t="s">
        <v>387</v>
      </c>
      <c r="B35" s="66">
        <v>6.7201700000000003E-2</v>
      </c>
      <c r="C35" s="66">
        <v>1.4595800000000001E-2</v>
      </c>
      <c r="D35" s="66">
        <v>0.217194</v>
      </c>
      <c r="E35" s="66">
        <v>0</v>
      </c>
      <c r="F35" s="66">
        <v>3.6875199999999997E-2</v>
      </c>
      <c r="G35" s="66">
        <v>0</v>
      </c>
      <c r="H35" s="66">
        <v>0.10279000000000001</v>
      </c>
    </row>
    <row r="36" spans="1:8">
      <c r="A36" s="66" t="s">
        <v>388</v>
      </c>
      <c r="B36" s="66">
        <v>0.14274100000000001</v>
      </c>
      <c r="C36" s="66">
        <v>7.0943300000000001E-2</v>
      </c>
      <c r="D36" s="66">
        <v>0.49700499999999997</v>
      </c>
      <c r="E36" s="66">
        <v>0</v>
      </c>
      <c r="F36" s="66">
        <v>4.4370899999999998E-2</v>
      </c>
      <c r="G36" s="66">
        <v>0</v>
      </c>
      <c r="H36" s="66">
        <v>0.417769</v>
      </c>
    </row>
    <row r="37" spans="1:8">
      <c r="A37" s="66" t="s">
        <v>389</v>
      </c>
      <c r="B37" s="66">
        <v>0.15859500000000001</v>
      </c>
      <c r="C37" s="66">
        <v>5.4747799999999999E-2</v>
      </c>
      <c r="D37" s="66">
        <v>0.34520600000000001</v>
      </c>
      <c r="E37" s="66">
        <v>0.1</v>
      </c>
      <c r="F37" s="66">
        <v>1.48766E-3</v>
      </c>
      <c r="G37" s="66">
        <v>0.5</v>
      </c>
      <c r="H37" s="66">
        <v>0.17829600000000001</v>
      </c>
    </row>
    <row r="38" spans="1:8">
      <c r="A38" s="66" t="s">
        <v>390</v>
      </c>
      <c r="B38" s="66">
        <v>-3.9926699999999999</v>
      </c>
      <c r="C38" s="66">
        <v>36.1081</v>
      </c>
      <c r="D38" s="66">
        <v>-9.04359</v>
      </c>
      <c r="E38" s="66">
        <v>0</v>
      </c>
      <c r="F38" s="66">
        <v>-168.08699999999999</v>
      </c>
      <c r="G38" s="66">
        <v>0</v>
      </c>
      <c r="H38" s="66">
        <v>77.426599999999993</v>
      </c>
    </row>
    <row r="39" spans="1:8">
      <c r="A39" s="66" t="s">
        <v>391</v>
      </c>
      <c r="B39" s="66">
        <v>-3.0615299999999999</v>
      </c>
      <c r="C39" s="66">
        <v>4.1501900000000003</v>
      </c>
      <c r="D39" s="66">
        <v>-1.3555999999999999</v>
      </c>
      <c r="E39" s="66">
        <v>0</v>
      </c>
      <c r="F39" s="66">
        <v>-17.4861</v>
      </c>
      <c r="G39" s="66">
        <v>0</v>
      </c>
      <c r="H39" s="66">
        <v>3.6196299999999999</v>
      </c>
    </row>
    <row r="40" spans="1:8">
      <c r="A40" s="66" t="s">
        <v>392</v>
      </c>
      <c r="B40" s="66">
        <v>-1.8986099999999999</v>
      </c>
      <c r="C40" s="66">
        <v>0.34476600000000002</v>
      </c>
      <c r="D40" s="66">
        <v>-0.181589</v>
      </c>
      <c r="E40" s="66">
        <v>0</v>
      </c>
      <c r="F40" s="66">
        <v>-2.4692699999999999</v>
      </c>
      <c r="G40" s="66">
        <v>0</v>
      </c>
      <c r="H40" s="66">
        <v>-1.0916999999999999</v>
      </c>
    </row>
    <row r="41" spans="1:8">
      <c r="A41" s="66" t="s">
        <v>393</v>
      </c>
      <c r="B41" s="66">
        <v>-1.8130400000000001E-2</v>
      </c>
      <c r="C41" s="66">
        <v>0.46767700000000001</v>
      </c>
      <c r="D41" s="66">
        <v>-25.795100000000001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-0.13745599999999999</v>
      </c>
      <c r="C42" s="66">
        <v>0.185613</v>
      </c>
      <c r="D42" s="66">
        <v>-1.3503499999999999</v>
      </c>
      <c r="E42" s="66">
        <v>0</v>
      </c>
      <c r="F42" s="66">
        <v>-0.84615399999999996</v>
      </c>
      <c r="G42" s="66">
        <v>0</v>
      </c>
      <c r="H42" s="66">
        <v>0.323162</v>
      </c>
    </row>
    <row r="43" spans="1:8">
      <c r="A43" s="66" t="s">
        <v>395</v>
      </c>
      <c r="B43" s="66">
        <v>-0.29063499999999998</v>
      </c>
      <c r="C43" s="66">
        <v>4.8149699999999997E-2</v>
      </c>
      <c r="D43" s="66">
        <v>-0.16567000000000001</v>
      </c>
      <c r="E43" s="66">
        <v>0</v>
      </c>
      <c r="F43" s="66">
        <v>-0.38931300000000002</v>
      </c>
      <c r="G43" s="66">
        <v>0</v>
      </c>
      <c r="H43" s="66">
        <v>-0.15248500000000001</v>
      </c>
    </row>
    <row r="44" spans="1:8">
      <c r="A44" s="66" t="s">
        <v>396</v>
      </c>
      <c r="B44" s="66">
        <v>-2.66635</v>
      </c>
      <c r="C44" s="66">
        <v>3.9222100000000002</v>
      </c>
      <c r="D44" s="66">
        <v>-1.4710000000000001</v>
      </c>
      <c r="E44" s="66">
        <v>0</v>
      </c>
      <c r="F44" s="66">
        <v>-11.138199999999999</v>
      </c>
      <c r="G44" s="66">
        <v>0</v>
      </c>
      <c r="H44" s="66">
        <v>4.51511</v>
      </c>
    </row>
    <row r="45" spans="1:8">
      <c r="A45" s="66" t="s">
        <v>397</v>
      </c>
      <c r="B45" s="66">
        <v>49.546799999999998</v>
      </c>
      <c r="C45" s="66">
        <v>9.2842599999999997</v>
      </c>
      <c r="D45" s="66">
        <v>0.187384</v>
      </c>
      <c r="E45" s="66">
        <v>0</v>
      </c>
      <c r="F45" s="66">
        <v>25.731999999999999</v>
      </c>
      <c r="G45" s="66">
        <v>0</v>
      </c>
      <c r="H45" s="66">
        <v>68.943200000000004</v>
      </c>
    </row>
    <row r="46" spans="1:8">
      <c r="A46" s="66" t="s">
        <v>398</v>
      </c>
      <c r="B46" s="66">
        <v>24.899000000000001</v>
      </c>
      <c r="C46" s="66">
        <v>5.8029900000000003</v>
      </c>
      <c r="D46" s="66">
        <v>0.23306099999999999</v>
      </c>
      <c r="E46" s="66">
        <v>0</v>
      </c>
      <c r="F46" s="66">
        <v>10.780799999999999</v>
      </c>
      <c r="G46" s="66">
        <v>0</v>
      </c>
      <c r="H46" s="66">
        <v>31.8535</v>
      </c>
    </row>
    <row r="47" spans="1:8">
      <c r="A47" s="66" t="s">
        <v>399</v>
      </c>
      <c r="B47" s="66">
        <v>0.513127</v>
      </c>
      <c r="C47" s="66">
        <v>0.206984</v>
      </c>
      <c r="D47" s="66">
        <v>0.40337800000000001</v>
      </c>
      <c r="E47" s="66">
        <v>0</v>
      </c>
      <c r="F47" s="66">
        <v>0.131554</v>
      </c>
      <c r="G47" s="66">
        <v>0</v>
      </c>
      <c r="H47" s="66">
        <v>1.1212299999999999</v>
      </c>
    </row>
    <row r="48" spans="1:8">
      <c r="A48" s="66" t="s">
        <v>400</v>
      </c>
      <c r="B48" s="66">
        <v>0.58139099999999999</v>
      </c>
      <c r="C48" s="66">
        <v>4.4019299999999997E-2</v>
      </c>
      <c r="D48" s="66">
        <v>7.5713699999999995E-2</v>
      </c>
      <c r="E48" s="66">
        <v>0</v>
      </c>
      <c r="F48" s="66">
        <v>0.49368000000000001</v>
      </c>
      <c r="G48" s="66">
        <v>0</v>
      </c>
      <c r="H48" s="66">
        <v>0.68391900000000005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29.210699999999999</v>
      </c>
      <c r="C5" s="66">
        <v>4.0895599999999996</v>
      </c>
      <c r="D5" s="66">
        <v>14.0002</v>
      </c>
      <c r="E5" s="66">
        <v>20</v>
      </c>
      <c r="F5" s="66">
        <v>21.22</v>
      </c>
      <c r="G5" s="66">
        <v>50</v>
      </c>
      <c r="H5" s="66">
        <v>34.986800000000002</v>
      </c>
    </row>
    <row r="6" spans="1:8">
      <c r="A6" s="66" t="s">
        <v>358</v>
      </c>
      <c r="B6" s="66">
        <v>33.775599999999997</v>
      </c>
      <c r="C6" s="66">
        <v>6.4397799999999998</v>
      </c>
      <c r="D6" s="66">
        <v>19.066400000000002</v>
      </c>
      <c r="E6" s="66">
        <v>20</v>
      </c>
      <c r="F6" s="66">
        <v>30.172699999999999</v>
      </c>
      <c r="G6" s="66">
        <v>40</v>
      </c>
      <c r="H6" s="66">
        <v>49.7318</v>
      </c>
    </row>
    <row r="7" spans="1:8">
      <c r="A7" s="66" t="s">
        <v>359</v>
      </c>
      <c r="B7" s="66">
        <v>43.849499999999999</v>
      </c>
      <c r="C7" s="66">
        <v>13.8081</v>
      </c>
      <c r="D7" s="66">
        <v>31.489599999999999</v>
      </c>
      <c r="E7" s="66">
        <v>15</v>
      </c>
      <c r="F7" s="66">
        <v>7.1391</v>
      </c>
      <c r="G7" s="66">
        <v>40</v>
      </c>
      <c r="H7" s="66">
        <v>51.239400000000003</v>
      </c>
    </row>
    <row r="8" spans="1:8">
      <c r="A8" s="66" t="s">
        <v>360</v>
      </c>
      <c r="B8" s="66">
        <v>33.896999999999998</v>
      </c>
      <c r="C8" s="66">
        <v>5.9381599999999999</v>
      </c>
      <c r="D8" s="66">
        <v>17.5183</v>
      </c>
      <c r="E8" s="66">
        <v>20</v>
      </c>
      <c r="F8" s="66">
        <v>24.082899999999999</v>
      </c>
      <c r="G8" s="66">
        <v>50</v>
      </c>
      <c r="H8" s="66">
        <v>43.297400000000003</v>
      </c>
    </row>
    <row r="9" spans="1:8">
      <c r="A9" s="66" t="s">
        <v>361</v>
      </c>
      <c r="B9" s="66">
        <v>63.681699999999999</v>
      </c>
      <c r="C9" s="66">
        <v>3.77759</v>
      </c>
      <c r="D9" s="66">
        <v>5.9319800000000003</v>
      </c>
      <c r="E9" s="66">
        <v>50</v>
      </c>
      <c r="F9" s="66">
        <v>52.701500000000003</v>
      </c>
      <c r="G9" s="66">
        <v>100</v>
      </c>
      <c r="H9" s="66">
        <v>70.430300000000003</v>
      </c>
    </row>
    <row r="10" spans="1:8">
      <c r="A10" s="66" t="s">
        <v>362</v>
      </c>
      <c r="B10" s="66">
        <v>68.865700000000004</v>
      </c>
      <c r="C10" s="66">
        <v>7.9100200000000003</v>
      </c>
      <c r="D10" s="66">
        <v>11.4861</v>
      </c>
      <c r="E10" s="66">
        <v>40</v>
      </c>
      <c r="F10" s="66">
        <v>50.350200000000001</v>
      </c>
      <c r="G10" s="66">
        <v>100</v>
      </c>
      <c r="H10" s="66">
        <v>71.033900000000003</v>
      </c>
    </row>
    <row r="11" spans="1:8">
      <c r="A11" s="66" t="s">
        <v>363</v>
      </c>
      <c r="B11" s="66">
        <v>10.809100000000001</v>
      </c>
      <c r="C11" s="66">
        <v>2.14</v>
      </c>
      <c r="D11" s="66">
        <v>19.798200000000001</v>
      </c>
      <c r="E11" s="66">
        <v>10</v>
      </c>
      <c r="F11" s="66">
        <v>8.6911699999999996</v>
      </c>
      <c r="G11" s="66">
        <v>50</v>
      </c>
      <c r="H11" s="66">
        <v>14.957000000000001</v>
      </c>
    </row>
    <row r="12" spans="1:8">
      <c r="A12" s="66" t="s">
        <v>364</v>
      </c>
      <c r="B12" s="66">
        <v>64.784199999999998</v>
      </c>
      <c r="C12" s="66">
        <v>3.7598799999999999</v>
      </c>
      <c r="D12" s="66">
        <v>5.8037000000000001</v>
      </c>
      <c r="E12" s="66">
        <v>50</v>
      </c>
      <c r="F12" s="66">
        <v>54.928699999999999</v>
      </c>
      <c r="G12" s="66">
        <v>100</v>
      </c>
      <c r="H12" s="66">
        <v>69.369100000000003</v>
      </c>
    </row>
    <row r="13" spans="1:8">
      <c r="A13" s="66" t="s">
        <v>365</v>
      </c>
      <c r="B13" s="66">
        <v>15.351100000000001</v>
      </c>
      <c r="C13" s="66">
        <v>2.3911799999999999</v>
      </c>
      <c r="D13" s="66">
        <v>15.576599999999999</v>
      </c>
      <c r="E13" s="66">
        <v>10</v>
      </c>
      <c r="F13" s="66">
        <v>12.157400000000001</v>
      </c>
      <c r="G13" s="66">
        <v>25</v>
      </c>
      <c r="H13" s="66">
        <v>23.074999999999999</v>
      </c>
    </row>
    <row r="14" spans="1:8">
      <c r="A14" s="66" t="s">
        <v>366</v>
      </c>
      <c r="B14" s="66">
        <v>23.911799999999999</v>
      </c>
      <c r="C14" s="66">
        <v>6.4173900000000001</v>
      </c>
      <c r="D14" s="66">
        <v>26.837800000000001</v>
      </c>
      <c r="E14" s="66">
        <v>10</v>
      </c>
      <c r="F14" s="66">
        <v>2.3757700000000002</v>
      </c>
      <c r="G14" s="66">
        <v>50</v>
      </c>
      <c r="H14" s="66">
        <v>25.4864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0.61298299999999994</v>
      </c>
      <c r="C18" s="66">
        <v>1.20211E-2</v>
      </c>
      <c r="D18" s="66">
        <v>1.9610800000000001E-2</v>
      </c>
      <c r="E18" s="66">
        <v>0</v>
      </c>
      <c r="F18" s="66">
        <v>0.600962</v>
      </c>
      <c r="G18" s="66">
        <v>0</v>
      </c>
      <c r="H18" s="66">
        <v>0.625004</v>
      </c>
    </row>
    <row r="19" spans="1:8">
      <c r="A19" s="66" t="s">
        <v>371</v>
      </c>
      <c r="B19" s="66">
        <v>0.72116499999999994</v>
      </c>
      <c r="C19" s="66">
        <v>1.52823E-2</v>
      </c>
      <c r="D19" s="66">
        <v>2.1191100000000001E-2</v>
      </c>
      <c r="E19" s="66">
        <v>0</v>
      </c>
      <c r="F19" s="66">
        <v>0.70588200000000001</v>
      </c>
      <c r="G19" s="66">
        <v>0</v>
      </c>
      <c r="H19" s="66">
        <v>0.73644699999999996</v>
      </c>
    </row>
    <row r="20" spans="1:8">
      <c r="A20" s="66" t="s">
        <v>372</v>
      </c>
      <c r="B20" s="196">
        <v>6.1853799999999994E-5</v>
      </c>
      <c r="C20" s="66">
        <v>1.6103900000000001E-2</v>
      </c>
      <c r="D20" s="66">
        <v>260.35399999999998</v>
      </c>
      <c r="E20" s="66">
        <v>0</v>
      </c>
      <c r="F20" s="66">
        <v>0</v>
      </c>
      <c r="G20" s="66">
        <v>0</v>
      </c>
      <c r="H20" s="66">
        <v>0.17641100000000001</v>
      </c>
    </row>
    <row r="21" spans="1:8">
      <c r="A21" s="66" t="s">
        <v>373</v>
      </c>
      <c r="B21" s="66">
        <v>7.5027999999999996E-3</v>
      </c>
      <c r="C21" s="66">
        <v>0.272561</v>
      </c>
      <c r="D21" s="66">
        <v>36.328000000000003</v>
      </c>
      <c r="E21" s="66">
        <v>0</v>
      </c>
      <c r="F21" s="66">
        <v>0</v>
      </c>
      <c r="G21" s="66">
        <v>0</v>
      </c>
      <c r="H21" s="66">
        <v>1.89039</v>
      </c>
    </row>
    <row r="22" spans="1:8">
      <c r="A22" s="66" t="s">
        <v>374</v>
      </c>
      <c r="B22" s="66">
        <v>21.2498</v>
      </c>
      <c r="C22" s="66">
        <v>15.994899999999999</v>
      </c>
      <c r="D22" s="66">
        <v>0.75270700000000001</v>
      </c>
      <c r="E22" s="66">
        <v>0</v>
      </c>
      <c r="F22" s="66">
        <v>12.4854</v>
      </c>
      <c r="G22" s="66">
        <v>0</v>
      </c>
      <c r="H22" s="66">
        <v>82.5017</v>
      </c>
    </row>
    <row r="23" spans="1:8">
      <c r="A23" s="66" t="s">
        <v>375</v>
      </c>
      <c r="B23" s="66">
        <v>12.566700000000001</v>
      </c>
      <c r="C23" s="66">
        <v>1.3013399999999999</v>
      </c>
      <c r="D23" s="66">
        <v>0.10355499999999999</v>
      </c>
      <c r="E23" s="66">
        <v>0</v>
      </c>
      <c r="F23" s="66">
        <v>8.2702399999999994</v>
      </c>
      <c r="G23" s="66">
        <v>0</v>
      </c>
      <c r="H23" s="66">
        <v>12.9222</v>
      </c>
    </row>
    <row r="24" spans="1:8">
      <c r="A24" s="66" t="s">
        <v>376</v>
      </c>
      <c r="B24" s="66">
        <v>1.2442700000000001E-4</v>
      </c>
      <c r="C24" s="66">
        <v>1.42326E-2</v>
      </c>
      <c r="D24" s="66">
        <v>114.38500000000001</v>
      </c>
      <c r="E24" s="66">
        <v>0</v>
      </c>
      <c r="F24" s="196">
        <v>1.47856E-5</v>
      </c>
      <c r="G24" s="66">
        <v>0</v>
      </c>
      <c r="H24" s="66">
        <v>0.121855</v>
      </c>
    </row>
    <row r="25" spans="1:8">
      <c r="A25" s="66" t="s">
        <v>377</v>
      </c>
      <c r="B25" s="66">
        <v>1.34412E-2</v>
      </c>
      <c r="C25" s="66">
        <v>0.190752</v>
      </c>
      <c r="D25" s="66">
        <v>14.191599999999999</v>
      </c>
      <c r="E25" s="66">
        <v>0</v>
      </c>
      <c r="F25" s="66">
        <v>3.4160699999999998E-3</v>
      </c>
      <c r="G25" s="66">
        <v>0</v>
      </c>
      <c r="H25" s="66">
        <v>0.84033599999999997</v>
      </c>
    </row>
    <row r="26" spans="1:8">
      <c r="A26" s="66" t="s">
        <v>378</v>
      </c>
      <c r="B26" s="196">
        <v>2.2977899999999999E-5</v>
      </c>
      <c r="C26" s="66">
        <v>1.7850400000000001E-3</v>
      </c>
      <c r="D26" s="66">
        <v>77.685000000000002</v>
      </c>
      <c r="E26" s="66">
        <v>0</v>
      </c>
      <c r="F26" s="66">
        <v>0</v>
      </c>
      <c r="G26" s="66">
        <v>0</v>
      </c>
      <c r="H26" s="66">
        <v>1.7893300000000001E-2</v>
      </c>
    </row>
    <row r="27" spans="1:8">
      <c r="A27" s="66" t="s">
        <v>379</v>
      </c>
      <c r="B27" s="66">
        <v>0</v>
      </c>
      <c r="C27" s="66">
        <v>4.3851799999999999E-4</v>
      </c>
      <c r="D27" s="66">
        <v>0</v>
      </c>
      <c r="E27" s="66">
        <v>0</v>
      </c>
      <c r="F27" s="66">
        <v>-4.2016800000000002E-3</v>
      </c>
      <c r="G27" s="66">
        <v>0</v>
      </c>
      <c r="H27" s="66">
        <v>4.0802299999999998E-3</v>
      </c>
    </row>
    <row r="28" spans="1:8">
      <c r="A28" s="66" t="s">
        <v>380</v>
      </c>
      <c r="B28" s="66">
        <v>1.8391900000000001E-3</v>
      </c>
      <c r="C28" s="66">
        <v>1.7439699999999999E-2</v>
      </c>
      <c r="D28" s="66">
        <v>9.4822799999999994</v>
      </c>
      <c r="E28" s="66">
        <v>0</v>
      </c>
      <c r="F28" s="66">
        <v>0</v>
      </c>
      <c r="G28" s="66">
        <v>0</v>
      </c>
      <c r="H28" s="66">
        <v>0.109128</v>
      </c>
    </row>
    <row r="29" spans="1:8">
      <c r="A29" s="66" t="s">
        <v>381</v>
      </c>
      <c r="B29" s="66">
        <v>61.098300000000002</v>
      </c>
      <c r="C29" s="66">
        <v>9.6371800000000007</v>
      </c>
      <c r="D29" s="66">
        <v>0.15773200000000001</v>
      </c>
      <c r="E29" s="66">
        <v>0</v>
      </c>
      <c r="F29" s="66">
        <v>44.047600000000003</v>
      </c>
      <c r="G29" s="66">
        <v>0</v>
      </c>
      <c r="H29" s="66">
        <v>89.107500000000002</v>
      </c>
    </row>
    <row r="30" spans="1:8">
      <c r="A30" s="66" t="s">
        <v>382</v>
      </c>
      <c r="B30" s="66">
        <v>14.7753</v>
      </c>
      <c r="C30" s="66">
        <v>3.3270900000000001</v>
      </c>
      <c r="D30" s="66">
        <v>0.22517999999999999</v>
      </c>
      <c r="E30" s="66">
        <v>0</v>
      </c>
      <c r="F30" s="66">
        <v>10.353999999999999</v>
      </c>
      <c r="G30" s="66">
        <v>0</v>
      </c>
      <c r="H30" s="66">
        <v>22.268699999999999</v>
      </c>
    </row>
    <row r="31" spans="1:8">
      <c r="A31" s="66" t="s">
        <v>383</v>
      </c>
      <c r="B31" s="66">
        <v>73.555599999999998</v>
      </c>
      <c r="C31" s="66">
        <v>13.731299999999999</v>
      </c>
      <c r="D31" s="66">
        <v>0.18667900000000001</v>
      </c>
      <c r="E31" s="66">
        <v>0</v>
      </c>
      <c r="F31" s="66">
        <v>42.390300000000003</v>
      </c>
      <c r="G31" s="66">
        <v>0</v>
      </c>
      <c r="H31" s="66">
        <v>76.709999999999994</v>
      </c>
    </row>
    <row r="32" spans="1:8">
      <c r="A32" s="66" t="s">
        <v>384</v>
      </c>
      <c r="B32" s="66">
        <v>0.43849500000000002</v>
      </c>
      <c r="C32" s="66">
        <v>0.13808100000000001</v>
      </c>
      <c r="D32" s="66">
        <v>0.31489600000000001</v>
      </c>
      <c r="E32" s="66">
        <v>0.15</v>
      </c>
      <c r="F32" s="66">
        <v>7.1390999999999996E-2</v>
      </c>
      <c r="G32" s="66">
        <v>0.4</v>
      </c>
      <c r="H32" s="66">
        <v>0.51239400000000002</v>
      </c>
    </row>
    <row r="33" spans="1:8">
      <c r="A33" s="66" t="s">
        <v>385</v>
      </c>
      <c r="B33" s="66">
        <v>0.17271300000000001</v>
      </c>
      <c r="C33" s="66">
        <v>0.121128</v>
      </c>
      <c r="D33" s="66">
        <v>0.701322</v>
      </c>
      <c r="E33" s="66">
        <v>0</v>
      </c>
      <c r="F33" s="66">
        <v>0.158634</v>
      </c>
      <c r="G33" s="66">
        <v>0</v>
      </c>
      <c r="H33" s="66">
        <v>0.47720400000000002</v>
      </c>
    </row>
    <row r="34" spans="1:8">
      <c r="A34" s="66" t="s">
        <v>386</v>
      </c>
      <c r="B34" s="66">
        <v>0.15351100000000001</v>
      </c>
      <c r="C34" s="66">
        <v>2.39118E-2</v>
      </c>
      <c r="D34" s="66">
        <v>0.15576599999999999</v>
      </c>
      <c r="E34" s="66">
        <v>0.1</v>
      </c>
      <c r="F34" s="66">
        <v>0.121574</v>
      </c>
      <c r="G34" s="66">
        <v>0.25</v>
      </c>
      <c r="H34" s="66">
        <v>0.23075000000000001</v>
      </c>
    </row>
    <row r="35" spans="1:8">
      <c r="A35" s="66" t="s">
        <v>387</v>
      </c>
      <c r="B35" s="66">
        <v>6.1780000000000002E-2</v>
      </c>
      <c r="C35" s="66">
        <v>1.6342499999999999E-2</v>
      </c>
      <c r="D35" s="66">
        <v>0.26452700000000001</v>
      </c>
      <c r="E35" s="66">
        <v>0</v>
      </c>
      <c r="F35" s="66">
        <v>2.4067999999999999E-2</v>
      </c>
      <c r="G35" s="66">
        <v>0</v>
      </c>
      <c r="H35" s="66">
        <v>0.105419</v>
      </c>
    </row>
    <row r="36" spans="1:8">
      <c r="A36" s="66" t="s">
        <v>388</v>
      </c>
      <c r="B36" s="66">
        <v>0.152923</v>
      </c>
      <c r="C36" s="66">
        <v>7.0151400000000003E-2</v>
      </c>
      <c r="D36" s="66">
        <v>0.45873799999999998</v>
      </c>
      <c r="E36" s="66">
        <v>0</v>
      </c>
      <c r="F36" s="66">
        <v>3.2318399999999997E-2</v>
      </c>
      <c r="G36" s="66">
        <v>0</v>
      </c>
      <c r="H36" s="66">
        <v>0.397399</v>
      </c>
    </row>
    <row r="37" spans="1:8">
      <c r="A37" s="66" t="s">
        <v>389</v>
      </c>
      <c r="B37" s="66">
        <v>0.239118</v>
      </c>
      <c r="C37" s="66">
        <v>6.4173900000000006E-2</v>
      </c>
      <c r="D37" s="66">
        <v>0.26837800000000001</v>
      </c>
      <c r="E37" s="66">
        <v>0.1</v>
      </c>
      <c r="F37" s="66">
        <v>2.37577E-2</v>
      </c>
      <c r="G37" s="66">
        <v>0.5</v>
      </c>
      <c r="H37" s="66">
        <v>0.25486399999999998</v>
      </c>
    </row>
    <row r="38" spans="1:8">
      <c r="A38" s="66" t="s">
        <v>390</v>
      </c>
      <c r="B38" s="66">
        <v>-7.5880299999999998</v>
      </c>
      <c r="C38" s="66">
        <v>31.575099999999999</v>
      </c>
      <c r="D38" s="66">
        <v>-4.1611700000000003</v>
      </c>
      <c r="E38" s="66">
        <v>0</v>
      </c>
      <c r="F38" s="66">
        <v>-93.903000000000006</v>
      </c>
      <c r="G38" s="66">
        <v>0</v>
      </c>
      <c r="H38" s="66">
        <v>67.221199999999996</v>
      </c>
    </row>
    <row r="39" spans="1:8">
      <c r="A39" s="66" t="s">
        <v>391</v>
      </c>
      <c r="B39" s="66">
        <v>-3.22377</v>
      </c>
      <c r="C39" s="66">
        <v>6.0929000000000002</v>
      </c>
      <c r="D39" s="66">
        <v>-1.8899900000000001</v>
      </c>
      <c r="E39" s="66">
        <v>0</v>
      </c>
      <c r="F39" s="66">
        <v>-27.964600000000001</v>
      </c>
      <c r="G39" s="66">
        <v>0</v>
      </c>
      <c r="H39" s="66">
        <v>6.5572100000000004</v>
      </c>
    </row>
    <row r="40" spans="1:8">
      <c r="A40" s="66" t="s">
        <v>392</v>
      </c>
      <c r="B40" s="66">
        <v>-3.52624</v>
      </c>
      <c r="C40" s="66">
        <v>1.2343900000000001</v>
      </c>
      <c r="D40" s="66">
        <v>-0.35005900000000001</v>
      </c>
      <c r="E40" s="66">
        <v>0</v>
      </c>
      <c r="F40" s="66">
        <v>-3.9638900000000001</v>
      </c>
      <c r="G40" s="66">
        <v>0</v>
      </c>
      <c r="H40" s="66">
        <v>-0.83870800000000001</v>
      </c>
    </row>
    <row r="41" spans="1:8">
      <c r="A41" s="66" t="s">
        <v>393</v>
      </c>
      <c r="B41" s="66">
        <v>-2.6819900000000001E-2</v>
      </c>
      <c r="C41" s="66">
        <v>0.441131</v>
      </c>
      <c r="D41" s="66">
        <v>-16.447900000000001</v>
      </c>
      <c r="E41" s="66">
        <v>0</v>
      </c>
      <c r="F41" s="66">
        <v>-0.86666699999999997</v>
      </c>
      <c r="G41" s="66">
        <v>0</v>
      </c>
      <c r="H41" s="66">
        <v>1</v>
      </c>
    </row>
    <row r="42" spans="1:8">
      <c r="A42" s="66" t="s">
        <v>394</v>
      </c>
      <c r="B42" s="66">
        <v>-0.15551999999999999</v>
      </c>
      <c r="C42" s="66">
        <v>9.7796099999999997E-2</v>
      </c>
      <c r="D42" s="66">
        <v>-0.628834</v>
      </c>
      <c r="E42" s="66">
        <v>0</v>
      </c>
      <c r="F42" s="66">
        <v>-0.38479099999999999</v>
      </c>
      <c r="G42" s="66">
        <v>0</v>
      </c>
      <c r="H42" s="66">
        <v>0.149752</v>
      </c>
    </row>
    <row r="43" spans="1:8">
      <c r="A43" s="66" t="s">
        <v>395</v>
      </c>
      <c r="B43" s="66">
        <v>-0.20859900000000001</v>
      </c>
      <c r="C43" s="66">
        <v>6.2618900000000005E-2</v>
      </c>
      <c r="D43" s="66">
        <v>-0.30018800000000001</v>
      </c>
      <c r="E43" s="66">
        <v>0</v>
      </c>
      <c r="F43" s="66">
        <v>-0.27653800000000001</v>
      </c>
      <c r="G43" s="66">
        <v>0</v>
      </c>
      <c r="H43" s="66">
        <v>-8.2345799999999997E-2</v>
      </c>
    </row>
    <row r="44" spans="1:8">
      <c r="A44" s="66" t="s">
        <v>396</v>
      </c>
      <c r="B44" s="66">
        <v>-5.6388299999999996</v>
      </c>
      <c r="C44" s="66">
        <v>3.1448900000000002</v>
      </c>
      <c r="D44" s="66">
        <v>-0.55771999999999999</v>
      </c>
      <c r="E44" s="66">
        <v>0</v>
      </c>
      <c r="F44" s="66">
        <v>-11.8848</v>
      </c>
      <c r="G44" s="66">
        <v>0</v>
      </c>
      <c r="H44" s="66">
        <v>2.7259800000000001E-2</v>
      </c>
    </row>
    <row r="45" spans="1:8">
      <c r="A45" s="66" t="s">
        <v>397</v>
      </c>
      <c r="B45" s="66">
        <v>47.586799999999997</v>
      </c>
      <c r="C45" s="66">
        <v>6.41629</v>
      </c>
      <c r="D45" s="66">
        <v>0.13483400000000001</v>
      </c>
      <c r="E45" s="66">
        <v>0</v>
      </c>
      <c r="F45" s="66">
        <v>34.113100000000003</v>
      </c>
      <c r="G45" s="66">
        <v>0</v>
      </c>
      <c r="H45" s="66">
        <v>64.930400000000006</v>
      </c>
    </row>
    <row r="46" spans="1:8">
      <c r="A46" s="66" t="s">
        <v>398</v>
      </c>
      <c r="B46" s="66">
        <v>24.857900000000001</v>
      </c>
      <c r="C46" s="66">
        <v>4.9743500000000003</v>
      </c>
      <c r="D46" s="66">
        <v>0.20011100000000001</v>
      </c>
      <c r="E46" s="66">
        <v>0</v>
      </c>
      <c r="F46" s="66">
        <v>18.392700000000001</v>
      </c>
      <c r="G46" s="66">
        <v>0</v>
      </c>
      <c r="H46" s="66">
        <v>33.4315</v>
      </c>
    </row>
    <row r="47" spans="1:8">
      <c r="A47" s="66" t="s">
        <v>399</v>
      </c>
      <c r="B47" s="66">
        <v>0.402949</v>
      </c>
      <c r="C47" s="66">
        <v>0.35795500000000002</v>
      </c>
      <c r="D47" s="66">
        <v>0.88833899999999999</v>
      </c>
      <c r="E47" s="66">
        <v>0</v>
      </c>
      <c r="F47" s="66">
        <v>0.14364399999999999</v>
      </c>
      <c r="G47" s="66">
        <v>0</v>
      </c>
      <c r="H47" s="66">
        <v>1.96391</v>
      </c>
    </row>
    <row r="48" spans="1:8">
      <c r="A48" s="66" t="s">
        <v>400</v>
      </c>
      <c r="B48" s="66">
        <v>0.53462299999999996</v>
      </c>
      <c r="C48" s="66">
        <v>5.9314699999999998E-2</v>
      </c>
      <c r="D48" s="66">
        <v>0.110947</v>
      </c>
      <c r="E48" s="66">
        <v>0</v>
      </c>
      <c r="F48" s="66">
        <v>0.432778</v>
      </c>
      <c r="G48" s="66">
        <v>0</v>
      </c>
      <c r="H48" s="66">
        <v>0.66715400000000002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52.936934654832783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1.0220793468586284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0.50107414505394932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26066</v>
      </c>
      <c r="B8" s="66">
        <v>26066</v>
      </c>
      <c r="D8">
        <f t="shared" si="0"/>
        <v>0.21354371477257833</v>
      </c>
      <c r="E8">
        <f t="shared" si="0"/>
        <v>0.21354371477257833</v>
      </c>
      <c r="G8">
        <f t="shared" ca="1" si="1"/>
        <v>6</v>
      </c>
      <c r="H8">
        <f t="shared" ca="1" si="2"/>
        <v>1.2812622886354701</v>
      </c>
      <c r="I8">
        <f t="shared" ca="1" si="3"/>
        <v>470.4529976871919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45604</v>
      </c>
      <c r="B10" s="66">
        <v>45604</v>
      </c>
      <c r="D10">
        <f t="shared" si="0"/>
        <v>0.37360728798007603</v>
      </c>
      <c r="E10">
        <f t="shared" si="0"/>
        <v>0.37360728798007603</v>
      </c>
      <c r="G10">
        <f t="shared" ca="1" si="1"/>
        <v>8</v>
      </c>
      <c r="H10">
        <f t="shared" ca="1" si="2"/>
        <v>2.9888583038406082</v>
      </c>
      <c r="I10">
        <f t="shared" ca="1" si="3"/>
        <v>754.43569355305681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50884</v>
      </c>
      <c r="B13" s="66">
        <v>50884</v>
      </c>
      <c r="D13">
        <f t="shared" si="0"/>
        <v>0.41686328483418533</v>
      </c>
      <c r="E13">
        <f t="shared" si="0"/>
        <v>0.41686328483418533</v>
      </c>
      <c r="G13">
        <f t="shared" ca="1" si="1"/>
        <v>11</v>
      </c>
      <c r="H13">
        <f t="shared" ca="1" si="2"/>
        <v>4.5854961331760382</v>
      </c>
      <c r="I13">
        <f t="shared" ca="1" si="3"/>
        <v>733.14016374846949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68710</v>
      </c>
      <c r="B15" s="66">
        <v>68710</v>
      </c>
      <c r="D15">
        <f t="shared" si="0"/>
        <v>0.56290142875868399</v>
      </c>
      <c r="E15">
        <f t="shared" si="0"/>
        <v>0.56290142875868399</v>
      </c>
      <c r="G15">
        <f t="shared" ca="1" si="1"/>
        <v>13</v>
      </c>
      <c r="H15">
        <f t="shared" ca="1" si="2"/>
        <v>7.3177185738628916</v>
      </c>
      <c r="I15">
        <f t="shared" ca="1" si="3"/>
        <v>897.80455897472973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74749</v>
      </c>
      <c r="B18" s="66">
        <v>74749</v>
      </c>
      <c r="D18">
        <f t="shared" si="0"/>
        <v>0.61237547516057156</v>
      </c>
      <c r="E18">
        <f t="shared" si="0"/>
        <v>0.61237547516057156</v>
      </c>
      <c r="G18">
        <f t="shared" ca="1" si="1"/>
        <v>16</v>
      </c>
      <c r="H18">
        <f t="shared" ca="1" si="2"/>
        <v>9.7980076025691449</v>
      </c>
      <c r="I18">
        <f t="shared" ca="1" si="3"/>
        <v>835.4866054249286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85903</v>
      </c>
      <c r="B21" s="66">
        <v>85903</v>
      </c>
      <c r="D21">
        <f t="shared" si="0"/>
        <v>0.70375376851487748</v>
      </c>
      <c r="E21">
        <f t="shared" si="0"/>
        <v>0.70375376851487748</v>
      </c>
      <c r="G21">
        <f t="shared" ca="1" si="1"/>
        <v>19</v>
      </c>
      <c r="H21">
        <f t="shared" ca="1" si="2"/>
        <v>13.371321601782672</v>
      </c>
      <c r="I21">
        <f t="shared" ca="1" si="3"/>
        <v>810.52414714522081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85812</v>
      </c>
      <c r="B23" s="66">
        <v>85812</v>
      </c>
      <c r="D23">
        <f t="shared" si="0"/>
        <v>0.70300825796303579</v>
      </c>
      <c r="E23">
        <f t="shared" si="0"/>
        <v>0.70300825796303579</v>
      </c>
      <c r="G23">
        <f t="shared" ca="1" si="1"/>
        <v>21</v>
      </c>
      <c r="H23">
        <f t="shared" ca="1" si="2"/>
        <v>14.763173417223751</v>
      </c>
      <c r="I23">
        <f t="shared" ca="1" si="3"/>
        <v>717.04578284473257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80440</v>
      </c>
      <c r="B26" s="66">
        <v>80440</v>
      </c>
      <c r="D26">
        <f t="shared" si="0"/>
        <v>0.65899855813343822</v>
      </c>
      <c r="E26">
        <f t="shared" si="0"/>
        <v>0.65899855813343822</v>
      </c>
      <c r="G26">
        <f t="shared" ca="1" si="1"/>
        <v>24</v>
      </c>
      <c r="H26">
        <f t="shared" ca="1" si="2"/>
        <v>15.815965395202518</v>
      </c>
      <c r="I26">
        <f t="shared" ca="1" si="3"/>
        <v>551.8099300352352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81418</v>
      </c>
      <c r="B28" s="66">
        <v>81418</v>
      </c>
      <c r="D28">
        <f t="shared" si="0"/>
        <v>0.66701074845982433</v>
      </c>
      <c r="E28">
        <f t="shared" si="0"/>
        <v>0.66701074845982433</v>
      </c>
      <c r="G28">
        <f t="shared" ca="1" si="1"/>
        <v>26</v>
      </c>
      <c r="H28">
        <f t="shared" ca="1" si="2"/>
        <v>17.342279459955432</v>
      </c>
      <c r="I28">
        <f t="shared" ca="1" si="3"/>
        <v>483.98196428112715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87898</v>
      </c>
      <c r="B31" s="66">
        <v>87898</v>
      </c>
      <c r="D31">
        <f t="shared" si="0"/>
        <v>0.72009765368986756</v>
      </c>
      <c r="E31">
        <f t="shared" si="0"/>
        <v>0.72009765368986756</v>
      </c>
      <c r="G31">
        <f t="shared" ca="1" si="1"/>
        <v>29</v>
      </c>
      <c r="H31">
        <f t="shared" ca="1" si="2"/>
        <v>20.882831957006161</v>
      </c>
      <c r="I31">
        <f t="shared" ca="1" si="3"/>
        <v>412.59927858490903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92777</v>
      </c>
      <c r="B33" s="66">
        <v>92777</v>
      </c>
      <c r="D33">
        <f t="shared" si="0"/>
        <v>0.76006848866168564</v>
      </c>
      <c r="E33">
        <f t="shared" si="0"/>
        <v>0.76006848866168564</v>
      </c>
      <c r="G33">
        <f t="shared" ca="1" si="1"/>
        <v>31</v>
      </c>
      <c r="H33">
        <f t="shared" ca="1" si="2"/>
        <v>23.562123148512256</v>
      </c>
      <c r="I33">
        <f t="shared" ca="1" si="3"/>
        <v>365.76707629547025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100034</v>
      </c>
      <c r="B36" s="66">
        <v>100034</v>
      </c>
      <c r="D36">
        <f t="shared" si="0"/>
        <v>0.81952090706514613</v>
      </c>
      <c r="E36">
        <f t="shared" si="0"/>
        <v>0.81952090706514613</v>
      </c>
      <c r="G36">
        <f t="shared" ca="1" si="1"/>
        <v>34</v>
      </c>
      <c r="H36">
        <f t="shared" ca="1" si="2"/>
        <v>27.863710840214967</v>
      </c>
      <c r="I36">
        <f t="shared" ca="1" si="3"/>
        <v>293.88633886273436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103742</v>
      </c>
      <c r="B39" s="66">
        <v>103742</v>
      </c>
      <c r="D39">
        <f t="shared" si="0"/>
        <v>0.84989841394678201</v>
      </c>
      <c r="E39">
        <f t="shared" si="0"/>
        <v>0.84989841394678201</v>
      </c>
      <c r="G39">
        <f t="shared" ca="1" si="1"/>
        <v>37</v>
      </c>
      <c r="H39">
        <f t="shared" ca="1" si="2"/>
        <v>31.446241316030935</v>
      </c>
      <c r="I39">
        <f t="shared" ca="1" si="3"/>
        <v>215.86220183979722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111571</v>
      </c>
      <c r="B41" s="66">
        <v>111571</v>
      </c>
      <c r="D41">
        <f t="shared" si="0"/>
        <v>0.91403689867610438</v>
      </c>
      <c r="E41">
        <f t="shared" si="0"/>
        <v>0.91403689867610438</v>
      </c>
      <c r="G41">
        <f t="shared" ca="1" si="1"/>
        <v>39</v>
      </c>
      <c r="H41">
        <f t="shared" ca="1" si="2"/>
        <v>35.647439048368071</v>
      </c>
      <c r="I41">
        <f t="shared" ca="1" si="3"/>
        <v>177.5408340122886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94987</v>
      </c>
      <c r="B44" s="66">
        <v>94987</v>
      </c>
      <c r="D44">
        <f t="shared" si="0"/>
        <v>0.77817374492069735</v>
      </c>
      <c r="E44">
        <f t="shared" si="0"/>
        <v>0.77817374492069735</v>
      </c>
      <c r="G44">
        <f t="shared" ca="1" si="1"/>
        <v>42</v>
      </c>
      <c r="H44">
        <f t="shared" ca="1" si="2"/>
        <v>32.683297286669287</v>
      </c>
      <c r="I44">
        <f t="shared" ca="1" si="3"/>
        <v>93.082450609290561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113354</v>
      </c>
      <c r="B46" s="66">
        <v>113354</v>
      </c>
      <c r="D46">
        <f t="shared" si="0"/>
        <v>0.9286439900380129</v>
      </c>
      <c r="E46">
        <f t="shared" si="0"/>
        <v>0.9286439900380129</v>
      </c>
      <c r="G46">
        <f t="shared" ca="1" si="1"/>
        <v>44</v>
      </c>
      <c r="H46">
        <f t="shared" ca="1" si="2"/>
        <v>40.860335561672571</v>
      </c>
      <c r="I46">
        <f t="shared" ca="1" si="3"/>
        <v>74.169682063177035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122064</v>
      </c>
      <c r="B49" s="66">
        <v>122064</v>
      </c>
      <c r="D49">
        <f t="shared" si="0"/>
        <v>1</v>
      </c>
      <c r="E49">
        <f t="shared" si="0"/>
        <v>1</v>
      </c>
      <c r="G49">
        <f t="shared" ca="1" si="1"/>
        <v>47</v>
      </c>
      <c r="H49">
        <f t="shared" ca="1" si="2"/>
        <v>47</v>
      </c>
      <c r="I49">
        <f t="shared" ca="1" si="3"/>
        <v>35.247193095754454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117817</v>
      </c>
      <c r="B51" s="66">
        <v>117817</v>
      </c>
      <c r="D51">
        <f t="shared" si="0"/>
        <v>0.9652067767728405</v>
      </c>
      <c r="E51">
        <f t="shared" si="0"/>
        <v>0.9652067767728405</v>
      </c>
      <c r="G51">
        <f t="shared" ca="1" si="1"/>
        <v>49</v>
      </c>
      <c r="H51">
        <f t="shared" ca="1" si="2"/>
        <v>47.295132061869182</v>
      </c>
      <c r="I51">
        <f t="shared" ca="1" si="3"/>
        <v>14.960178496925927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114402</v>
      </c>
      <c r="B54" s="66">
        <v>114402</v>
      </c>
      <c r="D54">
        <f t="shared" si="0"/>
        <v>0.93722965001966185</v>
      </c>
      <c r="E54">
        <f t="shared" si="0"/>
        <v>0.93722965001966185</v>
      </c>
      <c r="G54">
        <f t="shared" ca="1" si="1"/>
        <v>52</v>
      </c>
      <c r="H54">
        <f t="shared" ca="1" si="2"/>
        <v>48.735941801022413</v>
      </c>
      <c r="I54">
        <f t="shared" ca="1" si="3"/>
        <v>0.82274381241562466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119281</v>
      </c>
      <c r="B57" s="66">
        <v>119281</v>
      </c>
      <c r="D57">
        <f t="shared" si="0"/>
        <v>0.97720048499147993</v>
      </c>
      <c r="E57">
        <f t="shared" si="0"/>
        <v>0.97720048499147993</v>
      </c>
      <c r="G57">
        <f t="shared" ca="1" si="1"/>
        <v>55</v>
      </c>
      <c r="H57">
        <f t="shared" ca="1" si="2"/>
        <v>53.746026674531393</v>
      </c>
      <c r="I57">
        <f t="shared" ca="1" si="3"/>
        <v>4.1591984421691945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121801</v>
      </c>
      <c r="B59" s="66">
        <v>121801</v>
      </c>
      <c r="D59">
        <f t="shared" si="0"/>
        <v>0.99784539258094118</v>
      </c>
      <c r="E59">
        <f t="shared" si="0"/>
        <v>0.99784539258094118</v>
      </c>
      <c r="G59">
        <f t="shared" ca="1" si="1"/>
        <v>57</v>
      </c>
      <c r="H59">
        <f t="shared" ca="1" si="2"/>
        <v>56.87718737711365</v>
      </c>
      <c r="I59">
        <f t="shared" ca="1" si="3"/>
        <v>16.472930662523208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117361</v>
      </c>
      <c r="B62" s="66">
        <v>117361</v>
      </c>
      <c r="D62">
        <f t="shared" si="0"/>
        <v>0.96147103158998559</v>
      </c>
      <c r="E62">
        <f t="shared" si="0"/>
        <v>0.96147103158998559</v>
      </c>
      <c r="G62">
        <f t="shared" ca="1" si="1"/>
        <v>60</v>
      </c>
      <c r="H62">
        <f t="shared" ca="1" si="2"/>
        <v>57.688261895399137</v>
      </c>
      <c r="I62">
        <f t="shared" ca="1" si="3"/>
        <v>47.964801581459348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110722</v>
      </c>
      <c r="B64" s="66">
        <v>110722</v>
      </c>
      <c r="D64">
        <f t="shared" si="0"/>
        <v>0.90708153100013111</v>
      </c>
      <c r="E64">
        <f t="shared" si="0"/>
        <v>0.90708153100013111</v>
      </c>
      <c r="G64">
        <f t="shared" ca="1" si="1"/>
        <v>62</v>
      </c>
      <c r="H64">
        <f t="shared" ca="1" si="2"/>
        <v>56.23905492200813</v>
      </c>
      <c r="I64">
        <f t="shared" ca="1" si="3"/>
        <v>74.506909067180047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111393</v>
      </c>
      <c r="B67" s="66">
        <v>111393</v>
      </c>
      <c r="D67">
        <f t="shared" ref="D67:E130" si="4">IFERROR( A67/MAX(A$2:A$257), 0 )</f>
        <v>0.91257864726700744</v>
      </c>
      <c r="E67">
        <f t="shared" si="4"/>
        <v>0.91257864726700744</v>
      </c>
      <c r="G67">
        <f t="shared" ref="G67:G130" ca="1" si="5">CELL("row",D67)-2</f>
        <v>65</v>
      </c>
      <c r="H67">
        <f t="shared" ref="H67:H130" ca="1" si="6">D67*G67</f>
        <v>59.31761207235548</v>
      </c>
      <c r="I67">
        <f t="shared" ref="I67:I130" ca="1" si="7">D67*((G67-$L$1)^2)</f>
        <v>132.79620484587596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107121</v>
      </c>
      <c r="B69" s="66">
        <v>107121</v>
      </c>
      <c r="D69">
        <f t="shared" si="4"/>
        <v>0.87758061344868266</v>
      </c>
      <c r="E69">
        <f t="shared" si="4"/>
        <v>0.87758061344868266</v>
      </c>
      <c r="G69">
        <f t="shared" ca="1" si="5"/>
        <v>67</v>
      </c>
      <c r="H69">
        <f t="shared" ca="1" si="6"/>
        <v>58.79790110106174</v>
      </c>
      <c r="I69">
        <f t="shared" ca="1" si="7"/>
        <v>173.55894846307356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90356</v>
      </c>
      <c r="B72" s="66">
        <v>90356</v>
      </c>
      <c r="D72">
        <f t="shared" si="4"/>
        <v>0.74023463101323894</v>
      </c>
      <c r="E72">
        <f t="shared" si="4"/>
        <v>0.74023463101323894</v>
      </c>
      <c r="G72">
        <f t="shared" ca="1" si="5"/>
        <v>70</v>
      </c>
      <c r="H72">
        <f t="shared" ca="1" si="6"/>
        <v>51.816424170926723</v>
      </c>
      <c r="I72">
        <f t="shared" ca="1" si="7"/>
        <v>215.51797963727819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84506</v>
      </c>
      <c r="B75" s="66">
        <v>84506</v>
      </c>
      <c r="D75">
        <f t="shared" si="4"/>
        <v>0.69230895268056103</v>
      </c>
      <c r="E75">
        <f t="shared" si="4"/>
        <v>0.69230895268056103</v>
      </c>
      <c r="G75">
        <f t="shared" ca="1" si="5"/>
        <v>73</v>
      </c>
      <c r="H75">
        <f t="shared" ca="1" si="6"/>
        <v>50.538553545680955</v>
      </c>
      <c r="I75">
        <f t="shared" ca="1" si="7"/>
        <v>278.67276267205949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74421</v>
      </c>
      <c r="B77" s="66">
        <v>74421</v>
      </c>
      <c r="D77">
        <f t="shared" si="4"/>
        <v>0.60968836020448292</v>
      </c>
      <c r="E77">
        <f t="shared" si="4"/>
        <v>0.60968836020448292</v>
      </c>
      <c r="G77">
        <f t="shared" ca="1" si="5"/>
        <v>75</v>
      </c>
      <c r="H77">
        <f t="shared" ca="1" si="6"/>
        <v>45.72662701533622</v>
      </c>
      <c r="I77">
        <f t="shared" ca="1" si="7"/>
        <v>296.78340031729056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75380</v>
      </c>
      <c r="B80" s="66">
        <v>75380</v>
      </c>
      <c r="D80">
        <f t="shared" si="4"/>
        <v>0.61754489448158345</v>
      </c>
      <c r="E80">
        <f t="shared" si="4"/>
        <v>0.61754489448158345</v>
      </c>
      <c r="G80">
        <f t="shared" ca="1" si="5"/>
        <v>78</v>
      </c>
      <c r="H80">
        <f t="shared" ca="1" si="6"/>
        <v>48.168501769563512</v>
      </c>
      <c r="I80">
        <f t="shared" ca="1" si="7"/>
        <v>387.91529927019985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65892</v>
      </c>
      <c r="B82" s="66">
        <v>65892</v>
      </c>
      <c r="D82">
        <f t="shared" si="4"/>
        <v>0.53981517892253239</v>
      </c>
      <c r="E82">
        <f t="shared" si="4"/>
        <v>0.53981517892253239</v>
      </c>
      <c r="G82">
        <f t="shared" ca="1" si="5"/>
        <v>80</v>
      </c>
      <c r="H82">
        <f t="shared" ca="1" si="6"/>
        <v>43.185214313802589</v>
      </c>
      <c r="I82">
        <f t="shared" ca="1" si="7"/>
        <v>395.36576845944336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55044</v>
      </c>
      <c r="B85" s="66">
        <v>55044</v>
      </c>
      <c r="D85">
        <f t="shared" si="4"/>
        <v>0.45094376720408968</v>
      </c>
      <c r="E85">
        <f t="shared" si="4"/>
        <v>0.45094376720408968</v>
      </c>
      <c r="G85">
        <f t="shared" ca="1" si="5"/>
        <v>83</v>
      </c>
      <c r="H85">
        <f t="shared" ca="1" si="6"/>
        <v>37.428332677939444</v>
      </c>
      <c r="I85">
        <f t="shared" ca="1" si="7"/>
        <v>407.55751945404364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50355</v>
      </c>
      <c r="B88" s="66">
        <v>50355</v>
      </c>
      <c r="D88">
        <f t="shared" si="4"/>
        <v>0.41252949272512779</v>
      </c>
      <c r="E88">
        <f t="shared" si="4"/>
        <v>0.41252949272512779</v>
      </c>
      <c r="G88">
        <f t="shared" ca="1" si="5"/>
        <v>86</v>
      </c>
      <c r="H88">
        <f t="shared" ca="1" si="6"/>
        <v>35.477536374360987</v>
      </c>
      <c r="I88">
        <f t="shared" ca="1" si="7"/>
        <v>450.96333508566437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50504</v>
      </c>
      <c r="B90" s="66">
        <v>50504</v>
      </c>
      <c r="D90">
        <f t="shared" si="4"/>
        <v>0.41375016384847291</v>
      </c>
      <c r="E90">
        <f t="shared" si="4"/>
        <v>0.41375016384847291</v>
      </c>
      <c r="G90">
        <f t="shared" ca="1" si="5"/>
        <v>88</v>
      </c>
      <c r="H90">
        <f t="shared" ca="1" si="6"/>
        <v>36.410014418665618</v>
      </c>
      <c r="I90">
        <f t="shared" ca="1" si="7"/>
        <v>508.67212707988136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43496</v>
      </c>
      <c r="B93" s="66">
        <v>43496</v>
      </c>
      <c r="D93">
        <f t="shared" si="4"/>
        <v>0.35633765893301872</v>
      </c>
      <c r="E93">
        <f t="shared" si="4"/>
        <v>0.35633765893301872</v>
      </c>
      <c r="G93">
        <f t="shared" ca="1" si="5"/>
        <v>91</v>
      </c>
      <c r="H93">
        <f t="shared" ca="1" si="6"/>
        <v>32.426726962904702</v>
      </c>
      <c r="I93">
        <f t="shared" ca="1" si="7"/>
        <v>516.26091110558025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38158</v>
      </c>
      <c r="B95" s="66">
        <v>38158</v>
      </c>
      <c r="D95">
        <f t="shared" si="4"/>
        <v>0.31260650150740593</v>
      </c>
      <c r="E95">
        <f t="shared" si="4"/>
        <v>0.31260650150740593</v>
      </c>
      <c r="G95">
        <f t="shared" ca="1" si="5"/>
        <v>93</v>
      </c>
      <c r="H95">
        <f t="shared" ca="1" si="6"/>
        <v>29.072404640188751</v>
      </c>
      <c r="I95">
        <f t="shared" ca="1" si="7"/>
        <v>501.74881667575812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35137</v>
      </c>
      <c r="B98" s="66">
        <v>35137</v>
      </c>
      <c r="D98">
        <f t="shared" si="4"/>
        <v>0.28785718967099228</v>
      </c>
      <c r="E98">
        <f t="shared" si="4"/>
        <v>0.28785718967099228</v>
      </c>
      <c r="G98">
        <f t="shared" ca="1" si="5"/>
        <v>96</v>
      </c>
      <c r="H98">
        <f t="shared" ca="1" si="6"/>
        <v>27.634290208415258</v>
      </c>
      <c r="I98">
        <f t="shared" ca="1" si="7"/>
        <v>533.81031649833938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28529</v>
      </c>
      <c r="B100" s="66">
        <v>28529</v>
      </c>
      <c r="D100">
        <f t="shared" si="4"/>
        <v>0.23372165421418273</v>
      </c>
      <c r="E100">
        <f t="shared" si="4"/>
        <v>0.23372165421418273</v>
      </c>
      <c r="G100">
        <f t="shared" ca="1" si="5"/>
        <v>98</v>
      </c>
      <c r="H100">
        <f t="shared" ca="1" si="6"/>
        <v>22.904722112989909</v>
      </c>
      <c r="I100">
        <f t="shared" ca="1" si="7"/>
        <v>474.61385566195509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25606</v>
      </c>
      <c r="B103" s="66">
        <v>25606</v>
      </c>
      <c r="D103">
        <f t="shared" si="4"/>
        <v>0.20977519989513699</v>
      </c>
      <c r="E103">
        <f t="shared" si="4"/>
        <v>0.20977519989513699</v>
      </c>
      <c r="G103">
        <f t="shared" ca="1" si="5"/>
        <v>101</v>
      </c>
      <c r="H103">
        <f t="shared" ca="1" si="6"/>
        <v>21.187295189408836</v>
      </c>
      <c r="I103">
        <f t="shared" ca="1" si="7"/>
        <v>484.59293124157716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19837</v>
      </c>
      <c r="B106" s="66">
        <v>19837</v>
      </c>
      <c r="D106">
        <f t="shared" si="4"/>
        <v>0.16251310787783457</v>
      </c>
      <c r="E106">
        <f t="shared" si="4"/>
        <v>0.16251310787783457</v>
      </c>
      <c r="G106">
        <f t="shared" ca="1" si="5"/>
        <v>104</v>
      </c>
      <c r="H106">
        <f t="shared" ca="1" si="6"/>
        <v>16.901363219294794</v>
      </c>
      <c r="I106">
        <f t="shared" ca="1" si="7"/>
        <v>423.74263235825333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17063</v>
      </c>
      <c r="B108" s="66">
        <v>17063</v>
      </c>
      <c r="D108">
        <f t="shared" si="4"/>
        <v>0.13978732468213395</v>
      </c>
      <c r="E108">
        <f t="shared" si="4"/>
        <v>0.13978732468213395</v>
      </c>
      <c r="G108">
        <f t="shared" ca="1" si="5"/>
        <v>106</v>
      </c>
      <c r="H108">
        <f t="shared" ca="1" si="6"/>
        <v>14.817456416306198</v>
      </c>
      <c r="I108">
        <f t="shared" ca="1" si="7"/>
        <v>393.59761900293506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17485</v>
      </c>
      <c r="B111" s="66">
        <v>17485</v>
      </c>
      <c r="D111">
        <f t="shared" si="4"/>
        <v>0.14324452746100405</v>
      </c>
      <c r="E111">
        <f t="shared" si="4"/>
        <v>0.14324452746100405</v>
      </c>
      <c r="G111">
        <f t="shared" ca="1" si="5"/>
        <v>109</v>
      </c>
      <c r="H111">
        <f t="shared" ca="1" si="6"/>
        <v>15.613653493249442</v>
      </c>
      <c r="I111">
        <f t="shared" ca="1" si="7"/>
        <v>450.22718957882842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14891</v>
      </c>
      <c r="B113" s="66">
        <v>14891</v>
      </c>
      <c r="D113">
        <f t="shared" si="4"/>
        <v>0.12199338052169353</v>
      </c>
      <c r="E113">
        <f t="shared" si="4"/>
        <v>0.12199338052169353</v>
      </c>
      <c r="G113">
        <f t="shared" ca="1" si="5"/>
        <v>111</v>
      </c>
      <c r="H113">
        <f t="shared" ca="1" si="6"/>
        <v>13.541265237907982</v>
      </c>
      <c r="I113">
        <f t="shared" ca="1" si="7"/>
        <v>411.27866961113978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12537</v>
      </c>
      <c r="B116" s="66">
        <v>12537</v>
      </c>
      <c r="D116">
        <f t="shared" si="4"/>
        <v>0.1027084152575698</v>
      </c>
      <c r="E116">
        <f t="shared" si="4"/>
        <v>0.1027084152575698</v>
      </c>
      <c r="G116">
        <f t="shared" ca="1" si="5"/>
        <v>114</v>
      </c>
      <c r="H116">
        <f t="shared" ca="1" si="6"/>
        <v>11.708759339362956</v>
      </c>
      <c r="I116">
        <f t="shared" ca="1" si="7"/>
        <v>382.96865735169996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11424</v>
      </c>
      <c r="B118" s="66">
        <v>11424</v>
      </c>
      <c r="D118">
        <f t="shared" si="4"/>
        <v>9.3590247738891075E-2</v>
      </c>
      <c r="E118">
        <f t="shared" si="4"/>
        <v>9.3590247738891075E-2</v>
      </c>
      <c r="G118">
        <f t="shared" ca="1" si="5"/>
        <v>116</v>
      </c>
      <c r="H118">
        <f t="shared" ca="1" si="6"/>
        <v>10.856468737711365</v>
      </c>
      <c r="I118">
        <f t="shared" ca="1" si="7"/>
        <v>372.2037554673463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6513</v>
      </c>
      <c r="B121" s="66">
        <v>6513</v>
      </c>
      <c r="D121">
        <f t="shared" si="4"/>
        <v>5.3357255210381441E-2</v>
      </c>
      <c r="E121">
        <f t="shared" si="4"/>
        <v>5.3357255210381441E-2</v>
      </c>
      <c r="G121">
        <f t="shared" ca="1" si="5"/>
        <v>119</v>
      </c>
      <c r="H121">
        <f t="shared" ca="1" si="6"/>
        <v>6.3495133700353916</v>
      </c>
      <c r="I121">
        <f t="shared" ca="1" si="7"/>
        <v>232.8685950815582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4690</v>
      </c>
      <c r="B124" s="66">
        <v>4690</v>
      </c>
      <c r="D124">
        <f t="shared" si="4"/>
        <v>3.8422466902608469E-2</v>
      </c>
      <c r="E124">
        <f t="shared" si="4"/>
        <v>3.8422466902608469E-2</v>
      </c>
      <c r="G124">
        <f t="shared" ca="1" si="5"/>
        <v>122</v>
      </c>
      <c r="H124">
        <f t="shared" ca="1" si="6"/>
        <v>4.6875409621182333</v>
      </c>
      <c r="I124">
        <f t="shared" ca="1" si="7"/>
        <v>183.26390914556484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3767</v>
      </c>
      <c r="B126" s="66">
        <v>3767</v>
      </c>
      <c r="D126">
        <f t="shared" si="4"/>
        <v>3.0860859876785947E-2</v>
      </c>
      <c r="E126">
        <f t="shared" si="4"/>
        <v>3.0860859876785947E-2</v>
      </c>
      <c r="G126">
        <f t="shared" ca="1" si="5"/>
        <v>124</v>
      </c>
      <c r="H126">
        <f t="shared" ca="1" si="6"/>
        <v>3.8267466247214572</v>
      </c>
      <c r="I126">
        <f t="shared" ca="1" si="7"/>
        <v>155.84608499065592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3908</v>
      </c>
      <c r="B129" s="66">
        <v>3908</v>
      </c>
      <c r="D129">
        <f t="shared" si="4"/>
        <v>3.2015991610958187E-2</v>
      </c>
      <c r="E129">
        <f t="shared" si="4"/>
        <v>3.2015991610958187E-2</v>
      </c>
      <c r="G129">
        <f t="shared" ca="1" si="5"/>
        <v>127</v>
      </c>
      <c r="H129">
        <f t="shared" ca="1" si="6"/>
        <v>4.0660309345916898</v>
      </c>
      <c r="I129">
        <f t="shared" ca="1" si="7"/>
        <v>175.61852413196658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2624</v>
      </c>
      <c r="B131" s="66">
        <v>2624</v>
      </c>
      <c r="D131">
        <f t="shared" ref="D131:E194" si="8">IFERROR( A131/MAX(A$2:A$257), 0 )</f>
        <v>2.1496919648708875E-2</v>
      </c>
      <c r="E131">
        <f t="shared" si="8"/>
        <v>2.1496919648708875E-2</v>
      </c>
      <c r="G131">
        <f t="shared" ref="G131:G194" ca="1" si="9">CELL("row",D131)-2</f>
        <v>129</v>
      </c>
      <c r="H131">
        <f t="shared" ref="H131:H194" ca="1" si="10">D131*G131</f>
        <v>2.7731026346834446</v>
      </c>
      <c r="I131">
        <f t="shared" ref="I131:I194" ca="1" si="11">D131*((G131-$L$1)^2)</f>
        <v>124.37236140927004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2170</v>
      </c>
      <c r="B134" s="66">
        <v>2170</v>
      </c>
      <c r="D134">
        <f t="shared" si="8"/>
        <v>1.7777559313147201E-2</v>
      </c>
      <c r="E134">
        <f t="shared" si="8"/>
        <v>1.7777559313147201E-2</v>
      </c>
      <c r="G134">
        <f t="shared" ca="1" si="9"/>
        <v>132</v>
      </c>
      <c r="H134">
        <f t="shared" ca="1" si="10"/>
        <v>2.3466378293354304</v>
      </c>
      <c r="I134">
        <f t="shared" ca="1" si="11"/>
        <v>111.12695974939355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2201</v>
      </c>
      <c r="B136" s="66">
        <v>2201</v>
      </c>
      <c r="D136">
        <f t="shared" si="8"/>
        <v>1.803152444619216E-2</v>
      </c>
      <c r="E136">
        <f t="shared" si="8"/>
        <v>1.803152444619216E-2</v>
      </c>
      <c r="G136">
        <f t="shared" ca="1" si="9"/>
        <v>134</v>
      </c>
      <c r="H136">
        <f t="shared" ca="1" si="10"/>
        <v>2.4162242757897494</v>
      </c>
      <c r="I136">
        <f t="shared" ca="1" si="11"/>
        <v>118.48912422584729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1941</v>
      </c>
      <c r="B139" s="66">
        <v>1941</v>
      </c>
      <c r="D139">
        <f t="shared" si="8"/>
        <v>1.5901494298073141E-2</v>
      </c>
      <c r="E139">
        <f t="shared" si="8"/>
        <v>1.5901494298073141E-2</v>
      </c>
      <c r="G139">
        <f t="shared" ca="1" si="9"/>
        <v>137</v>
      </c>
      <c r="H139">
        <f t="shared" ca="1" si="10"/>
        <v>2.1785047188360203</v>
      </c>
      <c r="I139">
        <f t="shared" ca="1" si="11"/>
        <v>112.36948299329353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1029</v>
      </c>
      <c r="B142" s="66">
        <v>1029</v>
      </c>
      <c r="D142">
        <f t="shared" si="8"/>
        <v>8.4300039323633499E-3</v>
      </c>
      <c r="E142">
        <f t="shared" si="8"/>
        <v>8.4300039323633499E-3</v>
      </c>
      <c r="G142">
        <f t="shared" ca="1" si="9"/>
        <v>140</v>
      </c>
      <c r="H142">
        <f t="shared" ca="1" si="10"/>
        <v>1.180200550530869</v>
      </c>
      <c r="I142">
        <f t="shared" ca="1" si="11"/>
        <v>63.899238844937621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400</v>
      </c>
      <c r="B144" s="66">
        <v>400</v>
      </c>
      <c r="D144">
        <f t="shared" si="8"/>
        <v>3.2769694586446455E-3</v>
      </c>
      <c r="E144">
        <f t="shared" si="8"/>
        <v>3.2769694586446455E-3</v>
      </c>
      <c r="G144">
        <f t="shared" ca="1" si="9"/>
        <v>142</v>
      </c>
      <c r="H144">
        <f t="shared" ca="1" si="10"/>
        <v>0.46532966312753965</v>
      </c>
      <c r="I144">
        <f t="shared" ca="1" si="11"/>
        <v>25.993674166593021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0</v>
      </c>
      <c r="B147" s="66">
        <v>0</v>
      </c>
      <c r="D147">
        <f t="shared" si="8"/>
        <v>0</v>
      </c>
      <c r="E147">
        <f t="shared" si="8"/>
        <v>0</v>
      </c>
      <c r="G147">
        <f t="shared" ca="1" si="9"/>
        <v>145</v>
      </c>
      <c r="H147">
        <f t="shared" ca="1" si="10"/>
        <v>0</v>
      </c>
      <c r="I147">
        <f t="shared" ca="1" si="11"/>
        <v>0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0</v>
      </c>
      <c r="B149" s="66">
        <v>0</v>
      </c>
      <c r="D149">
        <f t="shared" si="8"/>
        <v>0</v>
      </c>
      <c r="E149">
        <f t="shared" si="8"/>
        <v>0</v>
      </c>
      <c r="G149">
        <f t="shared" ca="1" si="9"/>
        <v>147</v>
      </c>
      <c r="H149">
        <f t="shared" ca="1" si="10"/>
        <v>0</v>
      </c>
      <c r="I149">
        <f t="shared" ca="1" si="11"/>
        <v>0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0</v>
      </c>
      <c r="B152" s="66">
        <v>0</v>
      </c>
      <c r="D152">
        <f t="shared" si="8"/>
        <v>0</v>
      </c>
      <c r="E152">
        <f t="shared" si="8"/>
        <v>0</v>
      </c>
      <c r="G152">
        <f t="shared" ca="1" si="9"/>
        <v>150</v>
      </c>
      <c r="H152">
        <f t="shared" ca="1" si="10"/>
        <v>0</v>
      </c>
      <c r="I152">
        <f t="shared" ca="1" si="11"/>
        <v>0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0</v>
      </c>
      <c r="B154" s="66">
        <v>0</v>
      </c>
      <c r="D154">
        <f t="shared" si="8"/>
        <v>0</v>
      </c>
      <c r="E154">
        <f t="shared" si="8"/>
        <v>0</v>
      </c>
      <c r="G154">
        <f t="shared" ca="1" si="9"/>
        <v>152</v>
      </c>
      <c r="H154">
        <f t="shared" ca="1" si="10"/>
        <v>0</v>
      </c>
      <c r="I154">
        <f t="shared" ca="1" si="11"/>
        <v>0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0</v>
      </c>
      <c r="B157" s="66">
        <v>0</v>
      </c>
      <c r="D157">
        <f t="shared" si="8"/>
        <v>0</v>
      </c>
      <c r="E157">
        <f t="shared" si="8"/>
        <v>0</v>
      </c>
      <c r="G157">
        <f t="shared" ca="1" si="9"/>
        <v>155</v>
      </c>
      <c r="H157">
        <f t="shared" ca="1" si="10"/>
        <v>0</v>
      </c>
      <c r="I157">
        <f t="shared" ca="1" si="11"/>
        <v>0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0</v>
      </c>
      <c r="B160" s="66">
        <v>0</v>
      </c>
      <c r="D160">
        <f t="shared" si="8"/>
        <v>0</v>
      </c>
      <c r="E160">
        <f t="shared" si="8"/>
        <v>0</v>
      </c>
      <c r="G160">
        <f t="shared" ca="1" si="9"/>
        <v>158</v>
      </c>
      <c r="H160">
        <f t="shared" ca="1" si="10"/>
        <v>0</v>
      </c>
      <c r="I160">
        <f t="shared" ca="1" si="11"/>
        <v>0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0</v>
      </c>
      <c r="B162" s="66">
        <v>0</v>
      </c>
      <c r="D162">
        <f t="shared" si="8"/>
        <v>0</v>
      </c>
      <c r="E162">
        <f t="shared" si="8"/>
        <v>0</v>
      </c>
      <c r="G162">
        <f t="shared" ca="1" si="9"/>
        <v>160</v>
      </c>
      <c r="H162">
        <f t="shared" ca="1" si="10"/>
        <v>0</v>
      </c>
      <c r="I162">
        <f t="shared" ca="1" si="11"/>
        <v>0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0</v>
      </c>
      <c r="B165" s="66">
        <v>0</v>
      </c>
      <c r="D165">
        <f t="shared" si="8"/>
        <v>0</v>
      </c>
      <c r="E165">
        <f t="shared" si="8"/>
        <v>0</v>
      </c>
      <c r="G165">
        <f t="shared" ca="1" si="9"/>
        <v>163</v>
      </c>
      <c r="H165">
        <f t="shared" ca="1" si="10"/>
        <v>0</v>
      </c>
      <c r="I165">
        <f t="shared" ca="1" si="11"/>
        <v>0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0</v>
      </c>
      <c r="B167" s="66">
        <v>0</v>
      </c>
      <c r="D167">
        <f t="shared" si="8"/>
        <v>0</v>
      </c>
      <c r="E167">
        <f t="shared" si="8"/>
        <v>0</v>
      </c>
      <c r="G167">
        <f t="shared" ca="1" si="9"/>
        <v>165</v>
      </c>
      <c r="H167">
        <f t="shared" ca="1" si="10"/>
        <v>0</v>
      </c>
      <c r="I167">
        <f t="shared" ca="1" si="11"/>
        <v>0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50.772828239850938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0.98029588346809604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0.50850195898487283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18170</v>
      </c>
      <c r="B8" s="66">
        <v>18170</v>
      </c>
      <c r="D8">
        <f t="shared" si="0"/>
        <v>36.361089431870482</v>
      </c>
      <c r="E8">
        <f t="shared" si="1"/>
        <v>36.361089431870482</v>
      </c>
      <c r="G8">
        <f t="shared" ca="1" si="2"/>
        <v>6</v>
      </c>
      <c r="H8">
        <f t="shared" ca="1" si="3"/>
        <v>218.16653659122289</v>
      </c>
      <c r="I8">
        <f t="shared" ca="1" si="4"/>
        <v>72889.66344474729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33584</v>
      </c>
      <c r="B10" s="66">
        <v>33584</v>
      </c>
      <c r="D10">
        <f t="shared" si="0"/>
        <v>67.206980048428093</v>
      </c>
      <c r="E10">
        <f t="shared" si="1"/>
        <v>67.206980048428093</v>
      </c>
      <c r="G10">
        <f t="shared" ca="1" si="2"/>
        <v>8</v>
      </c>
      <c r="H10">
        <f t="shared" ca="1" si="3"/>
        <v>537.65584038742475</v>
      </c>
      <c r="I10">
        <f t="shared" ca="1" si="4"/>
        <v>122956.16705687773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33349</v>
      </c>
      <c r="B13" s="66">
        <v>33349</v>
      </c>
      <c r="D13">
        <f t="shared" si="0"/>
        <v>66.736707290228338</v>
      </c>
      <c r="E13">
        <f t="shared" si="1"/>
        <v>66.736707290228338</v>
      </c>
      <c r="G13">
        <f t="shared" ca="1" si="2"/>
        <v>11</v>
      </c>
      <c r="H13">
        <f t="shared" ca="1" si="3"/>
        <v>734.10378019251175</v>
      </c>
      <c r="I13">
        <f t="shared" ca="1" si="4"/>
        <v>105569.3201252591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39513</v>
      </c>
      <c r="B15" s="66">
        <v>39513</v>
      </c>
      <c r="D15">
        <f t="shared" si="0"/>
        <v>79.071861679774273</v>
      </c>
      <c r="E15">
        <f t="shared" si="1"/>
        <v>79.071861679774273</v>
      </c>
      <c r="G15">
        <f t="shared" ca="1" si="2"/>
        <v>13</v>
      </c>
      <c r="H15">
        <f t="shared" ca="1" si="3"/>
        <v>1027.9342018370655</v>
      </c>
      <c r="I15">
        <f t="shared" ca="1" si="4"/>
        <v>112818.66898414014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38957</v>
      </c>
      <c r="B18" s="66">
        <v>38957</v>
      </c>
      <c r="D18">
        <f t="shared" si="0"/>
        <v>77.959216345480385</v>
      </c>
      <c r="E18">
        <f t="shared" si="1"/>
        <v>77.959216345480385</v>
      </c>
      <c r="G18">
        <f t="shared" ca="1" si="2"/>
        <v>16</v>
      </c>
      <c r="H18">
        <f t="shared" ca="1" si="3"/>
        <v>1247.3474615276862</v>
      </c>
      <c r="I18">
        <f t="shared" ca="1" si="4"/>
        <v>94264.353997369486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44788</v>
      </c>
      <c r="B21" s="66">
        <v>44788</v>
      </c>
      <c r="D21">
        <f t="shared" si="0"/>
        <v>89.627984230853897</v>
      </c>
      <c r="E21">
        <f t="shared" si="1"/>
        <v>89.627984230853897</v>
      </c>
      <c r="G21">
        <f t="shared" ca="1" si="2"/>
        <v>19</v>
      </c>
      <c r="H21">
        <f t="shared" ca="1" si="3"/>
        <v>1702.9317003862241</v>
      </c>
      <c r="I21">
        <f t="shared" ca="1" si="4"/>
        <v>90480.580680622748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39425</v>
      </c>
      <c r="B23" s="66">
        <v>39425</v>
      </c>
      <c r="D23">
        <f t="shared" si="0"/>
        <v>78.895759540533504</v>
      </c>
      <c r="E23">
        <f t="shared" si="1"/>
        <v>78.895759540533504</v>
      </c>
      <c r="G23">
        <f t="shared" ca="1" si="2"/>
        <v>21</v>
      </c>
      <c r="H23">
        <f t="shared" ca="1" si="3"/>
        <v>1656.8109503512037</v>
      </c>
      <c r="I23">
        <f t="shared" ca="1" si="4"/>
        <v>69934.881846834789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39578</v>
      </c>
      <c r="B26" s="66">
        <v>39578</v>
      </c>
      <c r="D26">
        <f t="shared" si="0"/>
        <v>79.20193712353165</v>
      </c>
      <c r="E26">
        <f t="shared" si="1"/>
        <v>79.20193712353165</v>
      </c>
      <c r="G26">
        <f t="shared" ca="1" si="2"/>
        <v>24</v>
      </c>
      <c r="H26">
        <f t="shared" ca="1" si="3"/>
        <v>1900.8464909647596</v>
      </c>
      <c r="I26">
        <f t="shared" ca="1" si="4"/>
        <v>56770.707591072896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36978</v>
      </c>
      <c r="B28" s="66">
        <v>36978</v>
      </c>
      <c r="D28">
        <f t="shared" si="0"/>
        <v>73.998919373236475</v>
      </c>
      <c r="E28">
        <f t="shared" si="1"/>
        <v>73.998919373236475</v>
      </c>
      <c r="G28">
        <f t="shared" ca="1" si="2"/>
        <v>26</v>
      </c>
      <c r="H28">
        <f t="shared" ca="1" si="3"/>
        <v>1923.9719037041484</v>
      </c>
      <c r="I28">
        <f t="shared" ca="1" si="4"/>
        <v>45412.620232984635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38195</v>
      </c>
      <c r="B31" s="66">
        <v>38195</v>
      </c>
      <c r="D31">
        <f t="shared" si="0"/>
        <v>76.434331912509251</v>
      </c>
      <c r="E31">
        <f t="shared" si="1"/>
        <v>76.434331912509251</v>
      </c>
      <c r="G31">
        <f t="shared" ca="1" si="2"/>
        <v>29</v>
      </c>
      <c r="H31">
        <f t="shared" ca="1" si="3"/>
        <v>2216.5956254627681</v>
      </c>
      <c r="I31">
        <f t="shared" ca="1" si="4"/>
        <v>36234.157437358699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37896</v>
      </c>
      <c r="B33" s="66">
        <v>37896</v>
      </c>
      <c r="D33">
        <f t="shared" si="0"/>
        <v>75.835984871225307</v>
      </c>
      <c r="E33">
        <f t="shared" si="1"/>
        <v>75.835984871225307</v>
      </c>
      <c r="G33">
        <f t="shared" ca="1" si="2"/>
        <v>31</v>
      </c>
      <c r="H33">
        <f t="shared" ca="1" si="3"/>
        <v>2350.9155310079846</v>
      </c>
      <c r="I33">
        <f t="shared" ca="1" si="4"/>
        <v>29649.195850180902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37198</v>
      </c>
      <c r="B36" s="66">
        <v>37198</v>
      </c>
      <c r="D36">
        <f t="shared" si="0"/>
        <v>74.439174721338375</v>
      </c>
      <c r="E36">
        <f t="shared" si="1"/>
        <v>74.439174721338375</v>
      </c>
      <c r="G36">
        <f t="shared" ca="1" si="2"/>
        <v>34</v>
      </c>
      <c r="H36">
        <f t="shared" ca="1" si="3"/>
        <v>2530.9319405255046</v>
      </c>
      <c r="I36">
        <f t="shared" ca="1" si="4"/>
        <v>20941.806813850839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36844</v>
      </c>
      <c r="B39" s="66">
        <v>36844</v>
      </c>
      <c r="D39">
        <f t="shared" si="0"/>
        <v>73.730763843028953</v>
      </c>
      <c r="E39">
        <f t="shared" si="1"/>
        <v>73.730763843028953</v>
      </c>
      <c r="G39">
        <f t="shared" ca="1" si="2"/>
        <v>37</v>
      </c>
      <c r="H39">
        <f t="shared" ca="1" si="3"/>
        <v>2728.0382621920712</v>
      </c>
      <c r="I39">
        <f t="shared" ca="1" si="4"/>
        <v>13986.047410216126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36685</v>
      </c>
      <c r="B41" s="66">
        <v>36685</v>
      </c>
      <c r="D41">
        <f t="shared" si="0"/>
        <v>73.412579295991677</v>
      </c>
      <c r="E41">
        <f t="shared" si="1"/>
        <v>73.412579295991677</v>
      </c>
      <c r="G41">
        <f t="shared" ca="1" si="2"/>
        <v>39</v>
      </c>
      <c r="H41">
        <f t="shared" ca="1" si="3"/>
        <v>2863.0905925436755</v>
      </c>
      <c r="I41">
        <f t="shared" ca="1" si="4"/>
        <v>10174.945665696481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35609</v>
      </c>
      <c r="B44" s="66">
        <v>35609</v>
      </c>
      <c r="D44">
        <f t="shared" si="0"/>
        <v>71.259330411638757</v>
      </c>
      <c r="E44">
        <f t="shared" si="1"/>
        <v>71.259330411638757</v>
      </c>
      <c r="G44">
        <f t="shared" ca="1" si="2"/>
        <v>42</v>
      </c>
      <c r="H44">
        <f t="shared" ca="1" si="3"/>
        <v>2992.8918772888278</v>
      </c>
      <c r="I44">
        <f t="shared" ca="1" si="4"/>
        <v>5484.29730892098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41090</v>
      </c>
      <c r="B46" s="66">
        <v>41090</v>
      </c>
      <c r="D46">
        <f t="shared" si="0"/>
        <v>82.227692061395615</v>
      </c>
      <c r="E46">
        <f t="shared" si="1"/>
        <v>82.227692061395615</v>
      </c>
      <c r="G46">
        <f t="shared" ca="1" si="2"/>
        <v>44</v>
      </c>
      <c r="H46">
        <f t="shared" ca="1" si="3"/>
        <v>3618.0184507014069</v>
      </c>
      <c r="I46">
        <f t="shared" ca="1" si="4"/>
        <v>3771.8831026803618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46066</v>
      </c>
      <c r="B49" s="66">
        <v>46066</v>
      </c>
      <c r="D49">
        <f t="shared" si="0"/>
        <v>92.185467571191296</v>
      </c>
      <c r="E49">
        <f t="shared" si="1"/>
        <v>92.185467571191296</v>
      </c>
      <c r="G49">
        <f t="shared" ca="1" si="2"/>
        <v>47</v>
      </c>
      <c r="H49">
        <f t="shared" ca="1" si="3"/>
        <v>4332.7169758459913</v>
      </c>
      <c r="I49">
        <f t="shared" ca="1" si="4"/>
        <v>1312.1894179311578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45154</v>
      </c>
      <c r="B51" s="66">
        <v>45154</v>
      </c>
      <c r="D51">
        <f t="shared" si="0"/>
        <v>90.360409037241595</v>
      </c>
      <c r="E51">
        <f t="shared" si="1"/>
        <v>90.360409037241595</v>
      </c>
      <c r="G51">
        <f t="shared" ca="1" si="2"/>
        <v>49</v>
      </c>
      <c r="H51">
        <f t="shared" ca="1" si="3"/>
        <v>4427.6600428248385</v>
      </c>
      <c r="I51">
        <f t="shared" ca="1" si="4"/>
        <v>283.9955338809666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45899</v>
      </c>
      <c r="B54" s="66">
        <v>45899</v>
      </c>
      <c r="D54">
        <f t="shared" si="0"/>
        <v>91.851273738768484</v>
      </c>
      <c r="E54">
        <f t="shared" si="1"/>
        <v>91.851273738768484</v>
      </c>
      <c r="G54">
        <f t="shared" ca="1" si="2"/>
        <v>52</v>
      </c>
      <c r="H54">
        <f t="shared" ca="1" si="3"/>
        <v>4776.2662344159608</v>
      </c>
      <c r="I54">
        <f t="shared" ca="1" si="4"/>
        <v>138.32347426771193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45844</v>
      </c>
      <c r="B57" s="66">
        <v>45844</v>
      </c>
      <c r="D57">
        <f t="shared" si="0"/>
        <v>91.741209901743005</v>
      </c>
      <c r="E57">
        <f t="shared" si="1"/>
        <v>91.741209901743005</v>
      </c>
      <c r="G57">
        <f t="shared" ca="1" si="2"/>
        <v>55</v>
      </c>
      <c r="H57">
        <f t="shared" ca="1" si="3"/>
        <v>5045.7665445958655</v>
      </c>
      <c r="I57">
        <f t="shared" ca="1" si="4"/>
        <v>1639.3219448897762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48654</v>
      </c>
      <c r="B59" s="66">
        <v>48654</v>
      </c>
      <c r="D59">
        <f t="shared" si="0"/>
        <v>97.364471393408181</v>
      </c>
      <c r="E59">
        <f t="shared" si="1"/>
        <v>97.364471393408181</v>
      </c>
      <c r="G59">
        <f t="shared" ca="1" si="2"/>
        <v>57</v>
      </c>
      <c r="H59">
        <f t="shared" ca="1" si="3"/>
        <v>5549.7748694242664</v>
      </c>
      <c r="I59">
        <f t="shared" ca="1" si="4"/>
        <v>3775.5671593852094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49971</v>
      </c>
      <c r="B62" s="66">
        <v>49971</v>
      </c>
      <c r="D62">
        <f t="shared" si="0"/>
        <v>100</v>
      </c>
      <c r="E62">
        <f t="shared" si="1"/>
        <v>100</v>
      </c>
      <c r="G62">
        <f t="shared" ca="1" si="2"/>
        <v>60</v>
      </c>
      <c r="H62">
        <f t="shared" ca="1" si="3"/>
        <v>6000</v>
      </c>
      <c r="I62">
        <f t="shared" ca="1" si="4"/>
        <v>8514.0698691292346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43749</v>
      </c>
      <c r="B64" s="66">
        <v>43749</v>
      </c>
      <c r="D64">
        <f t="shared" si="0"/>
        <v>87.548778291409022</v>
      </c>
      <c r="E64">
        <f t="shared" si="1"/>
        <v>87.548778291409022</v>
      </c>
      <c r="G64">
        <f t="shared" ca="1" si="2"/>
        <v>62</v>
      </c>
      <c r="H64">
        <f t="shared" ca="1" si="3"/>
        <v>5428.0242540673589</v>
      </c>
      <c r="I64">
        <f t="shared" ca="1" si="4"/>
        <v>11035.46972520941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47331</v>
      </c>
      <c r="B67" s="66">
        <v>47331</v>
      </c>
      <c r="D67">
        <f t="shared" ref="D67:D130" si="5">IFERROR( 100*A67/MAX(A$2:A$257), 0 )</f>
        <v>94.716935822777216</v>
      </c>
      <c r="E67">
        <f t="shared" ref="E67:E130" si="6">IFERROR( 100*B67/MAX(B$2:B$257), 0 )</f>
        <v>94.716935822777216</v>
      </c>
      <c r="G67">
        <f t="shared" ref="G67:G130" ca="1" si="7">CELL("row",D67)-2</f>
        <v>65</v>
      </c>
      <c r="H67">
        <f t="shared" ref="H67:H130" ca="1" si="8">D67*G67</f>
        <v>6156.6008284805193</v>
      </c>
      <c r="I67">
        <f t="shared" ref="I67:I130" ca="1" si="9">D67*((G67-$L$1)^2)</f>
        <v>19171.883843736789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49099</v>
      </c>
      <c r="B69" s="66">
        <v>49099</v>
      </c>
      <c r="D69">
        <f t="shared" si="5"/>
        <v>98.254987892977923</v>
      </c>
      <c r="E69">
        <f t="shared" si="6"/>
        <v>98.254987892977923</v>
      </c>
      <c r="G69">
        <f t="shared" ca="1" si="7"/>
        <v>67</v>
      </c>
      <c r="H69">
        <f t="shared" ca="1" si="8"/>
        <v>6583.0841888295208</v>
      </c>
      <c r="I69">
        <f t="shared" ca="1" si="9"/>
        <v>25872.611819986763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40168</v>
      </c>
      <c r="B72" s="66">
        <v>40168</v>
      </c>
      <c r="D72">
        <f t="shared" si="5"/>
        <v>80.382621920714016</v>
      </c>
      <c r="E72">
        <f t="shared" si="6"/>
        <v>80.382621920714016</v>
      </c>
      <c r="G72">
        <f t="shared" ca="1" si="7"/>
        <v>70</v>
      </c>
      <c r="H72">
        <f t="shared" ca="1" si="8"/>
        <v>5626.7835344499808</v>
      </c>
      <c r="I72">
        <f t="shared" ca="1" si="9"/>
        <v>29716.179964910014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39109</v>
      </c>
      <c r="B75" s="66">
        <v>39109</v>
      </c>
      <c r="D75">
        <f t="shared" si="5"/>
        <v>78.263392767805328</v>
      </c>
      <c r="E75">
        <f t="shared" si="6"/>
        <v>78.263392767805328</v>
      </c>
      <c r="G75">
        <f t="shared" ca="1" si="7"/>
        <v>73</v>
      </c>
      <c r="H75">
        <f t="shared" ca="1" si="8"/>
        <v>5713.2276720497894</v>
      </c>
      <c r="I75">
        <f t="shared" ca="1" si="9"/>
        <v>38665.807277575317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34318</v>
      </c>
      <c r="B77" s="66">
        <v>34318</v>
      </c>
      <c r="D77">
        <f t="shared" si="5"/>
        <v>68.67583198254988</v>
      </c>
      <c r="E77">
        <f t="shared" si="6"/>
        <v>68.67583198254988</v>
      </c>
      <c r="G77">
        <f t="shared" ca="1" si="7"/>
        <v>75</v>
      </c>
      <c r="H77">
        <f t="shared" ca="1" si="8"/>
        <v>5150.6873986912415</v>
      </c>
      <c r="I77">
        <f t="shared" ca="1" si="9"/>
        <v>40309.681438497602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34385</v>
      </c>
      <c r="B80" s="66">
        <v>34385</v>
      </c>
      <c r="D80">
        <f t="shared" si="5"/>
        <v>68.809909747653634</v>
      </c>
      <c r="E80">
        <f t="shared" si="6"/>
        <v>68.809909747653634</v>
      </c>
      <c r="G80">
        <f t="shared" ca="1" si="7"/>
        <v>78</v>
      </c>
      <c r="H80">
        <f t="shared" ca="1" si="8"/>
        <v>5367.1729603169833</v>
      </c>
      <c r="I80">
        <f t="shared" ca="1" si="9"/>
        <v>51010.085368550164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28885</v>
      </c>
      <c r="B82" s="66">
        <v>28885</v>
      </c>
      <c r="D82">
        <f t="shared" si="5"/>
        <v>57.80352604510616</v>
      </c>
      <c r="E82">
        <f t="shared" si="6"/>
        <v>57.80352604510616</v>
      </c>
      <c r="G82">
        <f t="shared" ca="1" si="7"/>
        <v>80</v>
      </c>
      <c r="H82">
        <f t="shared" ca="1" si="8"/>
        <v>4624.2820836084929</v>
      </c>
      <c r="I82">
        <f t="shared" ca="1" si="9"/>
        <v>49377.365538760889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23884</v>
      </c>
      <c r="B85" s="66">
        <v>23884</v>
      </c>
      <c r="D85">
        <f t="shared" si="5"/>
        <v>47.795721518480718</v>
      </c>
      <c r="E85">
        <f t="shared" si="6"/>
        <v>47.795721518480718</v>
      </c>
      <c r="G85">
        <f t="shared" ca="1" si="7"/>
        <v>83</v>
      </c>
      <c r="H85">
        <f t="shared" ca="1" si="8"/>
        <v>3967.0448860338997</v>
      </c>
      <c r="I85">
        <f t="shared" ca="1" si="9"/>
        <v>49640.187072972789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22743</v>
      </c>
      <c r="B88" s="66">
        <v>22743</v>
      </c>
      <c r="D88">
        <f t="shared" si="5"/>
        <v>45.512397190370415</v>
      </c>
      <c r="E88">
        <f t="shared" si="6"/>
        <v>45.512397190370415</v>
      </c>
      <c r="G88">
        <f t="shared" ca="1" si="7"/>
        <v>86</v>
      </c>
      <c r="H88">
        <f t="shared" ca="1" si="8"/>
        <v>3914.0661583718556</v>
      </c>
      <c r="I88">
        <f t="shared" ca="1" si="9"/>
        <v>56478.774513361168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23420</v>
      </c>
      <c r="B90" s="66">
        <v>23420</v>
      </c>
      <c r="D90">
        <f t="shared" si="5"/>
        <v>46.867182966120353</v>
      </c>
      <c r="E90">
        <f t="shared" si="6"/>
        <v>46.867182966120353</v>
      </c>
      <c r="G90">
        <f t="shared" ca="1" si="7"/>
        <v>88</v>
      </c>
      <c r="H90">
        <f t="shared" ca="1" si="8"/>
        <v>4124.3121010185914</v>
      </c>
      <c r="I90">
        <f t="shared" ca="1" si="9"/>
        <v>64951.462788859077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18567</v>
      </c>
      <c r="B93" s="66">
        <v>18567</v>
      </c>
      <c r="D93">
        <f t="shared" si="5"/>
        <v>37.155550219127093</v>
      </c>
      <c r="E93">
        <f t="shared" si="6"/>
        <v>37.155550219127093</v>
      </c>
      <c r="G93">
        <f t="shared" ca="1" si="7"/>
        <v>91</v>
      </c>
      <c r="H93">
        <f t="shared" ca="1" si="8"/>
        <v>3381.1550699405657</v>
      </c>
      <c r="I93">
        <f t="shared" ca="1" si="9"/>
        <v>60126.053176810266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16262</v>
      </c>
      <c r="B95" s="66">
        <v>16262</v>
      </c>
      <c r="D95">
        <f t="shared" si="5"/>
        <v>32.542874867423109</v>
      </c>
      <c r="E95">
        <f t="shared" si="6"/>
        <v>32.542874867423109</v>
      </c>
      <c r="G95">
        <f t="shared" ca="1" si="7"/>
        <v>93</v>
      </c>
      <c r="H95">
        <f t="shared" ca="1" si="8"/>
        <v>3026.4873626703493</v>
      </c>
      <c r="I95">
        <f t="shared" ca="1" si="9"/>
        <v>58028.307768329039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14021</v>
      </c>
      <c r="B98" s="66">
        <v>14021</v>
      </c>
      <c r="D98">
        <f t="shared" si="5"/>
        <v>28.058273798803306</v>
      </c>
      <c r="E98">
        <f t="shared" si="6"/>
        <v>28.058273798803306</v>
      </c>
      <c r="G98">
        <f t="shared" ca="1" si="7"/>
        <v>96</v>
      </c>
      <c r="H98">
        <f t="shared" ca="1" si="8"/>
        <v>2693.5942846851176</v>
      </c>
      <c r="I98">
        <f t="shared" ca="1" si="9"/>
        <v>57393.11671625985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12367</v>
      </c>
      <c r="B100" s="66">
        <v>12367</v>
      </c>
      <c r="D100">
        <f t="shared" si="5"/>
        <v>24.7483540453463</v>
      </c>
      <c r="E100">
        <f t="shared" si="6"/>
        <v>24.7483540453463</v>
      </c>
      <c r="G100">
        <f t="shared" ca="1" si="7"/>
        <v>98</v>
      </c>
      <c r="H100">
        <f t="shared" ca="1" si="8"/>
        <v>2425.3386964439374</v>
      </c>
      <c r="I100">
        <f t="shared" ca="1" si="9"/>
        <v>55198.871226721967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9772</v>
      </c>
      <c r="B103" s="66">
        <v>9772</v>
      </c>
      <c r="D103">
        <f t="shared" si="5"/>
        <v>19.555342098417082</v>
      </c>
      <c r="E103">
        <f t="shared" si="6"/>
        <v>19.555342098417082</v>
      </c>
      <c r="G103">
        <f t="shared" ca="1" si="7"/>
        <v>101</v>
      </c>
      <c r="H103">
        <f t="shared" ca="1" si="8"/>
        <v>1975.0895519401254</v>
      </c>
      <c r="I103">
        <f t="shared" ca="1" si="9"/>
        <v>49333.606587232178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7606</v>
      </c>
      <c r="B106" s="66">
        <v>7606</v>
      </c>
      <c r="D106">
        <f t="shared" si="5"/>
        <v>15.220828080286566</v>
      </c>
      <c r="E106">
        <f t="shared" si="6"/>
        <v>15.220828080286566</v>
      </c>
      <c r="G106">
        <f t="shared" ca="1" si="7"/>
        <v>104</v>
      </c>
      <c r="H106">
        <f t="shared" ca="1" si="8"/>
        <v>1582.9661203498028</v>
      </c>
      <c r="I106">
        <f t="shared" ca="1" si="9"/>
        <v>43122.612263358787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6061</v>
      </c>
      <c r="B108" s="66">
        <v>6061</v>
      </c>
      <c r="D108">
        <f t="shared" si="5"/>
        <v>12.12903484020732</v>
      </c>
      <c r="E108">
        <f t="shared" si="6"/>
        <v>12.12903484020732</v>
      </c>
      <c r="G108">
        <f t="shared" ca="1" si="7"/>
        <v>106</v>
      </c>
      <c r="H108">
        <f t="shared" ca="1" si="8"/>
        <v>1285.6776930619758</v>
      </c>
      <c r="I108">
        <f t="shared" ca="1" si="9"/>
        <v>36994.047496124076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4658</v>
      </c>
      <c r="B111" s="66">
        <v>4658</v>
      </c>
      <c r="D111">
        <f t="shared" si="5"/>
        <v>9.3214064157211176</v>
      </c>
      <c r="E111">
        <f t="shared" si="6"/>
        <v>9.3214064157211176</v>
      </c>
      <c r="G111">
        <f t="shared" ca="1" si="7"/>
        <v>109</v>
      </c>
      <c r="H111">
        <f t="shared" ca="1" si="8"/>
        <v>1016.0332993136018</v>
      </c>
      <c r="I111">
        <f t="shared" ca="1" si="9"/>
        <v>31603.329227479786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4645</v>
      </c>
      <c r="B113" s="66">
        <v>4645</v>
      </c>
      <c r="D113">
        <f t="shared" si="5"/>
        <v>9.2953913269696429</v>
      </c>
      <c r="E113">
        <f t="shared" si="6"/>
        <v>9.2953913269696429</v>
      </c>
      <c r="G113">
        <f t="shared" ca="1" si="7"/>
        <v>111</v>
      </c>
      <c r="H113">
        <f t="shared" ca="1" si="8"/>
        <v>1031.7884372936303</v>
      </c>
      <c r="I113">
        <f t="shared" ca="1" si="9"/>
        <v>33717.286533513594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3986</v>
      </c>
      <c r="B116" s="66">
        <v>3986</v>
      </c>
      <c r="D116">
        <f t="shared" si="5"/>
        <v>7.9766264433371354</v>
      </c>
      <c r="E116">
        <f t="shared" si="6"/>
        <v>7.9766264433371354</v>
      </c>
      <c r="G116">
        <f t="shared" ca="1" si="7"/>
        <v>114</v>
      </c>
      <c r="H116">
        <f t="shared" ca="1" si="8"/>
        <v>909.33541454043348</v>
      </c>
      <c r="I116">
        <f t="shared" ca="1" si="9"/>
        <v>31887.962101351863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3133</v>
      </c>
      <c r="B118" s="66">
        <v>3133</v>
      </c>
      <c r="D118">
        <f t="shared" si="5"/>
        <v>6.2696363891056812</v>
      </c>
      <c r="E118">
        <f t="shared" si="6"/>
        <v>6.2696363891056812</v>
      </c>
      <c r="G118">
        <f t="shared" ca="1" si="7"/>
        <v>116</v>
      </c>
      <c r="H118">
        <f t="shared" ca="1" si="8"/>
        <v>727.27782113625904</v>
      </c>
      <c r="I118">
        <f t="shared" ca="1" si="9"/>
        <v>26674.694264571619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1127</v>
      </c>
      <c r="B121" s="66">
        <v>1127</v>
      </c>
      <c r="D121">
        <f t="shared" si="5"/>
        <v>2.2553080786856379</v>
      </c>
      <c r="E121">
        <f t="shared" si="6"/>
        <v>2.2553080786856379</v>
      </c>
      <c r="G121">
        <f t="shared" ca="1" si="7"/>
        <v>119</v>
      </c>
      <c r="H121">
        <f t="shared" ca="1" si="8"/>
        <v>268.38166136359092</v>
      </c>
      <c r="I121">
        <f t="shared" ca="1" si="9"/>
        <v>10498.339499150046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670</v>
      </c>
      <c r="B124" s="66">
        <v>670</v>
      </c>
      <c r="D124">
        <f t="shared" si="5"/>
        <v>1.3407776510376017</v>
      </c>
      <c r="E124">
        <f t="shared" si="6"/>
        <v>1.3407776510376017</v>
      </c>
      <c r="G124">
        <f t="shared" ca="1" si="7"/>
        <v>122</v>
      </c>
      <c r="H124">
        <f t="shared" ca="1" si="8"/>
        <v>163.5748734265874</v>
      </c>
      <c r="I124">
        <f t="shared" ca="1" si="9"/>
        <v>6802.1806606959035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647</v>
      </c>
      <c r="B126" s="66">
        <v>647</v>
      </c>
      <c r="D126">
        <f t="shared" si="5"/>
        <v>1.2947509555542214</v>
      </c>
      <c r="E126">
        <f t="shared" si="6"/>
        <v>1.2947509555542214</v>
      </c>
      <c r="G126">
        <f t="shared" ca="1" si="7"/>
        <v>124</v>
      </c>
      <c r="H126">
        <f t="shared" ca="1" si="8"/>
        <v>160.54911848872345</v>
      </c>
      <c r="I126">
        <f t="shared" ca="1" si="9"/>
        <v>6942.7377649872342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708</v>
      </c>
      <c r="B129" s="66">
        <v>708</v>
      </c>
      <c r="D129">
        <f t="shared" si="5"/>
        <v>1.416821756618839</v>
      </c>
      <c r="E129">
        <f t="shared" si="6"/>
        <v>1.416821756618839</v>
      </c>
      <c r="G129">
        <f t="shared" ca="1" si="7"/>
        <v>127</v>
      </c>
      <c r="H129">
        <f t="shared" ca="1" si="8"/>
        <v>179.93636309059255</v>
      </c>
      <c r="I129">
        <f t="shared" ca="1" si="9"/>
        <v>8232.5585917878307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600</v>
      </c>
      <c r="B131" s="66">
        <v>600</v>
      </c>
      <c r="D131">
        <f t="shared" ref="D131:D194" si="10">IFERROR( 100*A131/MAX(A$2:A$257), 0 )</f>
        <v>1.2006964039142702</v>
      </c>
      <c r="E131">
        <f t="shared" ref="E131:E194" si="11">IFERROR( 100*B131/MAX(B$2:B$257), 0 )</f>
        <v>1.2006964039142702</v>
      </c>
      <c r="G131">
        <f t="shared" ref="G131:G194" ca="1" si="12">CELL("row",D131)-2</f>
        <v>129</v>
      </c>
      <c r="H131">
        <f t="shared" ref="H131:H194" ca="1" si="13">D131*G131</f>
        <v>154.88983610494085</v>
      </c>
      <c r="I131">
        <f t="shared" ref="I131:I194" ca="1" si="14">D131*((G131-$L$1)^2)</f>
        <v>7347.6501189792434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741</v>
      </c>
      <c r="B134" s="66">
        <v>741</v>
      </c>
      <c r="D134">
        <f t="shared" si="10"/>
        <v>1.4828600588341239</v>
      </c>
      <c r="E134">
        <f t="shared" si="11"/>
        <v>1.4828600588341239</v>
      </c>
      <c r="G134">
        <f t="shared" ca="1" si="12"/>
        <v>132</v>
      </c>
      <c r="H134">
        <f t="shared" ca="1" si="13"/>
        <v>195.73752776610434</v>
      </c>
      <c r="I134">
        <f t="shared" ca="1" si="14"/>
        <v>9783.6933285809646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636</v>
      </c>
      <c r="B136" s="66">
        <v>636</v>
      </c>
      <c r="D136">
        <f t="shared" si="10"/>
        <v>1.2727381881491264</v>
      </c>
      <c r="E136">
        <f t="shared" si="11"/>
        <v>1.2727381881491264</v>
      </c>
      <c r="G136">
        <f t="shared" ca="1" si="12"/>
        <v>134</v>
      </c>
      <c r="H136">
        <f t="shared" ca="1" si="13"/>
        <v>170.54691721198293</v>
      </c>
      <c r="I136">
        <f t="shared" ca="1" si="14"/>
        <v>8815.9546693221509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435</v>
      </c>
      <c r="B139" s="66">
        <v>435</v>
      </c>
      <c r="D139">
        <f t="shared" si="10"/>
        <v>0.87050489283784593</v>
      </c>
      <c r="E139">
        <f t="shared" si="11"/>
        <v>0.87050489283784593</v>
      </c>
      <c r="G139">
        <f t="shared" ca="1" si="12"/>
        <v>137</v>
      </c>
      <c r="H139">
        <f t="shared" ca="1" si="13"/>
        <v>119.2591703187849</v>
      </c>
      <c r="I139">
        <f t="shared" ca="1" si="14"/>
        <v>6472.312821722795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0</v>
      </c>
      <c r="B142" s="66">
        <v>0</v>
      </c>
      <c r="D142">
        <f t="shared" si="10"/>
        <v>0</v>
      </c>
      <c r="E142">
        <f t="shared" si="11"/>
        <v>0</v>
      </c>
      <c r="G142">
        <f t="shared" ca="1" si="12"/>
        <v>140</v>
      </c>
      <c r="H142">
        <f t="shared" ca="1" si="13"/>
        <v>0</v>
      </c>
      <c r="I142">
        <f t="shared" ca="1" si="14"/>
        <v>0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0</v>
      </c>
      <c r="B144" s="66">
        <v>0</v>
      </c>
      <c r="D144">
        <f t="shared" si="10"/>
        <v>0</v>
      </c>
      <c r="E144">
        <f t="shared" si="11"/>
        <v>0</v>
      </c>
      <c r="G144">
        <f t="shared" ca="1" si="12"/>
        <v>142</v>
      </c>
      <c r="H144">
        <f t="shared" ca="1" si="13"/>
        <v>0</v>
      </c>
      <c r="I144">
        <f t="shared" ca="1" si="14"/>
        <v>0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0</v>
      </c>
      <c r="B147" s="66">
        <v>0</v>
      </c>
      <c r="D147">
        <f t="shared" si="10"/>
        <v>0</v>
      </c>
      <c r="E147">
        <f t="shared" si="11"/>
        <v>0</v>
      </c>
      <c r="G147">
        <f t="shared" ca="1" si="12"/>
        <v>145</v>
      </c>
      <c r="H147">
        <f t="shared" ca="1" si="13"/>
        <v>0</v>
      </c>
      <c r="I147">
        <f t="shared" ca="1" si="14"/>
        <v>0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0</v>
      </c>
      <c r="B149" s="66">
        <v>0</v>
      </c>
      <c r="D149">
        <f t="shared" si="10"/>
        <v>0</v>
      </c>
      <c r="E149">
        <f t="shared" si="11"/>
        <v>0</v>
      </c>
      <c r="G149">
        <f t="shared" ca="1" si="12"/>
        <v>147</v>
      </c>
      <c r="H149">
        <f t="shared" ca="1" si="13"/>
        <v>0</v>
      </c>
      <c r="I149">
        <f t="shared" ca="1" si="14"/>
        <v>0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54.795217062076432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1.05795811621803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0.4944203122743272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8634</v>
      </c>
      <c r="B8" s="66">
        <v>8634</v>
      </c>
      <c r="D8">
        <f t="shared" si="0"/>
        <v>11.136047051540009</v>
      </c>
      <c r="E8">
        <f t="shared" si="1"/>
        <v>11.136047051540009</v>
      </c>
      <c r="G8">
        <f t="shared" ca="1" si="2"/>
        <v>6</v>
      </c>
      <c r="H8">
        <f t="shared" ca="1" si="3"/>
        <v>66.816282309240052</v>
      </c>
      <c r="I8">
        <f t="shared" ca="1" si="4"/>
        <v>26514.629674249249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12436</v>
      </c>
      <c r="B10" s="66">
        <v>12436</v>
      </c>
      <c r="D10">
        <f t="shared" si="0"/>
        <v>16.039828715885054</v>
      </c>
      <c r="E10">
        <f t="shared" si="1"/>
        <v>16.039828715885054</v>
      </c>
      <c r="G10">
        <f t="shared" ca="1" si="2"/>
        <v>8</v>
      </c>
      <c r="H10">
        <f t="shared" ca="1" si="3"/>
        <v>128.31862972708043</v>
      </c>
      <c r="I10">
        <f t="shared" ca="1" si="4"/>
        <v>35123.894055142213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18132</v>
      </c>
      <c r="B13" s="66">
        <v>18132</v>
      </c>
      <c r="D13">
        <f t="shared" si="0"/>
        <v>23.38647268224733</v>
      </c>
      <c r="E13">
        <f t="shared" si="1"/>
        <v>23.38647268224733</v>
      </c>
      <c r="G13">
        <f t="shared" ca="1" si="2"/>
        <v>11</v>
      </c>
      <c r="H13">
        <f t="shared" ca="1" si="3"/>
        <v>257.2511995047206</v>
      </c>
      <c r="I13">
        <f t="shared" ca="1" si="4"/>
        <v>44855.746597805977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29935</v>
      </c>
      <c r="B15" s="66">
        <v>29935</v>
      </c>
      <c r="D15">
        <f t="shared" si="0"/>
        <v>38.609864314089663</v>
      </c>
      <c r="E15">
        <f t="shared" si="1"/>
        <v>38.609864314089663</v>
      </c>
      <c r="G15">
        <f t="shared" ca="1" si="2"/>
        <v>13</v>
      </c>
      <c r="H15">
        <f t="shared" ca="1" si="3"/>
        <v>501.92823608316564</v>
      </c>
      <c r="I15">
        <f t="shared" ca="1" si="4"/>
        <v>67445.26191376496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36951</v>
      </c>
      <c r="B18" s="66">
        <v>36951</v>
      </c>
      <c r="D18">
        <f t="shared" si="0"/>
        <v>47.659031109735338</v>
      </c>
      <c r="E18">
        <f t="shared" si="1"/>
        <v>47.659031109735338</v>
      </c>
      <c r="G18">
        <f t="shared" ca="1" si="2"/>
        <v>16</v>
      </c>
      <c r="H18">
        <f t="shared" ca="1" si="3"/>
        <v>762.54449775576541</v>
      </c>
      <c r="I18">
        <f t="shared" ca="1" si="4"/>
        <v>71730.12394957745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42207</v>
      </c>
      <c r="B21" s="66">
        <v>42207</v>
      </c>
      <c r="D21">
        <f t="shared" si="0"/>
        <v>54.438167466336481</v>
      </c>
      <c r="E21">
        <f t="shared" si="1"/>
        <v>54.438167466336481</v>
      </c>
      <c r="G21">
        <f t="shared" ca="1" si="2"/>
        <v>19</v>
      </c>
      <c r="H21">
        <f t="shared" ca="1" si="3"/>
        <v>1034.3251818603931</v>
      </c>
      <c r="I21">
        <f t="shared" ca="1" si="4"/>
        <v>69751.491391612406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47291</v>
      </c>
      <c r="B23" s="66">
        <v>47291</v>
      </c>
      <c r="D23">
        <f t="shared" si="0"/>
        <v>60.995459939121908</v>
      </c>
      <c r="E23">
        <f t="shared" si="1"/>
        <v>60.995459939121908</v>
      </c>
      <c r="G23">
        <f t="shared" ca="1" si="2"/>
        <v>21</v>
      </c>
      <c r="H23">
        <f t="shared" ca="1" si="3"/>
        <v>1280.9046587215601</v>
      </c>
      <c r="I23">
        <f t="shared" ca="1" si="4"/>
        <v>69663.933193313627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41619</v>
      </c>
      <c r="B26" s="66">
        <v>41619</v>
      </c>
      <c r="D26">
        <f t="shared" si="0"/>
        <v>53.679770933292062</v>
      </c>
      <c r="E26">
        <f t="shared" si="1"/>
        <v>53.679770933292062</v>
      </c>
      <c r="G26">
        <f t="shared" ca="1" si="2"/>
        <v>24</v>
      </c>
      <c r="H26">
        <f t="shared" ca="1" si="3"/>
        <v>1288.3145023990096</v>
      </c>
      <c r="I26">
        <f t="shared" ca="1" si="4"/>
        <v>50906.963510216287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45381</v>
      </c>
      <c r="B28" s="66">
        <v>45381</v>
      </c>
      <c r="D28">
        <f t="shared" si="0"/>
        <v>58.531960996749731</v>
      </c>
      <c r="E28">
        <f t="shared" si="1"/>
        <v>58.531960996749731</v>
      </c>
      <c r="G28">
        <f t="shared" ca="1" si="2"/>
        <v>26</v>
      </c>
      <c r="H28">
        <f t="shared" ca="1" si="3"/>
        <v>1521.8309859154931</v>
      </c>
      <c r="I28">
        <f t="shared" ca="1" si="4"/>
        <v>48532.625675357078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50810</v>
      </c>
      <c r="B31" s="66">
        <v>50810</v>
      </c>
      <c r="D31">
        <f t="shared" si="0"/>
        <v>65.534231027188767</v>
      </c>
      <c r="E31">
        <f t="shared" si="1"/>
        <v>65.534231027188767</v>
      </c>
      <c r="G31">
        <f t="shared" ca="1" si="2"/>
        <v>29</v>
      </c>
      <c r="H31">
        <f t="shared" ca="1" si="3"/>
        <v>1900.4926997884743</v>
      </c>
      <c r="I31">
        <f t="shared" ca="1" si="4"/>
        <v>43606.033218333665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56059</v>
      </c>
      <c r="B33" s="66">
        <v>56059</v>
      </c>
      <c r="D33">
        <f t="shared" si="0"/>
        <v>72.304338853634633</v>
      </c>
      <c r="E33">
        <f t="shared" si="1"/>
        <v>72.304338853634633</v>
      </c>
      <c r="G33">
        <f t="shared" ca="1" si="2"/>
        <v>31</v>
      </c>
      <c r="H33">
        <f t="shared" ca="1" si="3"/>
        <v>2241.4345044626734</v>
      </c>
      <c r="I33">
        <f t="shared" ca="1" si="4"/>
        <v>40939.609981300004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63669</v>
      </c>
      <c r="B36" s="66">
        <v>63669</v>
      </c>
      <c r="D36">
        <f t="shared" si="0"/>
        <v>82.119640922457819</v>
      </c>
      <c r="E36">
        <f t="shared" si="1"/>
        <v>82.119640922457819</v>
      </c>
      <c r="G36">
        <f t="shared" ca="1" si="2"/>
        <v>34</v>
      </c>
      <c r="H36">
        <f t="shared" ca="1" si="3"/>
        <v>2792.0677913635659</v>
      </c>
      <c r="I36">
        <f t="shared" ca="1" si="4"/>
        <v>35511.903964476471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67562</v>
      </c>
      <c r="B39" s="66">
        <v>67562</v>
      </c>
      <c r="D39">
        <f t="shared" si="0"/>
        <v>87.140793478821649</v>
      </c>
      <c r="E39">
        <f t="shared" si="1"/>
        <v>87.140793478821649</v>
      </c>
      <c r="G39">
        <f t="shared" ca="1" si="2"/>
        <v>37</v>
      </c>
      <c r="H39">
        <f t="shared" ca="1" si="3"/>
        <v>3224.2093587164009</v>
      </c>
      <c r="I39">
        <f t="shared" ca="1" si="4"/>
        <v>27594.853310698614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75844</v>
      </c>
      <c r="B41" s="66">
        <v>75844</v>
      </c>
      <c r="D41">
        <f t="shared" si="0"/>
        <v>97.822834442552747</v>
      </c>
      <c r="E41">
        <f t="shared" si="1"/>
        <v>97.822834442552747</v>
      </c>
      <c r="G41">
        <f t="shared" ca="1" si="2"/>
        <v>39</v>
      </c>
      <c r="H41">
        <f t="shared" ca="1" si="3"/>
        <v>3815.0905432595573</v>
      </c>
      <c r="I41">
        <f t="shared" ca="1" si="4"/>
        <v>24405.709602871648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60620</v>
      </c>
      <c r="B44" s="66">
        <v>60620</v>
      </c>
      <c r="D44">
        <f t="shared" si="0"/>
        <v>78.187071144817622</v>
      </c>
      <c r="E44">
        <f t="shared" si="1"/>
        <v>78.187071144817622</v>
      </c>
      <c r="G44">
        <f t="shared" ca="1" si="2"/>
        <v>42</v>
      </c>
      <c r="H44">
        <f t="shared" ca="1" si="3"/>
        <v>3283.8569880823402</v>
      </c>
      <c r="I44">
        <f t="shared" ca="1" si="4"/>
        <v>12800.598048975668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73459</v>
      </c>
      <c r="B46" s="66">
        <v>73459</v>
      </c>
      <c r="D46">
        <f t="shared" si="0"/>
        <v>94.746685239642986</v>
      </c>
      <c r="E46">
        <f t="shared" si="1"/>
        <v>94.746685239642986</v>
      </c>
      <c r="G46">
        <f t="shared" ca="1" si="2"/>
        <v>44</v>
      </c>
      <c r="H46">
        <f t="shared" ca="1" si="3"/>
        <v>4168.8541505442918</v>
      </c>
      <c r="I46">
        <f t="shared" ca="1" si="4"/>
        <v>11041.4671155224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77532</v>
      </c>
      <c r="B49" s="66">
        <v>77532</v>
      </c>
      <c r="D49">
        <f t="shared" si="0"/>
        <v>100</v>
      </c>
      <c r="E49">
        <f t="shared" si="1"/>
        <v>100</v>
      </c>
      <c r="G49">
        <f t="shared" ca="1" si="2"/>
        <v>47</v>
      </c>
      <c r="H49">
        <f t="shared" ca="1" si="3"/>
        <v>4700</v>
      </c>
      <c r="I49">
        <f t="shared" ca="1" si="4"/>
        <v>6076.5409044887519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74471</v>
      </c>
      <c r="B51" s="66">
        <v>74471</v>
      </c>
      <c r="D51">
        <f t="shared" si="0"/>
        <v>96.05195274209359</v>
      </c>
      <c r="E51">
        <f t="shared" si="1"/>
        <v>96.05195274209359</v>
      </c>
      <c r="G51">
        <f t="shared" ca="1" si="2"/>
        <v>49</v>
      </c>
      <c r="H51">
        <f t="shared" ca="1" si="3"/>
        <v>4706.5456843625861</v>
      </c>
      <c r="I51">
        <f t="shared" ca="1" si="4"/>
        <v>3225.8607254581884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71114</v>
      </c>
      <c r="B54" s="66">
        <v>71114</v>
      </c>
      <c r="D54">
        <f t="shared" si="0"/>
        <v>91.722127637620602</v>
      </c>
      <c r="E54">
        <f t="shared" si="1"/>
        <v>91.722127637620602</v>
      </c>
      <c r="G54">
        <f t="shared" ca="1" si="2"/>
        <v>52</v>
      </c>
      <c r="H54">
        <f t="shared" ca="1" si="3"/>
        <v>4769.5506371562715</v>
      </c>
      <c r="I54">
        <f t="shared" ca="1" si="4"/>
        <v>716.64685200058977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75902</v>
      </c>
      <c r="B57" s="66">
        <v>75902</v>
      </c>
      <c r="D57">
        <f t="shared" si="0"/>
        <v>97.897642263839444</v>
      </c>
      <c r="E57">
        <f t="shared" si="1"/>
        <v>97.897642263839444</v>
      </c>
      <c r="G57">
        <f t="shared" ca="1" si="2"/>
        <v>55</v>
      </c>
      <c r="H57">
        <f t="shared" ca="1" si="3"/>
        <v>5384.3703245111692</v>
      </c>
      <c r="I57">
        <f t="shared" ca="1" si="4"/>
        <v>4.1054405838196715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76740</v>
      </c>
      <c r="B59" s="66">
        <v>76740</v>
      </c>
      <c r="D59">
        <f t="shared" si="0"/>
        <v>98.978486302429971</v>
      </c>
      <c r="E59">
        <f t="shared" si="1"/>
        <v>98.978486302429971</v>
      </c>
      <c r="G59">
        <f t="shared" ca="1" si="2"/>
        <v>57</v>
      </c>
      <c r="H59">
        <f t="shared" ca="1" si="3"/>
        <v>5641.7737192385084</v>
      </c>
      <c r="I59">
        <f t="shared" ca="1" si="4"/>
        <v>481.14113298994016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70500</v>
      </c>
      <c r="B62" s="66">
        <v>70500</v>
      </c>
      <c r="D62">
        <f t="shared" si="0"/>
        <v>90.930196563999374</v>
      </c>
      <c r="E62">
        <f t="shared" si="1"/>
        <v>90.930196563999374</v>
      </c>
      <c r="G62">
        <f t="shared" ca="1" si="2"/>
        <v>60</v>
      </c>
      <c r="H62">
        <f t="shared" ca="1" si="3"/>
        <v>5455.8117938399628</v>
      </c>
      <c r="I62">
        <f t="shared" ca="1" si="4"/>
        <v>2463.2776955043983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69653</v>
      </c>
      <c r="B64" s="66">
        <v>69653</v>
      </c>
      <c r="D64">
        <f t="shared" si="0"/>
        <v>89.837744415209201</v>
      </c>
      <c r="E64">
        <f t="shared" si="1"/>
        <v>89.837744415209201</v>
      </c>
      <c r="G64">
        <f t="shared" ca="1" si="2"/>
        <v>62</v>
      </c>
      <c r="H64">
        <f t="shared" ca="1" si="3"/>
        <v>5569.9401537429703</v>
      </c>
      <c r="I64">
        <f t="shared" ca="1" si="4"/>
        <v>4663.378237965303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66230</v>
      </c>
      <c r="B67" s="66">
        <v>66230</v>
      </c>
      <c r="D67">
        <f t="shared" ref="D67:D130" si="5">IFERROR(100*A67/MAX(A$2:A$257), 0 )</f>
        <v>85.42279316927204</v>
      </c>
      <c r="E67">
        <f t="shared" ref="E67:E130" si="6">IFERROR(100*B67/MAX(B$2:B$257), 0 )</f>
        <v>85.42279316927204</v>
      </c>
      <c r="G67">
        <f t="shared" ref="G67:G130" ca="1" si="7">CELL("row",D67)-2</f>
        <v>65</v>
      </c>
      <c r="H67">
        <f t="shared" ref="H67:H130" ca="1" si="8">D67*G67</f>
        <v>5552.4815560026827</v>
      </c>
      <c r="I67">
        <f t="shared" ref="I67:I130" ca="1" si="9">D67*((G67-$L$1)^2)</f>
        <v>8895.7242226117014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61159</v>
      </c>
      <c r="B69" s="66">
        <v>61159</v>
      </c>
      <c r="D69">
        <f t="shared" si="5"/>
        <v>78.882267966775004</v>
      </c>
      <c r="E69">
        <f t="shared" si="6"/>
        <v>78.882267966775004</v>
      </c>
      <c r="G69">
        <f t="shared" ca="1" si="7"/>
        <v>67</v>
      </c>
      <c r="H69">
        <f t="shared" ca="1" si="8"/>
        <v>5285.1119537739251</v>
      </c>
      <c r="I69">
        <f t="shared" ca="1" si="9"/>
        <v>11750.044420103924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52514</v>
      </c>
      <c r="B72" s="66">
        <v>52514</v>
      </c>
      <c r="D72">
        <f t="shared" si="5"/>
        <v>67.732033224990971</v>
      </c>
      <c r="E72">
        <f t="shared" si="6"/>
        <v>67.732033224990971</v>
      </c>
      <c r="G72">
        <f t="shared" ca="1" si="7"/>
        <v>70</v>
      </c>
      <c r="H72">
        <f t="shared" ca="1" si="8"/>
        <v>4741.2423257493683</v>
      </c>
      <c r="I72">
        <f t="shared" ca="1" si="9"/>
        <v>15658.658832328152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47582</v>
      </c>
      <c r="B75" s="66">
        <v>47582</v>
      </c>
      <c r="D75">
        <f t="shared" si="5"/>
        <v>61.370788835577571</v>
      </c>
      <c r="E75">
        <f t="shared" si="6"/>
        <v>61.370788835577571</v>
      </c>
      <c r="G75">
        <f t="shared" ca="1" si="7"/>
        <v>73</v>
      </c>
      <c r="H75">
        <f t="shared" ca="1" si="8"/>
        <v>4480.0675849971631</v>
      </c>
      <c r="I75">
        <f t="shared" ca="1" si="9"/>
        <v>20339.146087154153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41935</v>
      </c>
      <c r="B77" s="66">
        <v>41935</v>
      </c>
      <c r="D77">
        <f t="shared" si="5"/>
        <v>54.087344580302329</v>
      </c>
      <c r="E77">
        <f t="shared" si="6"/>
        <v>54.087344580302329</v>
      </c>
      <c r="G77">
        <f t="shared" ca="1" si="7"/>
        <v>75</v>
      </c>
      <c r="H77">
        <f t="shared" ca="1" si="8"/>
        <v>4056.5508435226748</v>
      </c>
      <c r="I77">
        <f t="shared" ca="1" si="9"/>
        <v>22080.252654903201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42738</v>
      </c>
      <c r="B80" s="66">
        <v>42738</v>
      </c>
      <c r="D80">
        <f t="shared" si="5"/>
        <v>55.123045968116394</v>
      </c>
      <c r="E80">
        <f t="shared" si="6"/>
        <v>55.123045968116394</v>
      </c>
      <c r="G80">
        <f t="shared" ca="1" si="7"/>
        <v>78</v>
      </c>
      <c r="H80">
        <f t="shared" ca="1" si="8"/>
        <v>4299.5975855130791</v>
      </c>
      <c r="I80">
        <f t="shared" ca="1" si="9"/>
        <v>29681.662887866954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38717</v>
      </c>
      <c r="B82" s="66">
        <v>38717</v>
      </c>
      <c r="D82">
        <f t="shared" si="5"/>
        <v>49.936800288912963</v>
      </c>
      <c r="E82">
        <f t="shared" si="6"/>
        <v>49.936800288912963</v>
      </c>
      <c r="G82">
        <f t="shared" ca="1" si="7"/>
        <v>80</v>
      </c>
      <c r="H82">
        <f t="shared" ca="1" si="8"/>
        <v>3994.944023113037</v>
      </c>
      <c r="I82">
        <f t="shared" ca="1" si="9"/>
        <v>31723.90456649079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32776</v>
      </c>
      <c r="B85" s="66">
        <v>32776</v>
      </c>
      <c r="D85">
        <f t="shared" si="5"/>
        <v>42.274157767115511</v>
      </c>
      <c r="E85">
        <f t="shared" si="6"/>
        <v>42.274157767115511</v>
      </c>
      <c r="G85">
        <f t="shared" ca="1" si="7"/>
        <v>83</v>
      </c>
      <c r="H85">
        <f t="shared" ca="1" si="8"/>
        <v>3508.7550946705874</v>
      </c>
      <c r="I85">
        <f t="shared" ca="1" si="9"/>
        <v>33629.505969327241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28854</v>
      </c>
      <c r="B88" s="66">
        <v>28854</v>
      </c>
      <c r="D88">
        <f t="shared" si="5"/>
        <v>37.215601300108339</v>
      </c>
      <c r="E88">
        <f t="shared" si="6"/>
        <v>37.215601300108339</v>
      </c>
      <c r="G88">
        <f t="shared" ca="1" si="7"/>
        <v>86</v>
      </c>
      <c r="H88">
        <f t="shared" ca="1" si="8"/>
        <v>3200.5417118093173</v>
      </c>
      <c r="I88">
        <f t="shared" ca="1" si="9"/>
        <v>36238.262975374324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28515</v>
      </c>
      <c r="B90" s="66">
        <v>28515</v>
      </c>
      <c r="D90">
        <f t="shared" si="5"/>
        <v>36.778362482587838</v>
      </c>
      <c r="E90">
        <f t="shared" si="6"/>
        <v>36.778362482587838</v>
      </c>
      <c r="G90">
        <f t="shared" ca="1" si="7"/>
        <v>88</v>
      </c>
      <c r="H90">
        <f t="shared" ca="1" si="8"/>
        <v>3236.4958984677296</v>
      </c>
      <c r="I90">
        <f t="shared" ca="1" si="9"/>
        <v>40550.263436846719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26170</v>
      </c>
      <c r="B93" s="66">
        <v>26170</v>
      </c>
      <c r="D93">
        <f t="shared" si="5"/>
        <v>33.753804880565447</v>
      </c>
      <c r="E93">
        <f t="shared" si="6"/>
        <v>33.753804880565447</v>
      </c>
      <c r="G93">
        <f t="shared" ca="1" si="7"/>
        <v>91</v>
      </c>
      <c r="H93">
        <f t="shared" ca="1" si="8"/>
        <v>3071.5962441314555</v>
      </c>
      <c r="I93">
        <f t="shared" ca="1" si="9"/>
        <v>44244.025266245124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22969</v>
      </c>
      <c r="B95" s="66">
        <v>22969</v>
      </c>
      <c r="D95">
        <f t="shared" si="5"/>
        <v>29.625187019553216</v>
      </c>
      <c r="E95">
        <f t="shared" si="6"/>
        <v>29.625187019553216</v>
      </c>
      <c r="G95">
        <f t="shared" ca="1" si="7"/>
        <v>93</v>
      </c>
      <c r="H95">
        <f t="shared" ca="1" si="8"/>
        <v>2755.142392818449</v>
      </c>
      <c r="I95">
        <f t="shared" ca="1" si="9"/>
        <v>43241.084115022619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21968</v>
      </c>
      <c r="B98" s="66">
        <v>21968</v>
      </c>
      <c r="D98">
        <f t="shared" si="5"/>
        <v>28.334107207346644</v>
      </c>
      <c r="E98">
        <f t="shared" si="6"/>
        <v>28.334107207346644</v>
      </c>
      <c r="G98">
        <f t="shared" ca="1" si="7"/>
        <v>96</v>
      </c>
      <c r="H98">
        <f t="shared" ca="1" si="8"/>
        <v>2720.0742919052777</v>
      </c>
      <c r="I98">
        <f t="shared" ca="1" si="9"/>
        <v>48106.614456957097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16904</v>
      </c>
      <c r="B100" s="66">
        <v>16904</v>
      </c>
      <c r="D100">
        <f t="shared" si="5"/>
        <v>21.802610535004902</v>
      </c>
      <c r="E100">
        <f t="shared" si="6"/>
        <v>21.802610535004902</v>
      </c>
      <c r="G100">
        <f t="shared" ca="1" si="7"/>
        <v>98</v>
      </c>
      <c r="H100">
        <f t="shared" ca="1" si="8"/>
        <v>2136.6558324304806</v>
      </c>
      <c r="I100">
        <f t="shared" ca="1" si="9"/>
        <v>40697.914221645384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16578</v>
      </c>
      <c r="B103" s="66">
        <v>16578</v>
      </c>
      <c r="D103">
        <f t="shared" si="5"/>
        <v>21.382138987772791</v>
      </c>
      <c r="E103">
        <f t="shared" si="6"/>
        <v>21.382138987772791</v>
      </c>
      <c r="G103">
        <f t="shared" ca="1" si="7"/>
        <v>101</v>
      </c>
      <c r="H103">
        <f t="shared" ca="1" si="8"/>
        <v>2159.5960377650517</v>
      </c>
      <c r="I103">
        <f t="shared" ca="1" si="9"/>
        <v>45648.342926785088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12866</v>
      </c>
      <c r="B106" s="66">
        <v>12866</v>
      </c>
      <c r="D106">
        <f t="shared" si="5"/>
        <v>16.59443842542434</v>
      </c>
      <c r="E106">
        <f t="shared" si="6"/>
        <v>16.59443842542434</v>
      </c>
      <c r="G106">
        <f t="shared" ca="1" si="7"/>
        <v>104</v>
      </c>
      <c r="H106">
        <f t="shared" ca="1" si="8"/>
        <v>1725.8215962441313</v>
      </c>
      <c r="I106">
        <f t="shared" ca="1" si="9"/>
        <v>40176.971834358104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11508</v>
      </c>
      <c r="B108" s="66">
        <v>11508</v>
      </c>
      <c r="D108">
        <f t="shared" si="5"/>
        <v>14.842903575297942</v>
      </c>
      <c r="E108">
        <f t="shared" si="6"/>
        <v>14.842903575297942</v>
      </c>
      <c r="G108">
        <f t="shared" ca="1" si="7"/>
        <v>106</v>
      </c>
      <c r="H108">
        <f t="shared" ca="1" si="8"/>
        <v>1573.347778981582</v>
      </c>
      <c r="I108">
        <f t="shared" ca="1" si="9"/>
        <v>38917.051139070645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13141</v>
      </c>
      <c r="B111" s="66">
        <v>13141</v>
      </c>
      <c r="D111">
        <f t="shared" si="5"/>
        <v>16.949130681525048</v>
      </c>
      <c r="E111">
        <f t="shared" si="6"/>
        <v>16.949130681525048</v>
      </c>
      <c r="G111">
        <f t="shared" ca="1" si="7"/>
        <v>109</v>
      </c>
      <c r="H111">
        <f t="shared" ca="1" si="8"/>
        <v>1847.4552442862303</v>
      </c>
      <c r="I111">
        <f t="shared" ca="1" si="9"/>
        <v>49799.232266777995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11013</v>
      </c>
      <c r="B113" s="66">
        <v>11013</v>
      </c>
      <c r="D113">
        <f t="shared" si="5"/>
        <v>14.204457514316669</v>
      </c>
      <c r="E113">
        <f t="shared" si="6"/>
        <v>14.204457514316669</v>
      </c>
      <c r="G113">
        <f t="shared" ca="1" si="7"/>
        <v>111</v>
      </c>
      <c r="H113">
        <f t="shared" ca="1" si="8"/>
        <v>1576.6947840891503</v>
      </c>
      <c r="I113">
        <f t="shared" ca="1" si="9"/>
        <v>44871.563464397201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9065</v>
      </c>
      <c r="B116" s="66">
        <v>9065</v>
      </c>
      <c r="D116">
        <f t="shared" si="5"/>
        <v>11.691946551101481</v>
      </c>
      <c r="E116">
        <f t="shared" si="6"/>
        <v>11.691946551101481</v>
      </c>
      <c r="G116">
        <f t="shared" ca="1" si="7"/>
        <v>114</v>
      </c>
      <c r="H116">
        <f t="shared" ca="1" si="8"/>
        <v>1332.8819068255689</v>
      </c>
      <c r="I116">
        <f t="shared" ca="1" si="9"/>
        <v>40982.684975902906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8613</v>
      </c>
      <c r="B118" s="66">
        <v>8613</v>
      </c>
      <c r="D118">
        <f t="shared" si="5"/>
        <v>11.108961461074138</v>
      </c>
      <c r="E118">
        <f t="shared" si="6"/>
        <v>11.108961461074138</v>
      </c>
      <c r="G118">
        <f t="shared" ca="1" si="7"/>
        <v>116</v>
      </c>
      <c r="H118">
        <f t="shared" ca="1" si="8"/>
        <v>1288.6395294846</v>
      </c>
      <c r="I118">
        <f t="shared" ca="1" si="9"/>
        <v>41614.452406002609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5568</v>
      </c>
      <c r="B121" s="66">
        <v>5568</v>
      </c>
      <c r="D121">
        <f t="shared" si="5"/>
        <v>7.1815508435226745</v>
      </c>
      <c r="E121">
        <f t="shared" si="6"/>
        <v>7.1815508435226745</v>
      </c>
      <c r="G121">
        <f t="shared" ca="1" si="7"/>
        <v>119</v>
      </c>
      <c r="H121">
        <f t="shared" ca="1" si="8"/>
        <v>854.60455037919826</v>
      </c>
      <c r="I121">
        <f t="shared" ca="1" si="9"/>
        <v>29604.177783270836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4119</v>
      </c>
      <c r="B124" s="66">
        <v>4119</v>
      </c>
      <c r="D124">
        <f t="shared" si="5"/>
        <v>5.3126451013774956</v>
      </c>
      <c r="E124">
        <f t="shared" si="6"/>
        <v>5.3126451013774956</v>
      </c>
      <c r="G124">
        <f t="shared" ca="1" si="7"/>
        <v>122</v>
      </c>
      <c r="H124">
        <f t="shared" ca="1" si="8"/>
        <v>648.14270236805442</v>
      </c>
      <c r="I124">
        <f t="shared" ca="1" si="9"/>
        <v>23994.470487091741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3273</v>
      </c>
      <c r="B126" s="66">
        <v>3273</v>
      </c>
      <c r="D126">
        <f t="shared" si="5"/>
        <v>4.2214827426095027</v>
      </c>
      <c r="E126">
        <f t="shared" si="6"/>
        <v>4.2214827426095027</v>
      </c>
      <c r="G126">
        <f t="shared" ca="1" si="7"/>
        <v>124</v>
      </c>
      <c r="H126">
        <f t="shared" ca="1" si="8"/>
        <v>523.46386008357831</v>
      </c>
      <c r="I126">
        <f t="shared" ca="1" si="9"/>
        <v>20217.955663984918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3276</v>
      </c>
      <c r="B129" s="66">
        <v>3276</v>
      </c>
      <c r="D129">
        <f t="shared" si="5"/>
        <v>4.225352112676056</v>
      </c>
      <c r="E129">
        <f t="shared" si="6"/>
        <v>4.225352112676056</v>
      </c>
      <c r="G129">
        <f t="shared" ca="1" si="7"/>
        <v>127</v>
      </c>
      <c r="H129">
        <f t="shared" ca="1" si="8"/>
        <v>536.61971830985908</v>
      </c>
      <c r="I129">
        <f t="shared" ca="1" si="9"/>
        <v>22029.002869490105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2144</v>
      </c>
      <c r="B131" s="66">
        <v>2144</v>
      </c>
      <c r="D131">
        <f t="shared" ref="D131:D194" si="10">IFERROR(100*A131/MAX(A$2:A$257), 0 )</f>
        <v>2.7653098075633289</v>
      </c>
      <c r="E131">
        <f t="shared" ref="E131:E194" si="11">IFERROR(100*B131/MAX(B$2:B$257), 0 )</f>
        <v>2.7653098075633289</v>
      </c>
      <c r="G131">
        <f t="shared" ref="G131:G194" ca="1" si="12">CELL("row",D131)-2</f>
        <v>129</v>
      </c>
      <c r="H131">
        <f t="shared" ref="H131:H194" ca="1" si="13">D131*G131</f>
        <v>356.72496517566941</v>
      </c>
      <c r="I131">
        <f t="shared" ref="I131:I194" ca="1" si="14">D131*((G131-$L$1)^2)</f>
        <v>15226.763135857675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1619</v>
      </c>
      <c r="B134" s="66">
        <v>1619</v>
      </c>
      <c r="D134">
        <f t="shared" si="10"/>
        <v>2.0881700459165247</v>
      </c>
      <c r="E134">
        <f t="shared" si="11"/>
        <v>2.0881700459165247</v>
      </c>
      <c r="G134">
        <f t="shared" ca="1" si="12"/>
        <v>132</v>
      </c>
      <c r="H134">
        <f t="shared" ca="1" si="13"/>
        <v>275.63844606098127</v>
      </c>
      <c r="I134">
        <f t="shared" ca="1" si="14"/>
        <v>12446.701497766569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1760</v>
      </c>
      <c r="B136" s="66">
        <v>1760</v>
      </c>
      <c r="D136">
        <f t="shared" si="10"/>
        <v>2.2700304390445236</v>
      </c>
      <c r="E136">
        <f t="shared" si="11"/>
        <v>2.2700304390445236</v>
      </c>
      <c r="G136">
        <f t="shared" ca="1" si="12"/>
        <v>134</v>
      </c>
      <c r="H136">
        <f t="shared" ca="1" si="13"/>
        <v>304.18407883196619</v>
      </c>
      <c r="I136">
        <f t="shared" ca="1" si="14"/>
        <v>14240.803599583031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1670</v>
      </c>
      <c r="B139" s="66">
        <v>1670</v>
      </c>
      <c r="D139">
        <f t="shared" si="10"/>
        <v>2.1539493370479286</v>
      </c>
      <c r="E139">
        <f t="shared" si="11"/>
        <v>2.1539493370479286</v>
      </c>
      <c r="G139">
        <f t="shared" ca="1" si="12"/>
        <v>137</v>
      </c>
      <c r="H139">
        <f t="shared" ca="1" si="13"/>
        <v>295.09105917556622</v>
      </c>
      <c r="I139">
        <f t="shared" ca="1" si="14"/>
        <v>14555.584770475141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1029</v>
      </c>
      <c r="B142" s="66">
        <v>1029</v>
      </c>
      <c r="D142">
        <f t="shared" si="10"/>
        <v>1.3271939328277356</v>
      </c>
      <c r="E142">
        <f t="shared" si="11"/>
        <v>1.3271939328277356</v>
      </c>
      <c r="G142">
        <f t="shared" ca="1" si="12"/>
        <v>140</v>
      </c>
      <c r="H142">
        <f t="shared" ca="1" si="13"/>
        <v>185.80715059588297</v>
      </c>
      <c r="I142">
        <f t="shared" ca="1" si="14"/>
        <v>9635.2355563227211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400</v>
      </c>
      <c r="B144" s="66">
        <v>400</v>
      </c>
      <c r="D144">
        <f t="shared" si="10"/>
        <v>0.51591600887375533</v>
      </c>
      <c r="E144">
        <f t="shared" si="11"/>
        <v>0.51591600887375533</v>
      </c>
      <c r="G144">
        <f t="shared" ca="1" si="12"/>
        <v>142</v>
      </c>
      <c r="H144">
        <f t="shared" ca="1" si="13"/>
        <v>73.260073260073256</v>
      </c>
      <c r="I144">
        <f t="shared" ca="1" si="14"/>
        <v>3923.3731451531576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0</v>
      </c>
      <c r="B147" s="66">
        <v>0</v>
      </c>
      <c r="D147">
        <f t="shared" si="10"/>
        <v>0</v>
      </c>
      <c r="E147">
        <f t="shared" si="11"/>
        <v>0</v>
      </c>
      <c r="G147">
        <f t="shared" ca="1" si="12"/>
        <v>145</v>
      </c>
      <c r="H147">
        <f t="shared" ca="1" si="13"/>
        <v>0</v>
      </c>
      <c r="I147">
        <f t="shared" ca="1" si="14"/>
        <v>0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0</v>
      </c>
      <c r="B149" s="66">
        <v>0</v>
      </c>
      <c r="D149">
        <f t="shared" si="10"/>
        <v>0</v>
      </c>
      <c r="E149">
        <f t="shared" si="11"/>
        <v>0</v>
      </c>
      <c r="G149">
        <f t="shared" ca="1" si="12"/>
        <v>147</v>
      </c>
      <c r="H149">
        <f t="shared" ca="1" si="13"/>
        <v>0</v>
      </c>
      <c r="I149">
        <f t="shared" ca="1" si="14"/>
        <v>0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0.13989699999999999</v>
      </c>
      <c r="B2" s="68">
        <v>0.61722299999999997</v>
      </c>
      <c r="C2" s="68">
        <v>0</v>
      </c>
      <c r="D2" s="68">
        <v>1</v>
      </c>
      <c r="E2" s="68" t="s">
        <v>408</v>
      </c>
    </row>
    <row r="3" spans="1:5">
      <c r="A3" s="68">
        <v>0.14416000000000001</v>
      </c>
      <c r="B3" s="68">
        <v>0.60915399999999997</v>
      </c>
      <c r="C3" s="68">
        <v>0.404837</v>
      </c>
      <c r="D3" s="89">
        <v>1</v>
      </c>
      <c r="E3" s="68" t="s">
        <v>409</v>
      </c>
    </row>
    <row r="4" spans="1:5">
      <c r="A4" s="68">
        <v>0.148364</v>
      </c>
      <c r="B4" s="68">
        <v>0.60197299999999998</v>
      </c>
      <c r="C4" s="68">
        <v>0.81077100000000002</v>
      </c>
      <c r="D4" s="89">
        <v>1</v>
      </c>
      <c r="E4" s="68" t="s">
        <v>410</v>
      </c>
    </row>
    <row r="5" spans="1:5">
      <c r="A5" s="89">
        <v>0.15213399999999999</v>
      </c>
      <c r="B5" s="89">
        <v>0.59615499999999999</v>
      </c>
      <c r="C5" s="89">
        <v>1.21567</v>
      </c>
      <c r="D5" s="89">
        <v>1</v>
      </c>
      <c r="E5" s="68" t="s">
        <v>411</v>
      </c>
    </row>
    <row r="6" spans="1:5">
      <c r="A6" s="68">
        <v>0.15548799999999999</v>
      </c>
      <c r="B6" s="68">
        <v>0.59124500000000002</v>
      </c>
      <c r="C6" s="68">
        <v>1.6197600000000001</v>
      </c>
      <c r="D6" s="68">
        <v>1</v>
      </c>
      <c r="E6" s="68" t="s">
        <v>412</v>
      </c>
    </row>
    <row r="7" spans="1:5">
      <c r="A7" s="68">
        <v>0.15875800000000001</v>
      </c>
      <c r="B7" s="68">
        <v>0.58653699999999998</v>
      </c>
      <c r="C7" s="68">
        <v>2.03057</v>
      </c>
      <c r="D7" s="68">
        <v>1</v>
      </c>
      <c r="E7" s="68" t="s">
        <v>413</v>
      </c>
    </row>
    <row r="8" spans="1:5">
      <c r="A8" s="68">
        <v>0.16215299999999999</v>
      </c>
      <c r="B8" s="68">
        <v>0.58140999999999998</v>
      </c>
      <c r="C8" s="68">
        <v>2.4405000000000001</v>
      </c>
      <c r="D8" s="68">
        <v>1</v>
      </c>
      <c r="E8" s="68" t="s">
        <v>414</v>
      </c>
    </row>
    <row r="9" spans="1:5">
      <c r="A9" s="68">
        <v>0.16544700000000001</v>
      </c>
      <c r="B9" s="68">
        <v>0.57635899999999995</v>
      </c>
      <c r="C9" s="68">
        <v>2.8423699999999998</v>
      </c>
      <c r="D9" s="68">
        <v>1</v>
      </c>
      <c r="E9" s="68" t="s">
        <v>415</v>
      </c>
    </row>
    <row r="10" spans="1:5">
      <c r="A10" s="68">
        <v>0.168987</v>
      </c>
      <c r="B10" s="68">
        <v>0.57010400000000006</v>
      </c>
      <c r="C10" s="68">
        <v>3.2472400000000001</v>
      </c>
      <c r="D10" s="68">
        <v>1</v>
      </c>
      <c r="E10" s="68" t="s">
        <v>416</v>
      </c>
    </row>
    <row r="11" spans="1:5">
      <c r="A11" s="68">
        <v>0.17253399999999999</v>
      </c>
      <c r="B11" s="68">
        <v>0.562782</v>
      </c>
      <c r="C11" s="68">
        <v>3.6541899999999998</v>
      </c>
      <c r="D11" s="68">
        <v>1</v>
      </c>
      <c r="E11" s="68" t="s">
        <v>417</v>
      </c>
    </row>
    <row r="12" spans="1:5">
      <c r="A12" s="68">
        <v>0.17610000000000001</v>
      </c>
      <c r="B12" s="68">
        <v>0.55474299999999999</v>
      </c>
      <c r="C12" s="68">
        <v>4.0610299999999997</v>
      </c>
      <c r="D12" s="68">
        <v>1</v>
      </c>
      <c r="E12" s="68" t="s">
        <v>418</v>
      </c>
    </row>
    <row r="13" spans="1:5">
      <c r="A13" s="68">
        <v>0.17937400000000001</v>
      </c>
      <c r="B13" s="68">
        <v>0.547377</v>
      </c>
      <c r="C13" s="68">
        <v>4.4692699999999999</v>
      </c>
      <c r="D13" s="68">
        <v>1</v>
      </c>
      <c r="E13" s="68" t="s">
        <v>419</v>
      </c>
    </row>
    <row r="14" spans="1:5">
      <c r="A14" s="68">
        <v>0.18237200000000001</v>
      </c>
      <c r="B14" s="68">
        <v>0.54037999999999997</v>
      </c>
      <c r="C14" s="68">
        <v>4.8705999999999996</v>
      </c>
      <c r="D14" s="68">
        <v>1</v>
      </c>
      <c r="E14" s="68" t="s">
        <v>420</v>
      </c>
    </row>
    <row r="15" spans="1:5">
      <c r="A15" s="68">
        <v>0.18503600000000001</v>
      </c>
      <c r="B15" s="68">
        <v>0.53479100000000002</v>
      </c>
      <c r="C15" s="68">
        <v>5.2788199999999996</v>
      </c>
      <c r="D15" s="68">
        <v>1</v>
      </c>
      <c r="E15" s="68" t="s">
        <v>421</v>
      </c>
    </row>
    <row r="16" spans="1:5">
      <c r="A16" s="68">
        <v>0.18720800000000001</v>
      </c>
      <c r="B16" s="68">
        <v>0.53043200000000001</v>
      </c>
      <c r="C16" s="68">
        <v>5.6860400000000002</v>
      </c>
      <c r="D16" s="68">
        <v>1</v>
      </c>
      <c r="E16" s="68" t="s">
        <v>422</v>
      </c>
    </row>
    <row r="17" spans="1:5">
      <c r="A17" s="68">
        <v>0.18911</v>
      </c>
      <c r="B17" s="68">
        <v>0.52695000000000003</v>
      </c>
      <c r="C17" s="68">
        <v>6.09063</v>
      </c>
      <c r="D17" s="68">
        <v>1</v>
      </c>
      <c r="E17" s="68" t="s">
        <v>423</v>
      </c>
    </row>
    <row r="18" spans="1:5">
      <c r="A18" s="68">
        <v>0.19102</v>
      </c>
      <c r="B18" s="68">
        <v>0.52373899999999995</v>
      </c>
      <c r="C18" s="68">
        <v>6.4995099999999999</v>
      </c>
      <c r="D18" s="68">
        <v>1</v>
      </c>
      <c r="E18" s="68" t="s">
        <v>424</v>
      </c>
    </row>
    <row r="19" spans="1:5">
      <c r="A19" s="68">
        <v>0.19261300000000001</v>
      </c>
      <c r="B19" s="68">
        <v>0.52143799999999996</v>
      </c>
      <c r="C19" s="68">
        <v>6.9054399999999996</v>
      </c>
      <c r="D19" s="68">
        <v>1</v>
      </c>
      <c r="E19" s="68" t="s">
        <v>425</v>
      </c>
    </row>
    <row r="20" spans="1:5">
      <c r="A20" s="68">
        <v>0.193939</v>
      </c>
      <c r="B20" s="68">
        <v>0.51941700000000002</v>
      </c>
      <c r="C20" s="68">
        <v>7.3074700000000004</v>
      </c>
      <c r="D20" s="68">
        <v>1</v>
      </c>
      <c r="E20" s="68" t="s">
        <v>426</v>
      </c>
    </row>
    <row r="21" spans="1:5">
      <c r="A21" s="68">
        <v>0.19513</v>
      </c>
      <c r="B21" s="68">
        <v>0.51747399999999999</v>
      </c>
      <c r="C21" s="68">
        <v>7.71943</v>
      </c>
      <c r="D21" s="68">
        <v>1</v>
      </c>
      <c r="E21" s="68" t="s">
        <v>427</v>
      </c>
    </row>
    <row r="22" spans="1:5">
      <c r="A22" s="68">
        <v>0.196187</v>
      </c>
      <c r="B22" s="68">
        <v>0.51550499999999999</v>
      </c>
      <c r="C22" s="68">
        <v>8.1261600000000005</v>
      </c>
      <c r="D22" s="68">
        <v>1</v>
      </c>
      <c r="E22" s="68" t="s">
        <v>428</v>
      </c>
    </row>
    <row r="23" spans="1:5">
      <c r="A23" s="68">
        <v>0.19708999999999999</v>
      </c>
      <c r="B23" s="68">
        <v>0.51382099999999997</v>
      </c>
      <c r="C23" s="68">
        <v>8.5301200000000001</v>
      </c>
      <c r="D23" s="68">
        <v>1</v>
      </c>
      <c r="E23" s="68" t="s">
        <v>429</v>
      </c>
    </row>
    <row r="24" spans="1:5">
      <c r="A24" s="68">
        <v>0.19778599999999999</v>
      </c>
      <c r="B24" s="68">
        <v>0.51248700000000003</v>
      </c>
      <c r="C24" s="68">
        <v>8.9340399999999995</v>
      </c>
      <c r="D24" s="68">
        <v>1</v>
      </c>
      <c r="E24" s="68" t="s">
        <v>430</v>
      </c>
    </row>
    <row r="25" spans="1:5">
      <c r="A25" s="68">
        <v>0.198432</v>
      </c>
      <c r="B25" s="68">
        <v>0.51145300000000005</v>
      </c>
      <c r="C25" s="68">
        <v>9.3409200000000006</v>
      </c>
      <c r="D25" s="68">
        <v>1</v>
      </c>
      <c r="E25" s="68" t="s">
        <v>431</v>
      </c>
    </row>
    <row r="26" spans="1:5">
      <c r="A26" s="68">
        <v>0.19919700000000001</v>
      </c>
      <c r="B26" s="68">
        <v>0.51041999999999998</v>
      </c>
      <c r="C26" s="68">
        <v>9.7489600000000003</v>
      </c>
      <c r="D26" s="68">
        <v>1</v>
      </c>
      <c r="E26" s="68" t="s">
        <v>432</v>
      </c>
    </row>
    <row r="27" spans="1:5">
      <c r="A27" s="68">
        <v>0.19984299999999999</v>
      </c>
      <c r="B27" s="68">
        <v>0.50933899999999999</v>
      </c>
      <c r="C27" s="68">
        <v>10.151999999999999</v>
      </c>
      <c r="D27" s="68">
        <v>1</v>
      </c>
      <c r="E27" s="68" t="s">
        <v>433</v>
      </c>
    </row>
    <row r="28" spans="1:5">
      <c r="A28" s="68">
        <v>0.200762</v>
      </c>
      <c r="B28" s="68">
        <v>0.50770300000000002</v>
      </c>
      <c r="C28" s="68">
        <v>10.5627</v>
      </c>
      <c r="D28" s="68">
        <v>1</v>
      </c>
      <c r="E28" s="68" t="s">
        <v>434</v>
      </c>
    </row>
    <row r="29" spans="1:5">
      <c r="A29" s="68">
        <v>0.20189799999999999</v>
      </c>
      <c r="B29" s="68">
        <v>0.50564900000000002</v>
      </c>
      <c r="C29" s="68">
        <v>10.970599999999999</v>
      </c>
      <c r="D29" s="68">
        <v>1</v>
      </c>
      <c r="E29" s="68" t="s">
        <v>435</v>
      </c>
    </row>
    <row r="30" spans="1:5">
      <c r="A30" s="68">
        <v>0.203239</v>
      </c>
      <c r="B30" s="68">
        <v>0.50470700000000002</v>
      </c>
      <c r="C30" s="68">
        <v>11.3725</v>
      </c>
      <c r="D30" s="68">
        <v>1</v>
      </c>
      <c r="E30" s="68" t="s">
        <v>436</v>
      </c>
    </row>
    <row r="31" spans="1:5">
      <c r="A31" s="68">
        <v>0.20483799999999999</v>
      </c>
      <c r="B31" s="68">
        <v>0.503162</v>
      </c>
      <c r="C31" s="68">
        <v>11.7796</v>
      </c>
      <c r="D31" s="68">
        <v>1</v>
      </c>
      <c r="E31" s="68" t="s">
        <v>437</v>
      </c>
    </row>
    <row r="32" spans="1:5">
      <c r="A32" s="68">
        <v>0.20644699999999999</v>
      </c>
      <c r="B32" s="68">
        <v>0.50145200000000001</v>
      </c>
      <c r="C32" s="68">
        <v>12.185600000000001</v>
      </c>
      <c r="D32" s="68">
        <v>1</v>
      </c>
      <c r="E32" s="68" t="s">
        <v>438</v>
      </c>
    </row>
    <row r="33" spans="1:5">
      <c r="A33" s="68">
        <v>0.207951</v>
      </c>
      <c r="B33" s="68">
        <v>0.49954999999999999</v>
      </c>
      <c r="C33" s="68">
        <v>12.591200000000001</v>
      </c>
      <c r="D33" s="68">
        <v>1</v>
      </c>
      <c r="E33" s="68" t="s">
        <v>439</v>
      </c>
    </row>
    <row r="34" spans="1:5">
      <c r="A34" s="68">
        <v>0.20938200000000001</v>
      </c>
      <c r="B34" s="68">
        <v>0.49798100000000001</v>
      </c>
      <c r="C34" s="68">
        <v>13.0001</v>
      </c>
      <c r="D34" s="68">
        <v>1</v>
      </c>
      <c r="E34" s="68" t="s">
        <v>440</v>
      </c>
    </row>
    <row r="35" spans="1:5">
      <c r="A35" s="68">
        <v>0.21085400000000001</v>
      </c>
      <c r="B35" s="68">
        <v>0.49584299999999998</v>
      </c>
      <c r="C35" s="68">
        <v>13.4023</v>
      </c>
      <c r="D35" s="68">
        <v>1</v>
      </c>
      <c r="E35" s="68" t="s">
        <v>441</v>
      </c>
    </row>
    <row r="36" spans="1:5">
      <c r="A36" s="68">
        <v>0.211841</v>
      </c>
      <c r="B36" s="68">
        <v>0.49489100000000003</v>
      </c>
      <c r="C36" s="68">
        <v>13.809200000000001</v>
      </c>
      <c r="D36" s="68">
        <v>1</v>
      </c>
      <c r="E36" s="68" t="s">
        <v>442</v>
      </c>
    </row>
    <row r="37" spans="1:5">
      <c r="A37" s="68">
        <v>0.212752</v>
      </c>
      <c r="B37" s="68">
        <v>0.49367800000000001</v>
      </c>
      <c r="C37" s="68">
        <v>14.216799999999999</v>
      </c>
      <c r="D37" s="68">
        <v>1</v>
      </c>
      <c r="E37" s="68" t="s">
        <v>443</v>
      </c>
    </row>
    <row r="38" spans="1:5">
      <c r="A38" s="68">
        <v>0.21380299999999999</v>
      </c>
      <c r="B38" s="68">
        <v>0.49170000000000003</v>
      </c>
      <c r="C38" s="68">
        <v>14.6249</v>
      </c>
      <c r="D38" s="68">
        <v>1</v>
      </c>
      <c r="E38" s="68" t="s">
        <v>444</v>
      </c>
    </row>
    <row r="39" spans="1:5">
      <c r="A39" s="68">
        <v>0.214782</v>
      </c>
      <c r="B39" s="68">
        <v>0.490838</v>
      </c>
      <c r="C39" s="68">
        <v>15.0298</v>
      </c>
      <c r="D39" s="68">
        <v>1</v>
      </c>
      <c r="E39" s="68" t="s">
        <v>445</v>
      </c>
    </row>
    <row r="40" spans="1:5">
      <c r="A40" s="68">
        <v>0.21601899999999999</v>
      </c>
      <c r="B40" s="68">
        <v>0.48897600000000002</v>
      </c>
      <c r="C40" s="68">
        <v>15.4358</v>
      </c>
      <c r="D40" s="68">
        <v>1</v>
      </c>
      <c r="E40" s="68" t="s">
        <v>446</v>
      </c>
    </row>
    <row r="41" spans="1:5">
      <c r="A41" s="68">
        <v>0.21726899999999999</v>
      </c>
      <c r="B41" s="68">
        <v>0.48694700000000002</v>
      </c>
      <c r="C41" s="68">
        <v>15.841799999999999</v>
      </c>
      <c r="D41" s="68">
        <v>1</v>
      </c>
      <c r="E41" s="68" t="s">
        <v>447</v>
      </c>
    </row>
    <row r="42" spans="1:5">
      <c r="A42" s="68">
        <v>0.21876899999999999</v>
      </c>
      <c r="B42" s="68">
        <v>0.48448400000000003</v>
      </c>
      <c r="C42" s="68">
        <v>16.247499999999999</v>
      </c>
      <c r="D42" s="68">
        <v>1</v>
      </c>
      <c r="E42" s="68" t="s">
        <v>448</v>
      </c>
    </row>
    <row r="43" spans="1:5">
      <c r="A43" s="68">
        <v>0.220391</v>
      </c>
      <c r="B43" s="68">
        <v>0.48142400000000002</v>
      </c>
      <c r="C43" s="68">
        <v>16.656400000000001</v>
      </c>
      <c r="D43" s="68">
        <v>1</v>
      </c>
      <c r="E43" s="68" t="s">
        <v>449</v>
      </c>
    </row>
    <row r="44" spans="1:5">
      <c r="A44" s="68">
        <v>0.222025</v>
      </c>
      <c r="B44" s="68">
        <v>0.47885100000000003</v>
      </c>
      <c r="C44" s="68">
        <v>17.063400000000001</v>
      </c>
      <c r="D44" s="68">
        <v>1</v>
      </c>
      <c r="E44" s="68" t="s">
        <v>450</v>
      </c>
    </row>
    <row r="45" spans="1:5">
      <c r="A45" s="68">
        <v>0.22387599999999999</v>
      </c>
      <c r="B45" s="68">
        <v>0.47576200000000002</v>
      </c>
      <c r="C45" s="68">
        <v>17.466200000000001</v>
      </c>
      <c r="D45" s="68">
        <v>1</v>
      </c>
      <c r="E45" s="68" t="s">
        <v>451</v>
      </c>
    </row>
    <row r="46" spans="1:5">
      <c r="A46" s="68">
        <v>0.22553599999999999</v>
      </c>
      <c r="B46" s="68">
        <v>0.473194</v>
      </c>
      <c r="C46" s="68">
        <v>17.870100000000001</v>
      </c>
      <c r="D46" s="68">
        <v>1</v>
      </c>
      <c r="E46" s="68" t="s">
        <v>452</v>
      </c>
    </row>
    <row r="47" spans="1:5">
      <c r="A47" s="68">
        <v>0.22697000000000001</v>
      </c>
      <c r="B47" s="68">
        <v>0.471221</v>
      </c>
      <c r="C47" s="68">
        <v>18.280999999999999</v>
      </c>
      <c r="D47" s="68">
        <v>1</v>
      </c>
      <c r="E47" s="68" t="s">
        <v>453</v>
      </c>
    </row>
    <row r="48" spans="1:5">
      <c r="A48" s="68">
        <v>0.22845099999999999</v>
      </c>
      <c r="B48" s="68">
        <v>0.469358</v>
      </c>
      <c r="C48" s="68">
        <v>18.684100000000001</v>
      </c>
      <c r="D48" s="68">
        <v>1</v>
      </c>
      <c r="E48" s="68" t="s">
        <v>454</v>
      </c>
    </row>
    <row r="49" spans="1:5">
      <c r="A49" s="68">
        <v>0.23024</v>
      </c>
      <c r="B49" s="68">
        <v>0.46828199999999998</v>
      </c>
      <c r="C49" s="68">
        <v>19.0928</v>
      </c>
      <c r="D49" s="68">
        <v>1</v>
      </c>
      <c r="E49" s="68" t="s">
        <v>455</v>
      </c>
    </row>
    <row r="50" spans="1:5">
      <c r="A50" s="68">
        <v>0.23197699999999999</v>
      </c>
      <c r="B50" s="68">
        <v>0.46734799999999999</v>
      </c>
      <c r="C50" s="68">
        <v>19.500800000000002</v>
      </c>
      <c r="D50" s="68">
        <v>1</v>
      </c>
      <c r="E50" s="68" t="s">
        <v>456</v>
      </c>
    </row>
    <row r="51" spans="1:5">
      <c r="A51" s="68">
        <v>0.23347399999999999</v>
      </c>
      <c r="B51" s="68">
        <v>0.46688299999999999</v>
      </c>
      <c r="C51" s="68">
        <v>19.904699999999998</v>
      </c>
      <c r="D51" s="68">
        <v>1</v>
      </c>
      <c r="E51" s="68" t="s">
        <v>457</v>
      </c>
    </row>
    <row r="52" spans="1:5">
      <c r="A52" s="68">
        <v>0.234765</v>
      </c>
      <c r="B52" s="68">
        <v>0.46620800000000001</v>
      </c>
      <c r="C52" s="68">
        <v>20.308700000000002</v>
      </c>
      <c r="D52" s="68">
        <v>1</v>
      </c>
      <c r="E52" s="68" t="s">
        <v>458</v>
      </c>
    </row>
    <row r="53" spans="1:5">
      <c r="A53" s="68">
        <v>0.23633000000000001</v>
      </c>
      <c r="B53" s="68">
        <v>0.46449499999999999</v>
      </c>
      <c r="C53" s="68">
        <v>20.720600000000001</v>
      </c>
      <c r="D53" s="68">
        <v>1</v>
      </c>
      <c r="E53" s="68" t="s">
        <v>459</v>
      </c>
    </row>
    <row r="54" spans="1:5">
      <c r="A54" s="68">
        <v>0.23722099999999999</v>
      </c>
      <c r="B54" s="68">
        <v>0.46346999999999999</v>
      </c>
      <c r="C54" s="68">
        <v>21.1235</v>
      </c>
      <c r="D54" s="68">
        <v>1</v>
      </c>
      <c r="E54" s="68" t="s">
        <v>460</v>
      </c>
    </row>
    <row r="55" spans="1:5">
      <c r="A55" s="68">
        <v>0.238262</v>
      </c>
      <c r="B55" s="68">
        <v>0.46306199999999997</v>
      </c>
      <c r="C55" s="68">
        <v>21.532299999999999</v>
      </c>
      <c r="D55" s="68">
        <v>1</v>
      </c>
      <c r="E55" s="68" t="s">
        <v>461</v>
      </c>
    </row>
    <row r="56" spans="1:5">
      <c r="A56" s="68">
        <v>0.23916100000000001</v>
      </c>
      <c r="B56" s="68">
        <v>0.46248099999999998</v>
      </c>
      <c r="C56" s="68">
        <v>21.9376</v>
      </c>
      <c r="D56" s="68">
        <v>1</v>
      </c>
      <c r="E56" s="68" t="s">
        <v>462</v>
      </c>
    </row>
    <row r="57" spans="1:5">
      <c r="A57" s="68">
        <v>0.23993400000000001</v>
      </c>
      <c r="B57" s="68">
        <v>0.46141900000000002</v>
      </c>
      <c r="C57" s="68">
        <v>22.3385</v>
      </c>
      <c r="D57" s="68">
        <v>1</v>
      </c>
      <c r="E57" s="68" t="s">
        <v>463</v>
      </c>
    </row>
    <row r="58" spans="1:5">
      <c r="A58" s="68">
        <v>0.24155599999999999</v>
      </c>
      <c r="B58" s="68">
        <v>0.46086899999999997</v>
      </c>
      <c r="C58" s="68">
        <v>22.7501</v>
      </c>
      <c r="D58" s="68">
        <v>1</v>
      </c>
      <c r="E58" s="68" t="s">
        <v>464</v>
      </c>
    </row>
    <row r="59" spans="1:5">
      <c r="A59" s="68">
        <v>0.24265</v>
      </c>
      <c r="B59" s="68">
        <v>0.46053899999999998</v>
      </c>
      <c r="C59" s="68">
        <v>23.158000000000001</v>
      </c>
      <c r="D59" s="68">
        <v>1</v>
      </c>
      <c r="E59" s="68" t="s">
        <v>465</v>
      </c>
    </row>
    <row r="60" spans="1:5">
      <c r="A60" s="68">
        <v>0.243144</v>
      </c>
      <c r="B60" s="68">
        <v>0.46064500000000003</v>
      </c>
      <c r="C60" s="68">
        <v>23.559000000000001</v>
      </c>
      <c r="D60" s="68">
        <v>1</v>
      </c>
      <c r="E60" s="68" t="s">
        <v>466</v>
      </c>
    </row>
    <row r="61" spans="1:5">
      <c r="A61" s="68">
        <v>0.244085</v>
      </c>
      <c r="B61" s="68">
        <v>0.46176</v>
      </c>
      <c r="C61" s="68">
        <v>23.966799999999999</v>
      </c>
      <c r="D61" s="68">
        <v>1</v>
      </c>
      <c r="E61" s="68" t="s">
        <v>467</v>
      </c>
    </row>
    <row r="62" spans="1:5">
      <c r="A62" s="68">
        <v>0.24456800000000001</v>
      </c>
      <c r="B62" s="68">
        <v>0.46279900000000002</v>
      </c>
      <c r="C62" s="68">
        <v>24.373000000000001</v>
      </c>
      <c r="D62" s="68">
        <v>1</v>
      </c>
      <c r="E62" s="68" t="s">
        <v>468</v>
      </c>
    </row>
    <row r="63" spans="1:5">
      <c r="A63" s="68">
        <v>0.24506</v>
      </c>
      <c r="B63" s="68">
        <v>0.46385999999999999</v>
      </c>
      <c r="C63" s="68">
        <v>24.781700000000001</v>
      </c>
      <c r="D63" s="68">
        <v>1</v>
      </c>
      <c r="E63" s="68" t="s">
        <v>469</v>
      </c>
    </row>
    <row r="64" spans="1:5">
      <c r="A64" s="68">
        <v>0.245614</v>
      </c>
      <c r="B64" s="68">
        <v>0.46390599999999999</v>
      </c>
      <c r="C64" s="68">
        <v>25.186699999999998</v>
      </c>
      <c r="D64" s="68">
        <v>1</v>
      </c>
      <c r="E64" s="68" t="s">
        <v>470</v>
      </c>
    </row>
    <row r="65" spans="1:5">
      <c r="A65" s="68">
        <v>0.24645</v>
      </c>
      <c r="B65" s="68">
        <v>0.46453299999999997</v>
      </c>
      <c r="C65" s="68">
        <v>25.5945</v>
      </c>
      <c r="D65" s="68">
        <v>1</v>
      </c>
      <c r="E65" s="68" t="s">
        <v>471</v>
      </c>
    </row>
    <row r="66" spans="1:5">
      <c r="A66" s="68">
        <v>0.24693599999999999</v>
      </c>
      <c r="B66" s="68">
        <v>0.46520400000000001</v>
      </c>
      <c r="C66" s="68">
        <v>25.997399999999999</v>
      </c>
      <c r="D66" s="68">
        <v>1</v>
      </c>
      <c r="E66" s="68" t="s">
        <v>472</v>
      </c>
    </row>
    <row r="67" spans="1:5">
      <c r="A67" s="68">
        <v>0.24718599999999999</v>
      </c>
      <c r="B67" s="68">
        <v>0.46680700000000003</v>
      </c>
      <c r="C67" s="68">
        <v>26.4054</v>
      </c>
      <c r="D67" s="68">
        <v>1</v>
      </c>
      <c r="E67" s="68" t="s">
        <v>473</v>
      </c>
    </row>
    <row r="68" spans="1:5">
      <c r="A68" s="68">
        <v>0.247223</v>
      </c>
      <c r="B68" s="68">
        <v>0.46851500000000001</v>
      </c>
      <c r="C68" s="68">
        <v>26.813300000000002</v>
      </c>
      <c r="D68" s="68">
        <v>1</v>
      </c>
      <c r="E68" s="68" t="s">
        <v>474</v>
      </c>
    </row>
    <row r="69" spans="1:5">
      <c r="A69" s="68">
        <v>0.24732899999999999</v>
      </c>
      <c r="B69" s="68">
        <v>0.46956199999999998</v>
      </c>
      <c r="C69" s="68">
        <v>27.216100000000001</v>
      </c>
      <c r="D69" s="68">
        <v>1</v>
      </c>
      <c r="E69" s="68" t="s">
        <v>475</v>
      </c>
    </row>
    <row r="70" spans="1:5">
      <c r="A70" s="68">
        <v>0.246785</v>
      </c>
      <c r="B70" s="68">
        <v>0.47286899999999998</v>
      </c>
      <c r="C70" s="68">
        <v>27.622</v>
      </c>
      <c r="D70" s="68">
        <v>1</v>
      </c>
      <c r="E70" s="68" t="s">
        <v>476</v>
      </c>
    </row>
    <row r="71" spans="1:5">
      <c r="A71" s="68">
        <v>0.246785</v>
      </c>
      <c r="B71" s="68">
        <v>0.47462300000000002</v>
      </c>
      <c r="C71" s="68">
        <v>28.028099999999998</v>
      </c>
      <c r="D71" s="68">
        <v>1</v>
      </c>
      <c r="E71" s="68" t="s">
        <v>477</v>
      </c>
    </row>
    <row r="72" spans="1:5">
      <c r="A72" s="68">
        <v>0.24628900000000001</v>
      </c>
      <c r="B72" s="68">
        <v>0.478105</v>
      </c>
      <c r="C72" s="68">
        <v>28.435099999999998</v>
      </c>
      <c r="D72" s="68">
        <v>1</v>
      </c>
      <c r="E72" s="68" t="s">
        <v>478</v>
      </c>
    </row>
    <row r="73" spans="1:5">
      <c r="A73" s="68">
        <v>0.24606900000000001</v>
      </c>
      <c r="B73" s="68">
        <v>0.48078300000000002</v>
      </c>
      <c r="C73" s="68">
        <v>28.8428</v>
      </c>
      <c r="D73" s="68">
        <v>1</v>
      </c>
      <c r="E73" s="68" t="s">
        <v>479</v>
      </c>
    </row>
    <row r="74" spans="1:5">
      <c r="A74" s="68">
        <v>0.24571100000000001</v>
      </c>
      <c r="B74" s="68">
        <v>0.48282900000000001</v>
      </c>
      <c r="C74" s="68">
        <v>29.250800000000002</v>
      </c>
      <c r="D74" s="68">
        <v>1</v>
      </c>
      <c r="E74" s="68" t="s">
        <v>480</v>
      </c>
    </row>
    <row r="75" spans="1:5">
      <c r="A75" s="68">
        <v>0.245536</v>
      </c>
      <c r="B75" s="68">
        <v>0.48416999999999999</v>
      </c>
      <c r="C75" s="68">
        <v>29.652799999999999</v>
      </c>
      <c r="D75" s="68">
        <v>1</v>
      </c>
      <c r="E75" s="68" t="s">
        <v>481</v>
      </c>
    </row>
    <row r="76" spans="1:5">
      <c r="A76" s="68">
        <v>0.24469199999999999</v>
      </c>
      <c r="B76" s="68">
        <v>0.48635899999999999</v>
      </c>
      <c r="C76" s="68">
        <v>30.061499999999999</v>
      </c>
      <c r="D76" s="68">
        <v>2</v>
      </c>
      <c r="E76" s="68" t="s">
        <v>482</v>
      </c>
    </row>
    <row r="77" spans="1:5">
      <c r="A77" s="68">
        <v>0.243975</v>
      </c>
      <c r="B77" s="68">
        <v>0.488284</v>
      </c>
      <c r="C77" s="68">
        <v>30.517299999999999</v>
      </c>
      <c r="D77" s="68">
        <v>2</v>
      </c>
      <c r="E77" s="68" t="s">
        <v>483</v>
      </c>
    </row>
    <row r="78" spans="1:5">
      <c r="A78" s="68">
        <v>0.242924</v>
      </c>
      <c r="B78" s="68">
        <v>0.49075800000000003</v>
      </c>
      <c r="C78" s="68">
        <v>30.920200000000001</v>
      </c>
      <c r="D78" s="68">
        <v>2</v>
      </c>
      <c r="E78" s="68" t="s">
        <v>484</v>
      </c>
    </row>
    <row r="79" spans="1:5">
      <c r="A79" s="68">
        <v>0.24195700000000001</v>
      </c>
      <c r="B79" s="68">
        <v>0.49269600000000002</v>
      </c>
      <c r="C79" s="68">
        <v>31.3262</v>
      </c>
      <c r="D79" s="68">
        <v>2</v>
      </c>
      <c r="E79" s="68" t="s">
        <v>485</v>
      </c>
    </row>
    <row r="80" spans="1:5">
      <c r="A80" s="68">
        <v>0.24119199999999999</v>
      </c>
      <c r="B80" s="68">
        <v>0.49213699999999999</v>
      </c>
      <c r="C80" s="68">
        <v>31.732600000000001</v>
      </c>
      <c r="D80" s="68">
        <v>2</v>
      </c>
      <c r="E80" s="68" t="s">
        <v>486</v>
      </c>
    </row>
    <row r="81" spans="1:5">
      <c r="A81" s="68">
        <v>0.240282</v>
      </c>
      <c r="B81" s="68">
        <v>0.49077199999999999</v>
      </c>
      <c r="C81" s="68">
        <v>32.140999999999998</v>
      </c>
      <c r="D81" s="68">
        <v>2</v>
      </c>
      <c r="E81" s="68" t="s">
        <v>487</v>
      </c>
    </row>
    <row r="82" spans="1:5">
      <c r="A82" s="68">
        <v>0.238981</v>
      </c>
      <c r="B82" s="68">
        <v>0.489622</v>
      </c>
      <c r="C82" s="68">
        <v>32.545999999999999</v>
      </c>
      <c r="D82" s="68">
        <v>2</v>
      </c>
      <c r="E82" s="68" t="s">
        <v>488</v>
      </c>
    </row>
    <row r="83" spans="1:5">
      <c r="A83" s="68">
        <v>0.23741999999999999</v>
      </c>
      <c r="B83" s="68">
        <v>0.48891899999999999</v>
      </c>
      <c r="C83" s="68">
        <v>32.953800000000001</v>
      </c>
      <c r="D83" s="68">
        <v>2</v>
      </c>
      <c r="E83" s="68" t="s">
        <v>489</v>
      </c>
    </row>
    <row r="84" spans="1:5">
      <c r="A84" s="68">
        <v>0.235791</v>
      </c>
      <c r="B84" s="68">
        <v>0.48836800000000002</v>
      </c>
      <c r="C84" s="68">
        <v>33.355800000000002</v>
      </c>
      <c r="D84" s="68">
        <v>2</v>
      </c>
      <c r="E84" s="68" t="s">
        <v>490</v>
      </c>
    </row>
    <row r="85" spans="1:5">
      <c r="A85" s="68">
        <v>0.234039</v>
      </c>
      <c r="B85" s="68">
        <v>0.48846600000000001</v>
      </c>
      <c r="C85" s="68">
        <v>33.7607</v>
      </c>
      <c r="D85" s="68">
        <v>2</v>
      </c>
      <c r="E85" s="68" t="s">
        <v>491</v>
      </c>
    </row>
    <row r="86" spans="1:5">
      <c r="A86" s="68">
        <v>0.232539</v>
      </c>
      <c r="B86" s="68">
        <v>0.48797299999999999</v>
      </c>
      <c r="C86" s="68">
        <v>34.165700000000001</v>
      </c>
      <c r="D86" s="68">
        <v>2</v>
      </c>
      <c r="E86" s="68" t="s">
        <v>492</v>
      </c>
    </row>
    <row r="87" spans="1:5">
      <c r="A87" s="68">
        <v>0.230903</v>
      </c>
      <c r="B87" s="68">
        <v>0.48820400000000003</v>
      </c>
      <c r="C87" s="68">
        <v>34.576500000000003</v>
      </c>
      <c r="D87" s="68">
        <v>2</v>
      </c>
      <c r="E87" s="68" t="s">
        <v>493</v>
      </c>
    </row>
    <row r="88" spans="1:5">
      <c r="A88" s="68">
        <v>0.22911699999999999</v>
      </c>
      <c r="B88" s="68">
        <v>0.48943399999999998</v>
      </c>
      <c r="C88" s="68">
        <v>34.983499999999999</v>
      </c>
      <c r="D88" s="68">
        <v>2</v>
      </c>
      <c r="E88" s="68" t="s">
        <v>494</v>
      </c>
    </row>
    <row r="89" spans="1:5">
      <c r="A89" s="68">
        <v>0.227133</v>
      </c>
      <c r="B89" s="68">
        <v>0.49167100000000002</v>
      </c>
      <c r="C89" s="68">
        <v>35.3874</v>
      </c>
      <c r="D89" s="68">
        <v>2</v>
      </c>
      <c r="E89" s="68" t="s">
        <v>495</v>
      </c>
    </row>
    <row r="90" spans="1:5">
      <c r="A90" s="68">
        <v>0.22497400000000001</v>
      </c>
      <c r="B90" s="68">
        <v>0.49462200000000001</v>
      </c>
      <c r="C90" s="68">
        <v>35.791200000000003</v>
      </c>
      <c r="D90" s="68">
        <v>2</v>
      </c>
      <c r="E90" s="68" t="s">
        <v>496</v>
      </c>
    </row>
    <row r="91" spans="1:5">
      <c r="A91" s="68">
        <v>0.22292200000000001</v>
      </c>
      <c r="B91" s="68">
        <v>0.49722</v>
      </c>
      <c r="C91" s="68">
        <v>36.203600000000002</v>
      </c>
      <c r="D91" s="68">
        <v>2</v>
      </c>
      <c r="E91" s="68" t="s">
        <v>497</v>
      </c>
    </row>
    <row r="92" spans="1:5">
      <c r="A92" s="68">
        <v>0.22101599999999999</v>
      </c>
      <c r="B92" s="68">
        <v>0.49957499999999999</v>
      </c>
      <c r="C92" s="68">
        <v>36.608400000000003</v>
      </c>
      <c r="D92" s="68">
        <v>2</v>
      </c>
      <c r="E92" s="68" t="s">
        <v>498</v>
      </c>
    </row>
    <row r="93" spans="1:5">
      <c r="A93" s="68">
        <v>0.21918399999999999</v>
      </c>
      <c r="B93" s="68">
        <v>0.50166900000000003</v>
      </c>
      <c r="C93" s="68">
        <v>37.014000000000003</v>
      </c>
      <c r="D93" s="68">
        <v>2</v>
      </c>
      <c r="E93" s="68" t="s">
        <v>499</v>
      </c>
    </row>
    <row r="94" spans="1:5">
      <c r="A94" s="68">
        <v>0.21748100000000001</v>
      </c>
      <c r="B94" s="68">
        <v>0.503139</v>
      </c>
      <c r="C94" s="68">
        <v>37.4178</v>
      </c>
      <c r="D94" s="68">
        <v>2</v>
      </c>
      <c r="E94" s="68" t="s">
        <v>500</v>
      </c>
    </row>
    <row r="95" spans="1:5">
      <c r="A95" s="68">
        <v>0.215866</v>
      </c>
      <c r="B95" s="68">
        <v>0.50409300000000001</v>
      </c>
      <c r="C95" s="68">
        <v>37.824800000000003</v>
      </c>
      <c r="D95" s="68">
        <v>2</v>
      </c>
      <c r="E95" s="68" t="s">
        <v>501</v>
      </c>
    </row>
    <row r="96" spans="1:5">
      <c r="A96" s="68">
        <v>0.214279</v>
      </c>
      <c r="B96" s="68">
        <v>0.50514700000000001</v>
      </c>
      <c r="C96" s="68">
        <v>38.233800000000002</v>
      </c>
      <c r="D96" s="68">
        <v>2</v>
      </c>
      <c r="E96" s="68" t="s">
        <v>502</v>
      </c>
    </row>
    <row r="97" spans="1:5">
      <c r="A97" s="68">
        <v>0.21276800000000001</v>
      </c>
      <c r="B97" s="68">
        <v>0.50598399999999999</v>
      </c>
      <c r="C97" s="68">
        <v>38.640599999999999</v>
      </c>
      <c r="D97" s="68">
        <v>2</v>
      </c>
      <c r="E97" s="68" t="s">
        <v>503</v>
      </c>
    </row>
    <row r="98" spans="1:5">
      <c r="A98" s="68">
        <v>0.21124699999999999</v>
      </c>
      <c r="B98" s="68">
        <v>0.50657600000000003</v>
      </c>
      <c r="C98" s="68">
        <v>39.043599999999998</v>
      </c>
      <c r="D98" s="68">
        <v>2</v>
      </c>
      <c r="E98" s="68" t="s">
        <v>504</v>
      </c>
    </row>
    <row r="99" spans="1:5">
      <c r="A99" s="68">
        <v>0.209705</v>
      </c>
      <c r="B99" s="68">
        <v>0.50723600000000002</v>
      </c>
      <c r="C99" s="68">
        <v>39.450400000000002</v>
      </c>
      <c r="D99" s="68">
        <v>2</v>
      </c>
      <c r="E99" s="68" t="s">
        <v>505</v>
      </c>
    </row>
    <row r="100" spans="1:5">
      <c r="A100" s="68">
        <v>0.208511</v>
      </c>
      <c r="B100" s="68">
        <v>0.50696600000000003</v>
      </c>
      <c r="C100" s="68">
        <v>39.856400000000001</v>
      </c>
      <c r="D100" s="68">
        <v>2</v>
      </c>
      <c r="E100" s="68" t="s">
        <v>506</v>
      </c>
    </row>
    <row r="101" spans="1:5">
      <c r="A101" s="68">
        <v>0.20710500000000001</v>
      </c>
      <c r="B101" s="68">
        <v>0.50746000000000002</v>
      </c>
      <c r="C101" s="68">
        <v>40.262300000000003</v>
      </c>
      <c r="D101" s="68">
        <v>2</v>
      </c>
      <c r="E101" s="68" t="s">
        <v>507</v>
      </c>
    </row>
    <row r="102" spans="1:5">
      <c r="A102" s="68">
        <v>0.20583899999999999</v>
      </c>
      <c r="B102" s="68">
        <v>0.50768599999999997</v>
      </c>
      <c r="C102" s="68">
        <v>40.674199999999999</v>
      </c>
      <c r="D102" s="68">
        <v>2</v>
      </c>
      <c r="E102" s="68" t="s">
        <v>508</v>
      </c>
    </row>
    <row r="103" spans="1:5">
      <c r="A103" s="68">
        <v>0.20457</v>
      </c>
      <c r="B103" s="68">
        <v>0.50802899999999995</v>
      </c>
      <c r="C103" s="68">
        <v>41.080100000000002</v>
      </c>
      <c r="D103" s="68">
        <v>2</v>
      </c>
      <c r="E103" s="68" t="s">
        <v>509</v>
      </c>
    </row>
    <row r="104" spans="1:5">
      <c r="A104" s="68">
        <v>0.203294</v>
      </c>
      <c r="B104" s="68">
        <v>0.50873299999999999</v>
      </c>
      <c r="C104" s="68">
        <v>41.482999999999997</v>
      </c>
      <c r="D104" s="68">
        <v>2</v>
      </c>
      <c r="E104" s="68" t="s">
        <v>510</v>
      </c>
    </row>
    <row r="105" spans="1:5">
      <c r="A105" s="68">
        <v>0.202294</v>
      </c>
      <c r="B105" s="68">
        <v>0.51164299999999996</v>
      </c>
      <c r="C105" s="68">
        <v>41.889099999999999</v>
      </c>
      <c r="D105" s="68">
        <v>2</v>
      </c>
      <c r="E105" s="68" t="s">
        <v>511</v>
      </c>
    </row>
    <row r="106" spans="1:5">
      <c r="A106" s="68">
        <v>0.20109199999999999</v>
      </c>
      <c r="B106" s="68">
        <v>0.51626399999999995</v>
      </c>
      <c r="C106" s="68">
        <v>42.294800000000002</v>
      </c>
      <c r="D106" s="68">
        <v>2</v>
      </c>
      <c r="E106" s="68" t="s">
        <v>512</v>
      </c>
    </row>
    <row r="107" spans="1:5">
      <c r="A107" s="68">
        <v>0.19971</v>
      </c>
      <c r="B107" s="68">
        <v>0.52151999999999998</v>
      </c>
      <c r="C107" s="68">
        <v>42.702800000000003</v>
      </c>
      <c r="D107" s="68">
        <v>2</v>
      </c>
      <c r="E107" s="68" t="s">
        <v>513</v>
      </c>
    </row>
    <row r="108" spans="1:5">
      <c r="A108" s="68">
        <v>0.19834299999999999</v>
      </c>
      <c r="B108" s="68">
        <v>0.526528</v>
      </c>
      <c r="C108" s="68">
        <v>43.1096</v>
      </c>
      <c r="D108" s="68">
        <v>2</v>
      </c>
      <c r="E108" s="68" t="s">
        <v>514</v>
      </c>
    </row>
    <row r="109" spans="1:5">
      <c r="A109" s="68">
        <v>0.19698599999999999</v>
      </c>
      <c r="B109" s="68">
        <v>0.53101500000000001</v>
      </c>
      <c r="C109" s="68">
        <v>43.514499999999998</v>
      </c>
      <c r="D109" s="68">
        <v>2</v>
      </c>
      <c r="E109" s="68" t="s">
        <v>515</v>
      </c>
    </row>
    <row r="110" spans="1:5">
      <c r="A110" s="68">
        <v>0.195545</v>
      </c>
      <c r="B110" s="68">
        <v>0.53518900000000003</v>
      </c>
      <c r="C110" s="68">
        <v>43.918700000000001</v>
      </c>
      <c r="D110" s="68">
        <v>2</v>
      </c>
      <c r="E110" s="68" t="s">
        <v>516</v>
      </c>
    </row>
    <row r="111" spans="1:5">
      <c r="A111" s="68">
        <v>0.194021</v>
      </c>
      <c r="B111" s="68">
        <v>0.53935900000000003</v>
      </c>
      <c r="C111" s="68">
        <v>44.328400000000002</v>
      </c>
      <c r="D111" s="68">
        <v>2</v>
      </c>
      <c r="E111" s="68" t="s">
        <v>517</v>
      </c>
    </row>
    <row r="112" spans="1:5">
      <c r="A112" s="68">
        <v>0.192549</v>
      </c>
      <c r="B112" s="68">
        <v>0.54300300000000001</v>
      </c>
      <c r="C112" s="68">
        <v>44.734299999999998</v>
      </c>
      <c r="D112" s="68">
        <v>2</v>
      </c>
      <c r="E112" s="68" t="s">
        <v>518</v>
      </c>
    </row>
    <row r="113" spans="1:5">
      <c r="A113" s="68">
        <v>0.190889</v>
      </c>
      <c r="B113" s="68">
        <v>0.54675300000000004</v>
      </c>
      <c r="C113" s="68">
        <v>45.139299999999999</v>
      </c>
      <c r="D113" s="68">
        <v>2</v>
      </c>
      <c r="E113" s="68" t="s">
        <v>519</v>
      </c>
    </row>
    <row r="114" spans="1:5">
      <c r="A114" s="68">
        <v>0.18926699999999999</v>
      </c>
      <c r="B114" s="68">
        <v>0.55000400000000005</v>
      </c>
      <c r="C114" s="68">
        <v>45.548099999999998</v>
      </c>
      <c r="D114" s="68">
        <v>2</v>
      </c>
      <c r="E114" s="68" t="s">
        <v>520</v>
      </c>
    </row>
    <row r="115" spans="1:5">
      <c r="A115" s="68">
        <v>0.18771499999999999</v>
      </c>
      <c r="B115" s="68">
        <v>0.55290300000000003</v>
      </c>
      <c r="C115" s="68">
        <v>45.95</v>
      </c>
      <c r="D115" s="68">
        <v>2</v>
      </c>
      <c r="E115" s="68" t="s">
        <v>521</v>
      </c>
    </row>
    <row r="116" spans="1:5">
      <c r="A116" s="68">
        <v>0.18639</v>
      </c>
      <c r="B116" s="68">
        <v>0.55559199999999997</v>
      </c>
      <c r="C116" s="68">
        <v>46.359099999999998</v>
      </c>
      <c r="D116" s="68">
        <v>2</v>
      </c>
      <c r="E116" s="68" t="s">
        <v>522</v>
      </c>
    </row>
    <row r="117" spans="1:5">
      <c r="A117" s="68">
        <v>0.18523100000000001</v>
      </c>
      <c r="B117" s="68">
        <v>0.55790200000000001</v>
      </c>
      <c r="C117" s="68">
        <v>46.765900000000002</v>
      </c>
      <c r="D117" s="68">
        <v>2</v>
      </c>
      <c r="E117" s="68" t="s">
        <v>523</v>
      </c>
    </row>
    <row r="118" spans="1:5">
      <c r="A118" s="68">
        <v>0.18412200000000001</v>
      </c>
      <c r="B118" s="68">
        <v>0.56064999999999998</v>
      </c>
      <c r="C118" s="68">
        <v>47.172699999999999</v>
      </c>
      <c r="D118" s="68">
        <v>2</v>
      </c>
      <c r="E118" s="68" t="s">
        <v>524</v>
      </c>
    </row>
    <row r="119" spans="1:5">
      <c r="A119" s="68">
        <v>0.18310100000000001</v>
      </c>
      <c r="B119" s="68">
        <v>0.56323599999999996</v>
      </c>
      <c r="C119" s="68">
        <v>47.576700000000002</v>
      </c>
      <c r="D119" s="68">
        <v>2</v>
      </c>
      <c r="E119" s="68" t="s">
        <v>525</v>
      </c>
    </row>
    <row r="120" spans="1:5">
      <c r="A120" s="68">
        <v>0.18215300000000001</v>
      </c>
      <c r="B120" s="68">
        <v>0.56524200000000002</v>
      </c>
      <c r="C120" s="68">
        <v>47.9846</v>
      </c>
      <c r="D120" s="68">
        <v>2</v>
      </c>
      <c r="E120" s="68" t="s">
        <v>526</v>
      </c>
    </row>
    <row r="121" spans="1:5">
      <c r="A121" s="68">
        <v>0.18109</v>
      </c>
      <c r="B121" s="68">
        <v>0.56745100000000004</v>
      </c>
      <c r="C121" s="68">
        <v>48.3887</v>
      </c>
      <c r="D121" s="68">
        <v>2</v>
      </c>
      <c r="E121" s="68" t="s">
        <v>527</v>
      </c>
    </row>
    <row r="122" spans="1:5">
      <c r="A122" s="68">
        <v>0.18012</v>
      </c>
      <c r="B122" s="68">
        <v>0.56923599999999996</v>
      </c>
      <c r="C122" s="68">
        <v>48.796500000000002</v>
      </c>
      <c r="D122" s="68">
        <v>2</v>
      </c>
      <c r="E122" s="68" t="s">
        <v>528</v>
      </c>
    </row>
    <row r="123" spans="1:5">
      <c r="A123" s="68">
        <v>0.179253</v>
      </c>
      <c r="B123" s="68">
        <v>0.57094999999999996</v>
      </c>
      <c r="C123" s="68">
        <v>49.209299999999999</v>
      </c>
      <c r="D123" s="68">
        <v>2</v>
      </c>
      <c r="E123" s="68" t="s">
        <v>529</v>
      </c>
    </row>
    <row r="124" spans="1:5">
      <c r="A124" s="68">
        <v>0.178426</v>
      </c>
      <c r="B124" s="68">
        <v>0.57290200000000002</v>
      </c>
      <c r="C124" s="68">
        <v>49.6083</v>
      </c>
      <c r="D124" s="68">
        <v>2</v>
      </c>
      <c r="E124" s="68" t="s">
        <v>530</v>
      </c>
    </row>
    <row r="125" spans="1:5">
      <c r="A125" s="68">
        <v>0.17744399999999999</v>
      </c>
      <c r="B125" s="68">
        <v>0.57596400000000003</v>
      </c>
      <c r="C125" s="68">
        <v>50.0122</v>
      </c>
      <c r="D125" s="68">
        <v>2</v>
      </c>
      <c r="E125" s="68" t="s">
        <v>531</v>
      </c>
    </row>
    <row r="126" spans="1:5">
      <c r="A126" s="68">
        <v>0.17657400000000001</v>
      </c>
      <c r="B126" s="68">
        <v>0.57847899999999997</v>
      </c>
      <c r="C126" s="68">
        <v>50.421599999999998</v>
      </c>
      <c r="D126" s="68">
        <v>2</v>
      </c>
      <c r="E126" s="68" t="s">
        <v>532</v>
      </c>
    </row>
    <row r="127" spans="1:5">
      <c r="A127" s="68">
        <v>0.175654</v>
      </c>
      <c r="B127" s="68">
        <v>0.58094199999999996</v>
      </c>
      <c r="C127" s="68">
        <v>50.825000000000003</v>
      </c>
      <c r="D127" s="68">
        <v>2</v>
      </c>
      <c r="E127" s="68" t="s">
        <v>533</v>
      </c>
    </row>
    <row r="128" spans="1:5">
      <c r="A128" s="68">
        <v>0.174955</v>
      </c>
      <c r="B128" s="68">
        <v>0.58277999999999996</v>
      </c>
      <c r="C128" s="68">
        <v>51.234000000000002</v>
      </c>
      <c r="D128" s="68">
        <v>2</v>
      </c>
      <c r="E128" s="68" t="s">
        <v>534</v>
      </c>
    </row>
    <row r="129" spans="1:5">
      <c r="A129" s="68">
        <v>0.174208</v>
      </c>
      <c r="B129" s="68">
        <v>0.58478399999999997</v>
      </c>
      <c r="C129" s="68">
        <v>51.640900000000002</v>
      </c>
      <c r="D129" s="68">
        <v>2</v>
      </c>
      <c r="E129" s="68" t="s">
        <v>535</v>
      </c>
    </row>
    <row r="130" spans="1:5">
      <c r="A130" s="68">
        <v>0.17352100000000001</v>
      </c>
      <c r="B130" s="68">
        <v>0.58663699999999996</v>
      </c>
      <c r="C130" s="68">
        <v>52.042700000000004</v>
      </c>
      <c r="D130" s="68">
        <v>2</v>
      </c>
      <c r="E130" s="68" t="s">
        <v>536</v>
      </c>
    </row>
    <row r="131" spans="1:5">
      <c r="A131" s="68">
        <v>0.17322199999999999</v>
      </c>
      <c r="B131" s="68">
        <v>0.58716800000000002</v>
      </c>
      <c r="C131" s="68">
        <v>52.450699999999998</v>
      </c>
      <c r="D131" s="68">
        <v>2</v>
      </c>
      <c r="E131" s="68" t="s">
        <v>537</v>
      </c>
    </row>
    <row r="132" spans="1:5">
      <c r="A132" s="68">
        <v>0.17327999999999999</v>
      </c>
      <c r="B132" s="68">
        <v>0.58661700000000006</v>
      </c>
      <c r="C132" s="68">
        <v>52.857599999999998</v>
      </c>
      <c r="D132" s="68">
        <v>2</v>
      </c>
      <c r="E132" s="68" t="s">
        <v>538</v>
      </c>
    </row>
    <row r="133" spans="1:5">
      <c r="A133" s="68">
        <v>0.17333299999999999</v>
      </c>
      <c r="B133" s="68">
        <v>0.58619200000000005</v>
      </c>
      <c r="C133" s="68">
        <v>53.263599999999997</v>
      </c>
      <c r="D133" s="68">
        <v>2</v>
      </c>
      <c r="E133" s="68" t="s">
        <v>539</v>
      </c>
    </row>
    <row r="134" spans="1:5">
      <c r="A134" s="68">
        <v>0.173404</v>
      </c>
      <c r="B134" s="68">
        <v>0.58597600000000005</v>
      </c>
      <c r="C134" s="68">
        <v>53.670299999999997</v>
      </c>
      <c r="D134" s="68">
        <v>2</v>
      </c>
      <c r="E134" s="68" t="s">
        <v>540</v>
      </c>
    </row>
    <row r="135" spans="1:5">
      <c r="A135" s="68">
        <v>0.173591</v>
      </c>
      <c r="B135" s="68">
        <v>0.58526699999999998</v>
      </c>
      <c r="C135" s="68">
        <v>54.074300000000001</v>
      </c>
      <c r="D135" s="68">
        <v>2</v>
      </c>
      <c r="E135" s="68" t="s">
        <v>541</v>
      </c>
    </row>
    <row r="136" spans="1:5">
      <c r="A136" s="68">
        <v>0.17380699999999999</v>
      </c>
      <c r="B136" s="68">
        <v>0.58463799999999999</v>
      </c>
      <c r="C136" s="68">
        <v>54.482300000000002</v>
      </c>
      <c r="D136" s="68">
        <v>2</v>
      </c>
      <c r="E136" s="68" t="s">
        <v>542</v>
      </c>
    </row>
    <row r="137" spans="1:5">
      <c r="A137" s="68">
        <v>0.17419899999999999</v>
      </c>
      <c r="B137" s="68">
        <v>0.58362499999999995</v>
      </c>
      <c r="C137" s="68">
        <v>54.892099999999999</v>
      </c>
      <c r="D137" s="68">
        <v>2</v>
      </c>
      <c r="E137" s="68" t="s">
        <v>543</v>
      </c>
    </row>
    <row r="138" spans="1:5">
      <c r="A138" s="68">
        <v>0.174927</v>
      </c>
      <c r="B138" s="68">
        <v>0.58165599999999995</v>
      </c>
      <c r="C138" s="68">
        <v>55.295099999999998</v>
      </c>
      <c r="D138" s="68">
        <v>2</v>
      </c>
      <c r="E138" s="68" t="s">
        <v>544</v>
      </c>
    </row>
    <row r="139" spans="1:5">
      <c r="A139" s="68">
        <v>0.175728</v>
      </c>
      <c r="B139" s="68">
        <v>0.57970299999999997</v>
      </c>
      <c r="C139" s="68">
        <v>55.702399999999997</v>
      </c>
      <c r="D139" s="68">
        <v>2</v>
      </c>
      <c r="E139" s="68" t="s">
        <v>545</v>
      </c>
    </row>
    <row r="140" spans="1:5">
      <c r="A140" s="68">
        <v>0.17682200000000001</v>
      </c>
      <c r="B140" s="68">
        <v>0.57693099999999997</v>
      </c>
      <c r="C140" s="68">
        <v>56.110900000000001</v>
      </c>
      <c r="D140" s="68">
        <v>2</v>
      </c>
      <c r="E140" s="68" t="s">
        <v>546</v>
      </c>
    </row>
    <row r="141" spans="1:5">
      <c r="A141" s="68">
        <v>0.177533</v>
      </c>
      <c r="B141" s="68">
        <v>0.57462599999999997</v>
      </c>
      <c r="C141" s="68">
        <v>56.516800000000003</v>
      </c>
      <c r="D141" s="68">
        <v>2</v>
      </c>
      <c r="E141" s="68" t="s">
        <v>547</v>
      </c>
    </row>
    <row r="142" spans="1:5">
      <c r="A142" s="68">
        <v>0.17827899999999999</v>
      </c>
      <c r="B142" s="68">
        <v>0.57195600000000002</v>
      </c>
      <c r="C142" s="68">
        <v>56.919699999999999</v>
      </c>
      <c r="D142" s="68">
        <v>2</v>
      </c>
      <c r="E142" s="68" t="s">
        <v>548</v>
      </c>
    </row>
    <row r="143" spans="1:5">
      <c r="A143" s="68">
        <v>0.17858299999999999</v>
      </c>
      <c r="B143" s="68">
        <v>0.56937700000000002</v>
      </c>
      <c r="C143" s="68">
        <v>57.325600000000001</v>
      </c>
      <c r="D143" s="68">
        <v>2</v>
      </c>
      <c r="E143" s="68" t="s">
        <v>549</v>
      </c>
    </row>
    <row r="144" spans="1:5">
      <c r="A144" s="68">
        <v>0.17894699999999999</v>
      </c>
      <c r="B144" s="68">
        <v>0.566222</v>
      </c>
      <c r="C144" s="68">
        <v>57.735900000000001</v>
      </c>
      <c r="D144" s="68">
        <v>2</v>
      </c>
      <c r="E144" s="68" t="s">
        <v>550</v>
      </c>
    </row>
    <row r="145" spans="1:5">
      <c r="A145" s="68">
        <v>0.17949300000000001</v>
      </c>
      <c r="B145" s="68">
        <v>0.56365699999999996</v>
      </c>
      <c r="C145" s="68">
        <v>58.141800000000003</v>
      </c>
      <c r="D145" s="68">
        <v>2</v>
      </c>
      <c r="E145" s="68" t="s">
        <v>551</v>
      </c>
    </row>
    <row r="146" spans="1:5">
      <c r="A146" s="68">
        <v>0.18065000000000001</v>
      </c>
      <c r="B146" s="68">
        <v>0.55961700000000003</v>
      </c>
      <c r="C146" s="68">
        <v>58.545699999999997</v>
      </c>
      <c r="D146" s="68">
        <v>2</v>
      </c>
      <c r="E146" s="68" t="s">
        <v>552</v>
      </c>
    </row>
    <row r="147" spans="1:5">
      <c r="A147" s="68">
        <v>0.182085</v>
      </c>
      <c r="B147" s="68">
        <v>0.55467299999999997</v>
      </c>
      <c r="C147" s="68">
        <v>58.952599999999997</v>
      </c>
      <c r="D147" s="68">
        <v>2</v>
      </c>
      <c r="E147" s="68" t="s">
        <v>553</v>
      </c>
    </row>
    <row r="148" spans="1:5">
      <c r="A148" s="68">
        <v>0.18210699999999999</v>
      </c>
      <c r="B148" s="68">
        <v>0.556454</v>
      </c>
      <c r="C148" s="68">
        <v>59.359200000000001</v>
      </c>
      <c r="D148" s="68">
        <v>2</v>
      </c>
      <c r="E148" s="68" t="s">
        <v>554</v>
      </c>
    </row>
    <row r="149" spans="1:5">
      <c r="A149" s="68">
        <v>0.18251400000000001</v>
      </c>
      <c r="B149" s="68">
        <v>0.55642999999999998</v>
      </c>
      <c r="C149" s="68">
        <v>59.7652</v>
      </c>
      <c r="D149" s="68">
        <v>2</v>
      </c>
      <c r="E149" s="68" t="s">
        <v>555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556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348</v>
      </c>
      <c r="G1" s="66" t="s">
        <v>562</v>
      </c>
      <c r="H1" s="66" t="s">
        <v>563</v>
      </c>
      <c r="I1" s="66" t="s">
        <v>564</v>
      </c>
      <c r="J1" s="66" t="s">
        <v>565</v>
      </c>
      <c r="K1" s="66" t="s">
        <v>566</v>
      </c>
      <c r="L1" s="66" t="s">
        <v>567</v>
      </c>
      <c r="M1" s="66" t="s">
        <v>568</v>
      </c>
      <c r="N1" s="66"/>
    </row>
    <row r="2" spans="1:14">
      <c r="A2" s="75">
        <v>43607.418541666666</v>
      </c>
      <c r="B2" s="66" t="s">
        <v>558</v>
      </c>
      <c r="C2" s="66"/>
      <c r="D2" s="66"/>
      <c r="E2" s="66">
        <v>4.9234099999999996</v>
      </c>
      <c r="F2" s="66">
        <v>1.0557000000000001</v>
      </c>
      <c r="G2" s="66">
        <v>0.49613800000000002</v>
      </c>
      <c r="H2" s="66">
        <v>0</v>
      </c>
      <c r="I2" s="66">
        <v>77532</v>
      </c>
      <c r="J2" s="66">
        <v>47</v>
      </c>
      <c r="K2" s="66">
        <v>47</v>
      </c>
      <c r="L2" s="66">
        <v>0</v>
      </c>
      <c r="M2" s="66" t="s">
        <v>569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2019-05-22T02:03:44Z</cp:lastPrinted>
  <dcterms:created xsi:type="dcterms:W3CDTF">2010-10-29T12:53:05Z</dcterms:created>
  <dcterms:modified xsi:type="dcterms:W3CDTF">2019-05-22T02:03:58Z</dcterms:modified>
</cp:coreProperties>
</file>