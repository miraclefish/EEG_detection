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<sst xmlns="http://schemas.openxmlformats.org/spreadsheetml/2006/main" count="701" uniqueCount="518">
  <si>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</si>
  <si>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</si>
  <si>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</si>
  <si>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</si>
  <si>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</si>
  <si>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</si>
  <si>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</si>
  <si>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</si>
  <si>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</si>
  <si>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</si>
  <si>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</si>
  <si>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</si>
  <si>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</si>
  <si>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</si>
  <si>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</si>
  <si>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</si>
  <si>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</si>
  <si>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</si>
  <si>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</si>
  <si>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</si>
  <si>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</si>
  <si>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</si>
  <si>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</si>
  <si>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</si>
  <si>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</si>
  <si>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</si>
  <si>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</si>
  <si>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</si>
  <si>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</si>
  <si>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</si>
  <si>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</si>
  <si>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</si>
  <si>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</si>
  <si>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</si>
  <si>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</si>
  <si>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</si>
  <si>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</si>
  <si>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</si>
  <si>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</si>
  <si>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</si>
  <si>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</si>
  <si>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</si>
  <si>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</si>
  <si>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</si>
  <si>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</si>
  <si>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</si>
  <si>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</si>
  <si>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</si>
  <si>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</si>
  <si>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</si>
  <si>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</si>
  <si>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</si>
  <si>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</si>
  <si>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</si>
  <si>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</si>
  <si>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</si>
  <si>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</si>
  <si>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</si>
  <si>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</si>
  <si>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</si>
  <si>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</si>
  <si>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</si>
  <si>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</si>
  <si>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</si>
  <si>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</si>
  <si>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</si>
  <si>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</si>
  <si>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</si>
  <si>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</si>
  <si>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</si>
  <si>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</si>
  <si>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</si>
  <si>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</si>
  <si>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</si>
  <si>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</si>
  <si>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</si>
  <si>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</si>
  <si>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</si>
  <si>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</si>
  <si>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</si>
  <si>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</si>
  <si>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</si>
  <si>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</si>
  <si>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</si>
  <si>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</si>
  <si>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</si>
  <si>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</si>
  <si>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</si>
  <si>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</si>
  <si>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</si>
  <si>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</si>
  <si>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</si>
  <si>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</si>
  <si>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</si>
  <si>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</si>
  <si>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</si>
  <si>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</si>
  <si>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</si>
  <si>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</si>
  <si>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</si>
  <si>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</si>
  <si>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</si>
  <si>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</si>
  <si>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</si>
  <si>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</si>
  <si>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</si>
  <si>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</si>
  <si>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</si>
  <si>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</si>
  <si>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</si>
  <si>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</si>
  <si>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</si>
  <si>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</si>
  <si>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</si>
  <si>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</si>
  <si>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</si>
  <si>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</si>
  <si>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</si>
  <si>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</si>
  <si>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</si>
  <si>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</si>
  <si>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</si>
  <si>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</si>
  <si>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</si>
  <si>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</si>
  <si>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</si>
  <si>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</si>
  <si>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</si>
  <si>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</si>
  <si>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</si>
  <si>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</si>
  <si>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</si>
  <si>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</si>
  <si>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</si>
  <si>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</si>
  <si>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</si>
  <si>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</si>
  <si>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</si>
  <si>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</si>
  <si>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</si>
  <si>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</si>
  <si>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</si>
  <si>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</si>
  <si>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</si>
  <si>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</si>
  <si>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</si>
  <si>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</si>
  <si>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</si>
  <si>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</si>
  <si>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</si>
  <si>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</si>
  <si>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</si>
  <si>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</si>
  <si>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</si>
  <si>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</si>
  <si>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</si>
  <si>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</si>
  <si>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</si>
  <si>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</si>
  <si>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</si>
  <si>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</si>
  <si>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</si>
  <si>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</si>
  <si>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</si>
  <si>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</si>
  <si>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</si>
  <si>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</si>
  <si>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</si>
  <si>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</si>
  <si>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</si>
  <si>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</si>
  <si>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</si>
  <si>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</si>
  <si>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</si>
  <si>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</si>
  <si>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</si>
  <si>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</si>
  <si>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</si>
  <si>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</si>
  <si>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</si>
  <si>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</si>
  <si>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</si>
  <si>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</si>
  <si>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</si>
  <si>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</si>
  <si>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</si>
  <si>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</si>
  <si>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</si>
  <si>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</si>
  <si>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</si>
  <si>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</si>
  <si>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</si>
  <si>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</si>
  <si>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</si>
  <si>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</si>
  <si>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</si>
  <si>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</si>
  <si>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</si>
  <si>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</si>
  <si>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</si>
  <si>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</si>
  <si>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</si>
  <si>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</si>
  <si>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</si>
  <si>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</si>
  <si>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</si>
  <si>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</si>
  <si>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</si>
  <si>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</si>
  <si>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</si>
  <si>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</si>
  <si>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</si>
  <si>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</si>
  <si>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</si>
  <si>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</si>
  <si>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</si>
  <si>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</si>
  <si>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</si>
  <si>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</si>
  <si>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</si>
  <si>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</si>
  <si>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</si>
  <si>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</si>
  <si>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</si>
  <si>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</si>
  <si>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</si>
  <si>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</si>
  <si>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</si>
  <si>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</si>
  <si>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</si>
  <si>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</si>
  <si>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</si>
  <si>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</si>
  <si>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</si>
  <si>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</si>
  <si>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</si>
  <si>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</si>
  <si>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</si>
  <si>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</si>
  <si>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</si>
  <si>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</si>
  <si>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</si>
  <si>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</si>
  <si>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</si>
  <si>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</si>
  <si>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</si>
  <si>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</si>
  <si>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</si>
  <si>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</si>
  <si>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</si>
  <si>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</si>
  <si>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</si>
  <si>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</si>
  <si>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</si>
  <si>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</si>
  <si>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</si>
  <si>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</si>
  <si>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</si>
  <si>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</si>
  <si>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</si>
  <si>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</si>
  <si>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</si>
  <si>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</si>
  <si>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</si>
  <si>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</si>
  <si>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</si>
  <si>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</si>
  <si>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</si>
  <si>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</si>
  <si>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</si>
  <si>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</si>
  <si>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</si>
  <si>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</si>
  <si>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</si>
  <si>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</si>
  <si>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</si>
  <si>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</si>
  <si>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</si>
  <si>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</si>
  <si>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</si>
  <si>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</si>
  <si>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</si>
  <si>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</si>
  <si>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</si>
  <si>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</si>
  <si>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</si>
  <si>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</si>
  <si>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</si>
  <si>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</si>
  <si>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</si>
  <si>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</si>
  <si>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</si>
  <si>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</si>
  <si>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</si>
  <si>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</si>
  <si>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</si>
  <si>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</si>
  <si>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</si>
  <si>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</si>
  <si>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</si>
  <si>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</si>
  <si>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</si>
  <si>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</si>
  <si>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</si>
  <si>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</si>
  <si>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</si>
  <si>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</si>
  <si>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</si>
  <si>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</si>
  <si>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</si>
  <si>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</si>
  <si>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</si>
  <si>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</si>
  <si>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</si>
  <si>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</si>
  <si>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</si>
  <si>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</si>
  <si>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</si>
  <si>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</si>
  <si>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</si>
  <si>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</si>
  <si>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</si>
  <si>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</si>
  <si>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</si>
  <si>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</si>
  <si>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</si>
  <si>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</si>
  <si>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</si>
  <si>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</si>
  <si>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</si>
  <si>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</si>
  <si>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</si>
  <si>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</si>
  <si>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</si>
  <si>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</si>
  <si>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</si>
  <si>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</si>
  <si>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</si>
  <si>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</si>
  <si>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</si>
  <si>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</si>
  <si>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</si>
  <si>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</si>
  <si>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</si>
  <si>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</si>
  <si>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</si>
  <si>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</si>
  <si>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BMax</t>
    <phoneticPr fontId="29" type="noConversion"/>
  </si>
  <si>
    <t>A4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</si>
  <si>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</si>
  <si>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</si>
  <si>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</si>
  <si>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</si>
  <si>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</si>
  <si>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</si>
  <si>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</si>
  <si>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</si>
  <si>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[0.405783]</t>
  </si>
  <si>
    <t>1 [0.813084]</t>
  </si>
  <si>
    <t>1 [1.220454]</t>
  </si>
  <si>
    <t>1 [1.627794]</t>
  </si>
  <si>
    <t>1 [2.030769]</t>
  </si>
  <si>
    <t>1 [2.438484]</t>
  </si>
  <si>
    <t>1 [2.842091]</t>
  </si>
  <si>
    <t>1 [3.250099]</t>
  </si>
  <si>
    <t>1 [3.656417]</t>
  </si>
  <si>
    <t>1 [4.065006]</t>
  </si>
  <si>
    <t>1 [4.467525]</t>
  </si>
  <si>
    <t>1 [4.874343]</t>
  </si>
  <si>
    <t>1 [5.282657]</t>
  </si>
  <si>
    <t>1 [5.689903]</t>
  </si>
  <si>
    <t>1 [6.093940]</t>
  </si>
  <si>
    <t>1 [6.499054]</t>
  </si>
  <si>
    <t>1 [6.905709]</t>
  </si>
  <si>
    <t>1 [7.315774]</t>
  </si>
  <si>
    <t>1 [7.720775]</t>
  </si>
  <si>
    <t>1 [8.125172]</t>
  </si>
  <si>
    <t>1 [8.531554]</t>
  </si>
  <si>
    <t>1 [8.937367]</t>
  </si>
  <si>
    <t>1 [9.345037]</t>
  </si>
  <si>
    <t>1 [9.753526]</t>
  </si>
  <si>
    <t>1 [10.156585]</t>
  </si>
  <si>
    <t>1 [10.560296]</t>
  </si>
  <si>
    <t>1 [10.968481]</t>
  </si>
  <si>
    <t>1 [11.376685]</t>
  </si>
  <si>
    <t>1 [11.782452]</t>
  </si>
  <si>
    <t>1 [12.188552]</t>
  </si>
  <si>
    <t>1 [12.590961]</t>
  </si>
  <si>
    <t>1 [12.998288]</t>
  </si>
  <si>
    <t>1 [13.403272]</t>
  </si>
  <si>
    <t>1 [13.813335]</t>
  </si>
  <si>
    <t>1 [14.220264]</t>
  </si>
  <si>
    <t>1 [14.627477]</t>
  </si>
  <si>
    <t>1 [15.028234]</t>
  </si>
  <si>
    <t>1 [15.436917]</t>
  </si>
  <si>
    <t>1 [15.841101]</t>
  </si>
  <si>
    <t>1 [16.252596]</t>
  </si>
  <si>
    <t>1 [16.657256]</t>
  </si>
  <si>
    <t>1 [17.062946]</t>
  </si>
  <si>
    <t>1 [17.466898]</t>
  </si>
  <si>
    <t>1 [17.874147]</t>
  </si>
  <si>
    <t>1 [18.282610]</t>
  </si>
  <si>
    <t>1 [18.687099]</t>
  </si>
  <si>
    <t>1 [19.094876]</t>
  </si>
  <si>
    <t>1 [19.499281]</t>
  </si>
  <si>
    <t>1 [19.908165]</t>
  </si>
  <si>
    <t>1 [20.312643]</t>
  </si>
  <si>
    <t>1 [20.717712]</t>
  </si>
  <si>
    <t>1 [21.123039]</t>
  </si>
  <si>
    <t>1 [21.532267]</t>
  </si>
  <si>
    <t>1 [21.938513]</t>
  </si>
  <si>
    <t>1 [22.344600]</t>
  </si>
  <si>
    <t>1 [22.748116]</t>
  </si>
  <si>
    <t>1 [23.166168]</t>
  </si>
  <si>
    <t>1 [23.564964]</t>
  </si>
  <si>
    <t>1 [23.970846]</t>
  </si>
  <si>
    <t>1 [24.374017]</t>
  </si>
  <si>
    <t>1 [24.780018]</t>
  </si>
  <si>
    <t>1 [25.193536]</t>
  </si>
  <si>
    <t>1 [25.597812]</t>
  </si>
  <si>
    <t>1 [25.998610]</t>
  </si>
  <si>
    <t>1 [26.404291]</t>
  </si>
  <si>
    <t>1 [26.813165]</t>
  </si>
  <si>
    <t>1 [27.220863]</t>
  </si>
  <si>
    <t>1 [27.627846]</t>
  </si>
  <si>
    <t>1 [28.034324]</t>
  </si>
  <si>
    <t>1 [28.435271]</t>
  </si>
  <si>
    <t>1 [28.842044]</t>
  </si>
  <si>
    <t>1 [29.256399]</t>
  </si>
  <si>
    <t>1 [29.656232]</t>
  </si>
  <si>
    <t>2 [30.067232]</t>
  </si>
  <si>
    <t>2 [30.531026]</t>
  </si>
  <si>
    <t>2 [30.923754]</t>
  </si>
  <si>
    <t>2 [31.330134]</t>
  </si>
  <si>
    <t>2 [31.732826]</t>
  </si>
  <si>
    <t>2 [32.139984]</t>
  </si>
  <si>
    <t>2 [32.543868]</t>
  </si>
  <si>
    <t>2 [32.956637]</t>
  </si>
  <si>
    <t>2 [33.358891]</t>
  </si>
  <si>
    <t>2 [33.764572]</t>
  </si>
  <si>
    <t>2 [34.170227]</t>
  </si>
  <si>
    <t>2 [34.575352]</t>
  </si>
  <si>
    <t>2 [34.986042]</t>
  </si>
  <si>
    <t>2 [35.391640]</t>
  </si>
  <si>
    <t>2 [35.794100]</t>
  </si>
  <si>
    <t>2 [36.201616]</t>
  </si>
  <si>
    <t>2 [36.608054]</t>
  </si>
  <si>
    <t>2 [37.019177]</t>
  </si>
  <si>
    <t>2 [37.420984]</t>
  </si>
  <si>
    <t>2 [37.824779]</t>
  </si>
  <si>
    <t>2 [38.233139]</t>
  </si>
  <si>
    <t>2 [38.644298]</t>
  </si>
  <si>
    <t>2 [39.047754]</t>
  </si>
  <si>
    <t>2 [39.452675]</t>
  </si>
  <si>
    <t>2 [39.856003]</t>
  </si>
  <si>
    <t>2 [40.265921]</t>
  </si>
  <si>
    <t>2 [40.672300]</t>
  </si>
  <si>
    <t>2 [41.080372]</t>
  </si>
  <si>
    <t>2 [41.486845]</t>
  </si>
  <si>
    <t>2 [41.889800]</t>
  </si>
  <si>
    <t>2 [42.295128]</t>
  </si>
  <si>
    <t>2 [42.704410]</t>
  </si>
  <si>
    <t>2 [43.110638]</t>
  </si>
  <si>
    <t>2 [43.515792]</t>
  </si>
  <si>
    <t>2 [43.921101]</t>
  </si>
  <si>
    <t>2 [44.329405]</t>
  </si>
  <si>
    <t>2 [44.736142]</t>
  </si>
  <si>
    <t>2 [45.143916]</t>
  </si>
  <si>
    <t>2 [45.554213]</t>
  </si>
  <si>
    <t>2 [45.953346]</t>
  </si>
  <si>
    <t>2 [46.364081]</t>
  </si>
  <si>
    <t>2 [46.769058]</t>
  </si>
  <si>
    <t>2 [47.174246]</t>
  </si>
  <si>
    <t>2 [47.581015]</t>
  </si>
  <si>
    <t>2 [47.985371]</t>
  </si>
  <si>
    <t>2 [48.389455]</t>
  </si>
  <si>
    <t>2 [48.795454]</t>
  </si>
  <si>
    <t>2 [49.205999]</t>
  </si>
  <si>
    <t>2 [49.610737]</t>
  </si>
  <si>
    <t>2 [50.017871]</t>
  </si>
  <si>
    <t>2 [50.419545]</t>
  </si>
  <si>
    <t>2 [50.828420]</t>
  </si>
  <si>
    <t>2 [51.236093]</t>
  </si>
  <si>
    <t>2 [51.643408]</t>
  </si>
  <si>
    <t>2 [52.046895]</t>
  </si>
  <si>
    <t>2 [52.451383]</t>
  </si>
  <si>
    <t>2 [52.859945]</t>
  </si>
  <si>
    <t>2 [53.265883]</t>
  </si>
  <si>
    <t>2 [53.673566]</t>
  </si>
  <si>
    <t>2 [54.078292]</t>
  </si>
  <si>
    <t>2 [54.480821]</t>
  </si>
  <si>
    <t>2 [54.889118]</t>
  </si>
  <si>
    <t>2 [55.294575]</t>
  </si>
  <si>
    <t>2 [55.700767]</t>
  </si>
  <si>
    <t>2 [56.112395]</t>
  </si>
  <si>
    <t>2 [56.515687]</t>
  </si>
  <si>
    <t>2 [56.922502]</t>
  </si>
  <si>
    <t>2 [57.331362]</t>
  </si>
  <si>
    <t>2 [57.736407]</t>
  </si>
  <si>
    <t>2 [58.144440]</t>
  </si>
  <si>
    <t>2 [58.547675]</t>
  </si>
  <si>
    <t>2 [58.954076]</t>
  </si>
  <si>
    <t>2 [59.360931]</t>
  </si>
  <si>
    <t>2 [59.767937]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</si>
  <si>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</si>
  <si>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</si>
  <si>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</si>
  <si>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</si>
  <si>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</si>
  <si>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</si>
  <si>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</si>
  <si>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</si>
  <si>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</si>
  <si>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</si>
  <si>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</si>
  <si>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</si>
  <si>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</si>
  <si>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梁佳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</si>
</sst>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44.698999999999998</c:v>
                </c:pt>
                <c:pt idx="1">
                  <c:v>27.791699999999999</c:v>
                </c:pt>
                <c:pt idx="2">
                  <c:v>15.183199999999999</c:v>
                </c:pt>
                <c:pt idx="3">
                  <c:v>29.329000000000001</c:v>
                </c:pt>
                <c:pt idx="4">
                  <c:v>72.046199999999999</c:v>
                </c:pt>
                <c:pt idx="5">
                  <c:v>78.413899999999998</c:v>
                </c:pt>
                <c:pt idx="6">
                  <c:v>27.0397</c:v>
                </c:pt>
                <c:pt idx="7">
                  <c:v>75.114500000000007</c:v>
                </c:pt>
                <c:pt idx="8">
                  <c:v>22.800899999999999</c:v>
                </c:pt>
                <c:pt idx="9">
                  <c:v>22.430900000000001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0.54906507726468923</c:v>
                </c:pt>
                <c:pt idx="1">
                  <c:v>0.2543094604252123</c:v>
                </c:pt>
                <c:pt idx="2">
                  <c:v>0.19662546231009856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3027</c:v>
                </c:pt>
                <c:pt idx="7">
                  <c:v>0</c:v>
                </c:pt>
                <c:pt idx="8">
                  <c:v>4809</c:v>
                </c:pt>
                <c:pt idx="9">
                  <c:v>0</c:v>
                </c:pt>
                <c:pt idx="10">
                  <c:v>0</c:v>
                </c:pt>
                <c:pt idx="11">
                  <c:v>5944</c:v>
                </c:pt>
                <c:pt idx="12">
                  <c:v>0</c:v>
                </c:pt>
                <c:pt idx="13">
                  <c:v>7283</c:v>
                </c:pt>
                <c:pt idx="14">
                  <c:v>0</c:v>
                </c:pt>
                <c:pt idx="15">
                  <c:v>0</c:v>
                </c:pt>
                <c:pt idx="16">
                  <c:v>14163</c:v>
                </c:pt>
                <c:pt idx="17">
                  <c:v>0</c:v>
                </c:pt>
                <c:pt idx="18">
                  <c:v>0</c:v>
                </c:pt>
                <c:pt idx="19">
                  <c:v>14680</c:v>
                </c:pt>
                <c:pt idx="20">
                  <c:v>0</c:v>
                </c:pt>
                <c:pt idx="21">
                  <c:v>21391</c:v>
                </c:pt>
                <c:pt idx="22">
                  <c:v>0</c:v>
                </c:pt>
                <c:pt idx="23">
                  <c:v>0</c:v>
                </c:pt>
                <c:pt idx="24">
                  <c:v>20679</c:v>
                </c:pt>
                <c:pt idx="25">
                  <c:v>0</c:v>
                </c:pt>
                <c:pt idx="26">
                  <c:v>27942</c:v>
                </c:pt>
                <c:pt idx="27">
                  <c:v>0</c:v>
                </c:pt>
                <c:pt idx="28">
                  <c:v>0</c:v>
                </c:pt>
                <c:pt idx="29">
                  <c:v>33795</c:v>
                </c:pt>
                <c:pt idx="30">
                  <c:v>0</c:v>
                </c:pt>
                <c:pt idx="31">
                  <c:v>40407</c:v>
                </c:pt>
                <c:pt idx="32">
                  <c:v>0</c:v>
                </c:pt>
                <c:pt idx="33">
                  <c:v>0</c:v>
                </c:pt>
                <c:pt idx="34">
                  <c:v>45984</c:v>
                </c:pt>
                <c:pt idx="35">
                  <c:v>0</c:v>
                </c:pt>
                <c:pt idx="36">
                  <c:v>0</c:v>
                </c:pt>
                <c:pt idx="37">
                  <c:v>46755</c:v>
                </c:pt>
                <c:pt idx="38">
                  <c:v>0</c:v>
                </c:pt>
                <c:pt idx="39">
                  <c:v>52398</c:v>
                </c:pt>
                <c:pt idx="40">
                  <c:v>0</c:v>
                </c:pt>
                <c:pt idx="41">
                  <c:v>0</c:v>
                </c:pt>
                <c:pt idx="42">
                  <c:v>63818</c:v>
                </c:pt>
                <c:pt idx="43">
                  <c:v>0</c:v>
                </c:pt>
                <c:pt idx="44">
                  <c:v>70338</c:v>
                </c:pt>
                <c:pt idx="45">
                  <c:v>0</c:v>
                </c:pt>
                <c:pt idx="46">
                  <c:v>0</c:v>
                </c:pt>
                <c:pt idx="47">
                  <c:v>77897</c:v>
                </c:pt>
                <c:pt idx="48">
                  <c:v>0</c:v>
                </c:pt>
                <c:pt idx="49">
                  <c:v>84583</c:v>
                </c:pt>
                <c:pt idx="50">
                  <c:v>0</c:v>
                </c:pt>
                <c:pt idx="51">
                  <c:v>0</c:v>
                </c:pt>
                <c:pt idx="52">
                  <c:v>92835</c:v>
                </c:pt>
                <c:pt idx="53">
                  <c:v>0</c:v>
                </c:pt>
                <c:pt idx="54">
                  <c:v>0</c:v>
                </c:pt>
                <c:pt idx="55">
                  <c:v>96034</c:v>
                </c:pt>
                <c:pt idx="56">
                  <c:v>0</c:v>
                </c:pt>
                <c:pt idx="57">
                  <c:v>113606</c:v>
                </c:pt>
                <c:pt idx="58">
                  <c:v>0</c:v>
                </c:pt>
                <c:pt idx="59">
                  <c:v>0</c:v>
                </c:pt>
                <c:pt idx="60">
                  <c:v>120515</c:v>
                </c:pt>
                <c:pt idx="61">
                  <c:v>0</c:v>
                </c:pt>
                <c:pt idx="62">
                  <c:v>132292</c:v>
                </c:pt>
                <c:pt idx="63">
                  <c:v>0</c:v>
                </c:pt>
                <c:pt idx="64">
                  <c:v>0</c:v>
                </c:pt>
                <c:pt idx="65">
                  <c:v>129547</c:v>
                </c:pt>
                <c:pt idx="66">
                  <c:v>0</c:v>
                </c:pt>
                <c:pt idx="67">
                  <c:v>141751</c:v>
                </c:pt>
                <c:pt idx="68">
                  <c:v>0</c:v>
                </c:pt>
                <c:pt idx="69">
                  <c:v>0</c:v>
                </c:pt>
                <c:pt idx="70">
                  <c:v>153649</c:v>
                </c:pt>
                <c:pt idx="71">
                  <c:v>0</c:v>
                </c:pt>
                <c:pt idx="72">
                  <c:v>0</c:v>
                </c:pt>
                <c:pt idx="73">
                  <c:v>177796</c:v>
                </c:pt>
                <c:pt idx="74">
                  <c:v>0</c:v>
                </c:pt>
                <c:pt idx="75">
                  <c:v>188308</c:v>
                </c:pt>
                <c:pt idx="76">
                  <c:v>0</c:v>
                </c:pt>
                <c:pt idx="77">
                  <c:v>0</c:v>
                </c:pt>
                <c:pt idx="78">
                  <c:v>199428</c:v>
                </c:pt>
                <c:pt idx="79">
                  <c:v>0</c:v>
                </c:pt>
                <c:pt idx="80">
                  <c:v>196397</c:v>
                </c:pt>
                <c:pt idx="81">
                  <c:v>0</c:v>
                </c:pt>
                <c:pt idx="82">
                  <c:v>0</c:v>
                </c:pt>
                <c:pt idx="83">
                  <c:v>197540</c:v>
                </c:pt>
                <c:pt idx="84">
                  <c:v>0</c:v>
                </c:pt>
                <c:pt idx="85">
                  <c:v>0</c:v>
                </c:pt>
                <c:pt idx="86">
                  <c:v>203354</c:v>
                </c:pt>
                <c:pt idx="87">
                  <c:v>0</c:v>
                </c:pt>
                <c:pt idx="88">
                  <c:v>222828</c:v>
                </c:pt>
                <c:pt idx="89">
                  <c:v>0</c:v>
                </c:pt>
                <c:pt idx="90">
                  <c:v>0</c:v>
                </c:pt>
                <c:pt idx="91">
                  <c:v>218979</c:v>
                </c:pt>
                <c:pt idx="92">
                  <c:v>0</c:v>
                </c:pt>
                <c:pt idx="93">
                  <c:v>245522</c:v>
                </c:pt>
                <c:pt idx="94">
                  <c:v>0</c:v>
                </c:pt>
                <c:pt idx="95">
                  <c:v>0</c:v>
                </c:pt>
                <c:pt idx="96">
                  <c:v>247391</c:v>
                </c:pt>
                <c:pt idx="97">
                  <c:v>0</c:v>
                </c:pt>
                <c:pt idx="98">
                  <c:v>245289</c:v>
                </c:pt>
                <c:pt idx="99">
                  <c:v>0</c:v>
                </c:pt>
                <c:pt idx="100">
                  <c:v>0</c:v>
                </c:pt>
                <c:pt idx="101">
                  <c:v>256821</c:v>
                </c:pt>
                <c:pt idx="102">
                  <c:v>0</c:v>
                </c:pt>
                <c:pt idx="103">
                  <c:v>0</c:v>
                </c:pt>
                <c:pt idx="104">
                  <c:v>249096</c:v>
                </c:pt>
                <c:pt idx="105">
                  <c:v>0</c:v>
                </c:pt>
                <c:pt idx="106">
                  <c:v>244527</c:v>
                </c:pt>
                <c:pt idx="107">
                  <c:v>0</c:v>
                </c:pt>
                <c:pt idx="108">
                  <c:v>0</c:v>
                </c:pt>
                <c:pt idx="109">
                  <c:v>249171</c:v>
                </c:pt>
                <c:pt idx="110">
                  <c:v>0</c:v>
                </c:pt>
                <c:pt idx="111">
                  <c:v>234431</c:v>
                </c:pt>
                <c:pt idx="112">
                  <c:v>0</c:v>
                </c:pt>
                <c:pt idx="113">
                  <c:v>0</c:v>
                </c:pt>
                <c:pt idx="114">
                  <c:v>222797</c:v>
                </c:pt>
                <c:pt idx="115">
                  <c:v>0</c:v>
                </c:pt>
                <c:pt idx="116">
                  <c:v>221596</c:v>
                </c:pt>
                <c:pt idx="117">
                  <c:v>0</c:v>
                </c:pt>
                <c:pt idx="118">
                  <c:v>0</c:v>
                </c:pt>
                <c:pt idx="119">
                  <c:v>204369</c:v>
                </c:pt>
                <c:pt idx="120">
                  <c:v>0</c:v>
                </c:pt>
                <c:pt idx="121">
                  <c:v>0</c:v>
                </c:pt>
                <c:pt idx="122">
                  <c:v>188715</c:v>
                </c:pt>
                <c:pt idx="123">
                  <c:v>0</c:v>
                </c:pt>
                <c:pt idx="124">
                  <c:v>178732</c:v>
                </c:pt>
                <c:pt idx="125">
                  <c:v>0</c:v>
                </c:pt>
                <c:pt idx="126">
                  <c:v>0</c:v>
                </c:pt>
                <c:pt idx="127">
                  <c:v>168975</c:v>
                </c:pt>
                <c:pt idx="128">
                  <c:v>0</c:v>
                </c:pt>
                <c:pt idx="129">
                  <c:v>155399</c:v>
                </c:pt>
                <c:pt idx="130">
                  <c:v>0</c:v>
                </c:pt>
                <c:pt idx="131">
                  <c:v>0</c:v>
                </c:pt>
                <c:pt idx="132">
                  <c:v>148946</c:v>
                </c:pt>
                <c:pt idx="133">
                  <c:v>0</c:v>
                </c:pt>
                <c:pt idx="134">
                  <c:v>133537</c:v>
                </c:pt>
                <c:pt idx="135">
                  <c:v>0</c:v>
                </c:pt>
                <c:pt idx="136">
                  <c:v>0</c:v>
                </c:pt>
                <c:pt idx="137">
                  <c:v>134381</c:v>
                </c:pt>
                <c:pt idx="138">
                  <c:v>0</c:v>
                </c:pt>
                <c:pt idx="139">
                  <c:v>0</c:v>
                </c:pt>
                <c:pt idx="140">
                  <c:v>118316</c:v>
                </c:pt>
                <c:pt idx="141">
                  <c:v>0</c:v>
                </c:pt>
                <c:pt idx="142">
                  <c:v>109684</c:v>
                </c:pt>
                <c:pt idx="143">
                  <c:v>0</c:v>
                </c:pt>
                <c:pt idx="144">
                  <c:v>0</c:v>
                </c:pt>
                <c:pt idx="145">
                  <c:v>103271</c:v>
                </c:pt>
                <c:pt idx="146">
                  <c:v>0</c:v>
                </c:pt>
                <c:pt idx="147">
                  <c:v>100287</c:v>
                </c:pt>
                <c:pt idx="148">
                  <c:v>0</c:v>
                </c:pt>
                <c:pt idx="149">
                  <c:v>0</c:v>
                </c:pt>
                <c:pt idx="150">
                  <c:v>90859</c:v>
                </c:pt>
                <c:pt idx="151">
                  <c:v>0</c:v>
                </c:pt>
                <c:pt idx="152">
                  <c:v>80327</c:v>
                </c:pt>
                <c:pt idx="153">
                  <c:v>0</c:v>
                </c:pt>
                <c:pt idx="154">
                  <c:v>0</c:v>
                </c:pt>
                <c:pt idx="155">
                  <c:v>77966</c:v>
                </c:pt>
                <c:pt idx="156">
                  <c:v>0</c:v>
                </c:pt>
                <c:pt idx="157">
                  <c:v>0</c:v>
                </c:pt>
                <c:pt idx="158">
                  <c:v>72444</c:v>
                </c:pt>
                <c:pt idx="159">
                  <c:v>0</c:v>
                </c:pt>
                <c:pt idx="160">
                  <c:v>62481</c:v>
                </c:pt>
                <c:pt idx="161">
                  <c:v>0</c:v>
                </c:pt>
                <c:pt idx="162">
                  <c:v>0</c:v>
                </c:pt>
                <c:pt idx="163">
                  <c:v>55468</c:v>
                </c:pt>
                <c:pt idx="164">
                  <c:v>0</c:v>
                </c:pt>
                <c:pt idx="165">
                  <c:v>46908</c:v>
                </c:pt>
                <c:pt idx="166">
                  <c:v>0</c:v>
                </c:pt>
                <c:pt idx="167">
                  <c:v>0</c:v>
                </c:pt>
                <c:pt idx="168">
                  <c:v>43158</c:v>
                </c:pt>
                <c:pt idx="169">
                  <c:v>0</c:v>
                </c:pt>
                <c:pt idx="170">
                  <c:v>0</c:v>
                </c:pt>
                <c:pt idx="171">
                  <c:v>31932</c:v>
                </c:pt>
                <c:pt idx="172">
                  <c:v>0</c:v>
                </c:pt>
                <c:pt idx="173">
                  <c:v>25489</c:v>
                </c:pt>
                <c:pt idx="174">
                  <c:v>0</c:v>
                </c:pt>
                <c:pt idx="175">
                  <c:v>0</c:v>
                </c:pt>
                <c:pt idx="176">
                  <c:v>17218</c:v>
                </c:pt>
                <c:pt idx="177">
                  <c:v>0</c:v>
                </c:pt>
                <c:pt idx="178">
                  <c:v>9206</c:v>
                </c:pt>
                <c:pt idx="179">
                  <c:v>0</c:v>
                </c:pt>
                <c:pt idx="180">
                  <c:v>0</c:v>
                </c:pt>
                <c:pt idx="181">
                  <c:v>7455</c:v>
                </c:pt>
                <c:pt idx="182">
                  <c:v>0</c:v>
                </c:pt>
                <c:pt idx="183">
                  <c:v>4019</c:v>
                </c:pt>
                <c:pt idx="184">
                  <c:v>0</c:v>
                </c:pt>
                <c:pt idx="185">
                  <c:v>0</c:v>
                </c:pt>
                <c:pt idx="186">
                  <c:v>1381</c:v>
                </c:pt>
                <c:pt idx="187">
                  <c:v>0</c:v>
                </c:pt>
                <c:pt idx="188">
                  <c:v>0</c:v>
                </c:pt>
                <c:pt idx="189">
                  <c:v>967</c:v>
                </c:pt>
                <c:pt idx="190">
                  <c:v>0</c:v>
                </c:pt>
                <c:pt idx="191">
                  <c:v>510</c:v>
                </c:pt>
                <c:pt idx="192">
                  <c:v>0</c:v>
                </c:pt>
                <c:pt idx="193">
                  <c:v>0</c:v>
                </c:pt>
                <c:pt idx="194">
                  <c:v>317</c:v>
                </c:pt>
                <c:pt idx="195">
                  <c:v>0</c:v>
                </c:pt>
                <c:pt idx="196">
                  <c:v>55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  <c:pt idx="74">
                  <c:v>3.8741700000000003</c:v>
                </c:pt>
                <c:pt idx="75">
                  <c:v>3.8740899999999998</c:v>
                </c:pt>
                <c:pt idx="76">
                  <c:v>3.8735999999999997</c:v>
                </c:pt>
                <c:pt idx="77">
                  <c:v>3.8741199999999996</c:v>
                </c:pt>
                <c:pt idx="78">
                  <c:v>3.8758999999999997</c:v>
                </c:pt>
                <c:pt idx="79">
                  <c:v>3.8807199999999997</c:v>
                </c:pt>
                <c:pt idx="80">
                  <c:v>3.8885100000000001</c:v>
                </c:pt>
                <c:pt idx="81">
                  <c:v>3.8969999999999998</c:v>
                </c:pt>
                <c:pt idx="82">
                  <c:v>3.9031100000000003</c:v>
                </c:pt>
                <c:pt idx="83">
                  <c:v>3.90991</c:v>
                </c:pt>
                <c:pt idx="84">
                  <c:v>3.9163700000000001</c:v>
                </c:pt>
                <c:pt idx="85">
                  <c:v>3.9228700000000001</c:v>
                </c:pt>
                <c:pt idx="86">
                  <c:v>3.9306900000000002</c:v>
                </c:pt>
                <c:pt idx="87">
                  <c:v>3.94171</c:v>
                </c:pt>
                <c:pt idx="88">
                  <c:v>3.9521000000000002</c:v>
                </c:pt>
                <c:pt idx="89">
                  <c:v>3.9625500000000002</c:v>
                </c:pt>
                <c:pt idx="90">
                  <c:v>3.9752399999999999</c:v>
                </c:pt>
                <c:pt idx="91">
                  <c:v>3.9924200000000001</c:v>
                </c:pt>
                <c:pt idx="92">
                  <c:v>4.01295</c:v>
                </c:pt>
                <c:pt idx="93">
                  <c:v>4.03512</c:v>
                </c:pt>
                <c:pt idx="94">
                  <c:v>4.0575400000000004</c:v>
                </c:pt>
                <c:pt idx="95">
                  <c:v>4.0809899999999999</c:v>
                </c:pt>
                <c:pt idx="96">
                  <c:v>4.1023700000000005</c:v>
                </c:pt>
                <c:pt idx="97">
                  <c:v>4.1269</c:v>
                </c:pt>
                <c:pt idx="98">
                  <c:v>4.1539099999999998</c:v>
                </c:pt>
                <c:pt idx="99">
                  <c:v>4.1844900000000003</c:v>
                </c:pt>
                <c:pt idx="100">
                  <c:v>4.2158299999999995</c:v>
                </c:pt>
                <c:pt idx="101">
                  <c:v>4.2509600000000001</c:v>
                </c:pt>
                <c:pt idx="102">
                  <c:v>4.2864300000000002</c:v>
                </c:pt>
                <c:pt idx="103">
                  <c:v>4.3218100000000002</c:v>
                </c:pt>
                <c:pt idx="104">
                  <c:v>4.3564499999999997</c:v>
                </c:pt>
                <c:pt idx="105">
                  <c:v>4.3875299999999999</c:v>
                </c:pt>
                <c:pt idx="106">
                  <c:v>4.4164300000000001</c:v>
                </c:pt>
                <c:pt idx="107">
                  <c:v>4.4440800000000005</c:v>
                </c:pt>
                <c:pt idx="108">
                  <c:v>4.4705699999999995</c:v>
                </c:pt>
                <c:pt idx="109">
                  <c:v>4.4963899999999999</c:v>
                </c:pt>
                <c:pt idx="110">
                  <c:v>4.5210499999999998</c:v>
                </c:pt>
                <c:pt idx="111">
                  <c:v>4.5453900000000003</c:v>
                </c:pt>
                <c:pt idx="112">
                  <c:v>4.56595</c:v>
                </c:pt>
                <c:pt idx="113">
                  <c:v>4.58453</c:v>
                </c:pt>
                <c:pt idx="114">
                  <c:v>4.59985</c:v>
                </c:pt>
                <c:pt idx="115">
                  <c:v>4.6119599999999998</c:v>
                </c:pt>
                <c:pt idx="116">
                  <c:v>4.6200999999999999</c:v>
                </c:pt>
                <c:pt idx="117">
                  <c:v>4.6243800000000004</c:v>
                </c:pt>
                <c:pt idx="118">
                  <c:v>4.6261299999999999</c:v>
                </c:pt>
                <c:pt idx="119">
                  <c:v>4.6275500000000003</c:v>
                </c:pt>
                <c:pt idx="120">
                  <c:v>4.6265999999999998</c:v>
                </c:pt>
                <c:pt idx="121">
                  <c:v>4.6252599999999999</c:v>
                </c:pt>
                <c:pt idx="122">
                  <c:v>4.6196299999999999</c:v>
                </c:pt>
                <c:pt idx="123">
                  <c:v>4.6096500000000002</c:v>
                </c:pt>
                <c:pt idx="124">
                  <c:v>4.6104899999999995</c:v>
                </c:pt>
                <c:pt idx="125">
                  <c:v>4.6084100000000001</c:v>
                </c:pt>
                <c:pt idx="126">
                  <c:v>4.6019500000000004</c:v>
                </c:pt>
                <c:pt idx="127">
                  <c:v>4.5930900000000001</c:v>
                </c:pt>
                <c:pt idx="128">
                  <c:v>4.5816499999999998</c:v>
                </c:pt>
                <c:pt idx="129">
                  <c:v>4.5670999999999999</c:v>
                </c:pt>
                <c:pt idx="130">
                  <c:v>4.5536599999999998</c:v>
                </c:pt>
                <c:pt idx="131">
                  <c:v>4.5404900000000001</c:v>
                </c:pt>
                <c:pt idx="132">
                  <c:v>4.5281500000000001</c:v>
                </c:pt>
                <c:pt idx="133">
                  <c:v>4.5150499999999996</c:v>
                </c:pt>
                <c:pt idx="134">
                  <c:v>4.5000099999999996</c:v>
                </c:pt>
                <c:pt idx="135">
                  <c:v>4.4843899999999994</c:v>
                </c:pt>
                <c:pt idx="136">
                  <c:v>4.4662899999999999</c:v>
                </c:pt>
                <c:pt idx="137">
                  <c:v>4.4499699999999995</c:v>
                </c:pt>
                <c:pt idx="138">
                  <c:v>4.4335599999999999</c:v>
                </c:pt>
                <c:pt idx="139">
                  <c:v>4.41873</c:v>
                </c:pt>
                <c:pt idx="140">
                  <c:v>4.4016599999999997</c:v>
                </c:pt>
                <c:pt idx="141">
                  <c:v>4.3817399999999997</c:v>
                </c:pt>
                <c:pt idx="142">
                  <c:v>4.3618199999999998</c:v>
                </c:pt>
                <c:pt idx="143">
                  <c:v>4.3412899999999999</c:v>
                </c:pt>
                <c:pt idx="144">
                  <c:v>4.3144499999999999</c:v>
                </c:pt>
                <c:pt idx="145">
                  <c:v>4.2903000000000002</c:v>
                </c:pt>
                <c:pt idx="146">
                  <c:v>4.2668999999999997</c:v>
                </c:pt>
                <c:pt idx="147">
                  <c:v>4.2382299999999997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  <c:pt idx="74">
                  <c:v>39.976199999999999</c:v>
                </c:pt>
                <c:pt idx="75">
                  <c:v>40.195300000000003</c:v>
                </c:pt>
                <c:pt idx="76">
                  <c:v>40.399099999999997</c:v>
                </c:pt>
                <c:pt idx="77">
                  <c:v>40.537700000000001</c:v>
                </c:pt>
                <c:pt idx="78">
                  <c:v>40.6447</c:v>
                </c:pt>
                <c:pt idx="79">
                  <c:v>40.676899999999996</c:v>
                </c:pt>
                <c:pt idx="80">
                  <c:v>40.6813</c:v>
                </c:pt>
                <c:pt idx="81">
                  <c:v>40.658999999999999</c:v>
                </c:pt>
                <c:pt idx="82">
                  <c:v>40.616999999999997</c:v>
                </c:pt>
                <c:pt idx="83">
                  <c:v>40.5259</c:v>
                </c:pt>
                <c:pt idx="84">
                  <c:v>40.381099999999996</c:v>
                </c:pt>
                <c:pt idx="85">
                  <c:v>40.193800000000003</c:v>
                </c:pt>
                <c:pt idx="86">
                  <c:v>40.057700000000004</c:v>
                </c:pt>
                <c:pt idx="87">
                  <c:v>39.881100000000004</c:v>
                </c:pt>
                <c:pt idx="88">
                  <c:v>39.731200000000001</c:v>
                </c:pt>
                <c:pt idx="89">
                  <c:v>39.593600000000002</c:v>
                </c:pt>
                <c:pt idx="90">
                  <c:v>39.444000000000003</c:v>
                </c:pt>
                <c:pt idx="91">
                  <c:v>39.212599999999995</c:v>
                </c:pt>
                <c:pt idx="92">
                  <c:v>38.979799999999997</c:v>
                </c:pt>
                <c:pt idx="93">
                  <c:v>38.743600000000001</c:v>
                </c:pt>
                <c:pt idx="94">
                  <c:v>38.556200000000004</c:v>
                </c:pt>
                <c:pt idx="95">
                  <c:v>38.407499999999999</c:v>
                </c:pt>
                <c:pt idx="96">
                  <c:v>38.328400000000002</c:v>
                </c:pt>
                <c:pt idx="97">
                  <c:v>38.267800000000001</c:v>
                </c:pt>
                <c:pt idx="98">
                  <c:v>38.213799999999999</c:v>
                </c:pt>
                <c:pt idx="99">
                  <c:v>38.106499999999997</c:v>
                </c:pt>
                <c:pt idx="100">
                  <c:v>37.957599999999999</c:v>
                </c:pt>
                <c:pt idx="101">
                  <c:v>37.736699999999999</c:v>
                </c:pt>
                <c:pt idx="102">
                  <c:v>37.519200000000005</c:v>
                </c:pt>
                <c:pt idx="103">
                  <c:v>37.313499999999998</c:v>
                </c:pt>
                <c:pt idx="104">
                  <c:v>37.146799999999999</c:v>
                </c:pt>
                <c:pt idx="105">
                  <c:v>37.1004</c:v>
                </c:pt>
                <c:pt idx="106">
                  <c:v>37.103299999999997</c:v>
                </c:pt>
                <c:pt idx="107">
                  <c:v>37.132300000000001</c:v>
                </c:pt>
                <c:pt idx="108">
                  <c:v>37.173899999999996</c:v>
                </c:pt>
                <c:pt idx="109">
                  <c:v>37.280999999999999</c:v>
                </c:pt>
                <c:pt idx="110">
                  <c:v>37.488700000000001</c:v>
                </c:pt>
                <c:pt idx="111">
                  <c:v>37.694600000000001</c:v>
                </c:pt>
                <c:pt idx="112">
                  <c:v>37.946200000000005</c:v>
                </c:pt>
                <c:pt idx="113">
                  <c:v>38.183099999999996</c:v>
                </c:pt>
                <c:pt idx="114">
                  <c:v>38.4101</c:v>
                </c:pt>
                <c:pt idx="115">
                  <c:v>38.6297</c:v>
                </c:pt>
                <c:pt idx="116">
                  <c:v>38.836300000000001</c:v>
                </c:pt>
                <c:pt idx="117">
                  <c:v>39.038499999999999</c:v>
                </c:pt>
                <c:pt idx="118">
                  <c:v>39.261499999999998</c:v>
                </c:pt>
                <c:pt idx="119">
                  <c:v>39.509599999999999</c:v>
                </c:pt>
                <c:pt idx="120">
                  <c:v>39.758099999999999</c:v>
                </c:pt>
                <c:pt idx="121">
                  <c:v>39.9998</c:v>
                </c:pt>
                <c:pt idx="122">
                  <c:v>40.192799999999998</c:v>
                </c:pt>
                <c:pt idx="123">
                  <c:v>40.363300000000002</c:v>
                </c:pt>
                <c:pt idx="124">
                  <c:v>40.386400000000002</c:v>
                </c:pt>
                <c:pt idx="125">
                  <c:v>40.443600000000004</c:v>
                </c:pt>
                <c:pt idx="126">
                  <c:v>40.571300000000001</c:v>
                </c:pt>
                <c:pt idx="127">
                  <c:v>40.774500000000003</c:v>
                </c:pt>
                <c:pt idx="128">
                  <c:v>41.014200000000002</c:v>
                </c:pt>
                <c:pt idx="129">
                  <c:v>41.280299999999997</c:v>
                </c:pt>
                <c:pt idx="130">
                  <c:v>41.475099999999998</c:v>
                </c:pt>
                <c:pt idx="131">
                  <c:v>41.654000000000003</c:v>
                </c:pt>
                <c:pt idx="132">
                  <c:v>41.897099999999995</c:v>
                </c:pt>
                <c:pt idx="133">
                  <c:v>42.2241</c:v>
                </c:pt>
                <c:pt idx="134">
                  <c:v>42.578299999999999</c:v>
                </c:pt>
                <c:pt idx="135">
                  <c:v>42.916699999999999</c:v>
                </c:pt>
                <c:pt idx="136">
                  <c:v>43.278499999999994</c:v>
                </c:pt>
                <c:pt idx="137">
                  <c:v>43.5899</c:v>
                </c:pt>
                <c:pt idx="138">
                  <c:v>43.953900000000004</c:v>
                </c:pt>
                <c:pt idx="139">
                  <c:v>44.374900000000004</c:v>
                </c:pt>
                <c:pt idx="140">
                  <c:v>44.830500000000001</c:v>
                </c:pt>
                <c:pt idx="141">
                  <c:v>45.3658</c:v>
                </c:pt>
                <c:pt idx="142">
                  <c:v>45.8782</c:v>
                </c:pt>
                <c:pt idx="143">
                  <c:v>46.362500000000004</c:v>
                </c:pt>
                <c:pt idx="144">
                  <c:v>46.889900000000004</c:v>
                </c:pt>
                <c:pt idx="145">
                  <c:v>47.306399999999996</c:v>
                </c:pt>
                <c:pt idx="146">
                  <c:v>47.621299999999998</c:v>
                </c:pt>
                <c:pt idx="147">
                  <c:v>47.955500000000001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3.8774299999999999</c:v>
                </c:pt>
                <c:pt idx="1">
                  <c:v>3.8741700000000003</c:v>
                </c:pt>
                <c:pt idx="2">
                  <c:v>3.8740899999999998</c:v>
                </c:pt>
                <c:pt idx="3">
                  <c:v>3.8735999999999997</c:v>
                </c:pt>
                <c:pt idx="4">
                  <c:v>3.8741199999999996</c:v>
                </c:pt>
                <c:pt idx="5">
                  <c:v>3.8758999999999997</c:v>
                </c:pt>
                <c:pt idx="6">
                  <c:v>3.8807199999999997</c:v>
                </c:pt>
                <c:pt idx="7">
                  <c:v>3.8885100000000001</c:v>
                </c:pt>
                <c:pt idx="8">
                  <c:v>3.8969999999999998</c:v>
                </c:pt>
                <c:pt idx="9">
                  <c:v>3.9031100000000003</c:v>
                </c:pt>
                <c:pt idx="10">
                  <c:v>3.90991</c:v>
                </c:pt>
                <c:pt idx="11">
                  <c:v>3.9163700000000001</c:v>
                </c:pt>
                <c:pt idx="12">
                  <c:v>3.9228700000000001</c:v>
                </c:pt>
                <c:pt idx="13">
                  <c:v>3.9306900000000002</c:v>
                </c:pt>
                <c:pt idx="14">
                  <c:v>3.94171</c:v>
                </c:pt>
                <c:pt idx="15">
                  <c:v>3.9521000000000002</c:v>
                </c:pt>
                <c:pt idx="16">
                  <c:v>3.9625500000000002</c:v>
                </c:pt>
                <c:pt idx="17">
                  <c:v>3.9752399999999999</c:v>
                </c:pt>
                <c:pt idx="18">
                  <c:v>3.9924200000000001</c:v>
                </c:pt>
                <c:pt idx="19">
                  <c:v>4.01295</c:v>
                </c:pt>
                <c:pt idx="20">
                  <c:v>4.03512</c:v>
                </c:pt>
                <c:pt idx="21">
                  <c:v>4.0575400000000004</c:v>
                </c:pt>
                <c:pt idx="22">
                  <c:v>4.0809899999999999</c:v>
                </c:pt>
                <c:pt idx="23">
                  <c:v>4.1023700000000005</c:v>
                </c:pt>
                <c:pt idx="24">
                  <c:v>4.1269</c:v>
                </c:pt>
                <c:pt idx="25">
                  <c:v>4.1539099999999998</c:v>
                </c:pt>
                <c:pt idx="26">
                  <c:v>4.1844900000000003</c:v>
                </c:pt>
                <c:pt idx="27">
                  <c:v>4.2158299999999995</c:v>
                </c:pt>
                <c:pt idx="28">
                  <c:v>4.2509600000000001</c:v>
                </c:pt>
                <c:pt idx="29">
                  <c:v>4.2864300000000002</c:v>
                </c:pt>
                <c:pt idx="30">
                  <c:v>4.3218100000000002</c:v>
                </c:pt>
                <c:pt idx="31">
                  <c:v>4.3564499999999997</c:v>
                </c:pt>
                <c:pt idx="32">
                  <c:v>4.3875299999999999</c:v>
                </c:pt>
                <c:pt idx="33">
                  <c:v>4.4164300000000001</c:v>
                </c:pt>
                <c:pt idx="34">
                  <c:v>4.4440800000000005</c:v>
                </c:pt>
                <c:pt idx="35">
                  <c:v>4.4705699999999995</c:v>
                </c:pt>
                <c:pt idx="36">
                  <c:v>4.4963899999999999</c:v>
                </c:pt>
                <c:pt idx="37">
                  <c:v>4.5210499999999998</c:v>
                </c:pt>
                <c:pt idx="38">
                  <c:v>4.5453900000000003</c:v>
                </c:pt>
                <c:pt idx="39">
                  <c:v>4.56595</c:v>
                </c:pt>
                <c:pt idx="40">
                  <c:v>4.58453</c:v>
                </c:pt>
                <c:pt idx="41">
                  <c:v>4.59985</c:v>
                </c:pt>
                <c:pt idx="42">
                  <c:v>4.6119599999999998</c:v>
                </c:pt>
                <c:pt idx="43">
                  <c:v>4.6200999999999999</c:v>
                </c:pt>
                <c:pt idx="44">
                  <c:v>4.6243800000000004</c:v>
                </c:pt>
                <c:pt idx="45">
                  <c:v>4.6261299999999999</c:v>
                </c:pt>
                <c:pt idx="46">
                  <c:v>4.6275500000000003</c:v>
                </c:pt>
                <c:pt idx="47">
                  <c:v>4.6265999999999998</c:v>
                </c:pt>
                <c:pt idx="48">
                  <c:v>4.6252599999999999</c:v>
                </c:pt>
                <c:pt idx="49">
                  <c:v>4.6196299999999999</c:v>
                </c:pt>
                <c:pt idx="50">
                  <c:v>4.6096500000000002</c:v>
                </c:pt>
                <c:pt idx="51">
                  <c:v>4.6104899999999995</c:v>
                </c:pt>
                <c:pt idx="52">
                  <c:v>4.6084100000000001</c:v>
                </c:pt>
                <c:pt idx="53">
                  <c:v>4.6019500000000004</c:v>
                </c:pt>
                <c:pt idx="54">
                  <c:v>4.5930900000000001</c:v>
                </c:pt>
                <c:pt idx="55">
                  <c:v>4.5816499999999998</c:v>
                </c:pt>
                <c:pt idx="56">
                  <c:v>4.5670999999999999</c:v>
                </c:pt>
                <c:pt idx="57">
                  <c:v>4.5536599999999998</c:v>
                </c:pt>
                <c:pt idx="58">
                  <c:v>4.5404900000000001</c:v>
                </c:pt>
                <c:pt idx="59">
                  <c:v>4.5281500000000001</c:v>
                </c:pt>
                <c:pt idx="60">
                  <c:v>4.5150499999999996</c:v>
                </c:pt>
                <c:pt idx="61">
                  <c:v>4.5000099999999996</c:v>
                </c:pt>
                <c:pt idx="62">
                  <c:v>4.4843899999999994</c:v>
                </c:pt>
                <c:pt idx="63">
                  <c:v>4.4662899999999999</c:v>
                </c:pt>
                <c:pt idx="64">
                  <c:v>4.4499699999999995</c:v>
                </c:pt>
                <c:pt idx="65">
                  <c:v>4.4335599999999999</c:v>
                </c:pt>
                <c:pt idx="66">
                  <c:v>4.41873</c:v>
                </c:pt>
                <c:pt idx="67">
                  <c:v>4.4016599999999997</c:v>
                </c:pt>
                <c:pt idx="68">
                  <c:v>4.3817399999999997</c:v>
                </c:pt>
                <c:pt idx="69">
                  <c:v>4.3618199999999998</c:v>
                </c:pt>
                <c:pt idx="70">
                  <c:v>4.3412899999999999</c:v>
                </c:pt>
                <c:pt idx="71">
                  <c:v>4.3144499999999999</c:v>
                </c:pt>
                <c:pt idx="72">
                  <c:v>4.2903000000000002</c:v>
                </c:pt>
                <c:pt idx="73">
                  <c:v>4.2668999999999997</c:v>
                </c:pt>
                <c:pt idx="74">
                  <c:v>4.2382299999999997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39.688000000000002</c:v>
                </c:pt>
                <c:pt idx="1">
                  <c:v>39.976199999999999</c:v>
                </c:pt>
                <c:pt idx="2">
                  <c:v>40.195300000000003</c:v>
                </c:pt>
                <c:pt idx="3">
                  <c:v>40.399099999999997</c:v>
                </c:pt>
                <c:pt idx="4">
                  <c:v>40.537700000000001</c:v>
                </c:pt>
                <c:pt idx="5">
                  <c:v>40.6447</c:v>
                </c:pt>
                <c:pt idx="6">
                  <c:v>40.676899999999996</c:v>
                </c:pt>
                <c:pt idx="7">
                  <c:v>40.6813</c:v>
                </c:pt>
                <c:pt idx="8">
                  <c:v>40.658999999999999</c:v>
                </c:pt>
                <c:pt idx="9">
                  <c:v>40.616999999999997</c:v>
                </c:pt>
                <c:pt idx="10">
                  <c:v>40.5259</c:v>
                </c:pt>
                <c:pt idx="11">
                  <c:v>40.381099999999996</c:v>
                </c:pt>
                <c:pt idx="12">
                  <c:v>40.193800000000003</c:v>
                </c:pt>
                <c:pt idx="13">
                  <c:v>40.057700000000004</c:v>
                </c:pt>
                <c:pt idx="14">
                  <c:v>39.881100000000004</c:v>
                </c:pt>
                <c:pt idx="15">
                  <c:v>39.731200000000001</c:v>
                </c:pt>
                <c:pt idx="16">
                  <c:v>39.593600000000002</c:v>
                </c:pt>
                <c:pt idx="17">
                  <c:v>39.444000000000003</c:v>
                </c:pt>
                <c:pt idx="18">
                  <c:v>39.212599999999995</c:v>
                </c:pt>
                <c:pt idx="19">
                  <c:v>38.979799999999997</c:v>
                </c:pt>
                <c:pt idx="20">
                  <c:v>38.743600000000001</c:v>
                </c:pt>
                <c:pt idx="21">
                  <c:v>38.556200000000004</c:v>
                </c:pt>
                <c:pt idx="22">
                  <c:v>38.407499999999999</c:v>
                </c:pt>
                <c:pt idx="23">
                  <c:v>38.328400000000002</c:v>
                </c:pt>
                <c:pt idx="24">
                  <c:v>38.267800000000001</c:v>
                </c:pt>
                <c:pt idx="25">
                  <c:v>38.213799999999999</c:v>
                </c:pt>
                <c:pt idx="26">
                  <c:v>38.106499999999997</c:v>
                </c:pt>
                <c:pt idx="27">
                  <c:v>37.957599999999999</c:v>
                </c:pt>
                <c:pt idx="28">
                  <c:v>37.736699999999999</c:v>
                </c:pt>
                <c:pt idx="29">
                  <c:v>37.519200000000005</c:v>
                </c:pt>
                <c:pt idx="30">
                  <c:v>37.313499999999998</c:v>
                </c:pt>
                <c:pt idx="31">
                  <c:v>37.146799999999999</c:v>
                </c:pt>
                <c:pt idx="32">
                  <c:v>37.1004</c:v>
                </c:pt>
                <c:pt idx="33">
                  <c:v>37.103299999999997</c:v>
                </c:pt>
                <c:pt idx="34">
                  <c:v>37.132300000000001</c:v>
                </c:pt>
                <c:pt idx="35">
                  <c:v>37.173899999999996</c:v>
                </c:pt>
                <c:pt idx="36">
                  <c:v>37.280999999999999</c:v>
                </c:pt>
                <c:pt idx="37">
                  <c:v>37.488700000000001</c:v>
                </c:pt>
                <c:pt idx="38">
                  <c:v>37.694600000000001</c:v>
                </c:pt>
                <c:pt idx="39">
                  <c:v>37.946200000000005</c:v>
                </c:pt>
                <c:pt idx="40">
                  <c:v>38.183099999999996</c:v>
                </c:pt>
                <c:pt idx="41">
                  <c:v>38.4101</c:v>
                </c:pt>
                <c:pt idx="42">
                  <c:v>38.6297</c:v>
                </c:pt>
                <c:pt idx="43">
                  <c:v>38.836300000000001</c:v>
                </c:pt>
                <c:pt idx="44">
                  <c:v>39.038499999999999</c:v>
                </c:pt>
                <c:pt idx="45">
                  <c:v>39.261499999999998</c:v>
                </c:pt>
                <c:pt idx="46">
                  <c:v>39.509599999999999</c:v>
                </c:pt>
                <c:pt idx="47">
                  <c:v>39.758099999999999</c:v>
                </c:pt>
                <c:pt idx="48">
                  <c:v>39.9998</c:v>
                </c:pt>
                <c:pt idx="49">
                  <c:v>40.192799999999998</c:v>
                </c:pt>
                <c:pt idx="50">
                  <c:v>40.363300000000002</c:v>
                </c:pt>
                <c:pt idx="51">
                  <c:v>40.386400000000002</c:v>
                </c:pt>
                <c:pt idx="52">
                  <c:v>40.443600000000004</c:v>
                </c:pt>
                <c:pt idx="53">
                  <c:v>40.571300000000001</c:v>
                </c:pt>
                <c:pt idx="54">
                  <c:v>40.774500000000003</c:v>
                </c:pt>
                <c:pt idx="55">
                  <c:v>41.014200000000002</c:v>
                </c:pt>
                <c:pt idx="56">
                  <c:v>41.280299999999997</c:v>
                </c:pt>
                <c:pt idx="57">
                  <c:v>41.475099999999998</c:v>
                </c:pt>
                <c:pt idx="58">
                  <c:v>41.654000000000003</c:v>
                </c:pt>
                <c:pt idx="59">
                  <c:v>41.897099999999995</c:v>
                </c:pt>
                <c:pt idx="60">
                  <c:v>42.2241</c:v>
                </c:pt>
                <c:pt idx="61">
                  <c:v>42.578299999999999</c:v>
                </c:pt>
                <c:pt idx="62">
                  <c:v>42.916699999999999</c:v>
                </c:pt>
                <c:pt idx="63">
                  <c:v>43.278499999999994</c:v>
                </c:pt>
                <c:pt idx="64">
                  <c:v>43.5899</c:v>
                </c:pt>
                <c:pt idx="65">
                  <c:v>43.953900000000004</c:v>
                </c:pt>
                <c:pt idx="66">
                  <c:v>44.374900000000004</c:v>
                </c:pt>
                <c:pt idx="67">
                  <c:v>44.830500000000001</c:v>
                </c:pt>
                <c:pt idx="68">
                  <c:v>45.3658</c:v>
                </c:pt>
                <c:pt idx="69">
                  <c:v>45.8782</c:v>
                </c:pt>
                <c:pt idx="70">
                  <c:v>46.362500000000004</c:v>
                </c:pt>
                <c:pt idx="71">
                  <c:v>46.889900000000004</c:v>
                </c:pt>
                <c:pt idx="72">
                  <c:v>47.306399999999996</c:v>
                </c:pt>
                <c:pt idx="73">
                  <c:v>47.621299999999998</c:v>
                </c:pt>
                <c:pt idx="74">
                  <c:v>47.955500000000001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3.6741794594594595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41.007552702702711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4.3013951351351363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40.46502297297296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4.3013951351351363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40.46502297297296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0.18074162268392979</c:v>
                </c:pt>
                <c:pt idx="1">
                  <c:v>0.38468012390080497</c:v>
                </c:pt>
                <c:pt idx="2">
                  <c:v>0.43457825341526513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  <c:pt idx="74">
                  <c:v>30.0672</c:v>
                </c:pt>
                <c:pt idx="75">
                  <c:v>30.530999999999999</c:v>
                </c:pt>
                <c:pt idx="76">
                  <c:v>30.9238</c:v>
                </c:pt>
                <c:pt idx="77">
                  <c:v>31.330100000000002</c:v>
                </c:pt>
                <c:pt idx="78">
                  <c:v>31.732800000000001</c:v>
                </c:pt>
                <c:pt idx="79">
                  <c:v>32.14</c:v>
                </c:pt>
                <c:pt idx="80">
                  <c:v>32.543900000000001</c:v>
                </c:pt>
                <c:pt idx="81">
                  <c:v>32.956600000000002</c:v>
                </c:pt>
                <c:pt idx="82">
                  <c:v>33.358899999999998</c:v>
                </c:pt>
                <c:pt idx="83">
                  <c:v>33.764600000000002</c:v>
                </c:pt>
                <c:pt idx="84">
                  <c:v>34.170200000000001</c:v>
                </c:pt>
                <c:pt idx="85">
                  <c:v>34.575400000000002</c:v>
                </c:pt>
                <c:pt idx="86">
                  <c:v>34.985999999999997</c:v>
                </c:pt>
                <c:pt idx="87">
                  <c:v>35.391599999999997</c:v>
                </c:pt>
                <c:pt idx="88">
                  <c:v>35.7941</c:v>
                </c:pt>
                <c:pt idx="89">
                  <c:v>36.201599999999999</c:v>
                </c:pt>
                <c:pt idx="90">
                  <c:v>36.6081</c:v>
                </c:pt>
                <c:pt idx="91">
                  <c:v>37.019199999999998</c:v>
                </c:pt>
                <c:pt idx="92">
                  <c:v>37.420999999999999</c:v>
                </c:pt>
                <c:pt idx="93">
                  <c:v>37.824800000000003</c:v>
                </c:pt>
                <c:pt idx="94">
                  <c:v>38.2331</c:v>
                </c:pt>
                <c:pt idx="95">
                  <c:v>38.644300000000001</c:v>
                </c:pt>
                <c:pt idx="96">
                  <c:v>39.047800000000002</c:v>
                </c:pt>
                <c:pt idx="97">
                  <c:v>39.4527</c:v>
                </c:pt>
                <c:pt idx="98">
                  <c:v>39.856000000000002</c:v>
                </c:pt>
                <c:pt idx="99">
                  <c:v>40.265900000000002</c:v>
                </c:pt>
                <c:pt idx="100">
                  <c:v>40.6723</c:v>
                </c:pt>
                <c:pt idx="101">
                  <c:v>41.080399999999997</c:v>
                </c:pt>
                <c:pt idx="102">
                  <c:v>41.486800000000002</c:v>
                </c:pt>
                <c:pt idx="103">
                  <c:v>41.889800000000001</c:v>
                </c:pt>
                <c:pt idx="104">
                  <c:v>42.295099999999998</c:v>
                </c:pt>
                <c:pt idx="105">
                  <c:v>42.7044</c:v>
                </c:pt>
                <c:pt idx="106">
                  <c:v>43.110599999999998</c:v>
                </c:pt>
                <c:pt idx="107">
                  <c:v>43.515799999999999</c:v>
                </c:pt>
                <c:pt idx="108">
                  <c:v>43.921100000000003</c:v>
                </c:pt>
                <c:pt idx="109">
                  <c:v>44.3294</c:v>
                </c:pt>
                <c:pt idx="110">
                  <c:v>44.7361</c:v>
                </c:pt>
                <c:pt idx="111">
                  <c:v>45.143900000000002</c:v>
                </c:pt>
                <c:pt idx="112">
                  <c:v>45.554200000000002</c:v>
                </c:pt>
                <c:pt idx="113">
                  <c:v>45.953299999999999</c:v>
                </c:pt>
                <c:pt idx="114">
                  <c:v>46.364100000000001</c:v>
                </c:pt>
                <c:pt idx="115">
                  <c:v>46.769100000000002</c:v>
                </c:pt>
                <c:pt idx="116">
                  <c:v>47.174199999999999</c:v>
                </c:pt>
                <c:pt idx="117">
                  <c:v>47.581000000000003</c:v>
                </c:pt>
                <c:pt idx="118">
                  <c:v>47.985399999999998</c:v>
                </c:pt>
                <c:pt idx="119">
                  <c:v>48.389499999999998</c:v>
                </c:pt>
                <c:pt idx="120">
                  <c:v>48.795499999999997</c:v>
                </c:pt>
                <c:pt idx="121">
                  <c:v>49.206000000000003</c:v>
                </c:pt>
                <c:pt idx="122">
                  <c:v>49.610700000000001</c:v>
                </c:pt>
                <c:pt idx="123">
                  <c:v>50.017899999999997</c:v>
                </c:pt>
                <c:pt idx="124">
                  <c:v>50.419499999999999</c:v>
                </c:pt>
                <c:pt idx="125">
                  <c:v>50.828400000000002</c:v>
                </c:pt>
                <c:pt idx="126">
                  <c:v>51.2361</c:v>
                </c:pt>
                <c:pt idx="127">
                  <c:v>51.6434</c:v>
                </c:pt>
                <c:pt idx="128">
                  <c:v>52.046900000000001</c:v>
                </c:pt>
                <c:pt idx="129">
                  <c:v>52.4514</c:v>
                </c:pt>
                <c:pt idx="130">
                  <c:v>52.859900000000003</c:v>
                </c:pt>
                <c:pt idx="131">
                  <c:v>53.265900000000002</c:v>
                </c:pt>
                <c:pt idx="132">
                  <c:v>53.6736</c:v>
                </c:pt>
                <c:pt idx="133">
                  <c:v>54.078299999999999</c:v>
                </c:pt>
                <c:pt idx="134">
                  <c:v>54.480800000000002</c:v>
                </c:pt>
                <c:pt idx="135">
                  <c:v>54.889099999999999</c:v>
                </c:pt>
                <c:pt idx="136">
                  <c:v>55.294600000000003</c:v>
                </c:pt>
                <c:pt idx="137">
                  <c:v>55.700800000000001</c:v>
                </c:pt>
                <c:pt idx="138">
                  <c:v>56.112400000000001</c:v>
                </c:pt>
                <c:pt idx="139">
                  <c:v>56.515700000000002</c:v>
                </c:pt>
                <c:pt idx="140">
                  <c:v>56.922499999999999</c:v>
                </c:pt>
                <c:pt idx="141">
                  <c:v>57.331400000000002</c:v>
                </c:pt>
                <c:pt idx="142">
                  <c:v>57.736400000000003</c:v>
                </c:pt>
                <c:pt idx="143">
                  <c:v>58.144399999999997</c:v>
                </c:pt>
                <c:pt idx="144">
                  <c:v>58.547699999999999</c:v>
                </c:pt>
                <c:pt idx="145">
                  <c:v>58.954099999999997</c:v>
                </c:pt>
                <c:pt idx="146">
                  <c:v>59.360900000000001</c:v>
                </c:pt>
                <c:pt idx="147">
                  <c:v>59.767899999999997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  <c:pt idx="74">
                  <c:v>3.8741700000000003</c:v>
                </c:pt>
                <c:pt idx="75">
                  <c:v>3.8740899999999998</c:v>
                </c:pt>
                <c:pt idx="76">
                  <c:v>3.8735999999999997</c:v>
                </c:pt>
                <c:pt idx="77">
                  <c:v>3.8741199999999996</c:v>
                </c:pt>
                <c:pt idx="78">
                  <c:v>3.8758999999999997</c:v>
                </c:pt>
                <c:pt idx="79">
                  <c:v>3.8807199999999997</c:v>
                </c:pt>
                <c:pt idx="80">
                  <c:v>3.8885100000000001</c:v>
                </c:pt>
                <c:pt idx="81">
                  <c:v>3.8969999999999998</c:v>
                </c:pt>
                <c:pt idx="82">
                  <c:v>3.9031100000000003</c:v>
                </c:pt>
                <c:pt idx="83">
                  <c:v>3.90991</c:v>
                </c:pt>
                <c:pt idx="84">
                  <c:v>3.9163700000000001</c:v>
                </c:pt>
                <c:pt idx="85">
                  <c:v>3.9228700000000001</c:v>
                </c:pt>
                <c:pt idx="86">
                  <c:v>3.9306900000000002</c:v>
                </c:pt>
                <c:pt idx="87">
                  <c:v>3.94171</c:v>
                </c:pt>
                <c:pt idx="88">
                  <c:v>3.9521000000000002</c:v>
                </c:pt>
                <c:pt idx="89">
                  <c:v>3.9625500000000002</c:v>
                </c:pt>
                <c:pt idx="90">
                  <c:v>3.9752399999999999</c:v>
                </c:pt>
                <c:pt idx="91">
                  <c:v>3.9924200000000001</c:v>
                </c:pt>
                <c:pt idx="92">
                  <c:v>4.01295</c:v>
                </c:pt>
                <c:pt idx="93">
                  <c:v>4.03512</c:v>
                </c:pt>
                <c:pt idx="94">
                  <c:v>4.0575400000000004</c:v>
                </c:pt>
                <c:pt idx="95">
                  <c:v>4.0809899999999999</c:v>
                </c:pt>
                <c:pt idx="96">
                  <c:v>4.1023700000000005</c:v>
                </c:pt>
                <c:pt idx="97">
                  <c:v>4.1269</c:v>
                </c:pt>
                <c:pt idx="98">
                  <c:v>4.1539099999999998</c:v>
                </c:pt>
                <c:pt idx="99">
                  <c:v>4.1844900000000003</c:v>
                </c:pt>
                <c:pt idx="100">
                  <c:v>4.2158299999999995</c:v>
                </c:pt>
                <c:pt idx="101">
                  <c:v>4.2509600000000001</c:v>
                </c:pt>
                <c:pt idx="102">
                  <c:v>4.2864300000000002</c:v>
                </c:pt>
                <c:pt idx="103">
                  <c:v>4.3218100000000002</c:v>
                </c:pt>
                <c:pt idx="104">
                  <c:v>4.3564499999999997</c:v>
                </c:pt>
                <c:pt idx="105">
                  <c:v>4.3875299999999999</c:v>
                </c:pt>
                <c:pt idx="106">
                  <c:v>4.4164300000000001</c:v>
                </c:pt>
                <c:pt idx="107">
                  <c:v>4.4440800000000005</c:v>
                </c:pt>
                <c:pt idx="108">
                  <c:v>4.4705699999999995</c:v>
                </c:pt>
                <c:pt idx="109">
                  <c:v>4.4963899999999999</c:v>
                </c:pt>
                <c:pt idx="110">
                  <c:v>4.5210499999999998</c:v>
                </c:pt>
                <c:pt idx="111">
                  <c:v>4.5453900000000003</c:v>
                </c:pt>
                <c:pt idx="112">
                  <c:v>4.56595</c:v>
                </c:pt>
                <c:pt idx="113">
                  <c:v>4.58453</c:v>
                </c:pt>
                <c:pt idx="114">
                  <c:v>4.59985</c:v>
                </c:pt>
                <c:pt idx="115">
                  <c:v>4.6119599999999998</c:v>
                </c:pt>
                <c:pt idx="116">
                  <c:v>4.6200999999999999</c:v>
                </c:pt>
                <c:pt idx="117">
                  <c:v>4.6243800000000004</c:v>
                </c:pt>
                <c:pt idx="118">
                  <c:v>4.6261299999999999</c:v>
                </c:pt>
                <c:pt idx="119">
                  <c:v>4.6275500000000003</c:v>
                </c:pt>
                <c:pt idx="120">
                  <c:v>4.6265999999999998</c:v>
                </c:pt>
                <c:pt idx="121">
                  <c:v>4.6252599999999999</c:v>
                </c:pt>
                <c:pt idx="122">
                  <c:v>4.6196299999999999</c:v>
                </c:pt>
                <c:pt idx="123">
                  <c:v>4.6096500000000002</c:v>
                </c:pt>
                <c:pt idx="124">
                  <c:v>4.6104899999999995</c:v>
                </c:pt>
                <c:pt idx="125">
                  <c:v>4.6084100000000001</c:v>
                </c:pt>
                <c:pt idx="126">
                  <c:v>4.6019500000000004</c:v>
                </c:pt>
                <c:pt idx="127">
                  <c:v>4.5930900000000001</c:v>
                </c:pt>
                <c:pt idx="128">
                  <c:v>4.5816499999999998</c:v>
                </c:pt>
                <c:pt idx="129">
                  <c:v>4.5670999999999999</c:v>
                </c:pt>
                <c:pt idx="130">
                  <c:v>4.5536599999999998</c:v>
                </c:pt>
                <c:pt idx="131">
                  <c:v>4.5404900000000001</c:v>
                </c:pt>
                <c:pt idx="132">
                  <c:v>4.5281500000000001</c:v>
                </c:pt>
                <c:pt idx="133">
                  <c:v>4.5150499999999996</c:v>
                </c:pt>
                <c:pt idx="134">
                  <c:v>4.5000099999999996</c:v>
                </c:pt>
                <c:pt idx="135">
                  <c:v>4.4843899999999994</c:v>
                </c:pt>
                <c:pt idx="136">
                  <c:v>4.4662899999999999</c:v>
                </c:pt>
                <c:pt idx="137">
                  <c:v>4.4499699999999995</c:v>
                </c:pt>
                <c:pt idx="138">
                  <c:v>4.4335599999999999</c:v>
                </c:pt>
                <c:pt idx="139">
                  <c:v>4.41873</c:v>
                </c:pt>
                <c:pt idx="140">
                  <c:v>4.4016599999999997</c:v>
                </c:pt>
                <c:pt idx="141">
                  <c:v>4.3817399999999997</c:v>
                </c:pt>
                <c:pt idx="142">
                  <c:v>4.3618199999999998</c:v>
                </c:pt>
                <c:pt idx="143">
                  <c:v>4.3412899999999999</c:v>
                </c:pt>
                <c:pt idx="144">
                  <c:v>4.3144499999999999</c:v>
                </c:pt>
                <c:pt idx="145">
                  <c:v>4.2903000000000002</c:v>
                </c:pt>
                <c:pt idx="146">
                  <c:v>4.2668999999999997</c:v>
                </c:pt>
                <c:pt idx="147">
                  <c:v>4.2382299999999997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29.656199999999998</c:v>
                </c:pt>
                <c:pt idx="1">
                  <c:v>30.0672</c:v>
                </c:pt>
                <c:pt idx="2">
                  <c:v>30.530999999999999</c:v>
                </c:pt>
                <c:pt idx="3">
                  <c:v>30.9238</c:v>
                </c:pt>
                <c:pt idx="4">
                  <c:v>31.330100000000002</c:v>
                </c:pt>
                <c:pt idx="5">
                  <c:v>31.732800000000001</c:v>
                </c:pt>
                <c:pt idx="6">
                  <c:v>32.14</c:v>
                </c:pt>
                <c:pt idx="7">
                  <c:v>32.543900000000001</c:v>
                </c:pt>
                <c:pt idx="8">
                  <c:v>32.956600000000002</c:v>
                </c:pt>
                <c:pt idx="9">
                  <c:v>33.358899999999998</c:v>
                </c:pt>
                <c:pt idx="10">
                  <c:v>33.764600000000002</c:v>
                </c:pt>
                <c:pt idx="11">
                  <c:v>34.170200000000001</c:v>
                </c:pt>
                <c:pt idx="12">
                  <c:v>34.575400000000002</c:v>
                </c:pt>
                <c:pt idx="13">
                  <c:v>34.985999999999997</c:v>
                </c:pt>
                <c:pt idx="14">
                  <c:v>35.391599999999997</c:v>
                </c:pt>
                <c:pt idx="15">
                  <c:v>35.7941</c:v>
                </c:pt>
                <c:pt idx="16">
                  <c:v>36.201599999999999</c:v>
                </c:pt>
                <c:pt idx="17">
                  <c:v>36.6081</c:v>
                </c:pt>
                <c:pt idx="18">
                  <c:v>37.019199999999998</c:v>
                </c:pt>
                <c:pt idx="19">
                  <c:v>37.420999999999999</c:v>
                </c:pt>
                <c:pt idx="20">
                  <c:v>37.824800000000003</c:v>
                </c:pt>
                <c:pt idx="21">
                  <c:v>38.2331</c:v>
                </c:pt>
                <c:pt idx="22">
                  <c:v>38.644300000000001</c:v>
                </c:pt>
                <c:pt idx="23">
                  <c:v>39.047800000000002</c:v>
                </c:pt>
                <c:pt idx="24">
                  <c:v>39.4527</c:v>
                </c:pt>
                <c:pt idx="25">
                  <c:v>39.856000000000002</c:v>
                </c:pt>
                <c:pt idx="26">
                  <c:v>40.265900000000002</c:v>
                </c:pt>
                <c:pt idx="27">
                  <c:v>40.6723</c:v>
                </c:pt>
                <c:pt idx="28">
                  <c:v>41.080399999999997</c:v>
                </c:pt>
                <c:pt idx="29">
                  <c:v>41.486800000000002</c:v>
                </c:pt>
                <c:pt idx="30">
                  <c:v>41.889800000000001</c:v>
                </c:pt>
                <c:pt idx="31">
                  <c:v>42.295099999999998</c:v>
                </c:pt>
                <c:pt idx="32">
                  <c:v>42.7044</c:v>
                </c:pt>
                <c:pt idx="33">
                  <c:v>43.110599999999998</c:v>
                </c:pt>
                <c:pt idx="34">
                  <c:v>43.515799999999999</c:v>
                </c:pt>
                <c:pt idx="35">
                  <c:v>43.921100000000003</c:v>
                </c:pt>
                <c:pt idx="36">
                  <c:v>44.3294</c:v>
                </c:pt>
                <c:pt idx="37">
                  <c:v>44.7361</c:v>
                </c:pt>
                <c:pt idx="38">
                  <c:v>45.143900000000002</c:v>
                </c:pt>
                <c:pt idx="39">
                  <c:v>45.554200000000002</c:v>
                </c:pt>
                <c:pt idx="40">
                  <c:v>45.953299999999999</c:v>
                </c:pt>
                <c:pt idx="41">
                  <c:v>46.364100000000001</c:v>
                </c:pt>
                <c:pt idx="42">
                  <c:v>46.769100000000002</c:v>
                </c:pt>
                <c:pt idx="43">
                  <c:v>47.174199999999999</c:v>
                </c:pt>
                <c:pt idx="44">
                  <c:v>47.581000000000003</c:v>
                </c:pt>
                <c:pt idx="45">
                  <c:v>47.985399999999998</c:v>
                </c:pt>
                <c:pt idx="46">
                  <c:v>48.389499999999998</c:v>
                </c:pt>
                <c:pt idx="47">
                  <c:v>48.795499999999997</c:v>
                </c:pt>
                <c:pt idx="48">
                  <c:v>49.206000000000003</c:v>
                </c:pt>
                <c:pt idx="49">
                  <c:v>49.610700000000001</c:v>
                </c:pt>
                <c:pt idx="50">
                  <c:v>50.017899999999997</c:v>
                </c:pt>
                <c:pt idx="51">
                  <c:v>50.419499999999999</c:v>
                </c:pt>
                <c:pt idx="52">
                  <c:v>50.828400000000002</c:v>
                </c:pt>
                <c:pt idx="53">
                  <c:v>51.2361</c:v>
                </c:pt>
                <c:pt idx="54">
                  <c:v>51.6434</c:v>
                </c:pt>
                <c:pt idx="55">
                  <c:v>52.046900000000001</c:v>
                </c:pt>
                <c:pt idx="56">
                  <c:v>52.4514</c:v>
                </c:pt>
                <c:pt idx="57">
                  <c:v>52.859900000000003</c:v>
                </c:pt>
                <c:pt idx="58">
                  <c:v>53.265900000000002</c:v>
                </c:pt>
                <c:pt idx="59">
                  <c:v>53.6736</c:v>
                </c:pt>
                <c:pt idx="60">
                  <c:v>54.078299999999999</c:v>
                </c:pt>
                <c:pt idx="61">
                  <c:v>54.480800000000002</c:v>
                </c:pt>
                <c:pt idx="62">
                  <c:v>54.889099999999999</c:v>
                </c:pt>
                <c:pt idx="63">
                  <c:v>55.294600000000003</c:v>
                </c:pt>
                <c:pt idx="64">
                  <c:v>55.700800000000001</c:v>
                </c:pt>
                <c:pt idx="65">
                  <c:v>56.112400000000001</c:v>
                </c:pt>
                <c:pt idx="66">
                  <c:v>56.515700000000002</c:v>
                </c:pt>
                <c:pt idx="67">
                  <c:v>56.922499999999999</c:v>
                </c:pt>
                <c:pt idx="68">
                  <c:v>57.331400000000002</c:v>
                </c:pt>
                <c:pt idx="69">
                  <c:v>57.736400000000003</c:v>
                </c:pt>
                <c:pt idx="70">
                  <c:v>58.144399999999997</c:v>
                </c:pt>
                <c:pt idx="71">
                  <c:v>58.547699999999999</c:v>
                </c:pt>
                <c:pt idx="72">
                  <c:v>58.954099999999997</c:v>
                </c:pt>
                <c:pt idx="73">
                  <c:v>59.360900000000001</c:v>
                </c:pt>
                <c:pt idx="74">
                  <c:v>59.767899999999997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3.8774299999999999</c:v>
                </c:pt>
                <c:pt idx="1">
                  <c:v>3.8741700000000003</c:v>
                </c:pt>
                <c:pt idx="2">
                  <c:v>3.8740899999999998</c:v>
                </c:pt>
                <c:pt idx="3">
                  <c:v>3.8735999999999997</c:v>
                </c:pt>
                <c:pt idx="4">
                  <c:v>3.8741199999999996</c:v>
                </c:pt>
                <c:pt idx="5">
                  <c:v>3.8758999999999997</c:v>
                </c:pt>
                <c:pt idx="6">
                  <c:v>3.8807199999999997</c:v>
                </c:pt>
                <c:pt idx="7">
                  <c:v>3.8885100000000001</c:v>
                </c:pt>
                <c:pt idx="8">
                  <c:v>3.8969999999999998</c:v>
                </c:pt>
                <c:pt idx="9">
                  <c:v>3.9031100000000003</c:v>
                </c:pt>
                <c:pt idx="10">
                  <c:v>3.90991</c:v>
                </c:pt>
                <c:pt idx="11">
                  <c:v>3.9163700000000001</c:v>
                </c:pt>
                <c:pt idx="12">
                  <c:v>3.9228700000000001</c:v>
                </c:pt>
                <c:pt idx="13">
                  <c:v>3.9306900000000002</c:v>
                </c:pt>
                <c:pt idx="14">
                  <c:v>3.94171</c:v>
                </c:pt>
                <c:pt idx="15">
                  <c:v>3.9521000000000002</c:v>
                </c:pt>
                <c:pt idx="16">
                  <c:v>3.9625500000000002</c:v>
                </c:pt>
                <c:pt idx="17">
                  <c:v>3.9752399999999999</c:v>
                </c:pt>
                <c:pt idx="18">
                  <c:v>3.9924200000000001</c:v>
                </c:pt>
                <c:pt idx="19">
                  <c:v>4.01295</c:v>
                </c:pt>
                <c:pt idx="20">
                  <c:v>4.03512</c:v>
                </c:pt>
                <c:pt idx="21">
                  <c:v>4.0575400000000004</c:v>
                </c:pt>
                <c:pt idx="22">
                  <c:v>4.0809899999999999</c:v>
                </c:pt>
                <c:pt idx="23">
                  <c:v>4.1023700000000005</c:v>
                </c:pt>
                <c:pt idx="24">
                  <c:v>4.1269</c:v>
                </c:pt>
                <c:pt idx="25">
                  <c:v>4.1539099999999998</c:v>
                </c:pt>
                <c:pt idx="26">
                  <c:v>4.1844900000000003</c:v>
                </c:pt>
                <c:pt idx="27">
                  <c:v>4.2158299999999995</c:v>
                </c:pt>
                <c:pt idx="28">
                  <c:v>4.2509600000000001</c:v>
                </c:pt>
                <c:pt idx="29">
                  <c:v>4.2864300000000002</c:v>
                </c:pt>
                <c:pt idx="30">
                  <c:v>4.3218100000000002</c:v>
                </c:pt>
                <c:pt idx="31">
                  <c:v>4.3564499999999997</c:v>
                </c:pt>
                <c:pt idx="32">
                  <c:v>4.3875299999999999</c:v>
                </c:pt>
                <c:pt idx="33">
                  <c:v>4.4164300000000001</c:v>
                </c:pt>
                <c:pt idx="34">
                  <c:v>4.4440800000000005</c:v>
                </c:pt>
                <c:pt idx="35">
                  <c:v>4.4705699999999995</c:v>
                </c:pt>
                <c:pt idx="36">
                  <c:v>4.4963899999999999</c:v>
                </c:pt>
                <c:pt idx="37">
                  <c:v>4.5210499999999998</c:v>
                </c:pt>
                <c:pt idx="38">
                  <c:v>4.5453900000000003</c:v>
                </c:pt>
                <c:pt idx="39">
                  <c:v>4.56595</c:v>
                </c:pt>
                <c:pt idx="40">
                  <c:v>4.58453</c:v>
                </c:pt>
                <c:pt idx="41">
                  <c:v>4.59985</c:v>
                </c:pt>
                <c:pt idx="42">
                  <c:v>4.6119599999999998</c:v>
                </c:pt>
                <c:pt idx="43">
                  <c:v>4.6200999999999999</c:v>
                </c:pt>
                <c:pt idx="44">
                  <c:v>4.6243800000000004</c:v>
                </c:pt>
                <c:pt idx="45">
                  <c:v>4.6261299999999999</c:v>
                </c:pt>
                <c:pt idx="46">
                  <c:v>4.6275500000000003</c:v>
                </c:pt>
                <c:pt idx="47">
                  <c:v>4.6265999999999998</c:v>
                </c:pt>
                <c:pt idx="48">
                  <c:v>4.6252599999999999</c:v>
                </c:pt>
                <c:pt idx="49">
                  <c:v>4.6196299999999999</c:v>
                </c:pt>
                <c:pt idx="50">
                  <c:v>4.6096500000000002</c:v>
                </c:pt>
                <c:pt idx="51">
                  <c:v>4.6104899999999995</c:v>
                </c:pt>
                <c:pt idx="52">
                  <c:v>4.6084100000000001</c:v>
                </c:pt>
                <c:pt idx="53">
                  <c:v>4.6019500000000004</c:v>
                </c:pt>
                <c:pt idx="54">
                  <c:v>4.5930900000000001</c:v>
                </c:pt>
                <c:pt idx="55">
                  <c:v>4.5816499999999998</c:v>
                </c:pt>
                <c:pt idx="56">
                  <c:v>4.5670999999999999</c:v>
                </c:pt>
                <c:pt idx="57">
                  <c:v>4.5536599999999998</c:v>
                </c:pt>
                <c:pt idx="58">
                  <c:v>4.5404900000000001</c:v>
                </c:pt>
                <c:pt idx="59">
                  <c:v>4.5281500000000001</c:v>
                </c:pt>
                <c:pt idx="60">
                  <c:v>4.5150499999999996</c:v>
                </c:pt>
                <c:pt idx="61">
                  <c:v>4.5000099999999996</c:v>
                </c:pt>
                <c:pt idx="62">
                  <c:v>4.4843899999999994</c:v>
                </c:pt>
                <c:pt idx="63">
                  <c:v>4.4662899999999999</c:v>
                </c:pt>
                <c:pt idx="64">
                  <c:v>4.4499699999999995</c:v>
                </c:pt>
                <c:pt idx="65">
                  <c:v>4.4335599999999999</c:v>
                </c:pt>
                <c:pt idx="66">
                  <c:v>4.41873</c:v>
                </c:pt>
                <c:pt idx="67">
                  <c:v>4.4016599999999997</c:v>
                </c:pt>
                <c:pt idx="68">
                  <c:v>4.3817399999999997</c:v>
                </c:pt>
                <c:pt idx="69">
                  <c:v>4.3618199999999998</c:v>
                </c:pt>
                <c:pt idx="70">
                  <c:v>4.3412899999999999</c:v>
                </c:pt>
                <c:pt idx="71">
                  <c:v>4.3144499999999999</c:v>
                </c:pt>
                <c:pt idx="72">
                  <c:v>4.2903000000000002</c:v>
                </c:pt>
                <c:pt idx="73">
                  <c:v>4.2668999999999997</c:v>
                </c:pt>
                <c:pt idx="74">
                  <c:v>4.2382299999999997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14.941974999999999</c:v>
                </c:pt>
                <c:pt idx="1">
                  <c:v>44.825924999999998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3.6741794594594595</c:v>
                </c:pt>
                <c:pt idx="1">
                  <c:v>4.3013951351351363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  <c:pt idx="74">
                  <c:v>30.0672</c:v>
                </c:pt>
                <c:pt idx="75">
                  <c:v>30.530999999999999</c:v>
                </c:pt>
                <c:pt idx="76">
                  <c:v>30.9238</c:v>
                </c:pt>
                <c:pt idx="77">
                  <c:v>31.330100000000002</c:v>
                </c:pt>
                <c:pt idx="78">
                  <c:v>31.732800000000001</c:v>
                </c:pt>
                <c:pt idx="79">
                  <c:v>32.14</c:v>
                </c:pt>
                <c:pt idx="80">
                  <c:v>32.543900000000001</c:v>
                </c:pt>
                <c:pt idx="81">
                  <c:v>32.956600000000002</c:v>
                </c:pt>
                <c:pt idx="82">
                  <c:v>33.358899999999998</c:v>
                </c:pt>
                <c:pt idx="83">
                  <c:v>33.764600000000002</c:v>
                </c:pt>
                <c:pt idx="84">
                  <c:v>34.170200000000001</c:v>
                </c:pt>
                <c:pt idx="85">
                  <c:v>34.575400000000002</c:v>
                </c:pt>
                <c:pt idx="86">
                  <c:v>34.985999999999997</c:v>
                </c:pt>
                <c:pt idx="87">
                  <c:v>35.391599999999997</c:v>
                </c:pt>
                <c:pt idx="88">
                  <c:v>35.7941</c:v>
                </c:pt>
                <c:pt idx="89">
                  <c:v>36.201599999999999</c:v>
                </c:pt>
                <c:pt idx="90">
                  <c:v>36.6081</c:v>
                </c:pt>
                <c:pt idx="91">
                  <c:v>37.019199999999998</c:v>
                </c:pt>
                <c:pt idx="92">
                  <c:v>37.420999999999999</c:v>
                </c:pt>
                <c:pt idx="93">
                  <c:v>37.824800000000003</c:v>
                </c:pt>
                <c:pt idx="94">
                  <c:v>38.2331</c:v>
                </c:pt>
                <c:pt idx="95">
                  <c:v>38.644300000000001</c:v>
                </c:pt>
                <c:pt idx="96">
                  <c:v>39.047800000000002</c:v>
                </c:pt>
                <c:pt idx="97">
                  <c:v>39.4527</c:v>
                </c:pt>
                <c:pt idx="98">
                  <c:v>39.856000000000002</c:v>
                </c:pt>
                <c:pt idx="99">
                  <c:v>40.265900000000002</c:v>
                </c:pt>
                <c:pt idx="100">
                  <c:v>40.6723</c:v>
                </c:pt>
                <c:pt idx="101">
                  <c:v>41.080399999999997</c:v>
                </c:pt>
                <c:pt idx="102">
                  <c:v>41.486800000000002</c:v>
                </c:pt>
                <c:pt idx="103">
                  <c:v>41.889800000000001</c:v>
                </c:pt>
                <c:pt idx="104">
                  <c:v>42.295099999999998</c:v>
                </c:pt>
                <c:pt idx="105">
                  <c:v>42.7044</c:v>
                </c:pt>
                <c:pt idx="106">
                  <c:v>43.110599999999998</c:v>
                </c:pt>
                <c:pt idx="107">
                  <c:v>43.515799999999999</c:v>
                </c:pt>
                <c:pt idx="108">
                  <c:v>43.921100000000003</c:v>
                </c:pt>
                <c:pt idx="109">
                  <c:v>44.3294</c:v>
                </c:pt>
                <c:pt idx="110">
                  <c:v>44.7361</c:v>
                </c:pt>
                <c:pt idx="111">
                  <c:v>45.143900000000002</c:v>
                </c:pt>
                <c:pt idx="112">
                  <c:v>45.554200000000002</c:v>
                </c:pt>
                <c:pt idx="113">
                  <c:v>45.953299999999999</c:v>
                </c:pt>
                <c:pt idx="114">
                  <c:v>46.364100000000001</c:v>
                </c:pt>
                <c:pt idx="115">
                  <c:v>46.769100000000002</c:v>
                </c:pt>
                <c:pt idx="116">
                  <c:v>47.174199999999999</c:v>
                </c:pt>
                <c:pt idx="117">
                  <c:v>47.581000000000003</c:v>
                </c:pt>
                <c:pt idx="118">
                  <c:v>47.985399999999998</c:v>
                </c:pt>
                <c:pt idx="119">
                  <c:v>48.389499999999998</c:v>
                </c:pt>
                <c:pt idx="120">
                  <c:v>48.795499999999997</c:v>
                </c:pt>
                <c:pt idx="121">
                  <c:v>49.206000000000003</c:v>
                </c:pt>
                <c:pt idx="122">
                  <c:v>49.610700000000001</c:v>
                </c:pt>
                <c:pt idx="123">
                  <c:v>50.017899999999997</c:v>
                </c:pt>
                <c:pt idx="124">
                  <c:v>50.419499999999999</c:v>
                </c:pt>
                <c:pt idx="125">
                  <c:v>50.828400000000002</c:v>
                </c:pt>
                <c:pt idx="126">
                  <c:v>51.2361</c:v>
                </c:pt>
                <c:pt idx="127">
                  <c:v>51.6434</c:v>
                </c:pt>
                <c:pt idx="128">
                  <c:v>52.046900000000001</c:v>
                </c:pt>
                <c:pt idx="129">
                  <c:v>52.4514</c:v>
                </c:pt>
                <c:pt idx="130">
                  <c:v>52.859900000000003</c:v>
                </c:pt>
                <c:pt idx="131">
                  <c:v>53.265900000000002</c:v>
                </c:pt>
                <c:pt idx="132">
                  <c:v>53.6736</c:v>
                </c:pt>
                <c:pt idx="133">
                  <c:v>54.078299999999999</c:v>
                </c:pt>
                <c:pt idx="134">
                  <c:v>54.480800000000002</c:v>
                </c:pt>
                <c:pt idx="135">
                  <c:v>54.889099999999999</c:v>
                </c:pt>
                <c:pt idx="136">
                  <c:v>55.294600000000003</c:v>
                </c:pt>
                <c:pt idx="137">
                  <c:v>55.700800000000001</c:v>
                </c:pt>
                <c:pt idx="138">
                  <c:v>56.112400000000001</c:v>
                </c:pt>
                <c:pt idx="139">
                  <c:v>56.515700000000002</c:v>
                </c:pt>
                <c:pt idx="140">
                  <c:v>56.922499999999999</c:v>
                </c:pt>
                <c:pt idx="141">
                  <c:v>57.331400000000002</c:v>
                </c:pt>
                <c:pt idx="142">
                  <c:v>57.736400000000003</c:v>
                </c:pt>
                <c:pt idx="143">
                  <c:v>58.144399999999997</c:v>
                </c:pt>
                <c:pt idx="144">
                  <c:v>58.547699999999999</c:v>
                </c:pt>
                <c:pt idx="145">
                  <c:v>58.954099999999997</c:v>
                </c:pt>
                <c:pt idx="146">
                  <c:v>59.360900000000001</c:v>
                </c:pt>
                <c:pt idx="147">
                  <c:v>59.767899999999997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  <c:pt idx="74">
                  <c:v>39.976199999999999</c:v>
                </c:pt>
                <c:pt idx="75">
                  <c:v>40.195300000000003</c:v>
                </c:pt>
                <c:pt idx="76">
                  <c:v>40.399099999999997</c:v>
                </c:pt>
                <c:pt idx="77">
                  <c:v>40.537700000000001</c:v>
                </c:pt>
                <c:pt idx="78">
                  <c:v>40.6447</c:v>
                </c:pt>
                <c:pt idx="79">
                  <c:v>40.676899999999996</c:v>
                </c:pt>
                <c:pt idx="80">
                  <c:v>40.6813</c:v>
                </c:pt>
                <c:pt idx="81">
                  <c:v>40.658999999999999</c:v>
                </c:pt>
                <c:pt idx="82">
                  <c:v>40.616999999999997</c:v>
                </c:pt>
                <c:pt idx="83">
                  <c:v>40.5259</c:v>
                </c:pt>
                <c:pt idx="84">
                  <c:v>40.381099999999996</c:v>
                </c:pt>
                <c:pt idx="85">
                  <c:v>40.193800000000003</c:v>
                </c:pt>
                <c:pt idx="86">
                  <c:v>40.057700000000004</c:v>
                </c:pt>
                <c:pt idx="87">
                  <c:v>39.881100000000004</c:v>
                </c:pt>
                <c:pt idx="88">
                  <c:v>39.731200000000001</c:v>
                </c:pt>
                <c:pt idx="89">
                  <c:v>39.593600000000002</c:v>
                </c:pt>
                <c:pt idx="90">
                  <c:v>39.444000000000003</c:v>
                </c:pt>
                <c:pt idx="91">
                  <c:v>39.212599999999995</c:v>
                </c:pt>
                <c:pt idx="92">
                  <c:v>38.979799999999997</c:v>
                </c:pt>
                <c:pt idx="93">
                  <c:v>38.743600000000001</c:v>
                </c:pt>
                <c:pt idx="94">
                  <c:v>38.556200000000004</c:v>
                </c:pt>
                <c:pt idx="95">
                  <c:v>38.407499999999999</c:v>
                </c:pt>
                <c:pt idx="96">
                  <c:v>38.328400000000002</c:v>
                </c:pt>
                <c:pt idx="97">
                  <c:v>38.267800000000001</c:v>
                </c:pt>
                <c:pt idx="98">
                  <c:v>38.213799999999999</c:v>
                </c:pt>
                <c:pt idx="99">
                  <c:v>38.106499999999997</c:v>
                </c:pt>
                <c:pt idx="100">
                  <c:v>37.957599999999999</c:v>
                </c:pt>
                <c:pt idx="101">
                  <c:v>37.736699999999999</c:v>
                </c:pt>
                <c:pt idx="102">
                  <c:v>37.519200000000005</c:v>
                </c:pt>
                <c:pt idx="103">
                  <c:v>37.313499999999998</c:v>
                </c:pt>
                <c:pt idx="104">
                  <c:v>37.146799999999999</c:v>
                </c:pt>
                <c:pt idx="105">
                  <c:v>37.1004</c:v>
                </c:pt>
                <c:pt idx="106">
                  <c:v>37.103299999999997</c:v>
                </c:pt>
                <c:pt idx="107">
                  <c:v>37.132300000000001</c:v>
                </c:pt>
                <c:pt idx="108">
                  <c:v>37.173899999999996</c:v>
                </c:pt>
                <c:pt idx="109">
                  <c:v>37.280999999999999</c:v>
                </c:pt>
                <c:pt idx="110">
                  <c:v>37.488700000000001</c:v>
                </c:pt>
                <c:pt idx="111">
                  <c:v>37.694600000000001</c:v>
                </c:pt>
                <c:pt idx="112">
                  <c:v>37.946200000000005</c:v>
                </c:pt>
                <c:pt idx="113">
                  <c:v>38.183099999999996</c:v>
                </c:pt>
                <c:pt idx="114">
                  <c:v>38.4101</c:v>
                </c:pt>
                <c:pt idx="115">
                  <c:v>38.6297</c:v>
                </c:pt>
                <c:pt idx="116">
                  <c:v>38.836300000000001</c:v>
                </c:pt>
                <c:pt idx="117">
                  <c:v>39.038499999999999</c:v>
                </c:pt>
                <c:pt idx="118">
                  <c:v>39.261499999999998</c:v>
                </c:pt>
                <c:pt idx="119">
                  <c:v>39.509599999999999</c:v>
                </c:pt>
                <c:pt idx="120">
                  <c:v>39.758099999999999</c:v>
                </c:pt>
                <c:pt idx="121">
                  <c:v>39.9998</c:v>
                </c:pt>
                <c:pt idx="122">
                  <c:v>40.192799999999998</c:v>
                </c:pt>
                <c:pt idx="123">
                  <c:v>40.363300000000002</c:v>
                </c:pt>
                <c:pt idx="124">
                  <c:v>40.386400000000002</c:v>
                </c:pt>
                <c:pt idx="125">
                  <c:v>40.443600000000004</c:v>
                </c:pt>
                <c:pt idx="126">
                  <c:v>40.571300000000001</c:v>
                </c:pt>
                <c:pt idx="127">
                  <c:v>40.774500000000003</c:v>
                </c:pt>
                <c:pt idx="128">
                  <c:v>41.014200000000002</c:v>
                </c:pt>
                <c:pt idx="129">
                  <c:v>41.280299999999997</c:v>
                </c:pt>
                <c:pt idx="130">
                  <c:v>41.475099999999998</c:v>
                </c:pt>
                <c:pt idx="131">
                  <c:v>41.654000000000003</c:v>
                </c:pt>
                <c:pt idx="132">
                  <c:v>41.897099999999995</c:v>
                </c:pt>
                <c:pt idx="133">
                  <c:v>42.2241</c:v>
                </c:pt>
                <c:pt idx="134">
                  <c:v>42.578299999999999</c:v>
                </c:pt>
                <c:pt idx="135">
                  <c:v>42.916699999999999</c:v>
                </c:pt>
                <c:pt idx="136">
                  <c:v>43.278499999999994</c:v>
                </c:pt>
                <c:pt idx="137">
                  <c:v>43.5899</c:v>
                </c:pt>
                <c:pt idx="138">
                  <c:v>43.953900000000004</c:v>
                </c:pt>
                <c:pt idx="139">
                  <c:v>44.374900000000004</c:v>
                </c:pt>
                <c:pt idx="140">
                  <c:v>44.830500000000001</c:v>
                </c:pt>
                <c:pt idx="141">
                  <c:v>45.3658</c:v>
                </c:pt>
                <c:pt idx="142">
                  <c:v>45.8782</c:v>
                </c:pt>
                <c:pt idx="143">
                  <c:v>46.362500000000004</c:v>
                </c:pt>
                <c:pt idx="144">
                  <c:v>46.889900000000004</c:v>
                </c:pt>
                <c:pt idx="145">
                  <c:v>47.306399999999996</c:v>
                </c:pt>
                <c:pt idx="146">
                  <c:v>47.621299999999998</c:v>
                </c:pt>
                <c:pt idx="147">
                  <c:v>47.955500000000001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29.656199999999998</c:v>
                </c:pt>
                <c:pt idx="1">
                  <c:v>30.0672</c:v>
                </c:pt>
                <c:pt idx="2">
                  <c:v>30.530999999999999</c:v>
                </c:pt>
                <c:pt idx="3">
                  <c:v>30.9238</c:v>
                </c:pt>
                <c:pt idx="4">
                  <c:v>31.330100000000002</c:v>
                </c:pt>
                <c:pt idx="5">
                  <c:v>31.732800000000001</c:v>
                </c:pt>
                <c:pt idx="6">
                  <c:v>32.14</c:v>
                </c:pt>
                <c:pt idx="7">
                  <c:v>32.543900000000001</c:v>
                </c:pt>
                <c:pt idx="8">
                  <c:v>32.956600000000002</c:v>
                </c:pt>
                <c:pt idx="9">
                  <c:v>33.358899999999998</c:v>
                </c:pt>
                <c:pt idx="10">
                  <c:v>33.764600000000002</c:v>
                </c:pt>
                <c:pt idx="11">
                  <c:v>34.170200000000001</c:v>
                </c:pt>
                <c:pt idx="12">
                  <c:v>34.575400000000002</c:v>
                </c:pt>
                <c:pt idx="13">
                  <c:v>34.985999999999997</c:v>
                </c:pt>
                <c:pt idx="14">
                  <c:v>35.391599999999997</c:v>
                </c:pt>
                <c:pt idx="15">
                  <c:v>35.7941</c:v>
                </c:pt>
                <c:pt idx="16">
                  <c:v>36.201599999999999</c:v>
                </c:pt>
                <c:pt idx="17">
                  <c:v>36.6081</c:v>
                </c:pt>
                <c:pt idx="18">
                  <c:v>37.019199999999998</c:v>
                </c:pt>
                <c:pt idx="19">
                  <c:v>37.420999999999999</c:v>
                </c:pt>
                <c:pt idx="20">
                  <c:v>37.824800000000003</c:v>
                </c:pt>
                <c:pt idx="21">
                  <c:v>38.2331</c:v>
                </c:pt>
                <c:pt idx="22">
                  <c:v>38.644300000000001</c:v>
                </c:pt>
                <c:pt idx="23">
                  <c:v>39.047800000000002</c:v>
                </c:pt>
                <c:pt idx="24">
                  <c:v>39.4527</c:v>
                </c:pt>
                <c:pt idx="25">
                  <c:v>39.856000000000002</c:v>
                </c:pt>
                <c:pt idx="26">
                  <c:v>40.265900000000002</c:v>
                </c:pt>
                <c:pt idx="27">
                  <c:v>40.6723</c:v>
                </c:pt>
                <c:pt idx="28">
                  <c:v>41.080399999999997</c:v>
                </c:pt>
                <c:pt idx="29">
                  <c:v>41.486800000000002</c:v>
                </c:pt>
                <c:pt idx="30">
                  <c:v>41.889800000000001</c:v>
                </c:pt>
                <c:pt idx="31">
                  <c:v>42.295099999999998</c:v>
                </c:pt>
                <c:pt idx="32">
                  <c:v>42.7044</c:v>
                </c:pt>
                <c:pt idx="33">
                  <c:v>43.110599999999998</c:v>
                </c:pt>
                <c:pt idx="34">
                  <c:v>43.515799999999999</c:v>
                </c:pt>
                <c:pt idx="35">
                  <c:v>43.921100000000003</c:v>
                </c:pt>
                <c:pt idx="36">
                  <c:v>44.3294</c:v>
                </c:pt>
                <c:pt idx="37">
                  <c:v>44.7361</c:v>
                </c:pt>
                <c:pt idx="38">
                  <c:v>45.143900000000002</c:v>
                </c:pt>
                <c:pt idx="39">
                  <c:v>45.554200000000002</c:v>
                </c:pt>
                <c:pt idx="40">
                  <c:v>45.953299999999999</c:v>
                </c:pt>
                <c:pt idx="41">
                  <c:v>46.364100000000001</c:v>
                </c:pt>
                <c:pt idx="42">
                  <c:v>46.769100000000002</c:v>
                </c:pt>
                <c:pt idx="43">
                  <c:v>47.174199999999999</c:v>
                </c:pt>
                <c:pt idx="44">
                  <c:v>47.581000000000003</c:v>
                </c:pt>
                <c:pt idx="45">
                  <c:v>47.985399999999998</c:v>
                </c:pt>
                <c:pt idx="46">
                  <c:v>48.389499999999998</c:v>
                </c:pt>
                <c:pt idx="47">
                  <c:v>48.795499999999997</c:v>
                </c:pt>
                <c:pt idx="48">
                  <c:v>49.206000000000003</c:v>
                </c:pt>
                <c:pt idx="49">
                  <c:v>49.610700000000001</c:v>
                </c:pt>
                <c:pt idx="50">
                  <c:v>50.017899999999997</c:v>
                </c:pt>
                <c:pt idx="51">
                  <c:v>50.419499999999999</c:v>
                </c:pt>
                <c:pt idx="52">
                  <c:v>50.828400000000002</c:v>
                </c:pt>
                <c:pt idx="53">
                  <c:v>51.2361</c:v>
                </c:pt>
                <c:pt idx="54">
                  <c:v>51.6434</c:v>
                </c:pt>
                <c:pt idx="55">
                  <c:v>52.046900000000001</c:v>
                </c:pt>
                <c:pt idx="56">
                  <c:v>52.4514</c:v>
                </c:pt>
                <c:pt idx="57">
                  <c:v>52.859900000000003</c:v>
                </c:pt>
                <c:pt idx="58">
                  <c:v>53.265900000000002</c:v>
                </c:pt>
                <c:pt idx="59">
                  <c:v>53.6736</c:v>
                </c:pt>
                <c:pt idx="60">
                  <c:v>54.078299999999999</c:v>
                </c:pt>
                <c:pt idx="61">
                  <c:v>54.480800000000002</c:v>
                </c:pt>
                <c:pt idx="62">
                  <c:v>54.889099999999999</c:v>
                </c:pt>
                <c:pt idx="63">
                  <c:v>55.294600000000003</c:v>
                </c:pt>
                <c:pt idx="64">
                  <c:v>55.700800000000001</c:v>
                </c:pt>
                <c:pt idx="65">
                  <c:v>56.112400000000001</c:v>
                </c:pt>
                <c:pt idx="66">
                  <c:v>56.515700000000002</c:v>
                </c:pt>
                <c:pt idx="67">
                  <c:v>56.922499999999999</c:v>
                </c:pt>
                <c:pt idx="68">
                  <c:v>57.331400000000002</c:v>
                </c:pt>
                <c:pt idx="69">
                  <c:v>57.736400000000003</c:v>
                </c:pt>
                <c:pt idx="70">
                  <c:v>58.144399999999997</c:v>
                </c:pt>
                <c:pt idx="71">
                  <c:v>58.547699999999999</c:v>
                </c:pt>
                <c:pt idx="72">
                  <c:v>58.954099999999997</c:v>
                </c:pt>
                <c:pt idx="73">
                  <c:v>59.360900000000001</c:v>
                </c:pt>
                <c:pt idx="74">
                  <c:v>59.767899999999997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39.688000000000002</c:v>
                </c:pt>
                <c:pt idx="1">
                  <c:v>39.976199999999999</c:v>
                </c:pt>
                <c:pt idx="2">
                  <c:v>40.195300000000003</c:v>
                </c:pt>
                <c:pt idx="3">
                  <c:v>40.399099999999997</c:v>
                </c:pt>
                <c:pt idx="4">
                  <c:v>40.537700000000001</c:v>
                </c:pt>
                <c:pt idx="5">
                  <c:v>40.6447</c:v>
                </c:pt>
                <c:pt idx="6">
                  <c:v>40.676899999999996</c:v>
                </c:pt>
                <c:pt idx="7">
                  <c:v>40.6813</c:v>
                </c:pt>
                <c:pt idx="8">
                  <c:v>40.658999999999999</c:v>
                </c:pt>
                <c:pt idx="9">
                  <c:v>40.616999999999997</c:v>
                </c:pt>
                <c:pt idx="10">
                  <c:v>40.5259</c:v>
                </c:pt>
                <c:pt idx="11">
                  <c:v>40.381099999999996</c:v>
                </c:pt>
                <c:pt idx="12">
                  <c:v>40.193800000000003</c:v>
                </c:pt>
                <c:pt idx="13">
                  <c:v>40.057700000000004</c:v>
                </c:pt>
                <c:pt idx="14">
                  <c:v>39.881100000000004</c:v>
                </c:pt>
                <c:pt idx="15">
                  <c:v>39.731200000000001</c:v>
                </c:pt>
                <c:pt idx="16">
                  <c:v>39.593600000000002</c:v>
                </c:pt>
                <c:pt idx="17">
                  <c:v>39.444000000000003</c:v>
                </c:pt>
                <c:pt idx="18">
                  <c:v>39.212599999999995</c:v>
                </c:pt>
                <c:pt idx="19">
                  <c:v>38.979799999999997</c:v>
                </c:pt>
                <c:pt idx="20">
                  <c:v>38.743600000000001</c:v>
                </c:pt>
                <c:pt idx="21">
                  <c:v>38.556200000000004</c:v>
                </c:pt>
                <c:pt idx="22">
                  <c:v>38.407499999999999</c:v>
                </c:pt>
                <c:pt idx="23">
                  <c:v>38.328400000000002</c:v>
                </c:pt>
                <c:pt idx="24">
                  <c:v>38.267800000000001</c:v>
                </c:pt>
                <c:pt idx="25">
                  <c:v>38.213799999999999</c:v>
                </c:pt>
                <c:pt idx="26">
                  <c:v>38.106499999999997</c:v>
                </c:pt>
                <c:pt idx="27">
                  <c:v>37.957599999999999</c:v>
                </c:pt>
                <c:pt idx="28">
                  <c:v>37.736699999999999</c:v>
                </c:pt>
                <c:pt idx="29">
                  <c:v>37.519200000000005</c:v>
                </c:pt>
                <c:pt idx="30">
                  <c:v>37.313499999999998</c:v>
                </c:pt>
                <c:pt idx="31">
                  <c:v>37.146799999999999</c:v>
                </c:pt>
                <c:pt idx="32">
                  <c:v>37.1004</c:v>
                </c:pt>
                <c:pt idx="33">
                  <c:v>37.103299999999997</c:v>
                </c:pt>
                <c:pt idx="34">
                  <c:v>37.132300000000001</c:v>
                </c:pt>
                <c:pt idx="35">
                  <c:v>37.173899999999996</c:v>
                </c:pt>
                <c:pt idx="36">
                  <c:v>37.280999999999999</c:v>
                </c:pt>
                <c:pt idx="37">
                  <c:v>37.488700000000001</c:v>
                </c:pt>
                <c:pt idx="38">
                  <c:v>37.694600000000001</c:v>
                </c:pt>
                <c:pt idx="39">
                  <c:v>37.946200000000005</c:v>
                </c:pt>
                <c:pt idx="40">
                  <c:v>38.183099999999996</c:v>
                </c:pt>
                <c:pt idx="41">
                  <c:v>38.4101</c:v>
                </c:pt>
                <c:pt idx="42">
                  <c:v>38.6297</c:v>
                </c:pt>
                <c:pt idx="43">
                  <c:v>38.836300000000001</c:v>
                </c:pt>
                <c:pt idx="44">
                  <c:v>39.038499999999999</c:v>
                </c:pt>
                <c:pt idx="45">
                  <c:v>39.261499999999998</c:v>
                </c:pt>
                <c:pt idx="46">
                  <c:v>39.509599999999999</c:v>
                </c:pt>
                <c:pt idx="47">
                  <c:v>39.758099999999999</c:v>
                </c:pt>
                <c:pt idx="48">
                  <c:v>39.9998</c:v>
                </c:pt>
                <c:pt idx="49">
                  <c:v>40.192799999999998</c:v>
                </c:pt>
                <c:pt idx="50">
                  <c:v>40.363300000000002</c:v>
                </c:pt>
                <c:pt idx="51">
                  <c:v>40.386400000000002</c:v>
                </c:pt>
                <c:pt idx="52">
                  <c:v>40.443600000000004</c:v>
                </c:pt>
                <c:pt idx="53">
                  <c:v>40.571300000000001</c:v>
                </c:pt>
                <c:pt idx="54">
                  <c:v>40.774500000000003</c:v>
                </c:pt>
                <c:pt idx="55">
                  <c:v>41.014200000000002</c:v>
                </c:pt>
                <c:pt idx="56">
                  <c:v>41.280299999999997</c:v>
                </c:pt>
                <c:pt idx="57">
                  <c:v>41.475099999999998</c:v>
                </c:pt>
                <c:pt idx="58">
                  <c:v>41.654000000000003</c:v>
                </c:pt>
                <c:pt idx="59">
                  <c:v>41.897099999999995</c:v>
                </c:pt>
                <c:pt idx="60">
                  <c:v>42.2241</c:v>
                </c:pt>
                <c:pt idx="61">
                  <c:v>42.578299999999999</c:v>
                </c:pt>
                <c:pt idx="62">
                  <c:v>42.916699999999999</c:v>
                </c:pt>
                <c:pt idx="63">
                  <c:v>43.278499999999994</c:v>
                </c:pt>
                <c:pt idx="64">
                  <c:v>43.5899</c:v>
                </c:pt>
                <c:pt idx="65">
                  <c:v>43.953900000000004</c:v>
                </c:pt>
                <c:pt idx="66">
                  <c:v>44.374900000000004</c:v>
                </c:pt>
                <c:pt idx="67">
                  <c:v>44.830500000000001</c:v>
                </c:pt>
                <c:pt idx="68">
                  <c:v>45.3658</c:v>
                </c:pt>
                <c:pt idx="69">
                  <c:v>45.8782</c:v>
                </c:pt>
                <c:pt idx="70">
                  <c:v>46.362500000000004</c:v>
                </c:pt>
                <c:pt idx="71">
                  <c:v>46.889900000000004</c:v>
                </c:pt>
                <c:pt idx="72">
                  <c:v>47.306399999999996</c:v>
                </c:pt>
                <c:pt idx="73">
                  <c:v>47.621299999999998</c:v>
                </c:pt>
                <c:pt idx="74">
                  <c:v>47.955500000000001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14.941974999999999</c:v>
                </c:pt>
                <c:pt idx="1">
                  <c:v>44.825924999999998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41.007552702702711</c:v>
                </c:pt>
                <c:pt idx="1">
                  <c:v>40.46502297297296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40.93</c:v>
                </c:pt>
                <c:pt idx="1">
                  <c:v>29.537500000000001</c:v>
                </c:pt>
                <c:pt idx="2">
                  <c:v>16.2559</c:v>
                </c:pt>
                <c:pt idx="3">
                  <c:v>29.404399999999999</c:v>
                </c:pt>
                <c:pt idx="4">
                  <c:v>75.203699999999998</c:v>
                </c:pt>
                <c:pt idx="5">
                  <c:v>77.664000000000001</c:v>
                </c:pt>
                <c:pt idx="6">
                  <c:v>25.4634</c:v>
                </c:pt>
                <c:pt idx="7">
                  <c:v>75.804400000000001</c:v>
                </c:pt>
                <c:pt idx="8">
                  <c:v>22.8127</c:v>
                </c:pt>
                <c:pt idx="9">
                  <c:v>19.3643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45.5901</c:v>
                </c:pt>
                <c:pt idx="1">
                  <c:v>25.731200000000001</c:v>
                </c:pt>
                <c:pt idx="2">
                  <c:v>14.290900000000001</c:v>
                </c:pt>
                <c:pt idx="3">
                  <c:v>29.284300000000002</c:v>
                </c:pt>
                <c:pt idx="4">
                  <c:v>69.136799999999994</c:v>
                </c:pt>
                <c:pt idx="5">
                  <c:v>80.756399999999999</c:v>
                </c:pt>
                <c:pt idx="6">
                  <c:v>28.290400000000002</c:v>
                </c:pt>
                <c:pt idx="7">
                  <c:v>74.235600000000005</c:v>
                </c:pt>
                <c:pt idx="8">
                  <c:v>22.721399999999999</c:v>
                </c:pt>
                <c:pt idx="9">
                  <c:v>24.878399999999999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0.55900974292003414</c:v>
                </c:pt>
                <c:pt idx="1">
                  <c:v>0.25544078502951822</c:v>
                </c:pt>
                <c:pt idx="2">
                  <c:v>0.18554947205044769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2548</c:v>
                </c:pt>
                <c:pt idx="7">
                  <c:v>0</c:v>
                </c:pt>
                <c:pt idx="8">
                  <c:v>2419</c:v>
                </c:pt>
                <c:pt idx="9">
                  <c:v>0</c:v>
                </c:pt>
                <c:pt idx="10">
                  <c:v>0</c:v>
                </c:pt>
                <c:pt idx="11">
                  <c:v>3150</c:v>
                </c:pt>
                <c:pt idx="12">
                  <c:v>0</c:v>
                </c:pt>
                <c:pt idx="13">
                  <c:v>5154</c:v>
                </c:pt>
                <c:pt idx="14">
                  <c:v>0</c:v>
                </c:pt>
                <c:pt idx="15">
                  <c:v>0</c:v>
                </c:pt>
                <c:pt idx="16">
                  <c:v>9016</c:v>
                </c:pt>
                <c:pt idx="17">
                  <c:v>0</c:v>
                </c:pt>
                <c:pt idx="18">
                  <c:v>0</c:v>
                </c:pt>
                <c:pt idx="19">
                  <c:v>10672</c:v>
                </c:pt>
                <c:pt idx="20">
                  <c:v>0</c:v>
                </c:pt>
                <c:pt idx="21">
                  <c:v>17755</c:v>
                </c:pt>
                <c:pt idx="22">
                  <c:v>0</c:v>
                </c:pt>
                <c:pt idx="23">
                  <c:v>0</c:v>
                </c:pt>
                <c:pt idx="24">
                  <c:v>15797</c:v>
                </c:pt>
                <c:pt idx="25">
                  <c:v>0</c:v>
                </c:pt>
                <c:pt idx="26">
                  <c:v>19456</c:v>
                </c:pt>
                <c:pt idx="27">
                  <c:v>0</c:v>
                </c:pt>
                <c:pt idx="28">
                  <c:v>0</c:v>
                </c:pt>
                <c:pt idx="29">
                  <c:v>22682</c:v>
                </c:pt>
                <c:pt idx="30">
                  <c:v>0</c:v>
                </c:pt>
                <c:pt idx="31">
                  <c:v>29239</c:v>
                </c:pt>
                <c:pt idx="32">
                  <c:v>0</c:v>
                </c:pt>
                <c:pt idx="33">
                  <c:v>0</c:v>
                </c:pt>
                <c:pt idx="34">
                  <c:v>33022</c:v>
                </c:pt>
                <c:pt idx="35">
                  <c:v>0</c:v>
                </c:pt>
                <c:pt idx="36">
                  <c:v>0</c:v>
                </c:pt>
                <c:pt idx="37">
                  <c:v>32211</c:v>
                </c:pt>
                <c:pt idx="38">
                  <c:v>0</c:v>
                </c:pt>
                <c:pt idx="39">
                  <c:v>37970</c:v>
                </c:pt>
                <c:pt idx="40">
                  <c:v>0</c:v>
                </c:pt>
                <c:pt idx="41">
                  <c:v>0</c:v>
                </c:pt>
                <c:pt idx="42">
                  <c:v>45195</c:v>
                </c:pt>
                <c:pt idx="43">
                  <c:v>0</c:v>
                </c:pt>
                <c:pt idx="44">
                  <c:v>49822</c:v>
                </c:pt>
                <c:pt idx="45">
                  <c:v>0</c:v>
                </c:pt>
                <c:pt idx="46">
                  <c:v>0</c:v>
                </c:pt>
                <c:pt idx="47">
                  <c:v>53802</c:v>
                </c:pt>
                <c:pt idx="48">
                  <c:v>0</c:v>
                </c:pt>
                <c:pt idx="49">
                  <c:v>58749</c:v>
                </c:pt>
                <c:pt idx="50">
                  <c:v>0</c:v>
                </c:pt>
                <c:pt idx="51">
                  <c:v>0</c:v>
                </c:pt>
                <c:pt idx="52">
                  <c:v>66942</c:v>
                </c:pt>
                <c:pt idx="53">
                  <c:v>0</c:v>
                </c:pt>
                <c:pt idx="54">
                  <c:v>0</c:v>
                </c:pt>
                <c:pt idx="55">
                  <c:v>71073</c:v>
                </c:pt>
                <c:pt idx="56">
                  <c:v>0</c:v>
                </c:pt>
                <c:pt idx="57">
                  <c:v>83524</c:v>
                </c:pt>
                <c:pt idx="58">
                  <c:v>0</c:v>
                </c:pt>
                <c:pt idx="59">
                  <c:v>0</c:v>
                </c:pt>
                <c:pt idx="60">
                  <c:v>86086</c:v>
                </c:pt>
                <c:pt idx="61">
                  <c:v>0</c:v>
                </c:pt>
                <c:pt idx="62">
                  <c:v>88149</c:v>
                </c:pt>
                <c:pt idx="63">
                  <c:v>0</c:v>
                </c:pt>
                <c:pt idx="64">
                  <c:v>0</c:v>
                </c:pt>
                <c:pt idx="65">
                  <c:v>81985</c:v>
                </c:pt>
                <c:pt idx="66">
                  <c:v>0</c:v>
                </c:pt>
                <c:pt idx="67">
                  <c:v>83879</c:v>
                </c:pt>
                <c:pt idx="68">
                  <c:v>0</c:v>
                </c:pt>
                <c:pt idx="69">
                  <c:v>0</c:v>
                </c:pt>
                <c:pt idx="70">
                  <c:v>85922</c:v>
                </c:pt>
                <c:pt idx="71">
                  <c:v>0</c:v>
                </c:pt>
                <c:pt idx="72">
                  <c:v>0</c:v>
                </c:pt>
                <c:pt idx="73">
                  <c:v>97993</c:v>
                </c:pt>
                <c:pt idx="74">
                  <c:v>0</c:v>
                </c:pt>
                <c:pt idx="75">
                  <c:v>100739</c:v>
                </c:pt>
                <c:pt idx="76">
                  <c:v>0</c:v>
                </c:pt>
                <c:pt idx="77">
                  <c:v>0</c:v>
                </c:pt>
                <c:pt idx="78">
                  <c:v>100561</c:v>
                </c:pt>
                <c:pt idx="79">
                  <c:v>0</c:v>
                </c:pt>
                <c:pt idx="80">
                  <c:v>98635</c:v>
                </c:pt>
                <c:pt idx="81">
                  <c:v>0</c:v>
                </c:pt>
                <c:pt idx="82">
                  <c:v>0</c:v>
                </c:pt>
                <c:pt idx="83">
                  <c:v>99611</c:v>
                </c:pt>
                <c:pt idx="84">
                  <c:v>0</c:v>
                </c:pt>
                <c:pt idx="85">
                  <c:v>0</c:v>
                </c:pt>
                <c:pt idx="86">
                  <c:v>95619</c:v>
                </c:pt>
                <c:pt idx="87">
                  <c:v>0</c:v>
                </c:pt>
                <c:pt idx="88">
                  <c:v>104008</c:v>
                </c:pt>
                <c:pt idx="89">
                  <c:v>0</c:v>
                </c:pt>
                <c:pt idx="90">
                  <c:v>0</c:v>
                </c:pt>
                <c:pt idx="91">
                  <c:v>99090</c:v>
                </c:pt>
                <c:pt idx="92">
                  <c:v>0</c:v>
                </c:pt>
                <c:pt idx="93">
                  <c:v>114708</c:v>
                </c:pt>
                <c:pt idx="94">
                  <c:v>0</c:v>
                </c:pt>
                <c:pt idx="95">
                  <c:v>0</c:v>
                </c:pt>
                <c:pt idx="96">
                  <c:v>108407</c:v>
                </c:pt>
                <c:pt idx="97">
                  <c:v>0</c:v>
                </c:pt>
                <c:pt idx="98">
                  <c:v>99792</c:v>
                </c:pt>
                <c:pt idx="99">
                  <c:v>0</c:v>
                </c:pt>
                <c:pt idx="100">
                  <c:v>0</c:v>
                </c:pt>
                <c:pt idx="101">
                  <c:v>108307</c:v>
                </c:pt>
                <c:pt idx="102">
                  <c:v>0</c:v>
                </c:pt>
                <c:pt idx="103">
                  <c:v>0</c:v>
                </c:pt>
                <c:pt idx="104">
                  <c:v>100708</c:v>
                </c:pt>
                <c:pt idx="105">
                  <c:v>0</c:v>
                </c:pt>
                <c:pt idx="106">
                  <c:v>98425</c:v>
                </c:pt>
                <c:pt idx="107">
                  <c:v>0</c:v>
                </c:pt>
                <c:pt idx="108">
                  <c:v>0</c:v>
                </c:pt>
                <c:pt idx="109">
                  <c:v>97172</c:v>
                </c:pt>
                <c:pt idx="110">
                  <c:v>0</c:v>
                </c:pt>
                <c:pt idx="111">
                  <c:v>90063</c:v>
                </c:pt>
                <c:pt idx="112">
                  <c:v>0</c:v>
                </c:pt>
                <c:pt idx="113">
                  <c:v>0</c:v>
                </c:pt>
                <c:pt idx="114">
                  <c:v>93809</c:v>
                </c:pt>
                <c:pt idx="115">
                  <c:v>0</c:v>
                </c:pt>
                <c:pt idx="116">
                  <c:v>94588</c:v>
                </c:pt>
                <c:pt idx="117">
                  <c:v>0</c:v>
                </c:pt>
                <c:pt idx="118">
                  <c:v>0</c:v>
                </c:pt>
                <c:pt idx="119">
                  <c:v>82652</c:v>
                </c:pt>
                <c:pt idx="120">
                  <c:v>0</c:v>
                </c:pt>
                <c:pt idx="121">
                  <c:v>0</c:v>
                </c:pt>
                <c:pt idx="122">
                  <c:v>76247</c:v>
                </c:pt>
                <c:pt idx="123">
                  <c:v>0</c:v>
                </c:pt>
                <c:pt idx="124">
                  <c:v>69324</c:v>
                </c:pt>
                <c:pt idx="125">
                  <c:v>0</c:v>
                </c:pt>
                <c:pt idx="126">
                  <c:v>0</c:v>
                </c:pt>
                <c:pt idx="127">
                  <c:v>65841</c:v>
                </c:pt>
                <c:pt idx="128">
                  <c:v>0</c:v>
                </c:pt>
                <c:pt idx="129">
                  <c:v>58002</c:v>
                </c:pt>
                <c:pt idx="130">
                  <c:v>0</c:v>
                </c:pt>
                <c:pt idx="131">
                  <c:v>0</c:v>
                </c:pt>
                <c:pt idx="132">
                  <c:v>54282</c:v>
                </c:pt>
                <c:pt idx="133">
                  <c:v>0</c:v>
                </c:pt>
                <c:pt idx="134">
                  <c:v>46171</c:v>
                </c:pt>
                <c:pt idx="135">
                  <c:v>0</c:v>
                </c:pt>
                <c:pt idx="136">
                  <c:v>0</c:v>
                </c:pt>
                <c:pt idx="137">
                  <c:v>48406</c:v>
                </c:pt>
                <c:pt idx="138">
                  <c:v>0</c:v>
                </c:pt>
                <c:pt idx="139">
                  <c:v>0</c:v>
                </c:pt>
                <c:pt idx="140">
                  <c:v>34020</c:v>
                </c:pt>
                <c:pt idx="141">
                  <c:v>0</c:v>
                </c:pt>
                <c:pt idx="142">
                  <c:v>31332</c:v>
                </c:pt>
                <c:pt idx="143">
                  <c:v>0</c:v>
                </c:pt>
                <c:pt idx="144">
                  <c:v>0</c:v>
                </c:pt>
                <c:pt idx="145">
                  <c:v>31856</c:v>
                </c:pt>
                <c:pt idx="146">
                  <c:v>0</c:v>
                </c:pt>
                <c:pt idx="147">
                  <c:v>26849</c:v>
                </c:pt>
                <c:pt idx="148">
                  <c:v>0</c:v>
                </c:pt>
                <c:pt idx="149">
                  <c:v>0</c:v>
                </c:pt>
                <c:pt idx="150">
                  <c:v>17939</c:v>
                </c:pt>
                <c:pt idx="151">
                  <c:v>0</c:v>
                </c:pt>
                <c:pt idx="152">
                  <c:v>15524</c:v>
                </c:pt>
                <c:pt idx="153">
                  <c:v>0</c:v>
                </c:pt>
                <c:pt idx="154">
                  <c:v>0</c:v>
                </c:pt>
                <c:pt idx="155">
                  <c:v>16360</c:v>
                </c:pt>
                <c:pt idx="156">
                  <c:v>0</c:v>
                </c:pt>
                <c:pt idx="157">
                  <c:v>0</c:v>
                </c:pt>
                <c:pt idx="158">
                  <c:v>14822</c:v>
                </c:pt>
                <c:pt idx="159">
                  <c:v>0</c:v>
                </c:pt>
                <c:pt idx="160">
                  <c:v>13501</c:v>
                </c:pt>
                <c:pt idx="161">
                  <c:v>0</c:v>
                </c:pt>
                <c:pt idx="162">
                  <c:v>0</c:v>
                </c:pt>
                <c:pt idx="163">
                  <c:v>11212</c:v>
                </c:pt>
                <c:pt idx="164">
                  <c:v>0</c:v>
                </c:pt>
                <c:pt idx="165">
                  <c:v>10728</c:v>
                </c:pt>
                <c:pt idx="166">
                  <c:v>0</c:v>
                </c:pt>
                <c:pt idx="167">
                  <c:v>0</c:v>
                </c:pt>
                <c:pt idx="168">
                  <c:v>11888</c:v>
                </c:pt>
                <c:pt idx="169">
                  <c:v>0</c:v>
                </c:pt>
                <c:pt idx="170">
                  <c:v>0</c:v>
                </c:pt>
                <c:pt idx="171">
                  <c:v>6923</c:v>
                </c:pt>
                <c:pt idx="172">
                  <c:v>0</c:v>
                </c:pt>
                <c:pt idx="173">
                  <c:v>4459</c:v>
                </c:pt>
                <c:pt idx="174">
                  <c:v>0</c:v>
                </c:pt>
                <c:pt idx="175">
                  <c:v>0</c:v>
                </c:pt>
                <c:pt idx="176">
                  <c:v>3260</c:v>
                </c:pt>
                <c:pt idx="177">
                  <c:v>0</c:v>
                </c:pt>
                <c:pt idx="178">
                  <c:v>1573</c:v>
                </c:pt>
                <c:pt idx="179">
                  <c:v>0</c:v>
                </c:pt>
                <c:pt idx="180">
                  <c:v>0</c:v>
                </c:pt>
                <c:pt idx="181">
                  <c:v>1560</c:v>
                </c:pt>
                <c:pt idx="182">
                  <c:v>0</c:v>
                </c:pt>
                <c:pt idx="183">
                  <c:v>363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488</c:v>
                </c:pt>
                <c:pt idx="7">
                  <c:v>0</c:v>
                </c:pt>
                <c:pt idx="8">
                  <c:v>2418</c:v>
                </c:pt>
                <c:pt idx="9">
                  <c:v>0</c:v>
                </c:pt>
                <c:pt idx="10">
                  <c:v>0</c:v>
                </c:pt>
                <c:pt idx="11">
                  <c:v>2834</c:v>
                </c:pt>
                <c:pt idx="12">
                  <c:v>0</c:v>
                </c:pt>
                <c:pt idx="13">
                  <c:v>2231</c:v>
                </c:pt>
                <c:pt idx="14">
                  <c:v>0</c:v>
                </c:pt>
                <c:pt idx="15">
                  <c:v>0</c:v>
                </c:pt>
                <c:pt idx="16">
                  <c:v>5416</c:v>
                </c:pt>
                <c:pt idx="17">
                  <c:v>0</c:v>
                </c:pt>
                <c:pt idx="18">
                  <c:v>0</c:v>
                </c:pt>
                <c:pt idx="19">
                  <c:v>4223</c:v>
                </c:pt>
                <c:pt idx="20">
                  <c:v>0</c:v>
                </c:pt>
                <c:pt idx="21">
                  <c:v>3760</c:v>
                </c:pt>
                <c:pt idx="22">
                  <c:v>0</c:v>
                </c:pt>
                <c:pt idx="23">
                  <c:v>0</c:v>
                </c:pt>
                <c:pt idx="24">
                  <c:v>5002</c:v>
                </c:pt>
                <c:pt idx="25">
                  <c:v>0</c:v>
                </c:pt>
                <c:pt idx="26">
                  <c:v>8728</c:v>
                </c:pt>
                <c:pt idx="27">
                  <c:v>0</c:v>
                </c:pt>
                <c:pt idx="28">
                  <c:v>0</c:v>
                </c:pt>
                <c:pt idx="29">
                  <c:v>11402</c:v>
                </c:pt>
                <c:pt idx="30">
                  <c:v>0</c:v>
                </c:pt>
                <c:pt idx="31">
                  <c:v>11333</c:v>
                </c:pt>
                <c:pt idx="32">
                  <c:v>0</c:v>
                </c:pt>
                <c:pt idx="33">
                  <c:v>0</c:v>
                </c:pt>
                <c:pt idx="34">
                  <c:v>13335</c:v>
                </c:pt>
                <c:pt idx="35">
                  <c:v>0</c:v>
                </c:pt>
                <c:pt idx="36">
                  <c:v>0</c:v>
                </c:pt>
                <c:pt idx="37">
                  <c:v>14934</c:v>
                </c:pt>
                <c:pt idx="38">
                  <c:v>0</c:v>
                </c:pt>
                <c:pt idx="39">
                  <c:v>14677</c:v>
                </c:pt>
                <c:pt idx="40">
                  <c:v>0</c:v>
                </c:pt>
                <c:pt idx="41">
                  <c:v>0</c:v>
                </c:pt>
                <c:pt idx="42">
                  <c:v>18849</c:v>
                </c:pt>
                <c:pt idx="43">
                  <c:v>0</c:v>
                </c:pt>
                <c:pt idx="44">
                  <c:v>20695</c:v>
                </c:pt>
                <c:pt idx="45">
                  <c:v>0</c:v>
                </c:pt>
                <c:pt idx="46">
                  <c:v>0</c:v>
                </c:pt>
                <c:pt idx="47">
                  <c:v>24638</c:v>
                </c:pt>
                <c:pt idx="48">
                  <c:v>0</c:v>
                </c:pt>
                <c:pt idx="49">
                  <c:v>26281</c:v>
                </c:pt>
                <c:pt idx="50">
                  <c:v>0</c:v>
                </c:pt>
                <c:pt idx="51">
                  <c:v>0</c:v>
                </c:pt>
                <c:pt idx="52">
                  <c:v>26834</c:v>
                </c:pt>
                <c:pt idx="53">
                  <c:v>0</c:v>
                </c:pt>
                <c:pt idx="54">
                  <c:v>0</c:v>
                </c:pt>
                <c:pt idx="55">
                  <c:v>26092</c:v>
                </c:pt>
                <c:pt idx="56">
                  <c:v>0</c:v>
                </c:pt>
                <c:pt idx="57">
                  <c:v>31240</c:v>
                </c:pt>
                <c:pt idx="58">
                  <c:v>0</c:v>
                </c:pt>
                <c:pt idx="59">
                  <c:v>0</c:v>
                </c:pt>
                <c:pt idx="60">
                  <c:v>36661</c:v>
                </c:pt>
                <c:pt idx="61">
                  <c:v>0</c:v>
                </c:pt>
                <c:pt idx="62">
                  <c:v>46491</c:v>
                </c:pt>
                <c:pt idx="63">
                  <c:v>0</c:v>
                </c:pt>
                <c:pt idx="64">
                  <c:v>0</c:v>
                </c:pt>
                <c:pt idx="65">
                  <c:v>49763</c:v>
                </c:pt>
                <c:pt idx="66">
                  <c:v>0</c:v>
                </c:pt>
                <c:pt idx="67">
                  <c:v>59851</c:v>
                </c:pt>
                <c:pt idx="68">
                  <c:v>0</c:v>
                </c:pt>
                <c:pt idx="69">
                  <c:v>0</c:v>
                </c:pt>
                <c:pt idx="70">
                  <c:v>69725</c:v>
                </c:pt>
                <c:pt idx="71">
                  <c:v>0</c:v>
                </c:pt>
                <c:pt idx="72">
                  <c:v>0</c:v>
                </c:pt>
                <c:pt idx="73">
                  <c:v>81225</c:v>
                </c:pt>
                <c:pt idx="74">
                  <c:v>0</c:v>
                </c:pt>
                <c:pt idx="75">
                  <c:v>89117</c:v>
                </c:pt>
                <c:pt idx="76">
                  <c:v>0</c:v>
                </c:pt>
                <c:pt idx="77">
                  <c:v>0</c:v>
                </c:pt>
                <c:pt idx="78">
                  <c:v>100459</c:v>
                </c:pt>
                <c:pt idx="79">
                  <c:v>0</c:v>
                </c:pt>
                <c:pt idx="80">
                  <c:v>99961</c:v>
                </c:pt>
                <c:pt idx="81">
                  <c:v>0</c:v>
                </c:pt>
                <c:pt idx="82">
                  <c:v>0</c:v>
                </c:pt>
                <c:pt idx="83">
                  <c:v>99960</c:v>
                </c:pt>
                <c:pt idx="84">
                  <c:v>0</c:v>
                </c:pt>
                <c:pt idx="85">
                  <c:v>0</c:v>
                </c:pt>
                <c:pt idx="86">
                  <c:v>109493</c:v>
                </c:pt>
                <c:pt idx="87">
                  <c:v>0</c:v>
                </c:pt>
                <c:pt idx="88">
                  <c:v>120651</c:v>
                </c:pt>
                <c:pt idx="89">
                  <c:v>0</c:v>
                </c:pt>
                <c:pt idx="90">
                  <c:v>0</c:v>
                </c:pt>
                <c:pt idx="91">
                  <c:v>121751</c:v>
                </c:pt>
                <c:pt idx="92">
                  <c:v>0</c:v>
                </c:pt>
                <c:pt idx="93">
                  <c:v>133409</c:v>
                </c:pt>
                <c:pt idx="94">
                  <c:v>0</c:v>
                </c:pt>
                <c:pt idx="95">
                  <c:v>0</c:v>
                </c:pt>
                <c:pt idx="96">
                  <c:v>141835</c:v>
                </c:pt>
                <c:pt idx="97">
                  <c:v>0</c:v>
                </c:pt>
                <c:pt idx="98">
                  <c:v>148250</c:v>
                </c:pt>
                <c:pt idx="99">
                  <c:v>0</c:v>
                </c:pt>
                <c:pt idx="100">
                  <c:v>0</c:v>
                </c:pt>
                <c:pt idx="101">
                  <c:v>151165</c:v>
                </c:pt>
                <c:pt idx="102">
                  <c:v>0</c:v>
                </c:pt>
                <c:pt idx="103">
                  <c:v>0</c:v>
                </c:pt>
                <c:pt idx="104">
                  <c:v>151499</c:v>
                </c:pt>
                <c:pt idx="105">
                  <c:v>0</c:v>
                </c:pt>
                <c:pt idx="106">
                  <c:v>148936</c:v>
                </c:pt>
                <c:pt idx="107">
                  <c:v>0</c:v>
                </c:pt>
                <c:pt idx="108">
                  <c:v>0</c:v>
                </c:pt>
                <c:pt idx="109">
                  <c:v>154101</c:v>
                </c:pt>
                <c:pt idx="110">
                  <c:v>0</c:v>
                </c:pt>
                <c:pt idx="111">
                  <c:v>145874</c:v>
                </c:pt>
                <c:pt idx="112">
                  <c:v>0</c:v>
                </c:pt>
                <c:pt idx="113">
                  <c:v>0</c:v>
                </c:pt>
                <c:pt idx="114">
                  <c:v>130981</c:v>
                </c:pt>
                <c:pt idx="115">
                  <c:v>0</c:v>
                </c:pt>
                <c:pt idx="116">
                  <c:v>129366</c:v>
                </c:pt>
                <c:pt idx="117">
                  <c:v>0</c:v>
                </c:pt>
                <c:pt idx="118">
                  <c:v>0</c:v>
                </c:pt>
                <c:pt idx="119">
                  <c:v>123329</c:v>
                </c:pt>
                <c:pt idx="120">
                  <c:v>0</c:v>
                </c:pt>
                <c:pt idx="121">
                  <c:v>0</c:v>
                </c:pt>
                <c:pt idx="122">
                  <c:v>114185</c:v>
                </c:pt>
                <c:pt idx="123">
                  <c:v>0</c:v>
                </c:pt>
                <c:pt idx="124">
                  <c:v>110559</c:v>
                </c:pt>
                <c:pt idx="125">
                  <c:v>0</c:v>
                </c:pt>
                <c:pt idx="126">
                  <c:v>0</c:v>
                </c:pt>
                <c:pt idx="127">
                  <c:v>104750</c:v>
                </c:pt>
                <c:pt idx="128">
                  <c:v>0</c:v>
                </c:pt>
                <c:pt idx="129">
                  <c:v>98677</c:v>
                </c:pt>
                <c:pt idx="130">
                  <c:v>0</c:v>
                </c:pt>
                <c:pt idx="131">
                  <c:v>0</c:v>
                </c:pt>
                <c:pt idx="132">
                  <c:v>95563</c:v>
                </c:pt>
                <c:pt idx="133">
                  <c:v>0</c:v>
                </c:pt>
                <c:pt idx="134">
                  <c:v>88807</c:v>
                </c:pt>
                <c:pt idx="135">
                  <c:v>0</c:v>
                </c:pt>
                <c:pt idx="136">
                  <c:v>0</c:v>
                </c:pt>
                <c:pt idx="137">
                  <c:v>86943</c:v>
                </c:pt>
                <c:pt idx="138">
                  <c:v>0</c:v>
                </c:pt>
                <c:pt idx="139">
                  <c:v>0</c:v>
                </c:pt>
                <c:pt idx="140">
                  <c:v>85290</c:v>
                </c:pt>
                <c:pt idx="141">
                  <c:v>0</c:v>
                </c:pt>
                <c:pt idx="142">
                  <c:v>79255</c:v>
                </c:pt>
                <c:pt idx="143">
                  <c:v>0</c:v>
                </c:pt>
                <c:pt idx="144">
                  <c:v>0</c:v>
                </c:pt>
                <c:pt idx="145">
                  <c:v>72315</c:v>
                </c:pt>
                <c:pt idx="146">
                  <c:v>0</c:v>
                </c:pt>
                <c:pt idx="147">
                  <c:v>74345</c:v>
                </c:pt>
                <c:pt idx="148">
                  <c:v>0</c:v>
                </c:pt>
                <c:pt idx="149">
                  <c:v>0</c:v>
                </c:pt>
                <c:pt idx="150">
                  <c:v>73724</c:v>
                </c:pt>
                <c:pt idx="151">
                  <c:v>0</c:v>
                </c:pt>
                <c:pt idx="152">
                  <c:v>65391</c:v>
                </c:pt>
                <c:pt idx="153">
                  <c:v>0</c:v>
                </c:pt>
                <c:pt idx="154">
                  <c:v>0</c:v>
                </c:pt>
                <c:pt idx="155">
                  <c:v>62609</c:v>
                </c:pt>
                <c:pt idx="156">
                  <c:v>0</c:v>
                </c:pt>
                <c:pt idx="157">
                  <c:v>0</c:v>
                </c:pt>
                <c:pt idx="158">
                  <c:v>58303</c:v>
                </c:pt>
                <c:pt idx="159">
                  <c:v>0</c:v>
                </c:pt>
                <c:pt idx="160">
                  <c:v>49560</c:v>
                </c:pt>
                <c:pt idx="161">
                  <c:v>0</c:v>
                </c:pt>
                <c:pt idx="162">
                  <c:v>0</c:v>
                </c:pt>
                <c:pt idx="163">
                  <c:v>44911</c:v>
                </c:pt>
                <c:pt idx="164">
                  <c:v>0</c:v>
                </c:pt>
                <c:pt idx="165">
                  <c:v>36847</c:v>
                </c:pt>
                <c:pt idx="166">
                  <c:v>0</c:v>
                </c:pt>
                <c:pt idx="167">
                  <c:v>0</c:v>
                </c:pt>
                <c:pt idx="168">
                  <c:v>32266</c:v>
                </c:pt>
                <c:pt idx="169">
                  <c:v>0</c:v>
                </c:pt>
                <c:pt idx="170">
                  <c:v>0</c:v>
                </c:pt>
                <c:pt idx="171">
                  <c:v>25567</c:v>
                </c:pt>
                <c:pt idx="172">
                  <c:v>0</c:v>
                </c:pt>
                <c:pt idx="173">
                  <c:v>21233</c:v>
                </c:pt>
                <c:pt idx="174">
                  <c:v>0</c:v>
                </c:pt>
                <c:pt idx="175">
                  <c:v>0</c:v>
                </c:pt>
                <c:pt idx="176">
                  <c:v>14207</c:v>
                </c:pt>
                <c:pt idx="177">
                  <c:v>0</c:v>
                </c:pt>
                <c:pt idx="178">
                  <c:v>7633</c:v>
                </c:pt>
                <c:pt idx="179">
                  <c:v>0</c:v>
                </c:pt>
                <c:pt idx="180">
                  <c:v>0</c:v>
                </c:pt>
                <c:pt idx="181">
                  <c:v>5946</c:v>
                </c:pt>
                <c:pt idx="182">
                  <c:v>0</c:v>
                </c:pt>
                <c:pt idx="183">
                  <c:v>3759</c:v>
                </c:pt>
                <c:pt idx="184">
                  <c:v>0</c:v>
                </c:pt>
                <c:pt idx="185">
                  <c:v>0</c:v>
                </c:pt>
                <c:pt idx="186">
                  <c:v>1381</c:v>
                </c:pt>
                <c:pt idx="187">
                  <c:v>0</c:v>
                </c:pt>
                <c:pt idx="188">
                  <c:v>0</c:v>
                </c:pt>
                <c:pt idx="189">
                  <c:v>967</c:v>
                </c:pt>
                <c:pt idx="190">
                  <c:v>0</c:v>
                </c:pt>
                <c:pt idx="191">
                  <c:v>510</c:v>
                </c:pt>
                <c:pt idx="192">
                  <c:v>0</c:v>
                </c:pt>
                <c:pt idx="193">
                  <c:v>0</c:v>
                </c:pt>
                <c:pt idx="194">
                  <c:v>317</c:v>
                </c:pt>
                <c:pt idx="195">
                  <c:v>0</c:v>
                </c:pt>
                <c:pt idx="196">
                  <c:v>55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0.16064624861833068</c:v>
                </c:pt>
                <c:pt idx="1">
                  <c:v>0.37618300075482231</c:v>
                </c:pt>
                <c:pt idx="2">
                  <c:v>0.46317075062684698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0.54575318913774307</c:v>
                </c:pt>
                <c:pt idx="1">
                  <c:v>0.24841664697362442</c:v>
                </c:pt>
                <c:pt idx="2">
                  <c:v>0.20583016388863243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5.8242149999999997</c:v>
                </c:pt>
                <c:pt idx="1">
                  <c:v>13.464537499999999</c:v>
                </c:pt>
                <c:pt idx="2">
                  <c:v>18.8414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  <c:pt idx="74">
                  <c:v>30.0672</c:v>
                </c:pt>
                <c:pt idx="75">
                  <c:v>30.530999999999999</c:v>
                </c:pt>
                <c:pt idx="76">
                  <c:v>30.9238</c:v>
                </c:pt>
                <c:pt idx="77">
                  <c:v>31.330100000000002</c:v>
                </c:pt>
                <c:pt idx="78">
                  <c:v>31.732800000000001</c:v>
                </c:pt>
                <c:pt idx="79">
                  <c:v>32.14</c:v>
                </c:pt>
                <c:pt idx="80">
                  <c:v>32.543900000000001</c:v>
                </c:pt>
                <c:pt idx="81">
                  <c:v>32.956600000000002</c:v>
                </c:pt>
                <c:pt idx="82">
                  <c:v>33.358899999999998</c:v>
                </c:pt>
                <c:pt idx="83">
                  <c:v>33.764600000000002</c:v>
                </c:pt>
                <c:pt idx="84">
                  <c:v>34.170200000000001</c:v>
                </c:pt>
                <c:pt idx="85">
                  <c:v>34.575400000000002</c:v>
                </c:pt>
                <c:pt idx="86">
                  <c:v>34.985999999999997</c:v>
                </c:pt>
                <c:pt idx="87">
                  <c:v>35.391599999999997</c:v>
                </c:pt>
                <c:pt idx="88">
                  <c:v>35.7941</c:v>
                </c:pt>
                <c:pt idx="89">
                  <c:v>36.201599999999999</c:v>
                </c:pt>
                <c:pt idx="90">
                  <c:v>36.6081</c:v>
                </c:pt>
                <c:pt idx="91">
                  <c:v>37.019199999999998</c:v>
                </c:pt>
                <c:pt idx="92">
                  <c:v>37.420999999999999</c:v>
                </c:pt>
                <c:pt idx="93">
                  <c:v>37.824800000000003</c:v>
                </c:pt>
                <c:pt idx="94">
                  <c:v>38.2331</c:v>
                </c:pt>
                <c:pt idx="95">
                  <c:v>38.644300000000001</c:v>
                </c:pt>
                <c:pt idx="96">
                  <c:v>39.047800000000002</c:v>
                </c:pt>
                <c:pt idx="97">
                  <c:v>39.4527</c:v>
                </c:pt>
                <c:pt idx="98">
                  <c:v>39.856000000000002</c:v>
                </c:pt>
                <c:pt idx="99">
                  <c:v>40.265900000000002</c:v>
                </c:pt>
                <c:pt idx="100">
                  <c:v>40.6723</c:v>
                </c:pt>
                <c:pt idx="101">
                  <c:v>41.080399999999997</c:v>
                </c:pt>
                <c:pt idx="102">
                  <c:v>41.486800000000002</c:v>
                </c:pt>
                <c:pt idx="103">
                  <c:v>41.889800000000001</c:v>
                </c:pt>
                <c:pt idx="104">
                  <c:v>42.295099999999998</c:v>
                </c:pt>
                <c:pt idx="105">
                  <c:v>42.7044</c:v>
                </c:pt>
                <c:pt idx="106">
                  <c:v>43.110599999999998</c:v>
                </c:pt>
                <c:pt idx="107">
                  <c:v>43.515799999999999</c:v>
                </c:pt>
                <c:pt idx="108">
                  <c:v>43.921100000000003</c:v>
                </c:pt>
                <c:pt idx="109">
                  <c:v>44.3294</c:v>
                </c:pt>
                <c:pt idx="110">
                  <c:v>44.7361</c:v>
                </c:pt>
                <c:pt idx="111">
                  <c:v>45.143900000000002</c:v>
                </c:pt>
                <c:pt idx="112">
                  <c:v>45.554200000000002</c:v>
                </c:pt>
                <c:pt idx="113">
                  <c:v>45.953299999999999</c:v>
                </c:pt>
                <c:pt idx="114">
                  <c:v>46.364100000000001</c:v>
                </c:pt>
                <c:pt idx="115">
                  <c:v>46.769100000000002</c:v>
                </c:pt>
                <c:pt idx="116">
                  <c:v>47.174199999999999</c:v>
                </c:pt>
                <c:pt idx="117">
                  <c:v>47.581000000000003</c:v>
                </c:pt>
                <c:pt idx="118">
                  <c:v>47.985399999999998</c:v>
                </c:pt>
                <c:pt idx="119">
                  <c:v>48.389499999999998</c:v>
                </c:pt>
                <c:pt idx="120">
                  <c:v>48.795499999999997</c:v>
                </c:pt>
                <c:pt idx="121">
                  <c:v>49.206000000000003</c:v>
                </c:pt>
                <c:pt idx="122">
                  <c:v>49.610700000000001</c:v>
                </c:pt>
                <c:pt idx="123">
                  <c:v>50.017899999999997</c:v>
                </c:pt>
                <c:pt idx="124">
                  <c:v>50.419499999999999</c:v>
                </c:pt>
                <c:pt idx="125">
                  <c:v>50.828400000000002</c:v>
                </c:pt>
                <c:pt idx="126">
                  <c:v>51.2361</c:v>
                </c:pt>
                <c:pt idx="127">
                  <c:v>51.6434</c:v>
                </c:pt>
                <c:pt idx="128">
                  <c:v>52.046900000000001</c:v>
                </c:pt>
                <c:pt idx="129">
                  <c:v>52.4514</c:v>
                </c:pt>
                <c:pt idx="130">
                  <c:v>52.859900000000003</c:v>
                </c:pt>
                <c:pt idx="131">
                  <c:v>53.265900000000002</c:v>
                </c:pt>
                <c:pt idx="132">
                  <c:v>53.6736</c:v>
                </c:pt>
                <c:pt idx="133">
                  <c:v>54.078299999999999</c:v>
                </c:pt>
                <c:pt idx="134">
                  <c:v>54.480800000000002</c:v>
                </c:pt>
                <c:pt idx="135">
                  <c:v>54.889099999999999</c:v>
                </c:pt>
                <c:pt idx="136">
                  <c:v>55.294600000000003</c:v>
                </c:pt>
                <c:pt idx="137">
                  <c:v>55.700800000000001</c:v>
                </c:pt>
                <c:pt idx="138">
                  <c:v>56.112400000000001</c:v>
                </c:pt>
                <c:pt idx="139">
                  <c:v>56.515700000000002</c:v>
                </c:pt>
                <c:pt idx="140">
                  <c:v>56.922499999999999</c:v>
                </c:pt>
                <c:pt idx="141">
                  <c:v>57.331400000000002</c:v>
                </c:pt>
                <c:pt idx="142">
                  <c:v>57.736400000000003</c:v>
                </c:pt>
                <c:pt idx="143">
                  <c:v>58.144399999999997</c:v>
                </c:pt>
                <c:pt idx="144">
                  <c:v>58.547699999999999</c:v>
                </c:pt>
                <c:pt idx="145">
                  <c:v>58.954099999999997</c:v>
                </c:pt>
                <c:pt idx="146">
                  <c:v>59.360900000000001</c:v>
                </c:pt>
                <c:pt idx="147">
                  <c:v>59.767899999999997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  <c:pt idx="74">
                  <c:v>3.8741700000000003</c:v>
                </c:pt>
                <c:pt idx="75">
                  <c:v>3.8740899999999998</c:v>
                </c:pt>
                <c:pt idx="76">
                  <c:v>3.8735999999999997</c:v>
                </c:pt>
                <c:pt idx="77">
                  <c:v>3.8741199999999996</c:v>
                </c:pt>
                <c:pt idx="78">
                  <c:v>3.8758999999999997</c:v>
                </c:pt>
                <c:pt idx="79">
                  <c:v>3.8807199999999997</c:v>
                </c:pt>
                <c:pt idx="80">
                  <c:v>3.8885100000000001</c:v>
                </c:pt>
                <c:pt idx="81">
                  <c:v>3.8969999999999998</c:v>
                </c:pt>
                <c:pt idx="82">
                  <c:v>3.9031100000000003</c:v>
                </c:pt>
                <c:pt idx="83">
                  <c:v>3.90991</c:v>
                </c:pt>
                <c:pt idx="84">
                  <c:v>3.9163700000000001</c:v>
                </c:pt>
                <c:pt idx="85">
                  <c:v>3.9228700000000001</c:v>
                </c:pt>
                <c:pt idx="86">
                  <c:v>3.9306900000000002</c:v>
                </c:pt>
                <c:pt idx="87">
                  <c:v>3.94171</c:v>
                </c:pt>
                <c:pt idx="88">
                  <c:v>3.9521000000000002</c:v>
                </c:pt>
                <c:pt idx="89">
                  <c:v>3.9625500000000002</c:v>
                </c:pt>
                <c:pt idx="90">
                  <c:v>3.9752399999999999</c:v>
                </c:pt>
                <c:pt idx="91">
                  <c:v>3.9924200000000001</c:v>
                </c:pt>
                <c:pt idx="92">
                  <c:v>4.01295</c:v>
                </c:pt>
                <c:pt idx="93">
                  <c:v>4.03512</c:v>
                </c:pt>
                <c:pt idx="94">
                  <c:v>4.0575400000000004</c:v>
                </c:pt>
                <c:pt idx="95">
                  <c:v>4.0809899999999999</c:v>
                </c:pt>
                <c:pt idx="96">
                  <c:v>4.1023700000000005</c:v>
                </c:pt>
                <c:pt idx="97">
                  <c:v>4.1269</c:v>
                </c:pt>
                <c:pt idx="98">
                  <c:v>4.1539099999999998</c:v>
                </c:pt>
                <c:pt idx="99">
                  <c:v>4.1844900000000003</c:v>
                </c:pt>
                <c:pt idx="100">
                  <c:v>4.2158299999999995</c:v>
                </c:pt>
                <c:pt idx="101">
                  <c:v>4.2509600000000001</c:v>
                </c:pt>
                <c:pt idx="102">
                  <c:v>4.2864300000000002</c:v>
                </c:pt>
                <c:pt idx="103">
                  <c:v>4.3218100000000002</c:v>
                </c:pt>
                <c:pt idx="104">
                  <c:v>4.3564499999999997</c:v>
                </c:pt>
                <c:pt idx="105">
                  <c:v>4.3875299999999999</c:v>
                </c:pt>
                <c:pt idx="106">
                  <c:v>4.4164300000000001</c:v>
                </c:pt>
                <c:pt idx="107">
                  <c:v>4.4440800000000005</c:v>
                </c:pt>
                <c:pt idx="108">
                  <c:v>4.4705699999999995</c:v>
                </c:pt>
                <c:pt idx="109">
                  <c:v>4.4963899999999999</c:v>
                </c:pt>
                <c:pt idx="110">
                  <c:v>4.5210499999999998</c:v>
                </c:pt>
                <c:pt idx="111">
                  <c:v>4.5453900000000003</c:v>
                </c:pt>
                <c:pt idx="112">
                  <c:v>4.56595</c:v>
                </c:pt>
                <c:pt idx="113">
                  <c:v>4.58453</c:v>
                </c:pt>
                <c:pt idx="114">
                  <c:v>4.59985</c:v>
                </c:pt>
                <c:pt idx="115">
                  <c:v>4.6119599999999998</c:v>
                </c:pt>
                <c:pt idx="116">
                  <c:v>4.6200999999999999</c:v>
                </c:pt>
                <c:pt idx="117">
                  <c:v>4.6243800000000004</c:v>
                </c:pt>
                <c:pt idx="118">
                  <c:v>4.6261299999999999</c:v>
                </c:pt>
                <c:pt idx="119">
                  <c:v>4.6275500000000003</c:v>
                </c:pt>
                <c:pt idx="120">
                  <c:v>4.6265999999999998</c:v>
                </c:pt>
                <c:pt idx="121">
                  <c:v>4.6252599999999999</c:v>
                </c:pt>
                <c:pt idx="122">
                  <c:v>4.6196299999999999</c:v>
                </c:pt>
                <c:pt idx="123">
                  <c:v>4.6096500000000002</c:v>
                </c:pt>
                <c:pt idx="124">
                  <c:v>4.6104899999999995</c:v>
                </c:pt>
                <c:pt idx="125">
                  <c:v>4.6084100000000001</c:v>
                </c:pt>
                <c:pt idx="126">
                  <c:v>4.6019500000000004</c:v>
                </c:pt>
                <c:pt idx="127">
                  <c:v>4.5930900000000001</c:v>
                </c:pt>
                <c:pt idx="128">
                  <c:v>4.5816499999999998</c:v>
                </c:pt>
                <c:pt idx="129">
                  <c:v>4.5670999999999999</c:v>
                </c:pt>
                <c:pt idx="130">
                  <c:v>4.5536599999999998</c:v>
                </c:pt>
                <c:pt idx="131">
                  <c:v>4.5404900000000001</c:v>
                </c:pt>
                <c:pt idx="132">
                  <c:v>4.5281500000000001</c:v>
                </c:pt>
                <c:pt idx="133">
                  <c:v>4.5150499999999996</c:v>
                </c:pt>
                <c:pt idx="134">
                  <c:v>4.5000099999999996</c:v>
                </c:pt>
                <c:pt idx="135">
                  <c:v>4.4843899999999994</c:v>
                </c:pt>
                <c:pt idx="136">
                  <c:v>4.4662899999999999</c:v>
                </c:pt>
                <c:pt idx="137">
                  <c:v>4.4499699999999995</c:v>
                </c:pt>
                <c:pt idx="138">
                  <c:v>4.4335599999999999</c:v>
                </c:pt>
                <c:pt idx="139">
                  <c:v>4.41873</c:v>
                </c:pt>
                <c:pt idx="140">
                  <c:v>4.4016599999999997</c:v>
                </c:pt>
                <c:pt idx="141">
                  <c:v>4.3817399999999997</c:v>
                </c:pt>
                <c:pt idx="142">
                  <c:v>4.3618199999999998</c:v>
                </c:pt>
                <c:pt idx="143">
                  <c:v>4.3412899999999999</c:v>
                </c:pt>
                <c:pt idx="144">
                  <c:v>4.3144499999999999</c:v>
                </c:pt>
                <c:pt idx="145">
                  <c:v>4.2903000000000002</c:v>
                </c:pt>
                <c:pt idx="146">
                  <c:v>4.2668999999999997</c:v>
                </c:pt>
                <c:pt idx="147">
                  <c:v>4.2382299999999997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29.656199999999998</c:v>
                </c:pt>
                <c:pt idx="1">
                  <c:v>30.0672</c:v>
                </c:pt>
                <c:pt idx="2">
                  <c:v>30.530999999999999</c:v>
                </c:pt>
                <c:pt idx="3">
                  <c:v>30.9238</c:v>
                </c:pt>
                <c:pt idx="4">
                  <c:v>31.330100000000002</c:v>
                </c:pt>
                <c:pt idx="5">
                  <c:v>31.732800000000001</c:v>
                </c:pt>
                <c:pt idx="6">
                  <c:v>32.14</c:v>
                </c:pt>
                <c:pt idx="7">
                  <c:v>32.543900000000001</c:v>
                </c:pt>
                <c:pt idx="8">
                  <c:v>32.956600000000002</c:v>
                </c:pt>
                <c:pt idx="9">
                  <c:v>33.358899999999998</c:v>
                </c:pt>
                <c:pt idx="10">
                  <c:v>33.764600000000002</c:v>
                </c:pt>
                <c:pt idx="11">
                  <c:v>34.170200000000001</c:v>
                </c:pt>
                <c:pt idx="12">
                  <c:v>34.575400000000002</c:v>
                </c:pt>
                <c:pt idx="13">
                  <c:v>34.985999999999997</c:v>
                </c:pt>
                <c:pt idx="14">
                  <c:v>35.391599999999997</c:v>
                </c:pt>
                <c:pt idx="15">
                  <c:v>35.7941</c:v>
                </c:pt>
                <c:pt idx="16">
                  <c:v>36.201599999999999</c:v>
                </c:pt>
                <c:pt idx="17">
                  <c:v>36.6081</c:v>
                </c:pt>
                <c:pt idx="18">
                  <c:v>37.019199999999998</c:v>
                </c:pt>
                <c:pt idx="19">
                  <c:v>37.420999999999999</c:v>
                </c:pt>
                <c:pt idx="20">
                  <c:v>37.824800000000003</c:v>
                </c:pt>
                <c:pt idx="21">
                  <c:v>38.2331</c:v>
                </c:pt>
                <c:pt idx="22">
                  <c:v>38.644300000000001</c:v>
                </c:pt>
                <c:pt idx="23">
                  <c:v>39.047800000000002</c:v>
                </c:pt>
                <c:pt idx="24">
                  <c:v>39.4527</c:v>
                </c:pt>
                <c:pt idx="25">
                  <c:v>39.856000000000002</c:v>
                </c:pt>
                <c:pt idx="26">
                  <c:v>40.265900000000002</c:v>
                </c:pt>
                <c:pt idx="27">
                  <c:v>40.6723</c:v>
                </c:pt>
                <c:pt idx="28">
                  <c:v>41.080399999999997</c:v>
                </c:pt>
                <c:pt idx="29">
                  <c:v>41.486800000000002</c:v>
                </c:pt>
                <c:pt idx="30">
                  <c:v>41.889800000000001</c:v>
                </c:pt>
                <c:pt idx="31">
                  <c:v>42.295099999999998</c:v>
                </c:pt>
                <c:pt idx="32">
                  <c:v>42.7044</c:v>
                </c:pt>
                <c:pt idx="33">
                  <c:v>43.110599999999998</c:v>
                </c:pt>
                <c:pt idx="34">
                  <c:v>43.515799999999999</c:v>
                </c:pt>
                <c:pt idx="35">
                  <c:v>43.921100000000003</c:v>
                </c:pt>
                <c:pt idx="36">
                  <c:v>44.3294</c:v>
                </c:pt>
                <c:pt idx="37">
                  <c:v>44.7361</c:v>
                </c:pt>
                <c:pt idx="38">
                  <c:v>45.143900000000002</c:v>
                </c:pt>
                <c:pt idx="39">
                  <c:v>45.554200000000002</c:v>
                </c:pt>
                <c:pt idx="40">
                  <c:v>45.953299999999999</c:v>
                </c:pt>
                <c:pt idx="41">
                  <c:v>46.364100000000001</c:v>
                </c:pt>
                <c:pt idx="42">
                  <c:v>46.769100000000002</c:v>
                </c:pt>
                <c:pt idx="43">
                  <c:v>47.174199999999999</c:v>
                </c:pt>
                <c:pt idx="44">
                  <c:v>47.581000000000003</c:v>
                </c:pt>
                <c:pt idx="45">
                  <c:v>47.985399999999998</c:v>
                </c:pt>
                <c:pt idx="46">
                  <c:v>48.389499999999998</c:v>
                </c:pt>
                <c:pt idx="47">
                  <c:v>48.795499999999997</c:v>
                </c:pt>
                <c:pt idx="48">
                  <c:v>49.206000000000003</c:v>
                </c:pt>
                <c:pt idx="49">
                  <c:v>49.610700000000001</c:v>
                </c:pt>
                <c:pt idx="50">
                  <c:v>50.017899999999997</c:v>
                </c:pt>
                <c:pt idx="51">
                  <c:v>50.419499999999999</c:v>
                </c:pt>
                <c:pt idx="52">
                  <c:v>50.828400000000002</c:v>
                </c:pt>
                <c:pt idx="53">
                  <c:v>51.2361</c:v>
                </c:pt>
                <c:pt idx="54">
                  <c:v>51.6434</c:v>
                </c:pt>
                <c:pt idx="55">
                  <c:v>52.046900000000001</c:v>
                </c:pt>
                <c:pt idx="56">
                  <c:v>52.4514</c:v>
                </c:pt>
                <c:pt idx="57">
                  <c:v>52.859900000000003</c:v>
                </c:pt>
                <c:pt idx="58">
                  <c:v>53.265900000000002</c:v>
                </c:pt>
                <c:pt idx="59">
                  <c:v>53.6736</c:v>
                </c:pt>
                <c:pt idx="60">
                  <c:v>54.078299999999999</c:v>
                </c:pt>
                <c:pt idx="61">
                  <c:v>54.480800000000002</c:v>
                </c:pt>
                <c:pt idx="62">
                  <c:v>54.889099999999999</c:v>
                </c:pt>
                <c:pt idx="63">
                  <c:v>55.294600000000003</c:v>
                </c:pt>
                <c:pt idx="64">
                  <c:v>55.700800000000001</c:v>
                </c:pt>
                <c:pt idx="65">
                  <c:v>56.112400000000001</c:v>
                </c:pt>
                <c:pt idx="66">
                  <c:v>56.515700000000002</c:v>
                </c:pt>
                <c:pt idx="67">
                  <c:v>56.922499999999999</c:v>
                </c:pt>
                <c:pt idx="68">
                  <c:v>57.331400000000002</c:v>
                </c:pt>
                <c:pt idx="69">
                  <c:v>57.736400000000003</c:v>
                </c:pt>
                <c:pt idx="70">
                  <c:v>58.144399999999997</c:v>
                </c:pt>
                <c:pt idx="71">
                  <c:v>58.547699999999999</c:v>
                </c:pt>
                <c:pt idx="72">
                  <c:v>58.954099999999997</c:v>
                </c:pt>
                <c:pt idx="73">
                  <c:v>59.360900000000001</c:v>
                </c:pt>
                <c:pt idx="74">
                  <c:v>59.767899999999997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3.8774299999999999</c:v>
                </c:pt>
                <c:pt idx="1">
                  <c:v>3.8741700000000003</c:v>
                </c:pt>
                <c:pt idx="2">
                  <c:v>3.8740899999999998</c:v>
                </c:pt>
                <c:pt idx="3">
                  <c:v>3.8735999999999997</c:v>
                </c:pt>
                <c:pt idx="4">
                  <c:v>3.8741199999999996</c:v>
                </c:pt>
                <c:pt idx="5">
                  <c:v>3.8758999999999997</c:v>
                </c:pt>
                <c:pt idx="6">
                  <c:v>3.8807199999999997</c:v>
                </c:pt>
                <c:pt idx="7">
                  <c:v>3.8885100000000001</c:v>
                </c:pt>
                <c:pt idx="8">
                  <c:v>3.8969999999999998</c:v>
                </c:pt>
                <c:pt idx="9">
                  <c:v>3.9031100000000003</c:v>
                </c:pt>
                <c:pt idx="10">
                  <c:v>3.90991</c:v>
                </c:pt>
                <c:pt idx="11">
                  <c:v>3.9163700000000001</c:v>
                </c:pt>
                <c:pt idx="12">
                  <c:v>3.9228700000000001</c:v>
                </c:pt>
                <c:pt idx="13">
                  <c:v>3.9306900000000002</c:v>
                </c:pt>
                <c:pt idx="14">
                  <c:v>3.94171</c:v>
                </c:pt>
                <c:pt idx="15">
                  <c:v>3.9521000000000002</c:v>
                </c:pt>
                <c:pt idx="16">
                  <c:v>3.9625500000000002</c:v>
                </c:pt>
                <c:pt idx="17">
                  <c:v>3.9752399999999999</c:v>
                </c:pt>
                <c:pt idx="18">
                  <c:v>3.9924200000000001</c:v>
                </c:pt>
                <c:pt idx="19">
                  <c:v>4.01295</c:v>
                </c:pt>
                <c:pt idx="20">
                  <c:v>4.03512</c:v>
                </c:pt>
                <c:pt idx="21">
                  <c:v>4.0575400000000004</c:v>
                </c:pt>
                <c:pt idx="22">
                  <c:v>4.0809899999999999</c:v>
                </c:pt>
                <c:pt idx="23">
                  <c:v>4.1023700000000005</c:v>
                </c:pt>
                <c:pt idx="24">
                  <c:v>4.1269</c:v>
                </c:pt>
                <c:pt idx="25">
                  <c:v>4.1539099999999998</c:v>
                </c:pt>
                <c:pt idx="26">
                  <c:v>4.1844900000000003</c:v>
                </c:pt>
                <c:pt idx="27">
                  <c:v>4.2158299999999995</c:v>
                </c:pt>
                <c:pt idx="28">
                  <c:v>4.2509600000000001</c:v>
                </c:pt>
                <c:pt idx="29">
                  <c:v>4.2864300000000002</c:v>
                </c:pt>
                <c:pt idx="30">
                  <c:v>4.3218100000000002</c:v>
                </c:pt>
                <c:pt idx="31">
                  <c:v>4.3564499999999997</c:v>
                </c:pt>
                <c:pt idx="32">
                  <c:v>4.3875299999999999</c:v>
                </c:pt>
                <c:pt idx="33">
                  <c:v>4.4164300000000001</c:v>
                </c:pt>
                <c:pt idx="34">
                  <c:v>4.4440800000000005</c:v>
                </c:pt>
                <c:pt idx="35">
                  <c:v>4.4705699999999995</c:v>
                </c:pt>
                <c:pt idx="36">
                  <c:v>4.4963899999999999</c:v>
                </c:pt>
                <c:pt idx="37">
                  <c:v>4.5210499999999998</c:v>
                </c:pt>
                <c:pt idx="38">
                  <c:v>4.5453900000000003</c:v>
                </c:pt>
                <c:pt idx="39">
                  <c:v>4.56595</c:v>
                </c:pt>
                <c:pt idx="40">
                  <c:v>4.58453</c:v>
                </c:pt>
                <c:pt idx="41">
                  <c:v>4.59985</c:v>
                </c:pt>
                <c:pt idx="42">
                  <c:v>4.6119599999999998</c:v>
                </c:pt>
                <c:pt idx="43">
                  <c:v>4.6200999999999999</c:v>
                </c:pt>
                <c:pt idx="44">
                  <c:v>4.6243800000000004</c:v>
                </c:pt>
                <c:pt idx="45">
                  <c:v>4.6261299999999999</c:v>
                </c:pt>
                <c:pt idx="46">
                  <c:v>4.6275500000000003</c:v>
                </c:pt>
                <c:pt idx="47">
                  <c:v>4.6265999999999998</c:v>
                </c:pt>
                <c:pt idx="48">
                  <c:v>4.6252599999999999</c:v>
                </c:pt>
                <c:pt idx="49">
                  <c:v>4.6196299999999999</c:v>
                </c:pt>
                <c:pt idx="50">
                  <c:v>4.6096500000000002</c:v>
                </c:pt>
                <c:pt idx="51">
                  <c:v>4.6104899999999995</c:v>
                </c:pt>
                <c:pt idx="52">
                  <c:v>4.6084100000000001</c:v>
                </c:pt>
                <c:pt idx="53">
                  <c:v>4.6019500000000004</c:v>
                </c:pt>
                <c:pt idx="54">
                  <c:v>4.5930900000000001</c:v>
                </c:pt>
                <c:pt idx="55">
                  <c:v>4.5816499999999998</c:v>
                </c:pt>
                <c:pt idx="56">
                  <c:v>4.5670999999999999</c:v>
                </c:pt>
                <c:pt idx="57">
                  <c:v>4.5536599999999998</c:v>
                </c:pt>
                <c:pt idx="58">
                  <c:v>4.5404900000000001</c:v>
                </c:pt>
                <c:pt idx="59">
                  <c:v>4.5281500000000001</c:v>
                </c:pt>
                <c:pt idx="60">
                  <c:v>4.5150499999999996</c:v>
                </c:pt>
                <c:pt idx="61">
                  <c:v>4.5000099999999996</c:v>
                </c:pt>
                <c:pt idx="62">
                  <c:v>4.4843899999999994</c:v>
                </c:pt>
                <c:pt idx="63">
                  <c:v>4.4662899999999999</c:v>
                </c:pt>
                <c:pt idx="64">
                  <c:v>4.4499699999999995</c:v>
                </c:pt>
                <c:pt idx="65">
                  <c:v>4.4335599999999999</c:v>
                </c:pt>
                <c:pt idx="66">
                  <c:v>4.41873</c:v>
                </c:pt>
                <c:pt idx="67">
                  <c:v>4.4016599999999997</c:v>
                </c:pt>
                <c:pt idx="68">
                  <c:v>4.3817399999999997</c:v>
                </c:pt>
                <c:pt idx="69">
                  <c:v>4.3618199999999998</c:v>
                </c:pt>
                <c:pt idx="70">
                  <c:v>4.3412899999999999</c:v>
                </c:pt>
                <c:pt idx="71">
                  <c:v>4.3144499999999999</c:v>
                </c:pt>
                <c:pt idx="72">
                  <c:v>4.2903000000000002</c:v>
                </c:pt>
                <c:pt idx="73">
                  <c:v>4.2668999999999997</c:v>
                </c:pt>
                <c:pt idx="74">
                  <c:v>4.2382299999999997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14.941974999999999</c:v>
                </c:pt>
                <c:pt idx="1">
                  <c:v>44.825924999999998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3.6741794594594595</c:v>
                </c:pt>
                <c:pt idx="1">
                  <c:v>4.3013951351351363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  <c:pt idx="74">
                  <c:v>30.0672</c:v>
                </c:pt>
                <c:pt idx="75">
                  <c:v>30.530999999999999</c:v>
                </c:pt>
                <c:pt idx="76">
                  <c:v>30.9238</c:v>
                </c:pt>
                <c:pt idx="77">
                  <c:v>31.330100000000002</c:v>
                </c:pt>
                <c:pt idx="78">
                  <c:v>31.732800000000001</c:v>
                </c:pt>
                <c:pt idx="79">
                  <c:v>32.14</c:v>
                </c:pt>
                <c:pt idx="80">
                  <c:v>32.543900000000001</c:v>
                </c:pt>
                <c:pt idx="81">
                  <c:v>32.956600000000002</c:v>
                </c:pt>
                <c:pt idx="82">
                  <c:v>33.358899999999998</c:v>
                </c:pt>
                <c:pt idx="83">
                  <c:v>33.764600000000002</c:v>
                </c:pt>
                <c:pt idx="84">
                  <c:v>34.170200000000001</c:v>
                </c:pt>
                <c:pt idx="85">
                  <c:v>34.575400000000002</c:v>
                </c:pt>
                <c:pt idx="86">
                  <c:v>34.985999999999997</c:v>
                </c:pt>
                <c:pt idx="87">
                  <c:v>35.391599999999997</c:v>
                </c:pt>
                <c:pt idx="88">
                  <c:v>35.7941</c:v>
                </c:pt>
                <c:pt idx="89">
                  <c:v>36.201599999999999</c:v>
                </c:pt>
                <c:pt idx="90">
                  <c:v>36.6081</c:v>
                </c:pt>
                <c:pt idx="91">
                  <c:v>37.019199999999998</c:v>
                </c:pt>
                <c:pt idx="92">
                  <c:v>37.420999999999999</c:v>
                </c:pt>
                <c:pt idx="93">
                  <c:v>37.824800000000003</c:v>
                </c:pt>
                <c:pt idx="94">
                  <c:v>38.2331</c:v>
                </c:pt>
                <c:pt idx="95">
                  <c:v>38.644300000000001</c:v>
                </c:pt>
                <c:pt idx="96">
                  <c:v>39.047800000000002</c:v>
                </c:pt>
                <c:pt idx="97">
                  <c:v>39.4527</c:v>
                </c:pt>
                <c:pt idx="98">
                  <c:v>39.856000000000002</c:v>
                </c:pt>
                <c:pt idx="99">
                  <c:v>40.265900000000002</c:v>
                </c:pt>
                <c:pt idx="100">
                  <c:v>40.6723</c:v>
                </c:pt>
                <c:pt idx="101">
                  <c:v>41.080399999999997</c:v>
                </c:pt>
                <c:pt idx="102">
                  <c:v>41.486800000000002</c:v>
                </c:pt>
                <c:pt idx="103">
                  <c:v>41.889800000000001</c:v>
                </c:pt>
                <c:pt idx="104">
                  <c:v>42.295099999999998</c:v>
                </c:pt>
                <c:pt idx="105">
                  <c:v>42.7044</c:v>
                </c:pt>
                <c:pt idx="106">
                  <c:v>43.110599999999998</c:v>
                </c:pt>
                <c:pt idx="107">
                  <c:v>43.515799999999999</c:v>
                </c:pt>
                <c:pt idx="108">
                  <c:v>43.921100000000003</c:v>
                </c:pt>
                <c:pt idx="109">
                  <c:v>44.3294</c:v>
                </c:pt>
                <c:pt idx="110">
                  <c:v>44.7361</c:v>
                </c:pt>
                <c:pt idx="111">
                  <c:v>45.143900000000002</c:v>
                </c:pt>
                <c:pt idx="112">
                  <c:v>45.554200000000002</c:v>
                </c:pt>
                <c:pt idx="113">
                  <c:v>45.953299999999999</c:v>
                </c:pt>
                <c:pt idx="114">
                  <c:v>46.364100000000001</c:v>
                </c:pt>
                <c:pt idx="115">
                  <c:v>46.769100000000002</c:v>
                </c:pt>
                <c:pt idx="116">
                  <c:v>47.174199999999999</c:v>
                </c:pt>
                <c:pt idx="117">
                  <c:v>47.581000000000003</c:v>
                </c:pt>
                <c:pt idx="118">
                  <c:v>47.985399999999998</c:v>
                </c:pt>
                <c:pt idx="119">
                  <c:v>48.389499999999998</c:v>
                </c:pt>
                <c:pt idx="120">
                  <c:v>48.795499999999997</c:v>
                </c:pt>
                <c:pt idx="121">
                  <c:v>49.206000000000003</c:v>
                </c:pt>
                <c:pt idx="122">
                  <c:v>49.610700000000001</c:v>
                </c:pt>
                <c:pt idx="123">
                  <c:v>50.017899999999997</c:v>
                </c:pt>
                <c:pt idx="124">
                  <c:v>50.419499999999999</c:v>
                </c:pt>
                <c:pt idx="125">
                  <c:v>50.828400000000002</c:v>
                </c:pt>
                <c:pt idx="126">
                  <c:v>51.2361</c:v>
                </c:pt>
                <c:pt idx="127">
                  <c:v>51.6434</c:v>
                </c:pt>
                <c:pt idx="128">
                  <c:v>52.046900000000001</c:v>
                </c:pt>
                <c:pt idx="129">
                  <c:v>52.4514</c:v>
                </c:pt>
                <c:pt idx="130">
                  <c:v>52.859900000000003</c:v>
                </c:pt>
                <c:pt idx="131">
                  <c:v>53.265900000000002</c:v>
                </c:pt>
                <c:pt idx="132">
                  <c:v>53.6736</c:v>
                </c:pt>
                <c:pt idx="133">
                  <c:v>54.078299999999999</c:v>
                </c:pt>
                <c:pt idx="134">
                  <c:v>54.480800000000002</c:v>
                </c:pt>
                <c:pt idx="135">
                  <c:v>54.889099999999999</c:v>
                </c:pt>
                <c:pt idx="136">
                  <c:v>55.294600000000003</c:v>
                </c:pt>
                <c:pt idx="137">
                  <c:v>55.700800000000001</c:v>
                </c:pt>
                <c:pt idx="138">
                  <c:v>56.112400000000001</c:v>
                </c:pt>
                <c:pt idx="139">
                  <c:v>56.515700000000002</c:v>
                </c:pt>
                <c:pt idx="140">
                  <c:v>56.922499999999999</c:v>
                </c:pt>
                <c:pt idx="141">
                  <c:v>57.331400000000002</c:v>
                </c:pt>
                <c:pt idx="142">
                  <c:v>57.736400000000003</c:v>
                </c:pt>
                <c:pt idx="143">
                  <c:v>58.144399999999997</c:v>
                </c:pt>
                <c:pt idx="144">
                  <c:v>58.547699999999999</c:v>
                </c:pt>
                <c:pt idx="145">
                  <c:v>58.954099999999997</c:v>
                </c:pt>
                <c:pt idx="146">
                  <c:v>59.360900000000001</c:v>
                </c:pt>
                <c:pt idx="147">
                  <c:v>59.767899999999997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  <c:pt idx="74">
                  <c:v>39.976199999999999</c:v>
                </c:pt>
                <c:pt idx="75">
                  <c:v>40.195300000000003</c:v>
                </c:pt>
                <c:pt idx="76">
                  <c:v>40.399099999999997</c:v>
                </c:pt>
                <c:pt idx="77">
                  <c:v>40.537700000000001</c:v>
                </c:pt>
                <c:pt idx="78">
                  <c:v>40.6447</c:v>
                </c:pt>
                <c:pt idx="79">
                  <c:v>40.676899999999996</c:v>
                </c:pt>
                <c:pt idx="80">
                  <c:v>40.6813</c:v>
                </c:pt>
                <c:pt idx="81">
                  <c:v>40.658999999999999</c:v>
                </c:pt>
                <c:pt idx="82">
                  <c:v>40.616999999999997</c:v>
                </c:pt>
                <c:pt idx="83">
                  <c:v>40.5259</c:v>
                </c:pt>
                <c:pt idx="84">
                  <c:v>40.381099999999996</c:v>
                </c:pt>
                <c:pt idx="85">
                  <c:v>40.193800000000003</c:v>
                </c:pt>
                <c:pt idx="86">
                  <c:v>40.057700000000004</c:v>
                </c:pt>
                <c:pt idx="87">
                  <c:v>39.881100000000004</c:v>
                </c:pt>
                <c:pt idx="88">
                  <c:v>39.731200000000001</c:v>
                </c:pt>
                <c:pt idx="89">
                  <c:v>39.593600000000002</c:v>
                </c:pt>
                <c:pt idx="90">
                  <c:v>39.444000000000003</c:v>
                </c:pt>
                <c:pt idx="91">
                  <c:v>39.212599999999995</c:v>
                </c:pt>
                <c:pt idx="92">
                  <c:v>38.979799999999997</c:v>
                </c:pt>
                <c:pt idx="93">
                  <c:v>38.743600000000001</c:v>
                </c:pt>
                <c:pt idx="94">
                  <c:v>38.556200000000004</c:v>
                </c:pt>
                <c:pt idx="95">
                  <c:v>38.407499999999999</c:v>
                </c:pt>
                <c:pt idx="96">
                  <c:v>38.328400000000002</c:v>
                </c:pt>
                <c:pt idx="97">
                  <c:v>38.267800000000001</c:v>
                </c:pt>
                <c:pt idx="98">
                  <c:v>38.213799999999999</c:v>
                </c:pt>
                <c:pt idx="99">
                  <c:v>38.106499999999997</c:v>
                </c:pt>
                <c:pt idx="100">
                  <c:v>37.957599999999999</c:v>
                </c:pt>
                <c:pt idx="101">
                  <c:v>37.736699999999999</c:v>
                </c:pt>
                <c:pt idx="102">
                  <c:v>37.519200000000005</c:v>
                </c:pt>
                <c:pt idx="103">
                  <c:v>37.313499999999998</c:v>
                </c:pt>
                <c:pt idx="104">
                  <c:v>37.146799999999999</c:v>
                </c:pt>
                <c:pt idx="105">
                  <c:v>37.1004</c:v>
                </c:pt>
                <c:pt idx="106">
                  <c:v>37.103299999999997</c:v>
                </c:pt>
                <c:pt idx="107">
                  <c:v>37.132300000000001</c:v>
                </c:pt>
                <c:pt idx="108">
                  <c:v>37.173899999999996</c:v>
                </c:pt>
                <c:pt idx="109">
                  <c:v>37.280999999999999</c:v>
                </c:pt>
                <c:pt idx="110">
                  <c:v>37.488700000000001</c:v>
                </c:pt>
                <c:pt idx="111">
                  <c:v>37.694600000000001</c:v>
                </c:pt>
                <c:pt idx="112">
                  <c:v>37.946200000000005</c:v>
                </c:pt>
                <c:pt idx="113">
                  <c:v>38.183099999999996</c:v>
                </c:pt>
                <c:pt idx="114">
                  <c:v>38.4101</c:v>
                </c:pt>
                <c:pt idx="115">
                  <c:v>38.6297</c:v>
                </c:pt>
                <c:pt idx="116">
                  <c:v>38.836300000000001</c:v>
                </c:pt>
                <c:pt idx="117">
                  <c:v>39.038499999999999</c:v>
                </c:pt>
                <c:pt idx="118">
                  <c:v>39.261499999999998</c:v>
                </c:pt>
                <c:pt idx="119">
                  <c:v>39.509599999999999</c:v>
                </c:pt>
                <c:pt idx="120">
                  <c:v>39.758099999999999</c:v>
                </c:pt>
                <c:pt idx="121">
                  <c:v>39.9998</c:v>
                </c:pt>
                <c:pt idx="122">
                  <c:v>40.192799999999998</c:v>
                </c:pt>
                <c:pt idx="123">
                  <c:v>40.363300000000002</c:v>
                </c:pt>
                <c:pt idx="124">
                  <c:v>40.386400000000002</c:v>
                </c:pt>
                <c:pt idx="125">
                  <c:v>40.443600000000004</c:v>
                </c:pt>
                <c:pt idx="126">
                  <c:v>40.571300000000001</c:v>
                </c:pt>
                <c:pt idx="127">
                  <c:v>40.774500000000003</c:v>
                </c:pt>
                <c:pt idx="128">
                  <c:v>41.014200000000002</c:v>
                </c:pt>
                <c:pt idx="129">
                  <c:v>41.280299999999997</c:v>
                </c:pt>
                <c:pt idx="130">
                  <c:v>41.475099999999998</c:v>
                </c:pt>
                <c:pt idx="131">
                  <c:v>41.654000000000003</c:v>
                </c:pt>
                <c:pt idx="132">
                  <c:v>41.897099999999995</c:v>
                </c:pt>
                <c:pt idx="133">
                  <c:v>42.2241</c:v>
                </c:pt>
                <c:pt idx="134">
                  <c:v>42.578299999999999</c:v>
                </c:pt>
                <c:pt idx="135">
                  <c:v>42.916699999999999</c:v>
                </c:pt>
                <c:pt idx="136">
                  <c:v>43.278499999999994</c:v>
                </c:pt>
                <c:pt idx="137">
                  <c:v>43.5899</c:v>
                </c:pt>
                <c:pt idx="138">
                  <c:v>43.953900000000004</c:v>
                </c:pt>
                <c:pt idx="139">
                  <c:v>44.374900000000004</c:v>
                </c:pt>
                <c:pt idx="140">
                  <c:v>44.830500000000001</c:v>
                </c:pt>
                <c:pt idx="141">
                  <c:v>45.3658</c:v>
                </c:pt>
                <c:pt idx="142">
                  <c:v>45.8782</c:v>
                </c:pt>
                <c:pt idx="143">
                  <c:v>46.362500000000004</c:v>
                </c:pt>
                <c:pt idx="144">
                  <c:v>46.889900000000004</c:v>
                </c:pt>
                <c:pt idx="145">
                  <c:v>47.306399999999996</c:v>
                </c:pt>
                <c:pt idx="146">
                  <c:v>47.621299999999998</c:v>
                </c:pt>
                <c:pt idx="147">
                  <c:v>47.955500000000001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0.405783</c:v>
                </c:pt>
                <c:pt idx="2">
                  <c:v>0.81308400000000003</c:v>
                </c:pt>
                <c:pt idx="3">
                  <c:v>1.22045</c:v>
                </c:pt>
                <c:pt idx="4">
                  <c:v>1.6277900000000001</c:v>
                </c:pt>
                <c:pt idx="5">
                  <c:v>2.03077</c:v>
                </c:pt>
                <c:pt idx="6">
                  <c:v>2.4384800000000002</c:v>
                </c:pt>
                <c:pt idx="7">
                  <c:v>2.8420899999999998</c:v>
                </c:pt>
                <c:pt idx="8">
                  <c:v>3.2501000000000002</c:v>
                </c:pt>
                <c:pt idx="9">
                  <c:v>3.6564199999999998</c:v>
                </c:pt>
                <c:pt idx="10">
                  <c:v>4.06501</c:v>
                </c:pt>
                <c:pt idx="11">
                  <c:v>4.4675200000000004</c:v>
                </c:pt>
                <c:pt idx="12">
                  <c:v>4.8743400000000001</c:v>
                </c:pt>
                <c:pt idx="13">
                  <c:v>5.2826599999999999</c:v>
                </c:pt>
                <c:pt idx="14">
                  <c:v>5.6898999999999997</c:v>
                </c:pt>
                <c:pt idx="15">
                  <c:v>6.0939399999999999</c:v>
                </c:pt>
                <c:pt idx="16">
                  <c:v>6.4990500000000004</c:v>
                </c:pt>
                <c:pt idx="17">
                  <c:v>6.90571</c:v>
                </c:pt>
                <c:pt idx="18">
                  <c:v>7.3157699999999997</c:v>
                </c:pt>
                <c:pt idx="19">
                  <c:v>7.7207800000000004</c:v>
                </c:pt>
                <c:pt idx="20">
                  <c:v>8.1251700000000007</c:v>
                </c:pt>
                <c:pt idx="21">
                  <c:v>8.5315499999999993</c:v>
                </c:pt>
                <c:pt idx="22">
                  <c:v>8.9373699999999996</c:v>
                </c:pt>
                <c:pt idx="23">
                  <c:v>9.3450399999999991</c:v>
                </c:pt>
                <c:pt idx="24">
                  <c:v>9.7535299999999996</c:v>
                </c:pt>
                <c:pt idx="25">
                  <c:v>10.156599999999999</c:v>
                </c:pt>
                <c:pt idx="26">
                  <c:v>10.5603</c:v>
                </c:pt>
                <c:pt idx="27">
                  <c:v>10.968500000000001</c:v>
                </c:pt>
                <c:pt idx="28">
                  <c:v>11.3767</c:v>
                </c:pt>
                <c:pt idx="29">
                  <c:v>11.782500000000001</c:v>
                </c:pt>
                <c:pt idx="30">
                  <c:v>12.188599999999999</c:v>
                </c:pt>
                <c:pt idx="31">
                  <c:v>12.590999999999999</c:v>
                </c:pt>
                <c:pt idx="32">
                  <c:v>12.9983</c:v>
                </c:pt>
                <c:pt idx="33">
                  <c:v>13.4033</c:v>
                </c:pt>
                <c:pt idx="34">
                  <c:v>13.8133</c:v>
                </c:pt>
                <c:pt idx="35">
                  <c:v>14.2203</c:v>
                </c:pt>
                <c:pt idx="36">
                  <c:v>14.6275</c:v>
                </c:pt>
                <c:pt idx="37">
                  <c:v>15.0282</c:v>
                </c:pt>
                <c:pt idx="38">
                  <c:v>15.4369</c:v>
                </c:pt>
                <c:pt idx="39">
                  <c:v>15.841100000000001</c:v>
                </c:pt>
                <c:pt idx="40">
                  <c:v>16.252600000000001</c:v>
                </c:pt>
                <c:pt idx="41">
                  <c:v>16.657299999999999</c:v>
                </c:pt>
                <c:pt idx="42">
                  <c:v>17.062899999999999</c:v>
                </c:pt>
                <c:pt idx="43">
                  <c:v>17.466899999999999</c:v>
                </c:pt>
                <c:pt idx="44">
                  <c:v>17.874099999999999</c:v>
                </c:pt>
                <c:pt idx="45">
                  <c:v>18.282599999999999</c:v>
                </c:pt>
                <c:pt idx="46">
                  <c:v>18.687100000000001</c:v>
                </c:pt>
                <c:pt idx="47">
                  <c:v>19.094899999999999</c:v>
                </c:pt>
                <c:pt idx="48">
                  <c:v>19.499300000000002</c:v>
                </c:pt>
                <c:pt idx="49">
                  <c:v>19.908200000000001</c:v>
                </c:pt>
                <c:pt idx="50">
                  <c:v>20.3126</c:v>
                </c:pt>
                <c:pt idx="51">
                  <c:v>20.717700000000001</c:v>
                </c:pt>
                <c:pt idx="52">
                  <c:v>21.123000000000001</c:v>
                </c:pt>
                <c:pt idx="53">
                  <c:v>21.532299999999999</c:v>
                </c:pt>
                <c:pt idx="54">
                  <c:v>21.938500000000001</c:v>
                </c:pt>
                <c:pt idx="55">
                  <c:v>22.3446</c:v>
                </c:pt>
                <c:pt idx="56">
                  <c:v>22.748100000000001</c:v>
                </c:pt>
                <c:pt idx="57">
                  <c:v>23.1662</c:v>
                </c:pt>
                <c:pt idx="58">
                  <c:v>23.565000000000001</c:v>
                </c:pt>
                <c:pt idx="59">
                  <c:v>23.970800000000001</c:v>
                </c:pt>
                <c:pt idx="60">
                  <c:v>24.373999999999999</c:v>
                </c:pt>
                <c:pt idx="61">
                  <c:v>24.78</c:v>
                </c:pt>
                <c:pt idx="62">
                  <c:v>25.1935</c:v>
                </c:pt>
                <c:pt idx="63">
                  <c:v>25.597799999999999</c:v>
                </c:pt>
                <c:pt idx="64">
                  <c:v>25.9986</c:v>
                </c:pt>
                <c:pt idx="65">
                  <c:v>26.404299999999999</c:v>
                </c:pt>
                <c:pt idx="66">
                  <c:v>26.813199999999998</c:v>
                </c:pt>
                <c:pt idx="67">
                  <c:v>27.2209</c:v>
                </c:pt>
                <c:pt idx="68">
                  <c:v>27.627800000000001</c:v>
                </c:pt>
                <c:pt idx="69">
                  <c:v>28.034300000000002</c:v>
                </c:pt>
                <c:pt idx="70">
                  <c:v>28.435300000000002</c:v>
                </c:pt>
                <c:pt idx="71">
                  <c:v>28.841999999999999</c:v>
                </c:pt>
                <c:pt idx="72">
                  <c:v>29.256399999999999</c:v>
                </c:pt>
                <c:pt idx="73">
                  <c:v>29.656199999999998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29.656199999999998</c:v>
                </c:pt>
                <c:pt idx="1">
                  <c:v>30.0672</c:v>
                </c:pt>
                <c:pt idx="2">
                  <c:v>30.530999999999999</c:v>
                </c:pt>
                <c:pt idx="3">
                  <c:v>30.9238</c:v>
                </c:pt>
                <c:pt idx="4">
                  <c:v>31.330100000000002</c:v>
                </c:pt>
                <c:pt idx="5">
                  <c:v>31.732800000000001</c:v>
                </c:pt>
                <c:pt idx="6">
                  <c:v>32.14</c:v>
                </c:pt>
                <c:pt idx="7">
                  <c:v>32.543900000000001</c:v>
                </c:pt>
                <c:pt idx="8">
                  <c:v>32.956600000000002</c:v>
                </c:pt>
                <c:pt idx="9">
                  <c:v>33.358899999999998</c:v>
                </c:pt>
                <c:pt idx="10">
                  <c:v>33.764600000000002</c:v>
                </c:pt>
                <c:pt idx="11">
                  <c:v>34.170200000000001</c:v>
                </c:pt>
                <c:pt idx="12">
                  <c:v>34.575400000000002</c:v>
                </c:pt>
                <c:pt idx="13">
                  <c:v>34.985999999999997</c:v>
                </c:pt>
                <c:pt idx="14">
                  <c:v>35.391599999999997</c:v>
                </c:pt>
                <c:pt idx="15">
                  <c:v>35.7941</c:v>
                </c:pt>
                <c:pt idx="16">
                  <c:v>36.201599999999999</c:v>
                </c:pt>
                <c:pt idx="17">
                  <c:v>36.6081</c:v>
                </c:pt>
                <c:pt idx="18">
                  <c:v>37.019199999999998</c:v>
                </c:pt>
                <c:pt idx="19">
                  <c:v>37.420999999999999</c:v>
                </c:pt>
                <c:pt idx="20">
                  <c:v>37.824800000000003</c:v>
                </c:pt>
                <c:pt idx="21">
                  <c:v>38.2331</c:v>
                </c:pt>
                <c:pt idx="22">
                  <c:v>38.644300000000001</c:v>
                </c:pt>
                <c:pt idx="23">
                  <c:v>39.047800000000002</c:v>
                </c:pt>
                <c:pt idx="24">
                  <c:v>39.4527</c:v>
                </c:pt>
                <c:pt idx="25">
                  <c:v>39.856000000000002</c:v>
                </c:pt>
                <c:pt idx="26">
                  <c:v>40.265900000000002</c:v>
                </c:pt>
                <c:pt idx="27">
                  <c:v>40.6723</c:v>
                </c:pt>
                <c:pt idx="28">
                  <c:v>41.080399999999997</c:v>
                </c:pt>
                <c:pt idx="29">
                  <c:v>41.486800000000002</c:v>
                </c:pt>
                <c:pt idx="30">
                  <c:v>41.889800000000001</c:v>
                </c:pt>
                <c:pt idx="31">
                  <c:v>42.295099999999998</c:v>
                </c:pt>
                <c:pt idx="32">
                  <c:v>42.7044</c:v>
                </c:pt>
                <c:pt idx="33">
                  <c:v>43.110599999999998</c:v>
                </c:pt>
                <c:pt idx="34">
                  <c:v>43.515799999999999</c:v>
                </c:pt>
                <c:pt idx="35">
                  <c:v>43.921100000000003</c:v>
                </c:pt>
                <c:pt idx="36">
                  <c:v>44.3294</c:v>
                </c:pt>
                <c:pt idx="37">
                  <c:v>44.7361</c:v>
                </c:pt>
                <c:pt idx="38">
                  <c:v>45.143900000000002</c:v>
                </c:pt>
                <c:pt idx="39">
                  <c:v>45.554200000000002</c:v>
                </c:pt>
                <c:pt idx="40">
                  <c:v>45.953299999999999</c:v>
                </c:pt>
                <c:pt idx="41">
                  <c:v>46.364100000000001</c:v>
                </c:pt>
                <c:pt idx="42">
                  <c:v>46.769100000000002</c:v>
                </c:pt>
                <c:pt idx="43">
                  <c:v>47.174199999999999</c:v>
                </c:pt>
                <c:pt idx="44">
                  <c:v>47.581000000000003</c:v>
                </c:pt>
                <c:pt idx="45">
                  <c:v>47.985399999999998</c:v>
                </c:pt>
                <c:pt idx="46">
                  <c:v>48.389499999999998</c:v>
                </c:pt>
                <c:pt idx="47">
                  <c:v>48.795499999999997</c:v>
                </c:pt>
                <c:pt idx="48">
                  <c:v>49.206000000000003</c:v>
                </c:pt>
                <c:pt idx="49">
                  <c:v>49.610700000000001</c:v>
                </c:pt>
                <c:pt idx="50">
                  <c:v>50.017899999999997</c:v>
                </c:pt>
                <c:pt idx="51">
                  <c:v>50.419499999999999</c:v>
                </c:pt>
                <c:pt idx="52">
                  <c:v>50.828400000000002</c:v>
                </c:pt>
                <c:pt idx="53">
                  <c:v>51.2361</c:v>
                </c:pt>
                <c:pt idx="54">
                  <c:v>51.6434</c:v>
                </c:pt>
                <c:pt idx="55">
                  <c:v>52.046900000000001</c:v>
                </c:pt>
                <c:pt idx="56">
                  <c:v>52.4514</c:v>
                </c:pt>
                <c:pt idx="57">
                  <c:v>52.859900000000003</c:v>
                </c:pt>
                <c:pt idx="58">
                  <c:v>53.265900000000002</c:v>
                </c:pt>
                <c:pt idx="59">
                  <c:v>53.6736</c:v>
                </c:pt>
                <c:pt idx="60">
                  <c:v>54.078299999999999</c:v>
                </c:pt>
                <c:pt idx="61">
                  <c:v>54.480800000000002</c:v>
                </c:pt>
                <c:pt idx="62">
                  <c:v>54.889099999999999</c:v>
                </c:pt>
                <c:pt idx="63">
                  <c:v>55.294600000000003</c:v>
                </c:pt>
                <c:pt idx="64">
                  <c:v>55.700800000000001</c:v>
                </c:pt>
                <c:pt idx="65">
                  <c:v>56.112400000000001</c:v>
                </c:pt>
                <c:pt idx="66">
                  <c:v>56.515700000000002</c:v>
                </c:pt>
                <c:pt idx="67">
                  <c:v>56.922499999999999</c:v>
                </c:pt>
                <c:pt idx="68">
                  <c:v>57.331400000000002</c:v>
                </c:pt>
                <c:pt idx="69">
                  <c:v>57.736400000000003</c:v>
                </c:pt>
                <c:pt idx="70">
                  <c:v>58.144399999999997</c:v>
                </c:pt>
                <c:pt idx="71">
                  <c:v>58.547699999999999</c:v>
                </c:pt>
                <c:pt idx="72">
                  <c:v>58.954099999999997</c:v>
                </c:pt>
                <c:pt idx="73">
                  <c:v>59.360900000000001</c:v>
                </c:pt>
                <c:pt idx="74">
                  <c:v>59.767899999999997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39.688000000000002</c:v>
                </c:pt>
                <c:pt idx="1">
                  <c:v>39.976199999999999</c:v>
                </c:pt>
                <c:pt idx="2">
                  <c:v>40.195300000000003</c:v>
                </c:pt>
                <c:pt idx="3">
                  <c:v>40.399099999999997</c:v>
                </c:pt>
                <c:pt idx="4">
                  <c:v>40.537700000000001</c:v>
                </c:pt>
                <c:pt idx="5">
                  <c:v>40.6447</c:v>
                </c:pt>
                <c:pt idx="6">
                  <c:v>40.676899999999996</c:v>
                </c:pt>
                <c:pt idx="7">
                  <c:v>40.6813</c:v>
                </c:pt>
                <c:pt idx="8">
                  <c:v>40.658999999999999</c:v>
                </c:pt>
                <c:pt idx="9">
                  <c:v>40.616999999999997</c:v>
                </c:pt>
                <c:pt idx="10">
                  <c:v>40.5259</c:v>
                </c:pt>
                <c:pt idx="11">
                  <c:v>40.381099999999996</c:v>
                </c:pt>
                <c:pt idx="12">
                  <c:v>40.193800000000003</c:v>
                </c:pt>
                <c:pt idx="13">
                  <c:v>40.057700000000004</c:v>
                </c:pt>
                <c:pt idx="14">
                  <c:v>39.881100000000004</c:v>
                </c:pt>
                <c:pt idx="15">
                  <c:v>39.731200000000001</c:v>
                </c:pt>
                <c:pt idx="16">
                  <c:v>39.593600000000002</c:v>
                </c:pt>
                <c:pt idx="17">
                  <c:v>39.444000000000003</c:v>
                </c:pt>
                <c:pt idx="18">
                  <c:v>39.212599999999995</c:v>
                </c:pt>
                <c:pt idx="19">
                  <c:v>38.979799999999997</c:v>
                </c:pt>
                <c:pt idx="20">
                  <c:v>38.743600000000001</c:v>
                </c:pt>
                <c:pt idx="21">
                  <c:v>38.556200000000004</c:v>
                </c:pt>
                <c:pt idx="22">
                  <c:v>38.407499999999999</c:v>
                </c:pt>
                <c:pt idx="23">
                  <c:v>38.328400000000002</c:v>
                </c:pt>
                <c:pt idx="24">
                  <c:v>38.267800000000001</c:v>
                </c:pt>
                <c:pt idx="25">
                  <c:v>38.213799999999999</c:v>
                </c:pt>
                <c:pt idx="26">
                  <c:v>38.106499999999997</c:v>
                </c:pt>
                <c:pt idx="27">
                  <c:v>37.957599999999999</c:v>
                </c:pt>
                <c:pt idx="28">
                  <c:v>37.736699999999999</c:v>
                </c:pt>
                <c:pt idx="29">
                  <c:v>37.519200000000005</c:v>
                </c:pt>
                <c:pt idx="30">
                  <c:v>37.313499999999998</c:v>
                </c:pt>
                <c:pt idx="31">
                  <c:v>37.146799999999999</c:v>
                </c:pt>
                <c:pt idx="32">
                  <c:v>37.1004</c:v>
                </c:pt>
                <c:pt idx="33">
                  <c:v>37.103299999999997</c:v>
                </c:pt>
                <c:pt idx="34">
                  <c:v>37.132300000000001</c:v>
                </c:pt>
                <c:pt idx="35">
                  <c:v>37.173899999999996</c:v>
                </c:pt>
                <c:pt idx="36">
                  <c:v>37.280999999999999</c:v>
                </c:pt>
                <c:pt idx="37">
                  <c:v>37.488700000000001</c:v>
                </c:pt>
                <c:pt idx="38">
                  <c:v>37.694600000000001</c:v>
                </c:pt>
                <c:pt idx="39">
                  <c:v>37.946200000000005</c:v>
                </c:pt>
                <c:pt idx="40">
                  <c:v>38.183099999999996</c:v>
                </c:pt>
                <c:pt idx="41">
                  <c:v>38.4101</c:v>
                </c:pt>
                <c:pt idx="42">
                  <c:v>38.6297</c:v>
                </c:pt>
                <c:pt idx="43">
                  <c:v>38.836300000000001</c:v>
                </c:pt>
                <c:pt idx="44">
                  <c:v>39.038499999999999</c:v>
                </c:pt>
                <c:pt idx="45">
                  <c:v>39.261499999999998</c:v>
                </c:pt>
                <c:pt idx="46">
                  <c:v>39.509599999999999</c:v>
                </c:pt>
                <c:pt idx="47">
                  <c:v>39.758099999999999</c:v>
                </c:pt>
                <c:pt idx="48">
                  <c:v>39.9998</c:v>
                </c:pt>
                <c:pt idx="49">
                  <c:v>40.192799999999998</c:v>
                </c:pt>
                <c:pt idx="50">
                  <c:v>40.363300000000002</c:v>
                </c:pt>
                <c:pt idx="51">
                  <c:v>40.386400000000002</c:v>
                </c:pt>
                <c:pt idx="52">
                  <c:v>40.443600000000004</c:v>
                </c:pt>
                <c:pt idx="53">
                  <c:v>40.571300000000001</c:v>
                </c:pt>
                <c:pt idx="54">
                  <c:v>40.774500000000003</c:v>
                </c:pt>
                <c:pt idx="55">
                  <c:v>41.014200000000002</c:v>
                </c:pt>
                <c:pt idx="56">
                  <c:v>41.280299999999997</c:v>
                </c:pt>
                <c:pt idx="57">
                  <c:v>41.475099999999998</c:v>
                </c:pt>
                <c:pt idx="58">
                  <c:v>41.654000000000003</c:v>
                </c:pt>
                <c:pt idx="59">
                  <c:v>41.897099999999995</c:v>
                </c:pt>
                <c:pt idx="60">
                  <c:v>42.2241</c:v>
                </c:pt>
                <c:pt idx="61">
                  <c:v>42.578299999999999</c:v>
                </c:pt>
                <c:pt idx="62">
                  <c:v>42.916699999999999</c:v>
                </c:pt>
                <c:pt idx="63">
                  <c:v>43.278499999999994</c:v>
                </c:pt>
                <c:pt idx="64">
                  <c:v>43.5899</c:v>
                </c:pt>
                <c:pt idx="65">
                  <c:v>43.953900000000004</c:v>
                </c:pt>
                <c:pt idx="66">
                  <c:v>44.374900000000004</c:v>
                </c:pt>
                <c:pt idx="67">
                  <c:v>44.830500000000001</c:v>
                </c:pt>
                <c:pt idx="68">
                  <c:v>45.3658</c:v>
                </c:pt>
                <c:pt idx="69">
                  <c:v>45.8782</c:v>
                </c:pt>
                <c:pt idx="70">
                  <c:v>46.362500000000004</c:v>
                </c:pt>
                <c:pt idx="71">
                  <c:v>46.889900000000004</c:v>
                </c:pt>
                <c:pt idx="72">
                  <c:v>47.306399999999996</c:v>
                </c:pt>
                <c:pt idx="73">
                  <c:v>47.621299999999998</c:v>
                </c:pt>
                <c:pt idx="74">
                  <c:v>47.955500000000001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14.941974999999999</c:v>
                </c:pt>
                <c:pt idx="1">
                  <c:v>44.825924999999998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41.007552702702711</c:v>
                </c:pt>
                <c:pt idx="1">
                  <c:v>40.46502297297296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  <c:pt idx="74">
                  <c:v>3.8741700000000003</c:v>
                </c:pt>
                <c:pt idx="75">
                  <c:v>3.8740899999999998</c:v>
                </c:pt>
                <c:pt idx="76">
                  <c:v>3.8735999999999997</c:v>
                </c:pt>
                <c:pt idx="77">
                  <c:v>3.8741199999999996</c:v>
                </c:pt>
                <c:pt idx="78">
                  <c:v>3.8758999999999997</c:v>
                </c:pt>
                <c:pt idx="79">
                  <c:v>3.8807199999999997</c:v>
                </c:pt>
                <c:pt idx="80">
                  <c:v>3.8885100000000001</c:v>
                </c:pt>
                <c:pt idx="81">
                  <c:v>3.8969999999999998</c:v>
                </c:pt>
                <c:pt idx="82">
                  <c:v>3.9031100000000003</c:v>
                </c:pt>
                <c:pt idx="83">
                  <c:v>3.90991</c:v>
                </c:pt>
                <c:pt idx="84">
                  <c:v>3.9163700000000001</c:v>
                </c:pt>
                <c:pt idx="85">
                  <c:v>3.9228700000000001</c:v>
                </c:pt>
                <c:pt idx="86">
                  <c:v>3.9306900000000002</c:v>
                </c:pt>
                <c:pt idx="87">
                  <c:v>3.94171</c:v>
                </c:pt>
                <c:pt idx="88">
                  <c:v>3.9521000000000002</c:v>
                </c:pt>
                <c:pt idx="89">
                  <c:v>3.9625500000000002</c:v>
                </c:pt>
                <c:pt idx="90">
                  <c:v>3.9752399999999999</c:v>
                </c:pt>
                <c:pt idx="91">
                  <c:v>3.9924200000000001</c:v>
                </c:pt>
                <c:pt idx="92">
                  <c:v>4.01295</c:v>
                </c:pt>
                <c:pt idx="93">
                  <c:v>4.03512</c:v>
                </c:pt>
                <c:pt idx="94">
                  <c:v>4.0575400000000004</c:v>
                </c:pt>
                <c:pt idx="95">
                  <c:v>4.0809899999999999</c:v>
                </c:pt>
                <c:pt idx="96">
                  <c:v>4.1023700000000005</c:v>
                </c:pt>
                <c:pt idx="97">
                  <c:v>4.1269</c:v>
                </c:pt>
                <c:pt idx="98">
                  <c:v>4.1539099999999998</c:v>
                </c:pt>
                <c:pt idx="99">
                  <c:v>4.1844900000000003</c:v>
                </c:pt>
                <c:pt idx="100">
                  <c:v>4.2158299999999995</c:v>
                </c:pt>
                <c:pt idx="101">
                  <c:v>4.2509600000000001</c:v>
                </c:pt>
                <c:pt idx="102">
                  <c:v>4.2864300000000002</c:v>
                </c:pt>
                <c:pt idx="103">
                  <c:v>4.3218100000000002</c:v>
                </c:pt>
                <c:pt idx="104">
                  <c:v>4.3564499999999997</c:v>
                </c:pt>
                <c:pt idx="105">
                  <c:v>4.3875299999999999</c:v>
                </c:pt>
                <c:pt idx="106">
                  <c:v>4.4164300000000001</c:v>
                </c:pt>
                <c:pt idx="107">
                  <c:v>4.4440800000000005</c:v>
                </c:pt>
                <c:pt idx="108">
                  <c:v>4.4705699999999995</c:v>
                </c:pt>
                <c:pt idx="109">
                  <c:v>4.4963899999999999</c:v>
                </c:pt>
                <c:pt idx="110">
                  <c:v>4.5210499999999998</c:v>
                </c:pt>
                <c:pt idx="111">
                  <c:v>4.5453900000000003</c:v>
                </c:pt>
                <c:pt idx="112">
                  <c:v>4.56595</c:v>
                </c:pt>
                <c:pt idx="113">
                  <c:v>4.58453</c:v>
                </c:pt>
                <c:pt idx="114">
                  <c:v>4.59985</c:v>
                </c:pt>
                <c:pt idx="115">
                  <c:v>4.6119599999999998</c:v>
                </c:pt>
                <c:pt idx="116">
                  <c:v>4.6200999999999999</c:v>
                </c:pt>
                <c:pt idx="117">
                  <c:v>4.6243800000000004</c:v>
                </c:pt>
                <c:pt idx="118">
                  <c:v>4.6261299999999999</c:v>
                </c:pt>
                <c:pt idx="119">
                  <c:v>4.6275500000000003</c:v>
                </c:pt>
                <c:pt idx="120">
                  <c:v>4.6265999999999998</c:v>
                </c:pt>
                <c:pt idx="121">
                  <c:v>4.6252599999999999</c:v>
                </c:pt>
                <c:pt idx="122">
                  <c:v>4.6196299999999999</c:v>
                </c:pt>
                <c:pt idx="123">
                  <c:v>4.6096500000000002</c:v>
                </c:pt>
                <c:pt idx="124">
                  <c:v>4.6104899999999995</c:v>
                </c:pt>
                <c:pt idx="125">
                  <c:v>4.6084100000000001</c:v>
                </c:pt>
                <c:pt idx="126">
                  <c:v>4.6019500000000004</c:v>
                </c:pt>
                <c:pt idx="127">
                  <c:v>4.5930900000000001</c:v>
                </c:pt>
                <c:pt idx="128">
                  <c:v>4.5816499999999998</c:v>
                </c:pt>
                <c:pt idx="129">
                  <c:v>4.5670999999999999</c:v>
                </c:pt>
                <c:pt idx="130">
                  <c:v>4.5536599999999998</c:v>
                </c:pt>
                <c:pt idx="131">
                  <c:v>4.5404900000000001</c:v>
                </c:pt>
                <c:pt idx="132">
                  <c:v>4.5281500000000001</c:v>
                </c:pt>
                <c:pt idx="133">
                  <c:v>4.5150499999999996</c:v>
                </c:pt>
                <c:pt idx="134">
                  <c:v>4.5000099999999996</c:v>
                </c:pt>
                <c:pt idx="135">
                  <c:v>4.4843899999999994</c:v>
                </c:pt>
                <c:pt idx="136">
                  <c:v>4.4662899999999999</c:v>
                </c:pt>
                <c:pt idx="137">
                  <c:v>4.4499699999999995</c:v>
                </c:pt>
                <c:pt idx="138">
                  <c:v>4.4335599999999999</c:v>
                </c:pt>
                <c:pt idx="139">
                  <c:v>4.41873</c:v>
                </c:pt>
                <c:pt idx="140">
                  <c:v>4.4016599999999997</c:v>
                </c:pt>
                <c:pt idx="141">
                  <c:v>4.3817399999999997</c:v>
                </c:pt>
                <c:pt idx="142">
                  <c:v>4.3618199999999998</c:v>
                </c:pt>
                <c:pt idx="143">
                  <c:v>4.3412899999999999</c:v>
                </c:pt>
                <c:pt idx="144">
                  <c:v>4.3144499999999999</c:v>
                </c:pt>
                <c:pt idx="145">
                  <c:v>4.2903000000000002</c:v>
                </c:pt>
                <c:pt idx="146">
                  <c:v>4.2668999999999997</c:v>
                </c:pt>
                <c:pt idx="147">
                  <c:v>4.2382299999999997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  <c:pt idx="74">
                  <c:v>39.976199999999999</c:v>
                </c:pt>
                <c:pt idx="75">
                  <c:v>40.195300000000003</c:v>
                </c:pt>
                <c:pt idx="76">
                  <c:v>40.399099999999997</c:v>
                </c:pt>
                <c:pt idx="77">
                  <c:v>40.537700000000001</c:v>
                </c:pt>
                <c:pt idx="78">
                  <c:v>40.6447</c:v>
                </c:pt>
                <c:pt idx="79">
                  <c:v>40.676899999999996</c:v>
                </c:pt>
                <c:pt idx="80">
                  <c:v>40.6813</c:v>
                </c:pt>
                <c:pt idx="81">
                  <c:v>40.658999999999999</c:v>
                </c:pt>
                <c:pt idx="82">
                  <c:v>40.616999999999997</c:v>
                </c:pt>
                <c:pt idx="83">
                  <c:v>40.5259</c:v>
                </c:pt>
                <c:pt idx="84">
                  <c:v>40.381099999999996</c:v>
                </c:pt>
                <c:pt idx="85">
                  <c:v>40.193800000000003</c:v>
                </c:pt>
                <c:pt idx="86">
                  <c:v>40.057700000000004</c:v>
                </c:pt>
                <c:pt idx="87">
                  <c:v>39.881100000000004</c:v>
                </c:pt>
                <c:pt idx="88">
                  <c:v>39.731200000000001</c:v>
                </c:pt>
                <c:pt idx="89">
                  <c:v>39.593600000000002</c:v>
                </c:pt>
                <c:pt idx="90">
                  <c:v>39.444000000000003</c:v>
                </c:pt>
                <c:pt idx="91">
                  <c:v>39.212599999999995</c:v>
                </c:pt>
                <c:pt idx="92">
                  <c:v>38.979799999999997</c:v>
                </c:pt>
                <c:pt idx="93">
                  <c:v>38.743600000000001</c:v>
                </c:pt>
                <c:pt idx="94">
                  <c:v>38.556200000000004</c:v>
                </c:pt>
                <c:pt idx="95">
                  <c:v>38.407499999999999</c:v>
                </c:pt>
                <c:pt idx="96">
                  <c:v>38.328400000000002</c:v>
                </c:pt>
                <c:pt idx="97">
                  <c:v>38.267800000000001</c:v>
                </c:pt>
                <c:pt idx="98">
                  <c:v>38.213799999999999</c:v>
                </c:pt>
                <c:pt idx="99">
                  <c:v>38.106499999999997</c:v>
                </c:pt>
                <c:pt idx="100">
                  <c:v>37.957599999999999</c:v>
                </c:pt>
                <c:pt idx="101">
                  <c:v>37.736699999999999</c:v>
                </c:pt>
                <c:pt idx="102">
                  <c:v>37.519200000000005</c:v>
                </c:pt>
                <c:pt idx="103">
                  <c:v>37.313499999999998</c:v>
                </c:pt>
                <c:pt idx="104">
                  <c:v>37.146799999999999</c:v>
                </c:pt>
                <c:pt idx="105">
                  <c:v>37.1004</c:v>
                </c:pt>
                <c:pt idx="106">
                  <c:v>37.103299999999997</c:v>
                </c:pt>
                <c:pt idx="107">
                  <c:v>37.132300000000001</c:v>
                </c:pt>
                <c:pt idx="108">
                  <c:v>37.173899999999996</c:v>
                </c:pt>
                <c:pt idx="109">
                  <c:v>37.280999999999999</c:v>
                </c:pt>
                <c:pt idx="110">
                  <c:v>37.488700000000001</c:v>
                </c:pt>
                <c:pt idx="111">
                  <c:v>37.694600000000001</c:v>
                </c:pt>
                <c:pt idx="112">
                  <c:v>37.946200000000005</c:v>
                </c:pt>
                <c:pt idx="113">
                  <c:v>38.183099999999996</c:v>
                </c:pt>
                <c:pt idx="114">
                  <c:v>38.4101</c:v>
                </c:pt>
                <c:pt idx="115">
                  <c:v>38.6297</c:v>
                </c:pt>
                <c:pt idx="116">
                  <c:v>38.836300000000001</c:v>
                </c:pt>
                <c:pt idx="117">
                  <c:v>39.038499999999999</c:v>
                </c:pt>
                <c:pt idx="118">
                  <c:v>39.261499999999998</c:v>
                </c:pt>
                <c:pt idx="119">
                  <c:v>39.509599999999999</c:v>
                </c:pt>
                <c:pt idx="120">
                  <c:v>39.758099999999999</c:v>
                </c:pt>
                <c:pt idx="121">
                  <c:v>39.9998</c:v>
                </c:pt>
                <c:pt idx="122">
                  <c:v>40.192799999999998</c:v>
                </c:pt>
                <c:pt idx="123">
                  <c:v>40.363300000000002</c:v>
                </c:pt>
                <c:pt idx="124">
                  <c:v>40.386400000000002</c:v>
                </c:pt>
                <c:pt idx="125">
                  <c:v>40.443600000000004</c:v>
                </c:pt>
                <c:pt idx="126">
                  <c:v>40.571300000000001</c:v>
                </c:pt>
                <c:pt idx="127">
                  <c:v>40.774500000000003</c:v>
                </c:pt>
                <c:pt idx="128">
                  <c:v>41.014200000000002</c:v>
                </c:pt>
                <c:pt idx="129">
                  <c:v>41.280299999999997</c:v>
                </c:pt>
                <c:pt idx="130">
                  <c:v>41.475099999999998</c:v>
                </c:pt>
                <c:pt idx="131">
                  <c:v>41.654000000000003</c:v>
                </c:pt>
                <c:pt idx="132">
                  <c:v>41.897099999999995</c:v>
                </c:pt>
                <c:pt idx="133">
                  <c:v>42.2241</c:v>
                </c:pt>
                <c:pt idx="134">
                  <c:v>42.578299999999999</c:v>
                </c:pt>
                <c:pt idx="135">
                  <c:v>42.916699999999999</c:v>
                </c:pt>
                <c:pt idx="136">
                  <c:v>43.278499999999994</c:v>
                </c:pt>
                <c:pt idx="137">
                  <c:v>43.5899</c:v>
                </c:pt>
                <c:pt idx="138">
                  <c:v>43.953900000000004</c:v>
                </c:pt>
                <c:pt idx="139">
                  <c:v>44.374900000000004</c:v>
                </c:pt>
                <c:pt idx="140">
                  <c:v>44.830500000000001</c:v>
                </c:pt>
                <c:pt idx="141">
                  <c:v>45.3658</c:v>
                </c:pt>
                <c:pt idx="142">
                  <c:v>45.8782</c:v>
                </c:pt>
                <c:pt idx="143">
                  <c:v>46.362500000000004</c:v>
                </c:pt>
                <c:pt idx="144">
                  <c:v>46.889900000000004</c:v>
                </c:pt>
                <c:pt idx="145">
                  <c:v>47.306399999999996</c:v>
                </c:pt>
                <c:pt idx="146">
                  <c:v>47.621299999999998</c:v>
                </c:pt>
                <c:pt idx="147">
                  <c:v>47.955500000000001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2.4830899999999998</c:v>
                </c:pt>
                <c:pt idx="1">
                  <c:v>2.5605699999999998</c:v>
                </c:pt>
                <c:pt idx="2">
                  <c:v>2.6390799999999999</c:v>
                </c:pt>
                <c:pt idx="3">
                  <c:v>2.7215299999999996</c:v>
                </c:pt>
                <c:pt idx="4">
                  <c:v>2.8072499999999998</c:v>
                </c:pt>
                <c:pt idx="5">
                  <c:v>2.8950300000000002</c:v>
                </c:pt>
                <c:pt idx="6">
                  <c:v>2.9826100000000002</c:v>
                </c:pt>
                <c:pt idx="7">
                  <c:v>3.0681099999999999</c:v>
                </c:pt>
                <c:pt idx="8">
                  <c:v>3.1497700000000002</c:v>
                </c:pt>
                <c:pt idx="9">
                  <c:v>3.2276700000000003</c:v>
                </c:pt>
                <c:pt idx="10">
                  <c:v>3.2989800000000002</c:v>
                </c:pt>
                <c:pt idx="11">
                  <c:v>3.3649899999999997</c:v>
                </c:pt>
                <c:pt idx="12">
                  <c:v>3.42361</c:v>
                </c:pt>
                <c:pt idx="13">
                  <c:v>3.4765600000000001</c:v>
                </c:pt>
                <c:pt idx="14">
                  <c:v>3.5255399999999999</c:v>
                </c:pt>
                <c:pt idx="15">
                  <c:v>3.5706199999999999</c:v>
                </c:pt>
                <c:pt idx="16">
                  <c:v>3.6126999999999998</c:v>
                </c:pt>
                <c:pt idx="17">
                  <c:v>3.65137</c:v>
                </c:pt>
                <c:pt idx="18">
                  <c:v>3.6857600000000001</c:v>
                </c:pt>
                <c:pt idx="19">
                  <c:v>3.7166300000000003</c:v>
                </c:pt>
                <c:pt idx="20">
                  <c:v>3.74641</c:v>
                </c:pt>
                <c:pt idx="21">
                  <c:v>3.7738</c:v>
                </c:pt>
                <c:pt idx="22">
                  <c:v>3.7982800000000001</c:v>
                </c:pt>
                <c:pt idx="23">
                  <c:v>3.8176199999999998</c:v>
                </c:pt>
                <c:pt idx="24">
                  <c:v>3.8363199999999997</c:v>
                </c:pt>
                <c:pt idx="25">
                  <c:v>3.8527499999999999</c:v>
                </c:pt>
                <c:pt idx="26">
                  <c:v>3.8680099999999999</c:v>
                </c:pt>
                <c:pt idx="27">
                  <c:v>3.8803000000000001</c:v>
                </c:pt>
                <c:pt idx="28">
                  <c:v>3.88801</c:v>
                </c:pt>
                <c:pt idx="29">
                  <c:v>3.8907500000000002</c:v>
                </c:pt>
                <c:pt idx="30">
                  <c:v>3.8904899999999998</c:v>
                </c:pt>
                <c:pt idx="31">
                  <c:v>3.8879399999999995</c:v>
                </c:pt>
                <c:pt idx="32">
                  <c:v>3.8842300000000001</c:v>
                </c:pt>
                <c:pt idx="33">
                  <c:v>3.88042</c:v>
                </c:pt>
                <c:pt idx="34">
                  <c:v>3.8749699999999998</c:v>
                </c:pt>
                <c:pt idx="35">
                  <c:v>3.8694699999999997</c:v>
                </c:pt>
                <c:pt idx="36">
                  <c:v>3.8641399999999999</c:v>
                </c:pt>
                <c:pt idx="37">
                  <c:v>3.8605200000000002</c:v>
                </c:pt>
                <c:pt idx="38">
                  <c:v>3.8577499999999998</c:v>
                </c:pt>
                <c:pt idx="39">
                  <c:v>3.8568999999999996</c:v>
                </c:pt>
                <c:pt idx="40">
                  <c:v>3.8551899999999999</c:v>
                </c:pt>
                <c:pt idx="41">
                  <c:v>3.85161</c:v>
                </c:pt>
                <c:pt idx="42">
                  <c:v>3.8492500000000001</c:v>
                </c:pt>
                <c:pt idx="43">
                  <c:v>3.84856</c:v>
                </c:pt>
                <c:pt idx="44">
                  <c:v>3.8468999999999998</c:v>
                </c:pt>
                <c:pt idx="45">
                  <c:v>3.8427099999999998</c:v>
                </c:pt>
                <c:pt idx="46">
                  <c:v>3.83779</c:v>
                </c:pt>
                <c:pt idx="47">
                  <c:v>3.8353999999999999</c:v>
                </c:pt>
                <c:pt idx="48">
                  <c:v>3.8366899999999999</c:v>
                </c:pt>
                <c:pt idx="49">
                  <c:v>3.8391999999999999</c:v>
                </c:pt>
                <c:pt idx="50">
                  <c:v>3.8404100000000003</c:v>
                </c:pt>
                <c:pt idx="51">
                  <c:v>3.84307</c:v>
                </c:pt>
                <c:pt idx="52">
                  <c:v>3.8451400000000002</c:v>
                </c:pt>
                <c:pt idx="53">
                  <c:v>3.8482699999999999</c:v>
                </c:pt>
                <c:pt idx="54">
                  <c:v>3.8494000000000002</c:v>
                </c:pt>
                <c:pt idx="55">
                  <c:v>3.8487</c:v>
                </c:pt>
                <c:pt idx="56">
                  <c:v>3.8469100000000003</c:v>
                </c:pt>
                <c:pt idx="57">
                  <c:v>3.8454199999999998</c:v>
                </c:pt>
                <c:pt idx="58">
                  <c:v>3.8437900000000003</c:v>
                </c:pt>
                <c:pt idx="59">
                  <c:v>3.8442100000000003</c:v>
                </c:pt>
                <c:pt idx="60">
                  <c:v>3.8446500000000001</c:v>
                </c:pt>
                <c:pt idx="61">
                  <c:v>3.8460899999999998</c:v>
                </c:pt>
                <c:pt idx="62">
                  <c:v>3.84633</c:v>
                </c:pt>
                <c:pt idx="63">
                  <c:v>3.8479400000000004</c:v>
                </c:pt>
                <c:pt idx="64">
                  <c:v>3.84802</c:v>
                </c:pt>
                <c:pt idx="65">
                  <c:v>3.85432</c:v>
                </c:pt>
                <c:pt idx="66">
                  <c:v>3.8585799999999999</c:v>
                </c:pt>
                <c:pt idx="67">
                  <c:v>3.8640000000000003</c:v>
                </c:pt>
                <c:pt idx="68">
                  <c:v>3.8666099999999997</c:v>
                </c:pt>
                <c:pt idx="69">
                  <c:v>3.8694800000000003</c:v>
                </c:pt>
                <c:pt idx="70">
                  <c:v>3.87317</c:v>
                </c:pt>
                <c:pt idx="71">
                  <c:v>3.8765000000000001</c:v>
                </c:pt>
                <c:pt idx="72">
                  <c:v>3.8769900000000002</c:v>
                </c:pt>
                <c:pt idx="73">
                  <c:v>3.8774299999999999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50.712699999999998</c:v>
                </c:pt>
                <c:pt idx="1">
                  <c:v>49.651499999999999</c:v>
                </c:pt>
                <c:pt idx="2">
                  <c:v>48.635899999999999</c:v>
                </c:pt>
                <c:pt idx="3">
                  <c:v>47.4908</c:v>
                </c:pt>
                <c:pt idx="4">
                  <c:v>46.2624</c:v>
                </c:pt>
                <c:pt idx="5">
                  <c:v>45.0458</c:v>
                </c:pt>
                <c:pt idx="6">
                  <c:v>43.964599999999997</c:v>
                </c:pt>
                <c:pt idx="7">
                  <c:v>43.056899999999999</c:v>
                </c:pt>
                <c:pt idx="8">
                  <c:v>42.3992</c:v>
                </c:pt>
                <c:pt idx="9">
                  <c:v>41.947899999999997</c:v>
                </c:pt>
                <c:pt idx="10">
                  <c:v>41.708500000000001</c:v>
                </c:pt>
                <c:pt idx="11">
                  <c:v>41.624400000000001</c:v>
                </c:pt>
                <c:pt idx="12">
                  <c:v>41.735699999999994</c:v>
                </c:pt>
                <c:pt idx="13">
                  <c:v>41.947899999999997</c:v>
                </c:pt>
                <c:pt idx="14">
                  <c:v>42.217399999999998</c:v>
                </c:pt>
                <c:pt idx="15">
                  <c:v>42.526299999999999</c:v>
                </c:pt>
                <c:pt idx="16">
                  <c:v>42.764899999999997</c:v>
                </c:pt>
                <c:pt idx="17">
                  <c:v>42.997600000000006</c:v>
                </c:pt>
                <c:pt idx="18">
                  <c:v>43.246899999999997</c:v>
                </c:pt>
                <c:pt idx="19">
                  <c:v>43.518900000000002</c:v>
                </c:pt>
                <c:pt idx="20">
                  <c:v>43.729300000000002</c:v>
                </c:pt>
                <c:pt idx="21">
                  <c:v>43.868400000000001</c:v>
                </c:pt>
                <c:pt idx="22">
                  <c:v>43.970199999999998</c:v>
                </c:pt>
                <c:pt idx="23">
                  <c:v>44.045299999999997</c:v>
                </c:pt>
                <c:pt idx="24">
                  <c:v>44.097799999999999</c:v>
                </c:pt>
                <c:pt idx="25">
                  <c:v>44.119500000000002</c:v>
                </c:pt>
                <c:pt idx="26">
                  <c:v>44.1051</c:v>
                </c:pt>
                <c:pt idx="27">
                  <c:v>44.036700000000003</c:v>
                </c:pt>
                <c:pt idx="28">
                  <c:v>43.9099</c:v>
                </c:pt>
                <c:pt idx="29">
                  <c:v>43.765000000000001</c:v>
                </c:pt>
                <c:pt idx="30">
                  <c:v>43.606699999999996</c:v>
                </c:pt>
                <c:pt idx="31">
                  <c:v>43.453000000000003</c:v>
                </c:pt>
                <c:pt idx="32">
                  <c:v>43.307000000000002</c:v>
                </c:pt>
                <c:pt idx="33">
                  <c:v>43.156800000000004</c:v>
                </c:pt>
                <c:pt idx="34">
                  <c:v>42.991600000000005</c:v>
                </c:pt>
                <c:pt idx="35">
                  <c:v>42.8202</c:v>
                </c:pt>
                <c:pt idx="36">
                  <c:v>42.597200000000001</c:v>
                </c:pt>
                <c:pt idx="37">
                  <c:v>42.282799999999995</c:v>
                </c:pt>
                <c:pt idx="38">
                  <c:v>41.931400000000004</c:v>
                </c:pt>
                <c:pt idx="39">
                  <c:v>41.528799999999997</c:v>
                </c:pt>
                <c:pt idx="40">
                  <c:v>41.099200000000003</c:v>
                </c:pt>
                <c:pt idx="41">
                  <c:v>40.72</c:v>
                </c:pt>
                <c:pt idx="42">
                  <c:v>40.293300000000002</c:v>
                </c:pt>
                <c:pt idx="43">
                  <c:v>39.865200000000002</c:v>
                </c:pt>
                <c:pt idx="44">
                  <c:v>39.413800000000002</c:v>
                </c:pt>
                <c:pt idx="45">
                  <c:v>38.945</c:v>
                </c:pt>
                <c:pt idx="46">
                  <c:v>38.523499999999999</c:v>
                </c:pt>
                <c:pt idx="47">
                  <c:v>38.132399999999997</c:v>
                </c:pt>
                <c:pt idx="48">
                  <c:v>37.738100000000003</c:v>
                </c:pt>
                <c:pt idx="49">
                  <c:v>37.356999999999999</c:v>
                </c:pt>
                <c:pt idx="50">
                  <c:v>37.015799999999999</c:v>
                </c:pt>
                <c:pt idx="51">
                  <c:v>36.671300000000002</c:v>
                </c:pt>
                <c:pt idx="52">
                  <c:v>36.3733</c:v>
                </c:pt>
                <c:pt idx="53">
                  <c:v>36.175200000000004</c:v>
                </c:pt>
                <c:pt idx="54">
                  <c:v>36.044800000000002</c:v>
                </c:pt>
                <c:pt idx="55">
                  <c:v>35.890599999999999</c:v>
                </c:pt>
                <c:pt idx="56">
                  <c:v>35.848600000000005</c:v>
                </c:pt>
                <c:pt idx="57">
                  <c:v>35.951699999999995</c:v>
                </c:pt>
                <c:pt idx="58">
                  <c:v>36.035499999999999</c:v>
                </c:pt>
                <c:pt idx="59">
                  <c:v>36.164000000000001</c:v>
                </c:pt>
                <c:pt idx="60">
                  <c:v>36.202100000000002</c:v>
                </c:pt>
                <c:pt idx="61">
                  <c:v>36.367199999999997</c:v>
                </c:pt>
                <c:pt idx="62">
                  <c:v>36.679099999999998</c:v>
                </c:pt>
                <c:pt idx="63">
                  <c:v>36.904399999999995</c:v>
                </c:pt>
                <c:pt idx="64">
                  <c:v>37.071300000000001</c:v>
                </c:pt>
                <c:pt idx="65">
                  <c:v>37.349700000000006</c:v>
                </c:pt>
                <c:pt idx="66">
                  <c:v>37.502200000000002</c:v>
                </c:pt>
                <c:pt idx="67">
                  <c:v>37.873600000000003</c:v>
                </c:pt>
                <c:pt idx="68">
                  <c:v>38.161699999999996</c:v>
                </c:pt>
                <c:pt idx="69">
                  <c:v>38.461600000000004</c:v>
                </c:pt>
                <c:pt idx="70">
                  <c:v>38.745000000000005</c:v>
                </c:pt>
                <c:pt idx="71">
                  <c:v>39.075500000000005</c:v>
                </c:pt>
                <c:pt idx="72">
                  <c:v>39.440300000000001</c:v>
                </c:pt>
                <c:pt idx="73">
                  <c:v>39.688000000000002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3.8774299999999999</c:v>
                </c:pt>
                <c:pt idx="1">
                  <c:v>3.8741700000000003</c:v>
                </c:pt>
                <c:pt idx="2">
                  <c:v>3.8740899999999998</c:v>
                </c:pt>
                <c:pt idx="3">
                  <c:v>3.8735999999999997</c:v>
                </c:pt>
                <c:pt idx="4">
                  <c:v>3.8741199999999996</c:v>
                </c:pt>
                <c:pt idx="5">
                  <c:v>3.8758999999999997</c:v>
                </c:pt>
                <c:pt idx="6">
                  <c:v>3.8807199999999997</c:v>
                </c:pt>
                <c:pt idx="7">
                  <c:v>3.8885100000000001</c:v>
                </c:pt>
                <c:pt idx="8">
                  <c:v>3.8969999999999998</c:v>
                </c:pt>
                <c:pt idx="9">
                  <c:v>3.9031100000000003</c:v>
                </c:pt>
                <c:pt idx="10">
                  <c:v>3.90991</c:v>
                </c:pt>
                <c:pt idx="11">
                  <c:v>3.9163700000000001</c:v>
                </c:pt>
                <c:pt idx="12">
                  <c:v>3.9228700000000001</c:v>
                </c:pt>
                <c:pt idx="13">
                  <c:v>3.9306900000000002</c:v>
                </c:pt>
                <c:pt idx="14">
                  <c:v>3.94171</c:v>
                </c:pt>
                <c:pt idx="15">
                  <c:v>3.9521000000000002</c:v>
                </c:pt>
                <c:pt idx="16">
                  <c:v>3.9625500000000002</c:v>
                </c:pt>
                <c:pt idx="17">
                  <c:v>3.9752399999999999</c:v>
                </c:pt>
                <c:pt idx="18">
                  <c:v>3.9924200000000001</c:v>
                </c:pt>
                <c:pt idx="19">
                  <c:v>4.01295</c:v>
                </c:pt>
                <c:pt idx="20">
                  <c:v>4.03512</c:v>
                </c:pt>
                <c:pt idx="21">
                  <c:v>4.0575400000000004</c:v>
                </c:pt>
                <c:pt idx="22">
                  <c:v>4.0809899999999999</c:v>
                </c:pt>
                <c:pt idx="23">
                  <c:v>4.1023700000000005</c:v>
                </c:pt>
                <c:pt idx="24">
                  <c:v>4.1269</c:v>
                </c:pt>
                <c:pt idx="25">
                  <c:v>4.1539099999999998</c:v>
                </c:pt>
                <c:pt idx="26">
                  <c:v>4.1844900000000003</c:v>
                </c:pt>
                <c:pt idx="27">
                  <c:v>4.2158299999999995</c:v>
                </c:pt>
                <c:pt idx="28">
                  <c:v>4.2509600000000001</c:v>
                </c:pt>
                <c:pt idx="29">
                  <c:v>4.2864300000000002</c:v>
                </c:pt>
                <c:pt idx="30">
                  <c:v>4.3218100000000002</c:v>
                </c:pt>
                <c:pt idx="31">
                  <c:v>4.3564499999999997</c:v>
                </c:pt>
                <c:pt idx="32">
                  <c:v>4.3875299999999999</c:v>
                </c:pt>
                <c:pt idx="33">
                  <c:v>4.4164300000000001</c:v>
                </c:pt>
                <c:pt idx="34">
                  <c:v>4.4440800000000005</c:v>
                </c:pt>
                <c:pt idx="35">
                  <c:v>4.4705699999999995</c:v>
                </c:pt>
                <c:pt idx="36">
                  <c:v>4.4963899999999999</c:v>
                </c:pt>
                <c:pt idx="37">
                  <c:v>4.5210499999999998</c:v>
                </c:pt>
                <c:pt idx="38">
                  <c:v>4.5453900000000003</c:v>
                </c:pt>
                <c:pt idx="39">
                  <c:v>4.56595</c:v>
                </c:pt>
                <c:pt idx="40">
                  <c:v>4.58453</c:v>
                </c:pt>
                <c:pt idx="41">
                  <c:v>4.59985</c:v>
                </c:pt>
                <c:pt idx="42">
                  <c:v>4.6119599999999998</c:v>
                </c:pt>
                <c:pt idx="43">
                  <c:v>4.6200999999999999</c:v>
                </c:pt>
                <c:pt idx="44">
                  <c:v>4.6243800000000004</c:v>
                </c:pt>
                <c:pt idx="45">
                  <c:v>4.6261299999999999</c:v>
                </c:pt>
                <c:pt idx="46">
                  <c:v>4.6275500000000003</c:v>
                </c:pt>
                <c:pt idx="47">
                  <c:v>4.6265999999999998</c:v>
                </c:pt>
                <c:pt idx="48">
                  <c:v>4.6252599999999999</c:v>
                </c:pt>
                <c:pt idx="49">
                  <c:v>4.6196299999999999</c:v>
                </c:pt>
                <c:pt idx="50">
                  <c:v>4.6096500000000002</c:v>
                </c:pt>
                <c:pt idx="51">
                  <c:v>4.6104899999999995</c:v>
                </c:pt>
                <c:pt idx="52">
                  <c:v>4.6084100000000001</c:v>
                </c:pt>
                <c:pt idx="53">
                  <c:v>4.6019500000000004</c:v>
                </c:pt>
                <c:pt idx="54">
                  <c:v>4.5930900000000001</c:v>
                </c:pt>
                <c:pt idx="55">
                  <c:v>4.5816499999999998</c:v>
                </c:pt>
                <c:pt idx="56">
                  <c:v>4.5670999999999999</c:v>
                </c:pt>
                <c:pt idx="57">
                  <c:v>4.5536599999999998</c:v>
                </c:pt>
                <c:pt idx="58">
                  <c:v>4.5404900000000001</c:v>
                </c:pt>
                <c:pt idx="59">
                  <c:v>4.5281500000000001</c:v>
                </c:pt>
                <c:pt idx="60">
                  <c:v>4.5150499999999996</c:v>
                </c:pt>
                <c:pt idx="61">
                  <c:v>4.5000099999999996</c:v>
                </c:pt>
                <c:pt idx="62">
                  <c:v>4.4843899999999994</c:v>
                </c:pt>
                <c:pt idx="63">
                  <c:v>4.4662899999999999</c:v>
                </c:pt>
                <c:pt idx="64">
                  <c:v>4.4499699999999995</c:v>
                </c:pt>
                <c:pt idx="65">
                  <c:v>4.4335599999999999</c:v>
                </c:pt>
                <c:pt idx="66">
                  <c:v>4.41873</c:v>
                </c:pt>
                <c:pt idx="67">
                  <c:v>4.4016599999999997</c:v>
                </c:pt>
                <c:pt idx="68">
                  <c:v>4.3817399999999997</c:v>
                </c:pt>
                <c:pt idx="69">
                  <c:v>4.3618199999999998</c:v>
                </c:pt>
                <c:pt idx="70">
                  <c:v>4.3412899999999999</c:v>
                </c:pt>
                <c:pt idx="71">
                  <c:v>4.3144499999999999</c:v>
                </c:pt>
                <c:pt idx="72">
                  <c:v>4.2903000000000002</c:v>
                </c:pt>
                <c:pt idx="73">
                  <c:v>4.2668999999999997</c:v>
                </c:pt>
                <c:pt idx="74">
                  <c:v>4.2382299999999997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39.688000000000002</c:v>
                </c:pt>
                <c:pt idx="1">
                  <c:v>39.976199999999999</c:v>
                </c:pt>
                <c:pt idx="2">
                  <c:v>40.195300000000003</c:v>
                </c:pt>
                <c:pt idx="3">
                  <c:v>40.399099999999997</c:v>
                </c:pt>
                <c:pt idx="4">
                  <c:v>40.537700000000001</c:v>
                </c:pt>
                <c:pt idx="5">
                  <c:v>40.6447</c:v>
                </c:pt>
                <c:pt idx="6">
                  <c:v>40.676899999999996</c:v>
                </c:pt>
                <c:pt idx="7">
                  <c:v>40.6813</c:v>
                </c:pt>
                <c:pt idx="8">
                  <c:v>40.658999999999999</c:v>
                </c:pt>
                <c:pt idx="9">
                  <c:v>40.616999999999997</c:v>
                </c:pt>
                <c:pt idx="10">
                  <c:v>40.5259</c:v>
                </c:pt>
                <c:pt idx="11">
                  <c:v>40.381099999999996</c:v>
                </c:pt>
                <c:pt idx="12">
                  <c:v>40.193800000000003</c:v>
                </c:pt>
                <c:pt idx="13">
                  <c:v>40.057700000000004</c:v>
                </c:pt>
                <c:pt idx="14">
                  <c:v>39.881100000000004</c:v>
                </c:pt>
                <c:pt idx="15">
                  <c:v>39.731200000000001</c:v>
                </c:pt>
                <c:pt idx="16">
                  <c:v>39.593600000000002</c:v>
                </c:pt>
                <c:pt idx="17">
                  <c:v>39.444000000000003</c:v>
                </c:pt>
                <c:pt idx="18">
                  <c:v>39.212599999999995</c:v>
                </c:pt>
                <c:pt idx="19">
                  <c:v>38.979799999999997</c:v>
                </c:pt>
                <c:pt idx="20">
                  <c:v>38.743600000000001</c:v>
                </c:pt>
                <c:pt idx="21">
                  <c:v>38.556200000000004</c:v>
                </c:pt>
                <c:pt idx="22">
                  <c:v>38.407499999999999</c:v>
                </c:pt>
                <c:pt idx="23">
                  <c:v>38.328400000000002</c:v>
                </c:pt>
                <c:pt idx="24">
                  <c:v>38.267800000000001</c:v>
                </c:pt>
                <c:pt idx="25">
                  <c:v>38.213799999999999</c:v>
                </c:pt>
                <c:pt idx="26">
                  <c:v>38.106499999999997</c:v>
                </c:pt>
                <c:pt idx="27">
                  <c:v>37.957599999999999</c:v>
                </c:pt>
                <c:pt idx="28">
                  <c:v>37.736699999999999</c:v>
                </c:pt>
                <c:pt idx="29">
                  <c:v>37.519200000000005</c:v>
                </c:pt>
                <c:pt idx="30">
                  <c:v>37.313499999999998</c:v>
                </c:pt>
                <c:pt idx="31">
                  <c:v>37.146799999999999</c:v>
                </c:pt>
                <c:pt idx="32">
                  <c:v>37.1004</c:v>
                </c:pt>
                <c:pt idx="33">
                  <c:v>37.103299999999997</c:v>
                </c:pt>
                <c:pt idx="34">
                  <c:v>37.132300000000001</c:v>
                </c:pt>
                <c:pt idx="35">
                  <c:v>37.173899999999996</c:v>
                </c:pt>
                <c:pt idx="36">
                  <c:v>37.280999999999999</c:v>
                </c:pt>
                <c:pt idx="37">
                  <c:v>37.488700000000001</c:v>
                </c:pt>
                <c:pt idx="38">
                  <c:v>37.694600000000001</c:v>
                </c:pt>
                <c:pt idx="39">
                  <c:v>37.946200000000005</c:v>
                </c:pt>
                <c:pt idx="40">
                  <c:v>38.183099999999996</c:v>
                </c:pt>
                <c:pt idx="41">
                  <c:v>38.4101</c:v>
                </c:pt>
                <c:pt idx="42">
                  <c:v>38.6297</c:v>
                </c:pt>
                <c:pt idx="43">
                  <c:v>38.836300000000001</c:v>
                </c:pt>
                <c:pt idx="44">
                  <c:v>39.038499999999999</c:v>
                </c:pt>
                <c:pt idx="45">
                  <c:v>39.261499999999998</c:v>
                </c:pt>
                <c:pt idx="46">
                  <c:v>39.509599999999999</c:v>
                </c:pt>
                <c:pt idx="47">
                  <c:v>39.758099999999999</c:v>
                </c:pt>
                <c:pt idx="48">
                  <c:v>39.9998</c:v>
                </c:pt>
                <c:pt idx="49">
                  <c:v>40.192799999999998</c:v>
                </c:pt>
                <c:pt idx="50">
                  <c:v>40.363300000000002</c:v>
                </c:pt>
                <c:pt idx="51">
                  <c:v>40.386400000000002</c:v>
                </c:pt>
                <c:pt idx="52">
                  <c:v>40.443600000000004</c:v>
                </c:pt>
                <c:pt idx="53">
                  <c:v>40.571300000000001</c:v>
                </c:pt>
                <c:pt idx="54">
                  <c:v>40.774500000000003</c:v>
                </c:pt>
                <c:pt idx="55">
                  <c:v>41.014200000000002</c:v>
                </c:pt>
                <c:pt idx="56">
                  <c:v>41.280299999999997</c:v>
                </c:pt>
                <c:pt idx="57">
                  <c:v>41.475099999999998</c:v>
                </c:pt>
                <c:pt idx="58">
                  <c:v>41.654000000000003</c:v>
                </c:pt>
                <c:pt idx="59">
                  <c:v>41.897099999999995</c:v>
                </c:pt>
                <c:pt idx="60">
                  <c:v>42.2241</c:v>
                </c:pt>
                <c:pt idx="61">
                  <c:v>42.578299999999999</c:v>
                </c:pt>
                <c:pt idx="62">
                  <c:v>42.916699999999999</c:v>
                </c:pt>
                <c:pt idx="63">
                  <c:v>43.278499999999994</c:v>
                </c:pt>
                <c:pt idx="64">
                  <c:v>43.5899</c:v>
                </c:pt>
                <c:pt idx="65">
                  <c:v>43.953900000000004</c:v>
                </c:pt>
                <c:pt idx="66">
                  <c:v>44.374900000000004</c:v>
                </c:pt>
                <c:pt idx="67">
                  <c:v>44.830500000000001</c:v>
                </c:pt>
                <c:pt idx="68">
                  <c:v>45.3658</c:v>
                </c:pt>
                <c:pt idx="69">
                  <c:v>45.8782</c:v>
                </c:pt>
                <c:pt idx="70">
                  <c:v>46.362500000000004</c:v>
                </c:pt>
                <c:pt idx="71">
                  <c:v>46.889900000000004</c:v>
                </c:pt>
                <c:pt idx="72">
                  <c:v>47.306399999999996</c:v>
                </c:pt>
                <c:pt idx="73">
                  <c:v>47.621299999999998</c:v>
                </c:pt>
                <c:pt idx="74">
                  <c:v>47.955500000000001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2.4830899999999998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50.712699999999998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3.6741794594594595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41.007552702702711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4.3013951351351363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40.46502297297296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4.3013951351351363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40.46502297297296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517</v>
      </c>
      <c r="D5" s="151"/>
      <c r="E5" s="151"/>
      <c r="F5" s="152"/>
      <c r="G5" s="48" t="str">
        <f>lang!B27</f>
        <v>编号</v>
      </c>
      <c r="H5" s="150">
        <v>7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516</v>
      </c>
      <c r="D6" s="188"/>
      <c r="E6" s="188"/>
      <c r="F6" s="189"/>
      <c r="G6" s="49" t="str">
        <f>lang!B28</f>
        <v xml:space="preserve"> 日期</v>
      </c>
      <c r="H6" s="172">
        <f>FH_info!A2</f>
        <v>43628.391504629632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18</v>
      </c>
      <c r="D7" s="191"/>
      <c r="E7" s="191"/>
      <c r="F7" s="192"/>
      <c r="G7" s="50" t="str">
        <f>lang!B29</f>
        <v>误差率（%）</v>
      </c>
      <c r="H7" s="175">
        <f>M!B17*1</f>
        <v>14.6691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44.698999999999998</v>
      </c>
      <c r="O8" s="59">
        <f>M!C5*1</f>
        <v>7.6399100000000004</v>
      </c>
      <c r="P8" s="59">
        <f>M!D5*1</f>
        <v>17.091899999999999</v>
      </c>
      <c r="Q8" s="59">
        <f>M!E5*1</f>
        <v>20</v>
      </c>
      <c r="R8" s="59">
        <f>M!F5*1</f>
        <v>15.224399999999999</v>
      </c>
      <c r="S8" s="59">
        <f>M!G5*1</f>
        <v>50</v>
      </c>
      <c r="T8" s="59">
        <f>M!H5*1</f>
        <v>51.959499999999998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27.791699999999999</v>
      </c>
      <c r="O9" s="59">
        <f>M!C6*1</f>
        <v>2.4114300000000002</v>
      </c>
      <c r="P9" s="59">
        <f>M!D6*1</f>
        <v>8.6768099999999997</v>
      </c>
      <c r="Q9" s="59">
        <f>M!E6*1</f>
        <v>20</v>
      </c>
      <c r="R9" s="59">
        <f>M!F6*1</f>
        <v>22.692399999999999</v>
      </c>
      <c r="S9" s="59">
        <f>M!G6*1</f>
        <v>40</v>
      </c>
      <c r="T9" s="59">
        <f>M!H6*1</f>
        <v>32.159799999999997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15.224399999999999</v>
      </c>
      <c r="D10" s="99">
        <f>N8</f>
        <v>44.698999999999998</v>
      </c>
      <c r="E10" s="100">
        <f>T8</f>
        <v>51.959499999999998</v>
      </c>
      <c r="F10" s="91">
        <f>P8</f>
        <v>17.091899999999999</v>
      </c>
      <c r="G10" s="81" t="str">
        <f>CONCATENATE(M9,"
(20 ~ 40)")</f>
        <v>压力
(20 ~ 40)</v>
      </c>
      <c r="H10" s="98">
        <f>R9</f>
        <v>22.692399999999999</v>
      </c>
      <c r="I10" s="108">
        <f>N9</f>
        <v>27.791699999999999</v>
      </c>
      <c r="J10" s="98">
        <f>T9</f>
        <v>32.159799999999997</v>
      </c>
      <c r="K10" s="92">
        <f>P9</f>
        <v>8.6768099999999997</v>
      </c>
      <c r="L10" s="6"/>
      <c r="M10" s="27" t="str">
        <f>lang!B16</f>
        <v>焦虑</v>
      </c>
      <c r="N10" s="59">
        <f>M!B7*1</f>
        <v>15.183199999999999</v>
      </c>
      <c r="O10" s="59">
        <f>M!C7*1</f>
        <v>5.2575599999999998</v>
      </c>
      <c r="P10" s="59">
        <f>M!D7*1</f>
        <v>34.627499999999998</v>
      </c>
      <c r="Q10" s="59">
        <f>M!E7*1</f>
        <v>15</v>
      </c>
      <c r="R10" s="59">
        <f>M!F7*1</f>
        <v>5.6767000000000003</v>
      </c>
      <c r="S10" s="59">
        <f>M!G7*1</f>
        <v>40</v>
      </c>
      <c r="T10" s="59">
        <f>M!H7*1</f>
        <v>47.252899999999997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5.6767000000000003</v>
      </c>
      <c r="D11" s="102">
        <f>N10</f>
        <v>15.183199999999999</v>
      </c>
      <c r="E11" s="103">
        <f>T10</f>
        <v>47.252899999999997</v>
      </c>
      <c r="F11" s="94">
        <f>P10</f>
        <v>34.627499999999998</v>
      </c>
      <c r="G11" s="52" t="str">
        <f>CONCATENATE(M11,"
(20 ~ 50)")</f>
        <v>可疑
(20 ~ 50)</v>
      </c>
      <c r="H11" s="101">
        <f>R11</f>
        <v>15.7575</v>
      </c>
      <c r="I11" s="104">
        <f>N11</f>
        <v>29.329000000000001</v>
      </c>
      <c r="J11" s="101">
        <f>T11</f>
        <v>33.680599999999998</v>
      </c>
      <c r="K11" s="95">
        <f>P11</f>
        <v>11.698399999999999</v>
      </c>
      <c r="L11" s="4"/>
      <c r="M11" s="27" t="str">
        <f>lang!B17</f>
        <v>可疑</v>
      </c>
      <c r="N11" s="59">
        <f>M!B8*1</f>
        <v>29.329000000000001</v>
      </c>
      <c r="O11" s="59">
        <f>M!C8*1</f>
        <v>3.4310299999999998</v>
      </c>
      <c r="P11" s="59">
        <f>M!D8*1</f>
        <v>11.698399999999999</v>
      </c>
      <c r="Q11" s="59">
        <f>M!E8*1</f>
        <v>20</v>
      </c>
      <c r="R11" s="59">
        <f>M!F8*1</f>
        <v>15.7575</v>
      </c>
      <c r="S11" s="59">
        <f>M!G8*1</f>
        <v>50</v>
      </c>
      <c r="T11" s="59">
        <f>M!H8*1</f>
        <v>33.680599999999998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60.274500000000003</v>
      </c>
      <c r="D12" s="104">
        <f>N12</f>
        <v>72.046199999999999</v>
      </c>
      <c r="E12" s="101">
        <f>T12</f>
        <v>81.035799999999995</v>
      </c>
      <c r="F12" s="93">
        <f>P12</f>
        <v>6.5012999999999996</v>
      </c>
      <c r="G12" s="52" t="str">
        <f>CONCATENATE(M13,"
(40 ~ 100)")</f>
        <v>自信
(40 ~ 100)</v>
      </c>
      <c r="H12" s="101">
        <f>R13</f>
        <v>71.239199999999997</v>
      </c>
      <c r="I12" s="104">
        <f>N13</f>
        <v>78.413899999999998</v>
      </c>
      <c r="J12" s="101">
        <f>T13</f>
        <v>81.924599999999998</v>
      </c>
      <c r="K12" s="95">
        <f>P13</f>
        <v>3.1172</v>
      </c>
      <c r="L12" s="4"/>
      <c r="M12" s="27" t="str">
        <f>lang!B18</f>
        <v>平衡</v>
      </c>
      <c r="N12" s="59">
        <f>M!B9*1</f>
        <v>72.046199999999999</v>
      </c>
      <c r="O12" s="59">
        <f>M!C9*1</f>
        <v>4.6839399999999998</v>
      </c>
      <c r="P12" s="59">
        <f>M!D9*1</f>
        <v>6.5012999999999996</v>
      </c>
      <c r="Q12" s="59">
        <f>M!E9*1</f>
        <v>50</v>
      </c>
      <c r="R12" s="59">
        <f>M!F9*1</f>
        <v>60.274500000000003</v>
      </c>
      <c r="S12" s="59">
        <f>M!G9*1</f>
        <v>100</v>
      </c>
      <c r="T12" s="59">
        <f>M!H9*1</f>
        <v>81.035799999999995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10.6358</v>
      </c>
      <c r="D13" s="102">
        <f>N14</f>
        <v>27.0397</v>
      </c>
      <c r="E13" s="103">
        <f>T14</f>
        <v>36.035699999999999</v>
      </c>
      <c r="F13" s="94">
        <f>P14</f>
        <v>21.478200000000001</v>
      </c>
      <c r="G13" s="52" t="str">
        <f>CONCATENATE(M15,"
(50 ~ 100)")</f>
        <v>自我调节
(50 ~ 100)</v>
      </c>
      <c r="H13" s="101">
        <f>R15</f>
        <v>69.125799999999998</v>
      </c>
      <c r="I13" s="104">
        <f>N15</f>
        <v>75.114500000000007</v>
      </c>
      <c r="J13" s="101">
        <f>T15</f>
        <v>80.276300000000006</v>
      </c>
      <c r="K13" s="95">
        <f>P15</f>
        <v>2.7768899999999999</v>
      </c>
      <c r="L13" s="4"/>
      <c r="M13" s="27" t="str">
        <f>lang!B19</f>
        <v>自信</v>
      </c>
      <c r="N13" s="59">
        <f>M!B10*1</f>
        <v>78.413899999999998</v>
      </c>
      <c r="O13" s="59">
        <f>M!C10*1</f>
        <v>2.4443199999999998</v>
      </c>
      <c r="P13" s="59">
        <f>M!D10*1</f>
        <v>3.1172</v>
      </c>
      <c r="Q13" s="59">
        <f>M!E10*1</f>
        <v>40</v>
      </c>
      <c r="R13" s="59">
        <f>M!F10*1</f>
        <v>71.239199999999997</v>
      </c>
      <c r="S13" s="59">
        <f>M!G10*1</f>
        <v>100</v>
      </c>
      <c r="T13" s="59">
        <f>M!H10*1</f>
        <v>81.924599999999998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17.770299999999999</v>
      </c>
      <c r="D14" s="106">
        <f>N16</f>
        <v>22.800899999999999</v>
      </c>
      <c r="E14" s="107">
        <f>T16</f>
        <v>29.7455</v>
      </c>
      <c r="F14" s="96">
        <f>P16</f>
        <v>9.8377199999999991</v>
      </c>
      <c r="G14" s="112" t="str">
        <f>CONCATENATE(M17,"
(10 ~ 50)")</f>
        <v>神经质
(10 ~ 50)</v>
      </c>
      <c r="H14" s="105">
        <f>R17</f>
        <v>3.12384</v>
      </c>
      <c r="I14" s="106">
        <f>N17</f>
        <v>22.430900000000001</v>
      </c>
      <c r="J14" s="107">
        <f>T17</f>
        <v>27.4072</v>
      </c>
      <c r="K14" s="97">
        <f>P17</f>
        <v>30.885400000000001</v>
      </c>
      <c r="M14" s="27" t="str">
        <f>lang!B20</f>
        <v>活力</v>
      </c>
      <c r="N14" s="59">
        <f>M!B11*1</f>
        <v>27.0397</v>
      </c>
      <c r="O14" s="59">
        <f>M!C11*1</f>
        <v>5.8076400000000001</v>
      </c>
      <c r="P14" s="59">
        <f>M!D11*1</f>
        <v>21.478200000000001</v>
      </c>
      <c r="Q14" s="59">
        <f>M!E11*1</f>
        <v>10</v>
      </c>
      <c r="R14" s="59">
        <f>M!F11*1</f>
        <v>10.6358</v>
      </c>
      <c r="S14" s="59">
        <f>M!G11*1</f>
        <v>50</v>
      </c>
      <c r="T14" s="59">
        <f>M!H11*1</f>
        <v>36.035699999999999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75.114500000000007</v>
      </c>
      <c r="O15" s="59">
        <f>M!C12*1</f>
        <v>2.0858500000000002</v>
      </c>
      <c r="P15" s="59">
        <f>M!D12*1</f>
        <v>2.7768899999999999</v>
      </c>
      <c r="Q15" s="59">
        <f>M!E12*1</f>
        <v>50</v>
      </c>
      <c r="R15" s="59">
        <f>M!F12*1</f>
        <v>69.125799999999998</v>
      </c>
      <c r="S15" s="59">
        <f>M!G12*1</f>
        <v>100</v>
      </c>
      <c r="T15" s="59">
        <f>M!H12*1</f>
        <v>80.276300000000006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22.800899999999999</v>
      </c>
      <c r="O16" s="59">
        <f>M!C13*1</f>
        <v>2.24309</v>
      </c>
      <c r="P16" s="59">
        <f>M!D13*1</f>
        <v>9.8377199999999991</v>
      </c>
      <c r="Q16" s="59">
        <f>M!E13*1</f>
        <v>10</v>
      </c>
      <c r="R16" s="59">
        <f>M!F13*1</f>
        <v>17.770299999999999</v>
      </c>
      <c r="S16" s="59">
        <f>M!G13*1</f>
        <v>25</v>
      </c>
      <c r="T16" s="59">
        <f>M!H13*1</f>
        <v>29.7455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22.430900000000001</v>
      </c>
      <c r="O17" s="59">
        <f>M!C14*1</f>
        <v>6.9278899999999997</v>
      </c>
      <c r="P17" s="59">
        <f>M!D14*1</f>
        <v>30.885400000000001</v>
      </c>
      <c r="Q17" s="59">
        <f>M!E14*1</f>
        <v>10</v>
      </c>
      <c r="R17" s="59">
        <f>M!F14*1</f>
        <v>3.12384</v>
      </c>
      <c r="S17" s="59">
        <f>M!G14*1</f>
        <v>50</v>
      </c>
      <c r="T17" s="59">
        <f>M!H14*1</f>
        <v>27.4072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63.153575000000004</v>
      </c>
      <c r="O18" s="22">
        <f>N18/(N18+N19+N20)</f>
        <v>0.54906507726468923</v>
      </c>
      <c r="P18" s="65">
        <f>SUM(P12:P15)/4</f>
        <v>8.4683975</v>
      </c>
      <c r="Q18" s="22">
        <f>P18/(P18+P19+P20)</f>
        <v>0.18074162268392979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29.250725000000003</v>
      </c>
      <c r="O19" s="22">
        <f>N19/(N18+N19+N20)</f>
        <v>0.2543094604252123</v>
      </c>
      <c r="P19" s="18">
        <f>SUM(P8:P11)/4</f>
        <v>18.023652499999997</v>
      </c>
      <c r="Q19" s="22">
        <f>P19/(P18+P19+P20)</f>
        <v>0.38468012390080497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22.6159</v>
      </c>
      <c r="O20" s="22">
        <f>N20/(N18+N19+N20)</f>
        <v>0.19662546231009856</v>
      </c>
      <c r="P20" s="18">
        <f>(P16+P17)/2</f>
        <v>20.361560000000001</v>
      </c>
      <c r="Q20" s="22">
        <f>P20/(P18+P19+P20)</f>
        <v>0.43457825341526513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-6.8146864864865153E-2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1.9238671547297417</v>
      </c>
      <c r="D25" s="44" t="str">
        <f>lang!B11</f>
        <v>频率方差</v>
      </c>
      <c r="E25" s="142">
        <f ca="1">FH!L3</f>
        <v>0.64493024567939683</v>
      </c>
      <c r="F25" s="143"/>
      <c r="G25" s="134" t="str">
        <f>lang!B12</f>
        <v>生理变化率</v>
      </c>
      <c r="H25" s="135"/>
      <c r="I25" s="62" t="str">
        <f ca="1">CONCATENATE(info!M7,"-",info!M8)</f>
        <v>35.8-50.7</v>
      </c>
      <c r="J25" s="42" t="str">
        <f>lang!B13</f>
        <v>千卡l/分钟</v>
      </c>
      <c r="K25" s="41" t="str">
        <f ca="1">CONCATENATE(info!M5,"-",info!M6)</f>
        <v>2.5-4.6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47.553899999999999</v>
      </c>
      <c r="F28" s="164"/>
      <c r="G28" s="178" t="str">
        <f>lang!B33</f>
        <v>稳定性</v>
      </c>
      <c r="H28" s="179"/>
      <c r="I28" s="180"/>
      <c r="J28" s="181">
        <f>M!B19*100</f>
        <v>54.267900000000004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43628.391504629632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4.6600999999999999</v>
      </c>
      <c r="O7" s="59">
        <f t="shared" ref="O7:T7" si="2">AG7-X7</f>
        <v>-5.6997200000000001</v>
      </c>
      <c r="P7" s="59">
        <f t="shared" si="2"/>
        <v>-14.70478</v>
      </c>
      <c r="Q7" s="59">
        <f t="shared" si="2"/>
        <v>0</v>
      </c>
      <c r="R7" s="59">
        <f t="shared" si="2"/>
        <v>22.6724</v>
      </c>
      <c r="S7" s="59">
        <f t="shared" si="2"/>
        <v>0</v>
      </c>
      <c r="T7" s="59">
        <f t="shared" si="2"/>
        <v>3.8327999999999989</v>
      </c>
      <c r="U7" s="14"/>
      <c r="V7" s="27" t="str">
        <f>M7</f>
        <v>攻击性</v>
      </c>
      <c r="W7" s="59">
        <f>'M1'!B5*1</f>
        <v>40.93</v>
      </c>
      <c r="X7" s="59">
        <f>'M1'!C5*1</f>
        <v>8.8200500000000002</v>
      </c>
      <c r="Y7" s="59">
        <f>'M1'!D5*1</f>
        <v>21.549099999999999</v>
      </c>
      <c r="Z7" s="59">
        <f>'M1'!E5*1</f>
        <v>20</v>
      </c>
      <c r="AA7" s="59">
        <f>'M1'!F5*1</f>
        <v>15.224399999999999</v>
      </c>
      <c r="AB7" s="59">
        <f>'M1'!G5*1</f>
        <v>50</v>
      </c>
      <c r="AC7" s="59">
        <f>'M1'!H5*1</f>
        <v>48.1267</v>
      </c>
      <c r="AE7" s="27" t="str">
        <f>V7</f>
        <v>攻击性</v>
      </c>
      <c r="AF7" s="59">
        <f>'M2'!B5*1</f>
        <v>45.5901</v>
      </c>
      <c r="AG7" s="59">
        <f>'M2'!C5*1</f>
        <v>3.12033</v>
      </c>
      <c r="AH7" s="59">
        <f>'M2'!D5*1</f>
        <v>6.8443199999999997</v>
      </c>
      <c r="AI7" s="59">
        <f>'M2'!E5*1</f>
        <v>20</v>
      </c>
      <c r="AJ7" s="59">
        <f>'M2'!F5*1</f>
        <v>37.896799999999999</v>
      </c>
      <c r="AK7" s="59">
        <f>'M2'!G5*1</f>
        <v>50</v>
      </c>
      <c r="AL7" s="59">
        <f>'M2'!H5*1</f>
        <v>51.959499999999998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-3.8063000000000002</v>
      </c>
      <c r="O8" s="59">
        <f t="shared" ref="O8:O16" si="5">AG8-X8</f>
        <v>5.543000000000009E-2</v>
      </c>
      <c r="P8" s="59">
        <f t="shared" ref="P8:P16" si="6">AH8-Y8</f>
        <v>0.98944999999999972</v>
      </c>
      <c r="Q8" s="59">
        <f t="shared" ref="Q8:Q16" si="7">AI8-Z8</f>
        <v>0</v>
      </c>
      <c r="R8" s="59">
        <f t="shared" ref="R8:R16" si="8">AJ8-AA8</f>
        <v>-2.1716000000000015</v>
      </c>
      <c r="S8" s="59">
        <f t="shared" ref="S8:S16" si="9">AK8-AB8</f>
        <v>0</v>
      </c>
      <c r="T8" s="59">
        <f t="shared" ref="T8:T16" si="10">AL8-AC8</f>
        <v>-0.19929999999999737</v>
      </c>
      <c r="U8" s="15"/>
      <c r="V8" s="27" t="str">
        <f t="shared" ref="V8:V16" si="11">M8</f>
        <v>压力</v>
      </c>
      <c r="W8" s="59">
        <f>'M1'!B6*1</f>
        <v>29.537500000000001</v>
      </c>
      <c r="X8" s="59">
        <f>'M1'!C6*1</f>
        <v>1.54562</v>
      </c>
      <c r="Y8" s="59">
        <f>'M1'!D6*1</f>
        <v>5.2327300000000001</v>
      </c>
      <c r="Z8" s="59">
        <f>'M1'!E6*1</f>
        <v>20</v>
      </c>
      <c r="AA8" s="59">
        <f>'M1'!F6*1</f>
        <v>24.864000000000001</v>
      </c>
      <c r="AB8" s="59">
        <f>'M1'!G6*1</f>
        <v>40</v>
      </c>
      <c r="AC8" s="59">
        <f>'M1'!H6*1</f>
        <v>32.159799999999997</v>
      </c>
      <c r="AE8" s="27" t="str">
        <f t="shared" ref="AE8:AE16" si="12">V8</f>
        <v>压力</v>
      </c>
      <c r="AF8" s="59">
        <f>'M2'!B6*1</f>
        <v>25.731200000000001</v>
      </c>
      <c r="AG8" s="59">
        <f>'M2'!C6*1</f>
        <v>1.6010500000000001</v>
      </c>
      <c r="AH8" s="59">
        <f>'M2'!D6*1</f>
        <v>6.2221799999999998</v>
      </c>
      <c r="AI8" s="59">
        <f>'M2'!E6*1</f>
        <v>20</v>
      </c>
      <c r="AJ8" s="59">
        <f>'M2'!F6*1</f>
        <v>22.692399999999999</v>
      </c>
      <c r="AK8" s="59">
        <f>'M2'!G6*1</f>
        <v>40</v>
      </c>
      <c r="AL8" s="59">
        <f>'M2'!H6*1</f>
        <v>31.9605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22.6724</v>
      </c>
      <c r="D9" s="78">
        <f>N7</f>
        <v>4.6600999999999999</v>
      </c>
      <c r="E9" s="79">
        <f>T7</f>
        <v>3.8327999999999989</v>
      </c>
      <c r="F9" s="79">
        <f>P7</f>
        <v>-14.70478</v>
      </c>
      <c r="G9" s="80" t="str">
        <f>CONCATENATE(M8,"
(20 ~ 40)")</f>
        <v>压力
(20 ~ 40)</v>
      </c>
      <c r="H9" s="77">
        <f>R8</f>
        <v>-2.1716000000000015</v>
      </c>
      <c r="I9" s="81">
        <f>N8</f>
        <v>-3.8063000000000002</v>
      </c>
      <c r="J9" s="77">
        <f>T8</f>
        <v>-0.19929999999999737</v>
      </c>
      <c r="K9" s="82">
        <f>P8</f>
        <v>0.98944999999999972</v>
      </c>
      <c r="L9" s="6"/>
      <c r="M9" s="27" t="str">
        <f>lang!B16</f>
        <v>焦虑</v>
      </c>
      <c r="N9" s="59">
        <f t="shared" si="4"/>
        <v>-1.9649999999999999</v>
      </c>
      <c r="O9" s="59">
        <f t="shared" si="5"/>
        <v>-0.30502999999999947</v>
      </c>
      <c r="P9" s="59">
        <f t="shared" si="6"/>
        <v>2.2909000000000006</v>
      </c>
      <c r="Q9" s="59">
        <f t="shared" si="7"/>
        <v>0</v>
      </c>
      <c r="R9" s="59">
        <f t="shared" si="8"/>
        <v>0.38723999999999936</v>
      </c>
      <c r="S9" s="59">
        <f t="shared" si="9"/>
        <v>0</v>
      </c>
      <c r="T9" s="59">
        <f t="shared" si="10"/>
        <v>12.361999999999995</v>
      </c>
      <c r="U9" s="14"/>
      <c r="V9" s="27" t="str">
        <f t="shared" si="11"/>
        <v>焦虑</v>
      </c>
      <c r="W9" s="59">
        <f>'M1'!B7*1</f>
        <v>16.2559</v>
      </c>
      <c r="X9" s="59">
        <f>'M1'!C7*1</f>
        <v>5.2319399999999998</v>
      </c>
      <c r="Y9" s="59">
        <f>'M1'!D7*1</f>
        <v>32.184899999999999</v>
      </c>
      <c r="Z9" s="59">
        <f>'M1'!E7*1</f>
        <v>15</v>
      </c>
      <c r="AA9" s="59">
        <f>'M1'!F7*1</f>
        <v>5.6767000000000003</v>
      </c>
      <c r="AB9" s="59">
        <f>'M1'!G7*1</f>
        <v>40</v>
      </c>
      <c r="AC9" s="59">
        <f>'M1'!H7*1</f>
        <v>34.890900000000002</v>
      </c>
      <c r="AE9" s="27" t="str">
        <f t="shared" si="12"/>
        <v>焦虑</v>
      </c>
      <c r="AF9" s="59">
        <f>'M2'!B7*1</f>
        <v>14.290900000000001</v>
      </c>
      <c r="AG9" s="59">
        <f>'M2'!C7*1</f>
        <v>4.9269100000000003</v>
      </c>
      <c r="AH9" s="59">
        <f>'M2'!D7*1</f>
        <v>34.4758</v>
      </c>
      <c r="AI9" s="59">
        <f>'M2'!E7*1</f>
        <v>15</v>
      </c>
      <c r="AJ9" s="59">
        <f>'M2'!F7*1</f>
        <v>6.0639399999999997</v>
      </c>
      <c r="AK9" s="59">
        <f>'M2'!G7*1</f>
        <v>40</v>
      </c>
      <c r="AL9" s="59">
        <f>'M2'!H7*1</f>
        <v>47.252899999999997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0.38723999999999936</v>
      </c>
      <c r="D10" s="51">
        <f>N9</f>
        <v>-1.9649999999999999</v>
      </c>
      <c r="E10" s="53">
        <f>T9</f>
        <v>12.361999999999995</v>
      </c>
      <c r="F10" s="53">
        <f>P9</f>
        <v>2.2909000000000006</v>
      </c>
      <c r="G10" s="73" t="str">
        <f>CONCATENATE(M10,"
(20 ~ 50)")</f>
        <v>可疑
(20 ~ 50)</v>
      </c>
      <c r="H10" s="24">
        <f>R10</f>
        <v>9.4709000000000003</v>
      </c>
      <c r="I10" s="52">
        <f>N10</f>
        <v>-0.12009999999999721</v>
      </c>
      <c r="J10" s="24">
        <f>T10</f>
        <v>-0.81589999999999918</v>
      </c>
      <c r="K10" s="25">
        <f>P10</f>
        <v>-8.7706499999999998</v>
      </c>
      <c r="L10" s="4"/>
      <c r="M10" s="27" t="str">
        <f>lang!B17</f>
        <v>可疑</v>
      </c>
      <c r="N10" s="59">
        <f t="shared" si="4"/>
        <v>-0.12009999999999721</v>
      </c>
      <c r="O10" s="59">
        <f t="shared" si="5"/>
        <v>-2.5865299999999998</v>
      </c>
      <c r="P10" s="59">
        <f t="shared" si="6"/>
        <v>-8.7706499999999998</v>
      </c>
      <c r="Q10" s="59">
        <f t="shared" si="7"/>
        <v>0</v>
      </c>
      <c r="R10" s="59">
        <f t="shared" si="8"/>
        <v>9.4709000000000003</v>
      </c>
      <c r="S10" s="59">
        <f t="shared" si="9"/>
        <v>0</v>
      </c>
      <c r="T10" s="59">
        <f t="shared" si="10"/>
        <v>-0.81589999999999918</v>
      </c>
      <c r="U10" s="14"/>
      <c r="V10" s="27" t="str">
        <f t="shared" si="11"/>
        <v>可疑</v>
      </c>
      <c r="W10" s="59">
        <f>'M1'!B8*1</f>
        <v>29.404399999999999</v>
      </c>
      <c r="X10" s="59">
        <f>'M1'!C8*1</f>
        <v>4.4360799999999996</v>
      </c>
      <c r="Y10" s="59">
        <f>'M1'!D8*1</f>
        <v>15.086499999999999</v>
      </c>
      <c r="Z10" s="59">
        <f>'M1'!E8*1</f>
        <v>20</v>
      </c>
      <c r="AA10" s="59">
        <f>'M1'!F8*1</f>
        <v>15.7575</v>
      </c>
      <c r="AB10" s="59">
        <f>'M1'!G8*1</f>
        <v>50</v>
      </c>
      <c r="AC10" s="59">
        <f>'M1'!H8*1</f>
        <v>33.680599999999998</v>
      </c>
      <c r="AE10" s="27" t="str">
        <f t="shared" si="12"/>
        <v>可疑</v>
      </c>
      <c r="AF10" s="59">
        <f>'M2'!B8*1</f>
        <v>29.284300000000002</v>
      </c>
      <c r="AG10" s="59">
        <f>'M2'!C8*1</f>
        <v>1.84955</v>
      </c>
      <c r="AH10" s="59">
        <f>'M2'!D8*1</f>
        <v>6.3158500000000002</v>
      </c>
      <c r="AI10" s="59">
        <f>'M2'!E8*1</f>
        <v>20</v>
      </c>
      <c r="AJ10" s="59">
        <f>'M2'!F8*1</f>
        <v>25.228400000000001</v>
      </c>
      <c r="AK10" s="59">
        <f>'M2'!G8*1</f>
        <v>50</v>
      </c>
      <c r="AL10" s="59">
        <f>'M2'!H8*1</f>
        <v>32.864699999999999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-4.4612999999999943</v>
      </c>
      <c r="D11" s="52">
        <f>N11</f>
        <v>-6.066900000000004</v>
      </c>
      <c r="E11" s="24">
        <f>T11</f>
        <v>-1.2844999999999942</v>
      </c>
      <c r="F11" s="24">
        <f>P11</f>
        <v>1.3631500000000001</v>
      </c>
      <c r="G11" s="73" t="str">
        <f>CONCATENATE(M12,"
(40 ~ 100)")</f>
        <v>自信
(40 ~ 100)</v>
      </c>
      <c r="H11" s="24">
        <f>R12</f>
        <v>2.9359000000000037</v>
      </c>
      <c r="I11" s="52">
        <f>N12</f>
        <v>3.0923999999999978</v>
      </c>
      <c r="J11" s="24">
        <f>T12</f>
        <v>0.47299999999999898</v>
      </c>
      <c r="K11" s="25">
        <f>P12</f>
        <v>-0.39161999999999964</v>
      </c>
      <c r="L11" s="4"/>
      <c r="M11" s="27" t="str">
        <f>lang!B18</f>
        <v>平衡</v>
      </c>
      <c r="N11" s="59">
        <f t="shared" si="4"/>
        <v>-6.066900000000004</v>
      </c>
      <c r="O11" s="59">
        <f t="shared" si="5"/>
        <v>0.6615300000000004</v>
      </c>
      <c r="P11" s="59">
        <f t="shared" si="6"/>
        <v>1.3631500000000001</v>
      </c>
      <c r="Q11" s="59">
        <f t="shared" si="7"/>
        <v>0</v>
      </c>
      <c r="R11" s="59">
        <f t="shared" si="8"/>
        <v>-4.4612999999999943</v>
      </c>
      <c r="S11" s="59">
        <f t="shared" si="9"/>
        <v>0</v>
      </c>
      <c r="T11" s="59">
        <f t="shared" si="10"/>
        <v>-1.2844999999999942</v>
      </c>
      <c r="U11" s="14"/>
      <c r="V11" s="27" t="str">
        <f t="shared" si="11"/>
        <v>平衡</v>
      </c>
      <c r="W11" s="59">
        <f>'M1'!B9*1</f>
        <v>75.203699999999998</v>
      </c>
      <c r="X11" s="59">
        <f>'M1'!C9*1</f>
        <v>3.4820199999999999</v>
      </c>
      <c r="Y11" s="59">
        <f>'M1'!D9*1</f>
        <v>4.6301199999999998</v>
      </c>
      <c r="Z11" s="59">
        <f>'M1'!E9*1</f>
        <v>50</v>
      </c>
      <c r="AA11" s="59">
        <f>'M1'!F9*1</f>
        <v>64.735799999999998</v>
      </c>
      <c r="AB11" s="59">
        <f>'M1'!G9*1</f>
        <v>100</v>
      </c>
      <c r="AC11" s="59">
        <f>'M1'!H9*1</f>
        <v>81.035799999999995</v>
      </c>
      <c r="AE11" s="27" t="str">
        <f t="shared" si="12"/>
        <v>平衡</v>
      </c>
      <c r="AF11" s="59">
        <f>'M2'!B9*1</f>
        <v>69.136799999999994</v>
      </c>
      <c r="AG11" s="59">
        <f>'M2'!C9*1</f>
        <v>4.1435500000000003</v>
      </c>
      <c r="AH11" s="59">
        <f>'M2'!D9*1</f>
        <v>5.9932699999999999</v>
      </c>
      <c r="AI11" s="59">
        <f>'M2'!E9*1</f>
        <v>50</v>
      </c>
      <c r="AJ11" s="59">
        <f>'M2'!F9*1</f>
        <v>60.274500000000003</v>
      </c>
      <c r="AK11" s="59">
        <f>'M2'!G9*1</f>
        <v>100</v>
      </c>
      <c r="AL11" s="59">
        <f>'M2'!H9*1</f>
        <v>79.751300000000001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14.929300000000001</v>
      </c>
      <c r="D12" s="51">
        <f>N13</f>
        <v>2.8270000000000017</v>
      </c>
      <c r="E12" s="53">
        <f>T13</f>
        <v>7.5</v>
      </c>
      <c r="F12" s="53">
        <f>P13</f>
        <v>-9.7298999999999989</v>
      </c>
      <c r="G12" s="73" t="str">
        <f>CONCATENATE(M14,"
(50 ~ 100)")</f>
        <v>自我调节
(50 ~ 100)</v>
      </c>
      <c r="H12" s="24">
        <f>R14</f>
        <v>-2.7049999999999983</v>
      </c>
      <c r="I12" s="52">
        <f>N14</f>
        <v>-1.568799999999996</v>
      </c>
      <c r="J12" s="24">
        <f>T14</f>
        <v>0.10550000000000637</v>
      </c>
      <c r="K12" s="25">
        <f>P14</f>
        <v>0.43132999999999999</v>
      </c>
      <c r="L12" s="4"/>
      <c r="M12" s="27" t="str">
        <f>lang!B19</f>
        <v>自信</v>
      </c>
      <c r="N12" s="59">
        <f t="shared" si="4"/>
        <v>3.0923999999999978</v>
      </c>
      <c r="O12" s="59">
        <f t="shared" si="5"/>
        <v>-0.22969999999999979</v>
      </c>
      <c r="P12" s="59">
        <f t="shared" si="6"/>
        <v>-0.39161999999999964</v>
      </c>
      <c r="Q12" s="59">
        <f t="shared" si="7"/>
        <v>0</v>
      </c>
      <c r="R12" s="59">
        <f t="shared" si="8"/>
        <v>2.9359000000000037</v>
      </c>
      <c r="S12" s="59">
        <f t="shared" si="9"/>
        <v>0</v>
      </c>
      <c r="T12" s="59">
        <f t="shared" si="10"/>
        <v>0.47299999999999898</v>
      </c>
      <c r="U12" s="15"/>
      <c r="V12" s="27" t="str">
        <f t="shared" si="11"/>
        <v>自信</v>
      </c>
      <c r="W12" s="59">
        <f>'M1'!B10*1</f>
        <v>77.664000000000001</v>
      </c>
      <c r="X12" s="59">
        <f>'M1'!C10*1</f>
        <v>2.1739099999999998</v>
      </c>
      <c r="Y12" s="59">
        <f>'M1'!D10*1</f>
        <v>2.7991199999999998</v>
      </c>
      <c r="Z12" s="59">
        <f>'M1'!E10*1</f>
        <v>40</v>
      </c>
      <c r="AA12" s="59">
        <f>'M1'!F10*1</f>
        <v>71.239199999999997</v>
      </c>
      <c r="AB12" s="59">
        <f>'M1'!G10*1</f>
        <v>100</v>
      </c>
      <c r="AC12" s="59">
        <f>'M1'!H10*1</f>
        <v>81.451599999999999</v>
      </c>
      <c r="AE12" s="27" t="str">
        <f t="shared" si="12"/>
        <v>自信</v>
      </c>
      <c r="AF12" s="59">
        <f>'M2'!B10*1</f>
        <v>80.756399999999999</v>
      </c>
      <c r="AG12" s="59">
        <f>'M2'!C10*1</f>
        <v>1.94421</v>
      </c>
      <c r="AH12" s="59">
        <f>'M2'!D10*1</f>
        <v>2.4075000000000002</v>
      </c>
      <c r="AI12" s="59">
        <f>'M2'!E10*1</f>
        <v>40</v>
      </c>
      <c r="AJ12" s="59">
        <f>'M2'!F10*1</f>
        <v>74.1751</v>
      </c>
      <c r="AK12" s="59">
        <f>'M2'!G10*1</f>
        <v>100</v>
      </c>
      <c r="AL12" s="59">
        <f>'M2'!H10*1</f>
        <v>81.924599999999998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-1.5278000000000027</v>
      </c>
      <c r="D13" s="55">
        <f>N15</f>
        <v>-9.1300000000000381E-2</v>
      </c>
      <c r="E13" s="56">
        <f>T15</f>
        <v>-2.3200000000000003</v>
      </c>
      <c r="F13" s="56">
        <f>P15</f>
        <v>2.4609299999999994</v>
      </c>
      <c r="G13" s="74" t="str">
        <f>CONCATENATE(M16,"
(10 ~ 50)")</f>
        <v>神经质
(10 ~ 50)</v>
      </c>
      <c r="H13" s="54">
        <f>R16</f>
        <v>0.17061999999999999</v>
      </c>
      <c r="I13" s="55">
        <f>N16</f>
        <v>5.5140999999999991</v>
      </c>
      <c r="J13" s="56">
        <f>T16</f>
        <v>-3.2217999999999982</v>
      </c>
      <c r="K13" s="57">
        <f>P16</f>
        <v>-10.366700000000002</v>
      </c>
      <c r="M13" s="27" t="str">
        <f>lang!B20</f>
        <v>活力</v>
      </c>
      <c r="N13" s="59">
        <f t="shared" si="4"/>
        <v>2.8270000000000017</v>
      </c>
      <c r="O13" s="59">
        <f t="shared" si="5"/>
        <v>-2.1362099999999997</v>
      </c>
      <c r="P13" s="59">
        <f t="shared" si="6"/>
        <v>-9.7298999999999989</v>
      </c>
      <c r="Q13" s="59">
        <f t="shared" si="7"/>
        <v>0</v>
      </c>
      <c r="R13" s="59">
        <f t="shared" si="8"/>
        <v>14.929300000000001</v>
      </c>
      <c r="S13" s="59">
        <f t="shared" si="9"/>
        <v>0</v>
      </c>
      <c r="T13" s="59">
        <f t="shared" si="10"/>
        <v>7.5</v>
      </c>
      <c r="U13" s="14"/>
      <c r="V13" s="27" t="str">
        <f t="shared" si="11"/>
        <v>活力</v>
      </c>
      <c r="W13" s="59">
        <f>'M1'!B11*1</f>
        <v>25.4634</v>
      </c>
      <c r="X13" s="59">
        <f>'M1'!C11*1</f>
        <v>5.5523199999999999</v>
      </c>
      <c r="Y13" s="59">
        <f>'M1'!D11*1</f>
        <v>21.805099999999999</v>
      </c>
      <c r="Z13" s="59">
        <f>'M1'!E11*1</f>
        <v>10</v>
      </c>
      <c r="AA13" s="59">
        <f>'M1'!F11*1</f>
        <v>10.6358</v>
      </c>
      <c r="AB13" s="59">
        <f>'M1'!G11*1</f>
        <v>50</v>
      </c>
      <c r="AC13" s="59">
        <f>'M1'!H11*1</f>
        <v>28.535699999999999</v>
      </c>
      <c r="AE13" s="27" t="str">
        <f t="shared" si="12"/>
        <v>活力</v>
      </c>
      <c r="AF13" s="59">
        <f>'M2'!B11*1</f>
        <v>28.290400000000002</v>
      </c>
      <c r="AG13" s="59">
        <f>'M2'!C11*1</f>
        <v>3.4161100000000002</v>
      </c>
      <c r="AH13" s="59">
        <f>'M2'!D11*1</f>
        <v>12.075200000000001</v>
      </c>
      <c r="AI13" s="59">
        <f>'M2'!E11*1</f>
        <v>10</v>
      </c>
      <c r="AJ13" s="59">
        <f>'M2'!F11*1</f>
        <v>25.565100000000001</v>
      </c>
      <c r="AK13" s="59">
        <f>'M2'!G11*1</f>
        <v>50</v>
      </c>
      <c r="AL13" s="59">
        <f>'M2'!H11*1</f>
        <v>36.035699999999999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-1.568799999999996</v>
      </c>
      <c r="O14" s="59">
        <f t="shared" si="5"/>
        <v>0.28272000000000008</v>
      </c>
      <c r="P14" s="59">
        <f t="shared" si="6"/>
        <v>0.43132999999999999</v>
      </c>
      <c r="Q14" s="59">
        <f t="shared" si="7"/>
        <v>0</v>
      </c>
      <c r="R14" s="59">
        <f t="shared" si="8"/>
        <v>-2.7049999999999983</v>
      </c>
      <c r="S14" s="59">
        <f t="shared" si="9"/>
        <v>0</v>
      </c>
      <c r="T14" s="59">
        <f t="shared" si="10"/>
        <v>0.10550000000000637</v>
      </c>
      <c r="U14" s="14"/>
      <c r="V14" s="27" t="str">
        <f t="shared" si="11"/>
        <v>自我调节</v>
      </c>
      <c r="W14" s="59">
        <f>'M1'!B12*1</f>
        <v>75.804400000000001</v>
      </c>
      <c r="X14" s="59">
        <f>'M1'!C12*1</f>
        <v>1.8113900000000001</v>
      </c>
      <c r="Y14" s="59">
        <f>'M1'!D12*1</f>
        <v>2.3895599999999999</v>
      </c>
      <c r="Z14" s="59">
        <f>'M1'!E12*1</f>
        <v>50</v>
      </c>
      <c r="AA14" s="59">
        <f>'M1'!F12*1</f>
        <v>71.830799999999996</v>
      </c>
      <c r="AB14" s="59">
        <f>'M1'!G12*1</f>
        <v>100</v>
      </c>
      <c r="AC14" s="59">
        <f>'M1'!H12*1</f>
        <v>80.1708</v>
      </c>
      <c r="AE14" s="27" t="str">
        <f t="shared" si="12"/>
        <v>自我调节</v>
      </c>
      <c r="AF14" s="59">
        <f>'M2'!B12*1</f>
        <v>74.235600000000005</v>
      </c>
      <c r="AG14" s="59">
        <f>'M2'!C12*1</f>
        <v>2.0941100000000001</v>
      </c>
      <c r="AH14" s="59">
        <f>'M2'!D12*1</f>
        <v>2.8208899999999999</v>
      </c>
      <c r="AI14" s="59">
        <f>'M2'!E12*1</f>
        <v>50</v>
      </c>
      <c r="AJ14" s="59">
        <f>'M2'!F12*1</f>
        <v>69.125799999999998</v>
      </c>
      <c r="AK14" s="59">
        <f>'M2'!G12*1</f>
        <v>100</v>
      </c>
      <c r="AL14" s="59">
        <f>'M2'!H12*1</f>
        <v>80.276300000000006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-9.1300000000000381E-2</v>
      </c>
      <c r="O15" s="59">
        <f t="shared" si="5"/>
        <v>0.55140999999999973</v>
      </c>
      <c r="P15" s="59">
        <f t="shared" si="6"/>
        <v>2.4609299999999994</v>
      </c>
      <c r="Q15" s="59">
        <f t="shared" si="7"/>
        <v>0</v>
      </c>
      <c r="R15" s="59">
        <f t="shared" si="8"/>
        <v>-1.5278000000000027</v>
      </c>
      <c r="S15" s="59">
        <f t="shared" si="9"/>
        <v>0</v>
      </c>
      <c r="T15" s="59">
        <f t="shared" si="10"/>
        <v>-2.3200000000000003</v>
      </c>
      <c r="U15" s="14"/>
      <c r="V15" s="27" t="str">
        <f t="shared" si="11"/>
        <v>抑郁</v>
      </c>
      <c r="W15" s="59">
        <f>'M1'!B13*1</f>
        <v>22.8127</v>
      </c>
      <c r="X15" s="59">
        <f>'M1'!C13*1</f>
        <v>1.9364300000000001</v>
      </c>
      <c r="Y15" s="59">
        <f>'M1'!D13*1</f>
        <v>8.4883699999999997</v>
      </c>
      <c r="Z15" s="59">
        <f>'M1'!E13*1</f>
        <v>10</v>
      </c>
      <c r="AA15" s="59">
        <f>'M1'!F13*1</f>
        <v>19.298100000000002</v>
      </c>
      <c r="AB15" s="59">
        <f>'M1'!G13*1</f>
        <v>25</v>
      </c>
      <c r="AC15" s="59">
        <f>'M1'!H13*1</f>
        <v>29.7455</v>
      </c>
      <c r="AE15" s="27" t="str">
        <f t="shared" si="12"/>
        <v>抑郁</v>
      </c>
      <c r="AF15" s="59">
        <f>'M2'!B13*1</f>
        <v>22.721399999999999</v>
      </c>
      <c r="AG15" s="59">
        <f>'M2'!C13*1</f>
        <v>2.4878399999999998</v>
      </c>
      <c r="AH15" s="59">
        <f>'M2'!D13*1</f>
        <v>10.949299999999999</v>
      </c>
      <c r="AI15" s="59">
        <f>'M2'!E13*1</f>
        <v>10</v>
      </c>
      <c r="AJ15" s="59">
        <f>'M2'!F13*1</f>
        <v>17.770299999999999</v>
      </c>
      <c r="AK15" s="59">
        <f>'M2'!G13*1</f>
        <v>25</v>
      </c>
      <c r="AL15" s="59">
        <f>'M2'!H13*1</f>
        <v>27.4255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5.5140999999999991</v>
      </c>
      <c r="O16" s="59">
        <f t="shared" si="5"/>
        <v>-0.53331999999999979</v>
      </c>
      <c r="P16" s="59">
        <f t="shared" si="6"/>
        <v>-10.366700000000002</v>
      </c>
      <c r="Q16" s="59">
        <f t="shared" si="7"/>
        <v>0</v>
      </c>
      <c r="R16" s="59">
        <f t="shared" si="8"/>
        <v>0.17061999999999999</v>
      </c>
      <c r="S16" s="59">
        <f t="shared" si="9"/>
        <v>0</v>
      </c>
      <c r="T16" s="59">
        <f t="shared" si="10"/>
        <v>-3.2217999999999982</v>
      </c>
      <c r="U16" s="15"/>
      <c r="V16" s="27" t="str">
        <f t="shared" si="11"/>
        <v>神经质</v>
      </c>
      <c r="W16" s="59">
        <f>'M1'!B14*1</f>
        <v>19.3643</v>
      </c>
      <c r="X16" s="59">
        <f>'M1'!C14*1</f>
        <v>7.1841900000000001</v>
      </c>
      <c r="Y16" s="59">
        <f>'M1'!D14*1</f>
        <v>37.100200000000001</v>
      </c>
      <c r="Z16" s="59">
        <f>'M1'!E14*1</f>
        <v>10</v>
      </c>
      <c r="AA16" s="59">
        <f>'M1'!F14*1</f>
        <v>3.12384</v>
      </c>
      <c r="AB16" s="59">
        <f>'M1'!G14*1</f>
        <v>50</v>
      </c>
      <c r="AC16" s="59">
        <f>'M1'!H14*1</f>
        <v>27.4072</v>
      </c>
      <c r="AE16" s="27" t="str">
        <f t="shared" si="12"/>
        <v>神经质</v>
      </c>
      <c r="AF16" s="59">
        <f>'M2'!B14*1</f>
        <v>24.878399999999999</v>
      </c>
      <c r="AG16" s="59">
        <f>'M2'!C14*1</f>
        <v>6.6508700000000003</v>
      </c>
      <c r="AH16" s="59">
        <f>'M2'!D14*1</f>
        <v>26.733499999999999</v>
      </c>
      <c r="AI16" s="59">
        <f>'M2'!E14*1</f>
        <v>10</v>
      </c>
      <c r="AJ16" s="59">
        <f>'M2'!F14*1</f>
        <v>3.2944599999999999</v>
      </c>
      <c r="AK16" s="59">
        <f>'M2'!G14*1</f>
        <v>50</v>
      </c>
      <c r="AL16" s="59">
        <f>'M2'!H14*1</f>
        <v>24.185400000000001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-0.4290750000000001</v>
      </c>
      <c r="O17" s="22">
        <f>N17/(N17+N18+N19)</f>
        <v>-0.21730817928589521</v>
      </c>
      <c r="P17" s="65">
        <f>SUM(P11:P14)/4</f>
        <v>-2.0817600000000001</v>
      </c>
      <c r="Q17" s="22">
        <f>P17/(P17+P18+P19)</f>
        <v>0.18782658593944196</v>
      </c>
      <c r="R17" s="14"/>
      <c r="S17" s="14"/>
      <c r="T17" s="14"/>
      <c r="U17" s="14"/>
      <c r="V17" s="21" t="str">
        <f>M17</f>
        <v>Positive</v>
      </c>
      <c r="W17" s="65">
        <f>SUM(W11:W14)/4</f>
        <v>63.533875000000009</v>
      </c>
      <c r="X17" s="22">
        <f>W17/(W17+W18+W19)</f>
        <v>0.55900974292003414</v>
      </c>
      <c r="Y17" s="65">
        <f>SUM(Y11:Y14)/4</f>
        <v>7.9059749999999998</v>
      </c>
      <c r="Z17" s="22">
        <f>Y17/(Y17+Y18+Y19)</f>
        <v>0.16064624861833068</v>
      </c>
      <c r="AA17" s="14"/>
      <c r="AB17" s="14"/>
      <c r="AC17" s="14"/>
      <c r="AE17" s="21" t="str">
        <f>V17</f>
        <v>Positive</v>
      </c>
      <c r="AF17" s="65">
        <f>SUM(AF11:AF14)/4</f>
        <v>63.104799999999997</v>
      </c>
      <c r="AG17" s="22">
        <f>AF17/(AF17+AF18+AF19)</f>
        <v>0.54575318913774307</v>
      </c>
      <c r="AH17" s="65">
        <f>SUM(AH11:AH14)/4</f>
        <v>5.8242149999999997</v>
      </c>
      <c r="AI17" s="22">
        <f>AH17/(AH17+AH18+AH19)</f>
        <v>0.15274565188271935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-0.30782499999999935</v>
      </c>
      <c r="O18" s="22">
        <f>N18/(N17+N18+N19)</f>
        <v>-0.15590022790579861</v>
      </c>
      <c r="P18" s="18">
        <f>SUM(P7:P10)/4</f>
        <v>-5.0487699999999993</v>
      </c>
      <c r="Q18" s="22">
        <f>P18/(P17+P18+P19)</f>
        <v>0.45552476380249218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29.031949999999998</v>
      </c>
      <c r="X18" s="22">
        <f>W18/(W17+W18+W19)</f>
        <v>0.25544078502951822</v>
      </c>
      <c r="Y18" s="18">
        <f>SUM(Y7:Y10)/4</f>
        <v>18.5133075</v>
      </c>
      <c r="Z18" s="22">
        <f>Y18/(Y17+Y18+Y19)</f>
        <v>0.37618300075482231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28.724125000000001</v>
      </c>
      <c r="AG18" s="22">
        <f>AF18/(AF17+AF18+AF19)</f>
        <v>0.24841664697362442</v>
      </c>
      <c r="AH18" s="18">
        <f>SUM(AH7:AH10)/4</f>
        <v>13.464537499999999</v>
      </c>
      <c r="AI18" s="22">
        <f>AH18/(AH17+AH18+AH19)</f>
        <v>0.35312047335766622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2.7113999999999994</v>
      </c>
      <c r="O19" s="22">
        <f>N19/(N17+N18+N19)</f>
        <v>1.3732084071916939</v>
      </c>
      <c r="P19" s="18">
        <f>(P15+P16)/2</f>
        <v>-3.9528850000000011</v>
      </c>
      <c r="Q19" s="22">
        <f>P19/(P17+P18+P19)</f>
        <v>0.35664865025806586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21.0885</v>
      </c>
      <c r="X19" s="22">
        <f>W19/(W17+W18+W19)</f>
        <v>0.18554947205044769</v>
      </c>
      <c r="Y19" s="18">
        <f>(Y15+Y16)/2</f>
        <v>22.794285000000002</v>
      </c>
      <c r="Z19" s="22">
        <f>Y19/(Y17+Y18+Y19)</f>
        <v>0.46317075062684698</v>
      </c>
      <c r="AA19" s="14"/>
      <c r="AB19" s="14"/>
      <c r="AC19" s="14"/>
      <c r="AE19" s="21" t="str">
        <f t="shared" si="14"/>
        <v>Physiological</v>
      </c>
      <c r="AF19" s="18">
        <f>(AF15+AF16)/2</f>
        <v>23.799900000000001</v>
      </c>
      <c r="AG19" s="22">
        <f>AF19/(AF17+AF18+AF19)</f>
        <v>0.20583016388863243</v>
      </c>
      <c r="AH19" s="18">
        <f>(AH15+AH16)/2</f>
        <v>18.8414</v>
      </c>
      <c r="AI19" s="22">
        <f>AH19/(AH17+AH18+AH19)</f>
        <v>0.49413387475961451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1.74/2.08</v>
      </c>
      <c r="D24" s="44" t="str">
        <f>lang!B11</f>
        <v>频率方差</v>
      </c>
      <c r="E24" s="142" t="str">
        <f ca="1">CONCATENATE(ROUND('FH1'!L3,2),"/",ROUND('FH2'!L3,2))</f>
        <v>0.63/0.61</v>
      </c>
      <c r="F24" s="143"/>
      <c r="G24" s="134" t="str">
        <f>lang!B12</f>
        <v>生理变化率</v>
      </c>
      <c r="H24" s="135"/>
      <c r="I24" s="62" t="str">
        <f ca="1">CONCATENATE(info!M7,"-",info!M8)</f>
        <v>35.8-50.7</v>
      </c>
      <c r="J24" s="42" t="str">
        <f>lang!B13</f>
        <v>千卡l/分钟</v>
      </c>
      <c r="K24" s="41" t="str">
        <f ca="1">CONCATENATE(info!M5,"-",info!M6)</f>
        <v>2.5-4.6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-3.0144000000000002</v>
      </c>
      <c r="F27" s="164"/>
      <c r="G27" s="178" t="str">
        <f>lang!B33</f>
        <v>稳定性</v>
      </c>
      <c r="H27" s="179"/>
      <c r="I27" s="180"/>
      <c r="J27" s="181">
        <f>dM!B19*100</f>
        <v>7.9647000000000023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-0.6414839819103868</v>
      </c>
      <c r="C2">
        <f t="array" aca="1" ref="C2" ca="1">CORREL(FT_E02,FT_PH02)</f>
        <v>3.8578622763294795E-2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2.4830899999999998</v>
      </c>
      <c r="G2" s="61">
        <f>IF(FT!B2&lt;&gt;"",FT!B2*100,"")</f>
        <v>50.712699999999998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2.5605699999999998</v>
      </c>
      <c r="G3" s="61">
        <f>IF(FT!B3&lt;&gt;"",FT!B3*100,"")</f>
        <v>49.651499999999999</v>
      </c>
      <c r="H3" s="61">
        <f t="shared" ref="H3:H66" si="1">(IF(F3&lt;&gt;"",1,""))</f>
        <v>1</v>
      </c>
      <c r="I3" t="str">
        <f>IF(FT!B3&lt;&gt;"",FT!E3,"")</f>
        <v>1 [0.405783]</v>
      </c>
      <c r="J3">
        <f>IF(FT!B3&lt;&gt;"",FT!C3,"")</f>
        <v>0.405783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0.4100755270270271</v>
      </c>
      <c r="V3">
        <f ca="1">AVERAGE(OFFSET(FT!B2,info!$L$3/2,0,info!$L$3/2,1))</f>
        <v>0.40465022972972964</v>
      </c>
      <c r="W3">
        <f ca="1">AVERAGE(OFFSET(FT!A2,0,0,info!$L$3/2,1))</f>
        <v>0.36741794594594596</v>
      </c>
      <c r="X3">
        <f ca="1">AVERAGE(OFFSET(FT!A2,info!$L$3/2,0,info!$L$3/2,1))</f>
        <v>0.43013951351351365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2.6390799999999999</v>
      </c>
      <c r="G4" s="61">
        <f>IF(FT!B4&lt;&gt;"",FT!B4*100,"")</f>
        <v>48.635899999999999</v>
      </c>
      <c r="H4" s="61">
        <f t="shared" si="1"/>
        <v>1</v>
      </c>
      <c r="I4" t="str">
        <f>IF(FT!B4&lt;&gt;"",FT!E4,"")</f>
        <v>1 [0.813084]</v>
      </c>
      <c r="J4">
        <f>IF(FT!B4&lt;&gt;"",FT!C4,"")</f>
        <v>0.81308400000000003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14.941974999999999</v>
      </c>
      <c r="V4">
        <f>U4*3</f>
        <v>44.825924999999998</v>
      </c>
      <c r="W4">
        <f>U4</f>
        <v>14.941974999999999</v>
      </c>
      <c r="X4">
        <f>V4</f>
        <v>44.825924999999998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2.7215299999999996</v>
      </c>
      <c r="G5" s="61">
        <f>IF(FT!B5&lt;&gt;"",FT!B5*100,"")</f>
        <v>47.4908</v>
      </c>
      <c r="H5" s="61">
        <f t="shared" si="1"/>
        <v>1</v>
      </c>
      <c r="I5" t="str">
        <f>IF(FT!B5&lt;&gt;"",FT!E5,"")</f>
        <v>1 [1.220454]</v>
      </c>
      <c r="J5">
        <f>IF(FT!B5&lt;&gt;"",FT!C5,"")</f>
        <v>1.22045</v>
      </c>
      <c r="K5" t="s">
        <v>53</v>
      </c>
      <c r="L5" s="63">
        <f ca="1">MIN(FT_E)</f>
        <v>2.4830899999999998</v>
      </c>
      <c r="M5" s="63">
        <f ca="1">ROUND(L5,1)</f>
        <v>2.5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41.007552702702711</v>
      </c>
      <c r="V5">
        <f ca="1">V3*100</f>
        <v>40.46502297297296</v>
      </c>
      <c r="W5">
        <f ca="1">W3*10</f>
        <v>3.6741794594594595</v>
      </c>
      <c r="X5">
        <f ca="1">X3*10</f>
        <v>4.3013951351351363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2.8072499999999998</v>
      </c>
      <c r="G6" s="61">
        <f>IF(FT!B6&lt;&gt;"",FT!B6*100,"")</f>
        <v>46.2624</v>
      </c>
      <c r="H6" s="61">
        <f t="shared" si="1"/>
        <v>1</v>
      </c>
      <c r="I6" t="str">
        <f>IF(FT!B6&lt;&gt;"",FT!E6,"")</f>
        <v>1 [1.627794]</v>
      </c>
      <c r="J6">
        <f>IF(FT!B6&lt;&gt;"",FT!C6,"")</f>
        <v>1.6277900000000001</v>
      </c>
      <c r="K6" t="s">
        <v>54</v>
      </c>
      <c r="L6" s="63">
        <f ca="1">MAX(FT_E)</f>
        <v>4.6275500000000003</v>
      </c>
      <c r="M6" s="63">
        <f ca="1">ROUND(L6,1)</f>
        <v>4.5999999999999996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2.8950300000000002</v>
      </c>
      <c r="G7" s="61">
        <f>IF(FT!B7&lt;&gt;"",FT!B7*100,"")</f>
        <v>45.0458</v>
      </c>
      <c r="H7" s="61">
        <f t="shared" si="1"/>
        <v>1</v>
      </c>
      <c r="I7" t="str">
        <f>IF(FT!B7&lt;&gt;"",FT!E7,"")</f>
        <v>1 [2.030769]</v>
      </c>
      <c r="J7">
        <f>IF(FT!B7&lt;&gt;"",FT!C7,"")</f>
        <v>2.03077</v>
      </c>
      <c r="K7" t="s">
        <v>55</v>
      </c>
      <c r="L7" s="63">
        <f ca="1">MIN(FT_PH)</f>
        <v>35.848600000000005</v>
      </c>
      <c r="M7" s="63">
        <f ca="1">ROUND(L7,1)</f>
        <v>35.799999999999997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3027</v>
      </c>
      <c r="D8" s="61">
        <f>FH!B8*1</f>
        <v>3027</v>
      </c>
      <c r="E8">
        <f t="shared" si="3"/>
        <v>6</v>
      </c>
      <c r="F8" s="61">
        <f>IF(FT!A8&lt;&gt;"",FT!A8*10,"")</f>
        <v>2.9826100000000002</v>
      </c>
      <c r="G8" s="61">
        <f>IF(FT!B8&lt;&gt;"",FT!B8*100,"")</f>
        <v>43.964599999999997</v>
      </c>
      <c r="H8" s="61">
        <f t="shared" si="1"/>
        <v>1</v>
      </c>
      <c r="I8" t="str">
        <f>IF(FT!B8&lt;&gt;"",FT!E8,"")</f>
        <v>1 [2.438484]</v>
      </c>
      <c r="J8">
        <f>IF(FT!B8&lt;&gt;"",FT!C8,"")</f>
        <v>2.4384800000000002</v>
      </c>
      <c r="K8" t="s">
        <v>56</v>
      </c>
      <c r="L8" s="63">
        <f ca="1">MAX(FT_PH)</f>
        <v>50.712699999999998</v>
      </c>
      <c r="M8" s="63">
        <f ca="1">ROUND(L8,1)</f>
        <v>50.7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3.0681099999999999</v>
      </c>
      <c r="G9" s="61">
        <f>IF(FT!B9&lt;&gt;"",FT!B9*100,"")</f>
        <v>43.056899999999999</v>
      </c>
      <c r="H9" s="61">
        <f t="shared" si="1"/>
        <v>1</v>
      </c>
      <c r="I9" t="str">
        <f>IF(FT!B9&lt;&gt;"",FT!E9,"")</f>
        <v>1 [2.842091]</v>
      </c>
      <c r="J9">
        <f>IF(FT!B9&lt;&gt;"",FT!C9,"")</f>
        <v>2.8420899999999998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4809</v>
      </c>
      <c r="D10" s="61">
        <f>FH!B10*1</f>
        <v>4809</v>
      </c>
      <c r="E10">
        <f t="shared" si="3"/>
        <v>8</v>
      </c>
      <c r="F10" s="61">
        <f>IF(FT!A10&lt;&gt;"",FT!A10*10,"")</f>
        <v>3.1497700000000002</v>
      </c>
      <c r="G10" s="61">
        <f>IF(FT!B10&lt;&gt;"",FT!B10*100,"")</f>
        <v>42.3992</v>
      </c>
      <c r="H10" s="61">
        <f t="shared" si="1"/>
        <v>1</v>
      </c>
      <c r="I10" t="str">
        <f>IF(FT!B10&lt;&gt;"",FT!E10,"")</f>
        <v>1 [3.250099]</v>
      </c>
      <c r="J10">
        <f>IF(FT!B10&lt;&gt;"",FT!C10,"")</f>
        <v>3.2501000000000002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3.2276700000000003</v>
      </c>
      <c r="G11" s="61">
        <f>IF(FT!B11&lt;&gt;"",FT!B11*100,"")</f>
        <v>41.947899999999997</v>
      </c>
      <c r="H11" s="61">
        <f t="shared" si="1"/>
        <v>1</v>
      </c>
      <c r="I11" t="str">
        <f>IF(FT!B11&lt;&gt;"",FT!E11,"")</f>
        <v>1 [3.656417]</v>
      </c>
      <c r="J11">
        <f>IF(FT!B11&lt;&gt;"",FT!C11,"")</f>
        <v>3.6564199999999998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3.2989800000000002</v>
      </c>
      <c r="G12" s="61">
        <f>IF(FT!B12&lt;&gt;"",FT!B12*100,"")</f>
        <v>41.708500000000001</v>
      </c>
      <c r="H12" s="61">
        <f t="shared" si="1"/>
        <v>1</v>
      </c>
      <c r="I12" t="str">
        <f>IF(FT!B12&lt;&gt;"",FT!E12,"")</f>
        <v>1 [4.065006]</v>
      </c>
      <c r="J12">
        <f>IF(FT!B12&lt;&gt;"",FT!C12,"")</f>
        <v>4.06501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5944</v>
      </c>
      <c r="D13" s="61">
        <f>FH!B13*1</f>
        <v>5944</v>
      </c>
      <c r="E13">
        <f t="shared" si="3"/>
        <v>11</v>
      </c>
      <c r="F13" s="61">
        <f>IF(FT!A13&lt;&gt;"",FT!A13*10,"")</f>
        <v>3.3649899999999997</v>
      </c>
      <c r="G13" s="61">
        <f>IF(FT!B13&lt;&gt;"",FT!B13*100,"")</f>
        <v>41.624400000000001</v>
      </c>
      <c r="H13" s="61">
        <f t="shared" si="1"/>
        <v>1</v>
      </c>
      <c r="I13" t="str">
        <f>IF(FT!B13&lt;&gt;"",FT!E13,"")</f>
        <v>1 [4.467525]</v>
      </c>
      <c r="J13">
        <f>IF(FT!B13&lt;&gt;"",FT!C13,"")</f>
        <v>4.4675200000000004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3.42361</v>
      </c>
      <c r="G14" s="61">
        <f>IF(FT!B14&lt;&gt;"",FT!B14*100,"")</f>
        <v>41.735699999999994</v>
      </c>
      <c r="H14" s="61">
        <f t="shared" si="1"/>
        <v>1</v>
      </c>
      <c r="I14" t="str">
        <f>IF(FT!B14&lt;&gt;"",FT!E14,"")</f>
        <v>1 [4.874343]</v>
      </c>
      <c r="J14">
        <f>IF(FT!B14&lt;&gt;"",FT!C14,"")</f>
        <v>4.8743400000000001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7283</v>
      </c>
      <c r="D15" s="61">
        <f>FH!B15*1</f>
        <v>7283</v>
      </c>
      <c r="E15">
        <f t="shared" si="3"/>
        <v>13</v>
      </c>
      <c r="F15" s="61">
        <f>IF(FT!A15&lt;&gt;"",FT!A15*10,"")</f>
        <v>3.4765600000000001</v>
      </c>
      <c r="G15" s="61">
        <f>IF(FT!B15&lt;&gt;"",FT!B15*100,"")</f>
        <v>41.947899999999997</v>
      </c>
      <c r="H15" s="61">
        <f t="shared" si="1"/>
        <v>1</v>
      </c>
      <c r="I15" t="str">
        <f>IF(FT!B15&lt;&gt;"",FT!E15,"")</f>
        <v>1 [5.282657]</v>
      </c>
      <c r="J15">
        <f>IF(FT!B15&lt;&gt;"",FT!C15,"")</f>
        <v>5.2826599999999999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3.5255399999999999</v>
      </c>
      <c r="G16" s="61">
        <f>IF(FT!B16&lt;&gt;"",FT!B16*100,"")</f>
        <v>42.217399999999998</v>
      </c>
      <c r="H16" s="61">
        <f t="shared" si="1"/>
        <v>1</v>
      </c>
      <c r="I16" t="str">
        <f>IF(FT!B16&lt;&gt;"",FT!E16,"")</f>
        <v>1 [5.689903]</v>
      </c>
      <c r="J16">
        <f>IF(FT!B16&lt;&gt;"",FT!C16,"")</f>
        <v>5.6898999999999997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3.5706199999999999</v>
      </c>
      <c r="G17" s="61">
        <f>IF(FT!B17&lt;&gt;"",FT!B17*100,"")</f>
        <v>42.526299999999999</v>
      </c>
      <c r="H17" s="61">
        <f t="shared" si="1"/>
        <v>1</v>
      </c>
      <c r="I17" t="str">
        <f>IF(FT!B17&lt;&gt;"",FT!E17,"")</f>
        <v>1 [6.093940]</v>
      </c>
      <c r="J17">
        <f>IF(FT!B17&lt;&gt;"",FT!C17,"")</f>
        <v>6.0939399999999999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14163</v>
      </c>
      <c r="D18" s="61">
        <f>FH!B18*1</f>
        <v>14163</v>
      </c>
      <c r="E18">
        <f t="shared" si="3"/>
        <v>16</v>
      </c>
      <c r="F18" s="61">
        <f>IF(FT!A18&lt;&gt;"",FT!A18*10,"")</f>
        <v>3.6126999999999998</v>
      </c>
      <c r="G18" s="61">
        <f>IF(FT!B18&lt;&gt;"",FT!B18*100,"")</f>
        <v>42.764899999999997</v>
      </c>
      <c r="H18" s="61">
        <f t="shared" si="1"/>
        <v>1</v>
      </c>
      <c r="I18" t="str">
        <f>IF(FT!B18&lt;&gt;"",FT!E18,"")</f>
        <v>1 [6.499054]</v>
      </c>
      <c r="J18">
        <f>IF(FT!B18&lt;&gt;"",FT!C18,"")</f>
        <v>6.4990500000000004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3.65137</v>
      </c>
      <c r="G19" s="61">
        <f>IF(FT!B19&lt;&gt;"",FT!B19*100,"")</f>
        <v>42.997600000000006</v>
      </c>
      <c r="H19" s="61">
        <f t="shared" si="1"/>
        <v>1</v>
      </c>
      <c r="I19" t="str">
        <f>IF(FT!B19&lt;&gt;"",FT!E19,"")</f>
        <v>1 [6.905709]</v>
      </c>
      <c r="J19">
        <f>IF(FT!B19&lt;&gt;"",FT!C19,"")</f>
        <v>6.90571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3.6857600000000001</v>
      </c>
      <c r="G20" s="61">
        <f>IF(FT!B20&lt;&gt;"",FT!B20*100,"")</f>
        <v>43.246899999999997</v>
      </c>
      <c r="H20" s="61">
        <f t="shared" si="1"/>
        <v>1</v>
      </c>
      <c r="I20" t="str">
        <f>IF(FT!B20&lt;&gt;"",FT!E20,"")</f>
        <v>1 [7.315774]</v>
      </c>
      <c r="J20">
        <f>IF(FT!B20&lt;&gt;"",FT!C20,"")</f>
        <v>7.3157699999999997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14680</v>
      </c>
      <c r="D21" s="61">
        <f>FH!B21*1</f>
        <v>14680</v>
      </c>
      <c r="E21">
        <f t="shared" si="3"/>
        <v>19</v>
      </c>
      <c r="F21" s="61">
        <f>IF(FT!A21&lt;&gt;"",FT!A21*10,"")</f>
        <v>3.7166300000000003</v>
      </c>
      <c r="G21" s="61">
        <f>IF(FT!B21&lt;&gt;"",FT!B21*100,"")</f>
        <v>43.518900000000002</v>
      </c>
      <c r="H21" s="61">
        <f t="shared" si="1"/>
        <v>1</v>
      </c>
      <c r="I21" t="str">
        <f>IF(FT!B21&lt;&gt;"",FT!E21,"")</f>
        <v>1 [7.720775]</v>
      </c>
      <c r="J21">
        <f>IF(FT!B21&lt;&gt;"",FT!C21,"")</f>
        <v>7.7207800000000004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3.74641</v>
      </c>
      <c r="G22" s="61">
        <f>IF(FT!B22&lt;&gt;"",FT!B22*100,"")</f>
        <v>43.729300000000002</v>
      </c>
      <c r="H22" s="61">
        <f t="shared" si="1"/>
        <v>1</v>
      </c>
      <c r="I22" t="str">
        <f>IF(FT!B22&lt;&gt;"",FT!E22,"")</f>
        <v>1 [8.125172]</v>
      </c>
      <c r="J22">
        <f>IF(FT!B22&lt;&gt;"",FT!C22,"")</f>
        <v>8.1251700000000007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21391</v>
      </c>
      <c r="D23" s="61">
        <f>FH!B23*1</f>
        <v>21391</v>
      </c>
      <c r="E23">
        <f t="shared" si="3"/>
        <v>21</v>
      </c>
      <c r="F23" s="61">
        <f>IF(FT!A23&lt;&gt;"",FT!A23*10,"")</f>
        <v>3.7738</v>
      </c>
      <c r="G23" s="61">
        <f>IF(FT!B23&lt;&gt;"",FT!B23*100,"")</f>
        <v>43.868400000000001</v>
      </c>
      <c r="H23" s="61">
        <f t="shared" si="1"/>
        <v>1</v>
      </c>
      <c r="I23" t="str">
        <f>IF(FT!B23&lt;&gt;"",FT!E23,"")</f>
        <v>1 [8.531554]</v>
      </c>
      <c r="J23">
        <f>IF(FT!B23&lt;&gt;"",FT!C23,"")</f>
        <v>8.5315499999999993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3.7982800000000001</v>
      </c>
      <c r="G24" s="61">
        <f>IF(FT!B24&lt;&gt;"",FT!B24*100,"")</f>
        <v>43.970199999999998</v>
      </c>
      <c r="H24" s="61">
        <f t="shared" si="1"/>
        <v>1</v>
      </c>
      <c r="I24" t="str">
        <f>IF(FT!B24&lt;&gt;"",FT!E24,"")</f>
        <v>1 [8.937367]</v>
      </c>
      <c r="J24">
        <f>IF(FT!B24&lt;&gt;"",FT!C24,"")</f>
        <v>8.9373699999999996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3.8176199999999998</v>
      </c>
      <c r="G25" s="61">
        <f>IF(FT!B25&lt;&gt;"",FT!B25*100,"")</f>
        <v>44.045299999999997</v>
      </c>
      <c r="H25" s="61">
        <f t="shared" si="1"/>
        <v>1</v>
      </c>
      <c r="I25" t="str">
        <f>IF(FT!B25&lt;&gt;"",FT!E25,"")</f>
        <v>1 [9.345037]</v>
      </c>
      <c r="J25">
        <f>IF(FT!B25&lt;&gt;"",FT!C25,"")</f>
        <v>9.3450399999999991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20679</v>
      </c>
      <c r="D26" s="61">
        <f>FH!B26*1</f>
        <v>20679</v>
      </c>
      <c r="E26">
        <f t="shared" si="3"/>
        <v>24</v>
      </c>
      <c r="F26" s="61">
        <f>IF(FT!A26&lt;&gt;"",FT!A26*10,"")</f>
        <v>3.8363199999999997</v>
      </c>
      <c r="G26" s="61">
        <f>IF(FT!B26&lt;&gt;"",FT!B26*100,"")</f>
        <v>44.097799999999999</v>
      </c>
      <c r="H26" s="61">
        <f t="shared" si="1"/>
        <v>1</v>
      </c>
      <c r="I26" t="str">
        <f>IF(FT!B26&lt;&gt;"",FT!E26,"")</f>
        <v>1 [9.753526]</v>
      </c>
      <c r="J26">
        <f>IF(FT!B26&lt;&gt;"",FT!C26,"")</f>
        <v>9.7535299999999996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3.8527499999999999</v>
      </c>
      <c r="G27" s="61">
        <f>IF(FT!B27&lt;&gt;"",FT!B27*100,"")</f>
        <v>44.119500000000002</v>
      </c>
      <c r="H27" s="61">
        <f t="shared" si="1"/>
        <v>1</v>
      </c>
      <c r="I27" t="str">
        <f>IF(FT!B27&lt;&gt;"",FT!E27,"")</f>
        <v>1 [10.156585]</v>
      </c>
      <c r="J27">
        <f>IF(FT!B27&lt;&gt;"",FT!C27,"")</f>
        <v>10.156599999999999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27942</v>
      </c>
      <c r="D28" s="61">
        <f>FH!B28*1</f>
        <v>27942</v>
      </c>
      <c r="E28">
        <f t="shared" si="3"/>
        <v>26</v>
      </c>
      <c r="F28" s="61">
        <f>IF(FT!A28&lt;&gt;"",FT!A28*10,"")</f>
        <v>3.8680099999999999</v>
      </c>
      <c r="G28" s="61">
        <f>IF(FT!B28&lt;&gt;"",FT!B28*100,"")</f>
        <v>44.1051</v>
      </c>
      <c r="H28" s="61">
        <f t="shared" si="1"/>
        <v>1</v>
      </c>
      <c r="I28" t="str">
        <f>IF(FT!B28&lt;&gt;"",FT!E28,"")</f>
        <v>1 [10.560296]</v>
      </c>
      <c r="J28">
        <f>IF(FT!B28&lt;&gt;"",FT!C28,"")</f>
        <v>10.5603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3.8803000000000001</v>
      </c>
      <c r="G29" s="61">
        <f>IF(FT!B29&lt;&gt;"",FT!B29*100,"")</f>
        <v>44.036700000000003</v>
      </c>
      <c r="H29" s="61">
        <f t="shared" si="1"/>
        <v>1</v>
      </c>
      <c r="I29" t="str">
        <f>IF(FT!B29&lt;&gt;"",FT!E29,"")</f>
        <v>1 [10.968481]</v>
      </c>
      <c r="J29">
        <f>IF(FT!B29&lt;&gt;"",FT!C29,"")</f>
        <v>10.968500000000001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3.88801</v>
      </c>
      <c r="G30" s="61">
        <f>IF(FT!B30&lt;&gt;"",FT!B30*100,"")</f>
        <v>43.9099</v>
      </c>
      <c r="H30" s="61">
        <f t="shared" si="1"/>
        <v>1</v>
      </c>
      <c r="I30" t="str">
        <f>IF(FT!B30&lt;&gt;"",FT!E30,"")</f>
        <v>1 [11.376685]</v>
      </c>
      <c r="J30">
        <f>IF(FT!B30&lt;&gt;"",FT!C30,"")</f>
        <v>11.3767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33795</v>
      </c>
      <c r="D31" s="61">
        <f>FH!B31*1</f>
        <v>33795</v>
      </c>
      <c r="E31">
        <f t="shared" si="3"/>
        <v>29</v>
      </c>
      <c r="F31" s="61">
        <f>IF(FT!A31&lt;&gt;"",FT!A31*10,"")</f>
        <v>3.8907500000000002</v>
      </c>
      <c r="G31" s="61">
        <f>IF(FT!B31&lt;&gt;"",FT!B31*100,"")</f>
        <v>43.765000000000001</v>
      </c>
      <c r="H31" s="61">
        <f t="shared" si="1"/>
        <v>1</v>
      </c>
      <c r="I31" t="str">
        <f>IF(FT!B31&lt;&gt;"",FT!E31,"")</f>
        <v>1 [11.782452]</v>
      </c>
      <c r="J31">
        <f>IF(FT!B31&lt;&gt;"",FT!C31,"")</f>
        <v>11.782500000000001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3.8904899999999998</v>
      </c>
      <c r="G32" s="61">
        <f>IF(FT!B32&lt;&gt;"",FT!B32*100,"")</f>
        <v>43.606699999999996</v>
      </c>
      <c r="H32" s="61">
        <f t="shared" si="1"/>
        <v>1</v>
      </c>
      <c r="I32" t="str">
        <f>IF(FT!B32&lt;&gt;"",FT!E32,"")</f>
        <v>1 [12.188552]</v>
      </c>
      <c r="J32">
        <f>IF(FT!B32&lt;&gt;"",FT!C32,"")</f>
        <v>12.188599999999999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40407</v>
      </c>
      <c r="D33" s="61">
        <f>FH!B33*1</f>
        <v>40407</v>
      </c>
      <c r="E33">
        <f t="shared" si="3"/>
        <v>31</v>
      </c>
      <c r="F33" s="61">
        <f>IF(FT!A33&lt;&gt;"",FT!A33*10,"")</f>
        <v>3.8879399999999995</v>
      </c>
      <c r="G33" s="61">
        <f>IF(FT!B33&lt;&gt;"",FT!B33*100,"")</f>
        <v>43.453000000000003</v>
      </c>
      <c r="H33" s="61">
        <f t="shared" si="1"/>
        <v>1</v>
      </c>
      <c r="I33" t="str">
        <f>IF(FT!B33&lt;&gt;"",FT!E33,"")</f>
        <v>1 [12.590961]</v>
      </c>
      <c r="J33">
        <f>IF(FT!B33&lt;&gt;"",FT!C33,"")</f>
        <v>12.590999999999999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3.8842300000000001</v>
      </c>
      <c r="G34" s="61">
        <f>IF(FT!B34&lt;&gt;"",FT!B34*100,"")</f>
        <v>43.307000000000002</v>
      </c>
      <c r="H34" s="61">
        <f t="shared" si="1"/>
        <v>1</v>
      </c>
      <c r="I34" t="str">
        <f>IF(FT!B34&lt;&gt;"",FT!E34,"")</f>
        <v>1 [12.998288]</v>
      </c>
      <c r="J34">
        <f>IF(FT!B34&lt;&gt;"",FT!C34,"")</f>
        <v>12.9983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3.88042</v>
      </c>
      <c r="G35" s="61">
        <f>IF(FT!B35&lt;&gt;"",FT!B35*100,"")</f>
        <v>43.156800000000004</v>
      </c>
      <c r="H35" s="61">
        <f t="shared" si="1"/>
        <v>1</v>
      </c>
      <c r="I35" t="str">
        <f>IF(FT!B35&lt;&gt;"",FT!E35,"")</f>
        <v>1 [13.403272]</v>
      </c>
      <c r="J35">
        <f>IF(FT!B35&lt;&gt;"",FT!C35,"")</f>
        <v>13.4033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45984</v>
      </c>
      <c r="D36" s="61">
        <f>FH!B36*1</f>
        <v>45984</v>
      </c>
      <c r="E36">
        <f t="shared" si="3"/>
        <v>34</v>
      </c>
      <c r="F36" s="61">
        <f>IF(FT!A36&lt;&gt;"",FT!A36*10,"")</f>
        <v>3.8749699999999998</v>
      </c>
      <c r="G36" s="61">
        <f>IF(FT!B36&lt;&gt;"",FT!B36*100,"")</f>
        <v>42.991600000000005</v>
      </c>
      <c r="H36" s="61">
        <f t="shared" si="1"/>
        <v>1</v>
      </c>
      <c r="I36" t="str">
        <f>IF(FT!B36&lt;&gt;"",FT!E36,"")</f>
        <v>1 [13.813335]</v>
      </c>
      <c r="J36">
        <f>IF(FT!B36&lt;&gt;"",FT!C36,"")</f>
        <v>13.8133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3.8694699999999997</v>
      </c>
      <c r="G37" s="61">
        <f>IF(FT!B37&lt;&gt;"",FT!B37*100,"")</f>
        <v>42.8202</v>
      </c>
      <c r="H37" s="61">
        <f t="shared" si="1"/>
        <v>1</v>
      </c>
      <c r="I37" t="str">
        <f>IF(FT!B37&lt;&gt;"",FT!E37,"")</f>
        <v>1 [14.220264]</v>
      </c>
      <c r="J37">
        <f>IF(FT!B37&lt;&gt;"",FT!C37,"")</f>
        <v>14.2203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3.8641399999999999</v>
      </c>
      <c r="G38" s="61">
        <f>IF(FT!B38&lt;&gt;"",FT!B38*100,"")</f>
        <v>42.597200000000001</v>
      </c>
      <c r="H38" s="61">
        <f t="shared" si="1"/>
        <v>1</v>
      </c>
      <c r="I38" t="str">
        <f>IF(FT!B38&lt;&gt;"",FT!E38,"")</f>
        <v>1 [14.627477]</v>
      </c>
      <c r="J38">
        <f>IF(FT!B38&lt;&gt;"",FT!C38,"")</f>
        <v>14.6275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46755</v>
      </c>
      <c r="D39" s="61">
        <f>FH!B39*1</f>
        <v>46755</v>
      </c>
      <c r="E39">
        <f t="shared" si="3"/>
        <v>37</v>
      </c>
      <c r="F39" s="61">
        <f>IF(FT!A39&lt;&gt;"",FT!A39*10,"")</f>
        <v>3.8605200000000002</v>
      </c>
      <c r="G39" s="61">
        <f>IF(FT!B39&lt;&gt;"",FT!B39*100,"")</f>
        <v>42.282799999999995</v>
      </c>
      <c r="H39" s="61">
        <f t="shared" si="1"/>
        <v>1</v>
      </c>
      <c r="I39" t="str">
        <f>IF(FT!B39&lt;&gt;"",FT!E39,"")</f>
        <v>1 [15.028234]</v>
      </c>
      <c r="J39">
        <f>IF(FT!B39&lt;&gt;"",FT!C39,"")</f>
        <v>15.0282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3.8577499999999998</v>
      </c>
      <c r="G40" s="61">
        <f>IF(FT!B40&lt;&gt;"",FT!B40*100,"")</f>
        <v>41.931400000000004</v>
      </c>
      <c r="H40" s="61">
        <f t="shared" si="1"/>
        <v>1</v>
      </c>
      <c r="I40" t="str">
        <f>IF(FT!B40&lt;&gt;"",FT!E40,"")</f>
        <v>1 [15.436917]</v>
      </c>
      <c r="J40">
        <f>IF(FT!B40&lt;&gt;"",FT!C40,"")</f>
        <v>15.4369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52398</v>
      </c>
      <c r="D41" s="61">
        <f>FH!B41*1</f>
        <v>52398</v>
      </c>
      <c r="E41">
        <f t="shared" si="3"/>
        <v>39</v>
      </c>
      <c r="F41" s="61">
        <f>IF(FT!A41&lt;&gt;"",FT!A41*10,"")</f>
        <v>3.8568999999999996</v>
      </c>
      <c r="G41" s="61">
        <f>IF(FT!B41&lt;&gt;"",FT!B41*100,"")</f>
        <v>41.528799999999997</v>
      </c>
      <c r="H41" s="61">
        <f t="shared" si="1"/>
        <v>1</v>
      </c>
      <c r="I41" t="str">
        <f>IF(FT!B41&lt;&gt;"",FT!E41,"")</f>
        <v>1 [15.841101]</v>
      </c>
      <c r="J41">
        <f>IF(FT!B41&lt;&gt;"",FT!C41,"")</f>
        <v>15.841100000000001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3.8551899999999999</v>
      </c>
      <c r="G42" s="61">
        <f>IF(FT!B42&lt;&gt;"",FT!B42*100,"")</f>
        <v>41.099200000000003</v>
      </c>
      <c r="H42" s="61">
        <f t="shared" si="1"/>
        <v>1</v>
      </c>
      <c r="I42" t="str">
        <f>IF(FT!B42&lt;&gt;"",FT!E42,"")</f>
        <v>1 [16.252596]</v>
      </c>
      <c r="J42">
        <f>IF(FT!B42&lt;&gt;"",FT!C42,"")</f>
        <v>16.252600000000001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3.85161</v>
      </c>
      <c r="G43" s="61">
        <f>IF(FT!B43&lt;&gt;"",FT!B43*100,"")</f>
        <v>40.72</v>
      </c>
      <c r="H43" s="61">
        <f t="shared" si="1"/>
        <v>1</v>
      </c>
      <c r="I43" t="str">
        <f>IF(FT!B43&lt;&gt;"",FT!E43,"")</f>
        <v>1 [16.657256]</v>
      </c>
      <c r="J43">
        <f>IF(FT!B43&lt;&gt;"",FT!C43,"")</f>
        <v>16.657299999999999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63818</v>
      </c>
      <c r="D44" s="61">
        <f>FH!B44*1</f>
        <v>63818</v>
      </c>
      <c r="E44">
        <f t="shared" si="3"/>
        <v>42</v>
      </c>
      <c r="F44" s="61">
        <f>IF(FT!A44&lt;&gt;"",FT!A44*10,"")</f>
        <v>3.8492500000000001</v>
      </c>
      <c r="G44" s="61">
        <f>IF(FT!B44&lt;&gt;"",FT!B44*100,"")</f>
        <v>40.293300000000002</v>
      </c>
      <c r="H44" s="61">
        <f t="shared" si="1"/>
        <v>1</v>
      </c>
      <c r="I44" t="str">
        <f>IF(FT!B44&lt;&gt;"",FT!E44,"")</f>
        <v>1 [17.062946]</v>
      </c>
      <c r="J44">
        <f>IF(FT!B44&lt;&gt;"",FT!C44,"")</f>
        <v>17.062899999999999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3.84856</v>
      </c>
      <c r="G45" s="61">
        <f>IF(FT!B45&lt;&gt;"",FT!B45*100,"")</f>
        <v>39.865200000000002</v>
      </c>
      <c r="H45" s="61">
        <f t="shared" si="1"/>
        <v>1</v>
      </c>
      <c r="I45" t="str">
        <f>IF(FT!B45&lt;&gt;"",FT!E45,"")</f>
        <v>1 [17.466898]</v>
      </c>
      <c r="J45">
        <f>IF(FT!B45&lt;&gt;"",FT!C45,"")</f>
        <v>17.466899999999999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70338</v>
      </c>
      <c r="D46" s="61">
        <f>FH!B46*1</f>
        <v>70338</v>
      </c>
      <c r="E46">
        <f t="shared" si="3"/>
        <v>44</v>
      </c>
      <c r="F46" s="61">
        <f>IF(FT!A46&lt;&gt;"",FT!A46*10,"")</f>
        <v>3.8468999999999998</v>
      </c>
      <c r="G46" s="61">
        <f>IF(FT!B46&lt;&gt;"",FT!B46*100,"")</f>
        <v>39.413800000000002</v>
      </c>
      <c r="H46" s="61">
        <f t="shared" si="1"/>
        <v>1</v>
      </c>
      <c r="I46" t="str">
        <f>IF(FT!B46&lt;&gt;"",FT!E46,"")</f>
        <v>1 [17.874147]</v>
      </c>
      <c r="J46">
        <f>IF(FT!B46&lt;&gt;"",FT!C46,"")</f>
        <v>17.874099999999999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3.8427099999999998</v>
      </c>
      <c r="G47" s="61">
        <f>IF(FT!B47&lt;&gt;"",FT!B47*100,"")</f>
        <v>38.945</v>
      </c>
      <c r="H47" s="61">
        <f t="shared" si="1"/>
        <v>1</v>
      </c>
      <c r="I47" t="str">
        <f>IF(FT!B47&lt;&gt;"",FT!E47,"")</f>
        <v>1 [18.282610]</v>
      </c>
      <c r="J47">
        <f>IF(FT!B47&lt;&gt;"",FT!C47,"")</f>
        <v>18.282599999999999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3.83779</v>
      </c>
      <c r="G48" s="61">
        <f>IF(FT!B48&lt;&gt;"",FT!B48*100,"")</f>
        <v>38.523499999999999</v>
      </c>
      <c r="H48" s="61">
        <f t="shared" si="1"/>
        <v>1</v>
      </c>
      <c r="I48" t="str">
        <f>IF(FT!B48&lt;&gt;"",FT!E48,"")</f>
        <v>1 [18.687099]</v>
      </c>
      <c r="J48">
        <f>IF(FT!B48&lt;&gt;"",FT!C48,"")</f>
        <v>18.687100000000001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77897</v>
      </c>
      <c r="D49" s="61">
        <f>FH!B49*1</f>
        <v>77897</v>
      </c>
      <c r="E49">
        <f t="shared" si="3"/>
        <v>47</v>
      </c>
      <c r="F49" s="61">
        <f>IF(FT!A49&lt;&gt;"",FT!A49*10,"")</f>
        <v>3.8353999999999999</v>
      </c>
      <c r="G49" s="61">
        <f>IF(FT!B49&lt;&gt;"",FT!B49*100,"")</f>
        <v>38.132399999999997</v>
      </c>
      <c r="H49" s="61">
        <f t="shared" si="1"/>
        <v>1</v>
      </c>
      <c r="I49" t="str">
        <f>IF(FT!B49&lt;&gt;"",FT!E49,"")</f>
        <v>1 [19.094876]</v>
      </c>
      <c r="J49">
        <f>IF(FT!B49&lt;&gt;"",FT!C49,"")</f>
        <v>19.094899999999999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3.8366899999999999</v>
      </c>
      <c r="G50" s="61">
        <f>IF(FT!B50&lt;&gt;"",FT!B50*100,"")</f>
        <v>37.738100000000003</v>
      </c>
      <c r="H50" s="61">
        <f t="shared" si="1"/>
        <v>1</v>
      </c>
      <c r="I50" t="str">
        <f>IF(FT!B50&lt;&gt;"",FT!E50,"")</f>
        <v>1 [19.499281]</v>
      </c>
      <c r="J50">
        <f>IF(FT!B50&lt;&gt;"",FT!C50,"")</f>
        <v>19.499300000000002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84583</v>
      </c>
      <c r="D51" s="61">
        <f>FH!B51*1</f>
        <v>84583</v>
      </c>
      <c r="E51">
        <f t="shared" si="3"/>
        <v>49</v>
      </c>
      <c r="F51" s="61">
        <f>IF(FT!A51&lt;&gt;"",FT!A51*10,"")</f>
        <v>3.8391999999999999</v>
      </c>
      <c r="G51" s="61">
        <f>IF(FT!B51&lt;&gt;"",FT!B51*100,"")</f>
        <v>37.356999999999999</v>
      </c>
      <c r="H51" s="61">
        <f t="shared" si="1"/>
        <v>1</v>
      </c>
      <c r="I51" t="str">
        <f>IF(FT!B51&lt;&gt;"",FT!E51,"")</f>
        <v>1 [19.908165]</v>
      </c>
      <c r="J51">
        <f>IF(FT!B51&lt;&gt;"",FT!C51,"")</f>
        <v>19.908200000000001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3.8404100000000003</v>
      </c>
      <c r="G52" s="61">
        <f>IF(FT!B52&lt;&gt;"",FT!B52*100,"")</f>
        <v>37.015799999999999</v>
      </c>
      <c r="H52" s="61">
        <f t="shared" si="1"/>
        <v>1</v>
      </c>
      <c r="I52" t="str">
        <f>IF(FT!B52&lt;&gt;"",FT!E52,"")</f>
        <v>1 [20.312643]</v>
      </c>
      <c r="J52">
        <f>IF(FT!B52&lt;&gt;"",FT!C52,"")</f>
        <v>20.3126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3.84307</v>
      </c>
      <c r="G53" s="61">
        <f>IF(FT!B53&lt;&gt;"",FT!B53*100,"")</f>
        <v>36.671300000000002</v>
      </c>
      <c r="H53" s="61">
        <f t="shared" si="1"/>
        <v>1</v>
      </c>
      <c r="I53" t="str">
        <f>IF(FT!B53&lt;&gt;"",FT!E53,"")</f>
        <v>1 [20.717712]</v>
      </c>
      <c r="J53">
        <f>IF(FT!B53&lt;&gt;"",FT!C53,"")</f>
        <v>20.717700000000001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92835</v>
      </c>
      <c r="D54" s="61">
        <f>FH!B54*1</f>
        <v>92835</v>
      </c>
      <c r="E54">
        <f t="shared" si="3"/>
        <v>52</v>
      </c>
      <c r="F54" s="61">
        <f>IF(FT!A54&lt;&gt;"",FT!A54*10,"")</f>
        <v>3.8451400000000002</v>
      </c>
      <c r="G54" s="61">
        <f>IF(FT!B54&lt;&gt;"",FT!B54*100,"")</f>
        <v>36.3733</v>
      </c>
      <c r="H54" s="61">
        <f t="shared" si="1"/>
        <v>1</v>
      </c>
      <c r="I54" t="str">
        <f>IF(FT!B54&lt;&gt;"",FT!E54,"")</f>
        <v>1 [21.123039]</v>
      </c>
      <c r="J54">
        <f>IF(FT!B54&lt;&gt;"",FT!C54,"")</f>
        <v>21.123000000000001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3.8482699999999999</v>
      </c>
      <c r="G55" s="61">
        <f>IF(FT!B55&lt;&gt;"",FT!B55*100,"")</f>
        <v>36.175200000000004</v>
      </c>
      <c r="H55" s="61">
        <f t="shared" si="1"/>
        <v>1</v>
      </c>
      <c r="I55" t="str">
        <f>IF(FT!B55&lt;&gt;"",FT!E55,"")</f>
        <v>1 [21.532267]</v>
      </c>
      <c r="J55">
        <f>IF(FT!B55&lt;&gt;"",FT!C55,"")</f>
        <v>21.532299999999999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3.8494000000000002</v>
      </c>
      <c r="G56" s="61">
        <f>IF(FT!B56&lt;&gt;"",FT!B56*100,"")</f>
        <v>36.044800000000002</v>
      </c>
      <c r="H56" s="61">
        <f t="shared" si="1"/>
        <v>1</v>
      </c>
      <c r="I56" t="str">
        <f>IF(FT!B56&lt;&gt;"",FT!E56,"")</f>
        <v>1 [21.938513]</v>
      </c>
      <c r="J56">
        <f>IF(FT!B56&lt;&gt;"",FT!C56,"")</f>
        <v>21.938500000000001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96034</v>
      </c>
      <c r="D57" s="61">
        <f>FH!B57*1</f>
        <v>96034</v>
      </c>
      <c r="E57">
        <f t="shared" si="3"/>
        <v>55</v>
      </c>
      <c r="F57" s="61">
        <f>IF(FT!A57&lt;&gt;"",FT!A57*10,"")</f>
        <v>3.8487</v>
      </c>
      <c r="G57" s="61">
        <f>IF(FT!B57&lt;&gt;"",FT!B57*100,"")</f>
        <v>35.890599999999999</v>
      </c>
      <c r="H57" s="61">
        <f t="shared" si="1"/>
        <v>1</v>
      </c>
      <c r="I57" t="str">
        <f>IF(FT!B57&lt;&gt;"",FT!E57,"")</f>
        <v>1 [22.344600]</v>
      </c>
      <c r="J57">
        <f>IF(FT!B57&lt;&gt;"",FT!C57,"")</f>
        <v>22.3446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3.8469100000000003</v>
      </c>
      <c r="G58" s="61">
        <f>IF(FT!B58&lt;&gt;"",FT!B58*100,"")</f>
        <v>35.848600000000005</v>
      </c>
      <c r="H58" s="61">
        <f t="shared" si="1"/>
        <v>1</v>
      </c>
      <c r="I58" t="str">
        <f>IF(FT!B58&lt;&gt;"",FT!E58,"")</f>
        <v>1 [22.748116]</v>
      </c>
      <c r="J58">
        <f>IF(FT!B58&lt;&gt;"",FT!C58,"")</f>
        <v>22.748100000000001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113606</v>
      </c>
      <c r="D59" s="61">
        <f>FH!B59*1</f>
        <v>113606</v>
      </c>
      <c r="E59">
        <f t="shared" si="3"/>
        <v>57</v>
      </c>
      <c r="F59" s="61">
        <f>IF(FT!A59&lt;&gt;"",FT!A59*10,"")</f>
        <v>3.8454199999999998</v>
      </c>
      <c r="G59" s="61">
        <f>IF(FT!B59&lt;&gt;"",FT!B59*100,"")</f>
        <v>35.951699999999995</v>
      </c>
      <c r="H59" s="61">
        <f t="shared" si="1"/>
        <v>1</v>
      </c>
      <c r="I59" t="str">
        <f>IF(FT!B59&lt;&gt;"",FT!E59,"")</f>
        <v>1 [23.166168]</v>
      </c>
      <c r="J59">
        <f>IF(FT!B59&lt;&gt;"",FT!C59,"")</f>
        <v>23.1662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3.8437900000000003</v>
      </c>
      <c r="G60" s="61">
        <f>IF(FT!B60&lt;&gt;"",FT!B60*100,"")</f>
        <v>36.035499999999999</v>
      </c>
      <c r="H60" s="61">
        <f t="shared" si="1"/>
        <v>1</v>
      </c>
      <c r="I60" t="str">
        <f>IF(FT!B60&lt;&gt;"",FT!E60,"")</f>
        <v>1 [23.564964]</v>
      </c>
      <c r="J60">
        <f>IF(FT!B60&lt;&gt;"",FT!C60,"")</f>
        <v>23.565000000000001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3.8442100000000003</v>
      </c>
      <c r="G61" s="61">
        <f>IF(FT!B61&lt;&gt;"",FT!B61*100,"")</f>
        <v>36.164000000000001</v>
      </c>
      <c r="H61" s="61">
        <f t="shared" si="1"/>
        <v>1</v>
      </c>
      <c r="I61" t="str">
        <f>IF(FT!B61&lt;&gt;"",FT!E61,"")</f>
        <v>1 [23.970846]</v>
      </c>
      <c r="J61">
        <f>IF(FT!B61&lt;&gt;"",FT!C61,"")</f>
        <v>23.970800000000001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120515</v>
      </c>
      <c r="D62" s="61">
        <f>FH!B62*1</f>
        <v>120515</v>
      </c>
      <c r="E62">
        <f t="shared" si="3"/>
        <v>60</v>
      </c>
      <c r="F62" s="61">
        <f>IF(FT!A62&lt;&gt;"",FT!A62*10,"")</f>
        <v>3.8446500000000001</v>
      </c>
      <c r="G62" s="61">
        <f>IF(FT!B62&lt;&gt;"",FT!B62*100,"")</f>
        <v>36.202100000000002</v>
      </c>
      <c r="H62" s="61">
        <f t="shared" si="1"/>
        <v>1</v>
      </c>
      <c r="I62" t="str">
        <f>IF(FT!B62&lt;&gt;"",FT!E62,"")</f>
        <v>1 [24.374017]</v>
      </c>
      <c r="J62">
        <f>IF(FT!B62&lt;&gt;"",FT!C62,"")</f>
        <v>24.373999999999999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3.8460899999999998</v>
      </c>
      <c r="G63" s="61">
        <f>IF(FT!B63&lt;&gt;"",FT!B63*100,"")</f>
        <v>36.367199999999997</v>
      </c>
      <c r="H63" s="61">
        <f t="shared" si="1"/>
        <v>1</v>
      </c>
      <c r="I63" t="str">
        <f>IF(FT!B63&lt;&gt;"",FT!E63,"")</f>
        <v>1 [24.780018]</v>
      </c>
      <c r="J63">
        <f>IF(FT!B63&lt;&gt;"",FT!C63,"")</f>
        <v>24.78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132292</v>
      </c>
      <c r="D64" s="61">
        <f>FH!B64*1</f>
        <v>132292</v>
      </c>
      <c r="E64">
        <f t="shared" si="3"/>
        <v>62</v>
      </c>
      <c r="F64" s="61">
        <f>IF(FT!A64&lt;&gt;"",FT!A64*10,"")</f>
        <v>3.84633</v>
      </c>
      <c r="G64" s="61">
        <f>IF(FT!B64&lt;&gt;"",FT!B64*100,"")</f>
        <v>36.679099999999998</v>
      </c>
      <c r="H64" s="61">
        <f t="shared" si="1"/>
        <v>1</v>
      </c>
      <c r="I64" t="str">
        <f>IF(FT!B64&lt;&gt;"",FT!E64,"")</f>
        <v>1 [25.193536]</v>
      </c>
      <c r="J64">
        <f>IF(FT!B64&lt;&gt;"",FT!C64,"")</f>
        <v>25.1935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3.8479400000000004</v>
      </c>
      <c r="G65" s="61">
        <f>IF(FT!B65&lt;&gt;"",FT!B65*100,"")</f>
        <v>36.904399999999995</v>
      </c>
      <c r="H65" s="61">
        <f t="shared" si="1"/>
        <v>1</v>
      </c>
      <c r="I65" t="str">
        <f>IF(FT!B65&lt;&gt;"",FT!E65,"")</f>
        <v>1 [25.597812]</v>
      </c>
      <c r="J65">
        <f>IF(FT!B65&lt;&gt;"",FT!C65,"")</f>
        <v>25.597799999999999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3.84802</v>
      </c>
      <c r="G66" s="61">
        <f>IF(FT!B66&lt;&gt;"",FT!B66*100,"")</f>
        <v>37.071300000000001</v>
      </c>
      <c r="H66" s="61">
        <f t="shared" si="1"/>
        <v>1</v>
      </c>
      <c r="I66" t="str">
        <f>IF(FT!B66&lt;&gt;"",FT!E66,"")</f>
        <v>1 [25.998610]</v>
      </c>
      <c r="J66">
        <f>IF(FT!B66&lt;&gt;"",FT!C66,"")</f>
        <v>25.9986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129547</v>
      </c>
      <c r="D67" s="61">
        <f>FH!B67*1</f>
        <v>129547</v>
      </c>
      <c r="E67">
        <f t="shared" si="3"/>
        <v>65</v>
      </c>
      <c r="F67" s="61">
        <f>IF(FT!A67&lt;&gt;"",FT!A67*10,"")</f>
        <v>3.85432</v>
      </c>
      <c r="G67" s="61">
        <f>IF(FT!B67&lt;&gt;"",FT!B67*100,"")</f>
        <v>37.349700000000006</v>
      </c>
      <c r="H67" s="61">
        <f t="shared" ref="H67:H130" si="9">(IF(F67&lt;&gt;"",1,""))</f>
        <v>1</v>
      </c>
      <c r="I67" t="str">
        <f>IF(FT!B67&lt;&gt;"",FT!E67,"")</f>
        <v>1 [26.404291]</v>
      </c>
      <c r="J67">
        <f>IF(FT!B67&lt;&gt;"",FT!C67,"")</f>
        <v>26.404299999999999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3.8585799999999999</v>
      </c>
      <c r="G68" s="61">
        <f>IF(FT!B68&lt;&gt;"",FT!B68*100,"")</f>
        <v>37.502200000000002</v>
      </c>
      <c r="H68" s="61">
        <f t="shared" si="9"/>
        <v>1</v>
      </c>
      <c r="I68" t="str">
        <f>IF(FT!B68&lt;&gt;"",FT!E68,"")</f>
        <v>1 [26.813165]</v>
      </c>
      <c r="J68">
        <f>IF(FT!B68&lt;&gt;"",FT!C68,"")</f>
        <v>26.813199999999998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141751</v>
      </c>
      <c r="D69" s="61">
        <f>FH!B69*1</f>
        <v>141751</v>
      </c>
      <c r="E69">
        <f t="shared" si="11"/>
        <v>67</v>
      </c>
      <c r="F69" s="61">
        <f>IF(FT!A69&lt;&gt;"",FT!A69*10,"")</f>
        <v>3.8640000000000003</v>
      </c>
      <c r="G69" s="61">
        <f>IF(FT!B69&lt;&gt;"",FT!B69*100,"")</f>
        <v>37.873600000000003</v>
      </c>
      <c r="H69" s="61">
        <f t="shared" si="9"/>
        <v>1</v>
      </c>
      <c r="I69" t="str">
        <f>IF(FT!B69&lt;&gt;"",FT!E69,"")</f>
        <v>1 [27.220863]</v>
      </c>
      <c r="J69">
        <f>IF(FT!B69&lt;&gt;"",FT!C69,"")</f>
        <v>27.2209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3.8666099999999997</v>
      </c>
      <c r="G70" s="61">
        <f>IF(FT!B70&lt;&gt;"",FT!B70*100,"")</f>
        <v>38.161699999999996</v>
      </c>
      <c r="H70" s="61">
        <f t="shared" si="9"/>
        <v>1</v>
      </c>
      <c r="I70" t="str">
        <f>IF(FT!B70&lt;&gt;"",FT!E70,"")</f>
        <v>1 [27.627846]</v>
      </c>
      <c r="J70">
        <f>IF(FT!B70&lt;&gt;"",FT!C70,"")</f>
        <v>27.627800000000001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3.8694800000000003</v>
      </c>
      <c r="G71" s="61">
        <f>IF(FT!B71&lt;&gt;"",FT!B71*100,"")</f>
        <v>38.461600000000004</v>
      </c>
      <c r="H71" s="61">
        <f t="shared" si="9"/>
        <v>1</v>
      </c>
      <c r="I71" t="str">
        <f>IF(FT!B71&lt;&gt;"",FT!E71,"")</f>
        <v>1 [28.034324]</v>
      </c>
      <c r="J71">
        <f>IF(FT!B71&lt;&gt;"",FT!C71,"")</f>
        <v>28.034300000000002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153649</v>
      </c>
      <c r="D72" s="61">
        <f>FH!B72*1</f>
        <v>153649</v>
      </c>
      <c r="E72">
        <f t="shared" si="11"/>
        <v>70</v>
      </c>
      <c r="F72" s="61">
        <f>IF(FT!A72&lt;&gt;"",FT!A72*10,"")</f>
        <v>3.87317</v>
      </c>
      <c r="G72" s="61">
        <f>IF(FT!B72&lt;&gt;"",FT!B72*100,"")</f>
        <v>38.745000000000005</v>
      </c>
      <c r="H72" s="61">
        <f t="shared" si="9"/>
        <v>1</v>
      </c>
      <c r="I72" t="str">
        <f>IF(FT!B72&lt;&gt;"",FT!E72,"")</f>
        <v>1 [28.435271]</v>
      </c>
      <c r="J72">
        <f>IF(FT!B72&lt;&gt;"",FT!C72,"")</f>
        <v>28.435300000000002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3.8765000000000001</v>
      </c>
      <c r="G73" s="61">
        <f>IF(FT!B73&lt;&gt;"",FT!B73*100,"")</f>
        <v>39.075500000000005</v>
      </c>
      <c r="H73" s="61">
        <f t="shared" si="9"/>
        <v>1</v>
      </c>
      <c r="I73" t="str">
        <f>IF(FT!B73&lt;&gt;"",FT!E73,"")</f>
        <v>1 [28.842044]</v>
      </c>
      <c r="J73">
        <f>IF(FT!B73&lt;&gt;"",FT!C73,"")</f>
        <v>28.841999999999999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3.8769900000000002</v>
      </c>
      <c r="G74" s="61">
        <f>IF(FT!B74&lt;&gt;"",FT!B74*100,"")</f>
        <v>39.440300000000001</v>
      </c>
      <c r="H74" s="61">
        <f t="shared" si="9"/>
        <v>1</v>
      </c>
      <c r="I74" t="str">
        <f>IF(FT!B74&lt;&gt;"",FT!E74,"")</f>
        <v>1 [29.256399]</v>
      </c>
      <c r="J74">
        <f>IF(FT!B74&lt;&gt;"",FT!C74,"")</f>
        <v>29.256399999999999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177796</v>
      </c>
      <c r="D75" s="61">
        <f>FH!B75*1</f>
        <v>177796</v>
      </c>
      <c r="E75">
        <f t="shared" si="11"/>
        <v>73</v>
      </c>
      <c r="F75" s="61">
        <f>IF(FT!A75&lt;&gt;"",FT!A75*10,"")</f>
        <v>3.8774299999999999</v>
      </c>
      <c r="G75" s="61">
        <f>IF(FT!B75&lt;&gt;"",FT!B75*100,"")</f>
        <v>39.688000000000002</v>
      </c>
      <c r="H75" s="61">
        <f t="shared" si="9"/>
        <v>1</v>
      </c>
      <c r="I75" t="str">
        <f>IF(FT!B75&lt;&gt;"",FT!E75,"")</f>
        <v>1 [29.656232]</v>
      </c>
      <c r="J75">
        <f>IF(FT!B75&lt;&gt;"",FT!C75,"")</f>
        <v>29.656199999999998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3.8741700000000003</v>
      </c>
      <c r="G76" s="61">
        <f>IF(FT!B76&lt;&gt;"",FT!B76*100,"")</f>
        <v>39.976199999999999</v>
      </c>
      <c r="H76" s="61">
        <f t="shared" si="9"/>
        <v>1</v>
      </c>
      <c r="I76" t="str">
        <f>IF(FT!B76&lt;&gt;"",FT!E76,"")</f>
        <v>2 [30.067232]</v>
      </c>
      <c r="J76">
        <f>IF(FT!B76&lt;&gt;"",FT!C76,"")</f>
        <v>30.0672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188308</v>
      </c>
      <c r="D77" s="61">
        <f>FH!B77*1</f>
        <v>188308</v>
      </c>
      <c r="E77">
        <f t="shared" si="11"/>
        <v>75</v>
      </c>
      <c r="F77" s="61">
        <f>IF(FT!A77&lt;&gt;"",FT!A77*10,"")</f>
        <v>3.8740899999999998</v>
      </c>
      <c r="G77" s="61">
        <f>IF(FT!B77&lt;&gt;"",FT!B77*100,"")</f>
        <v>40.195300000000003</v>
      </c>
      <c r="H77" s="61">
        <f t="shared" si="9"/>
        <v>1</v>
      </c>
      <c r="I77" t="str">
        <f>IF(FT!B77&lt;&gt;"",FT!E77,"")</f>
        <v>2 [30.531026]</v>
      </c>
      <c r="J77">
        <f>IF(FT!B77&lt;&gt;"",FT!C77,"")</f>
        <v>30.530999999999999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3.8735999999999997</v>
      </c>
      <c r="G78" s="61">
        <f>IF(FT!B78&lt;&gt;"",FT!B78*100,"")</f>
        <v>40.399099999999997</v>
      </c>
      <c r="H78" s="61">
        <f t="shared" si="9"/>
        <v>1</v>
      </c>
      <c r="I78" t="str">
        <f>IF(FT!B78&lt;&gt;"",FT!E78,"")</f>
        <v>2 [30.923754]</v>
      </c>
      <c r="J78">
        <f>IF(FT!B78&lt;&gt;"",FT!C78,"")</f>
        <v>30.9238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3.8741199999999996</v>
      </c>
      <c r="G79" s="61">
        <f>IF(FT!B79&lt;&gt;"",FT!B79*100,"")</f>
        <v>40.537700000000001</v>
      </c>
      <c r="H79" s="61">
        <f t="shared" si="9"/>
        <v>1</v>
      </c>
      <c r="I79" t="str">
        <f>IF(FT!B79&lt;&gt;"",FT!E79,"")</f>
        <v>2 [31.330134]</v>
      </c>
      <c r="J79">
        <f>IF(FT!B79&lt;&gt;"",FT!C79,"")</f>
        <v>31.330100000000002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199428</v>
      </c>
      <c r="D80" s="61">
        <f>FH!B80*1</f>
        <v>199428</v>
      </c>
      <c r="E80">
        <f t="shared" si="11"/>
        <v>78</v>
      </c>
      <c r="F80" s="61">
        <f>IF(FT!A80&lt;&gt;"",FT!A80*10,"")</f>
        <v>3.8758999999999997</v>
      </c>
      <c r="G80" s="61">
        <f>IF(FT!B80&lt;&gt;"",FT!B80*100,"")</f>
        <v>40.6447</v>
      </c>
      <c r="H80" s="61">
        <f t="shared" si="9"/>
        <v>1</v>
      </c>
      <c r="I80" t="str">
        <f>IF(FT!B80&lt;&gt;"",FT!E80,"")</f>
        <v>2 [31.732826]</v>
      </c>
      <c r="J80">
        <f>IF(FT!B80&lt;&gt;"",FT!C80,"")</f>
        <v>31.732800000000001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3.8807199999999997</v>
      </c>
      <c r="G81" s="61">
        <f>IF(FT!B81&lt;&gt;"",FT!B81*100,"")</f>
        <v>40.676899999999996</v>
      </c>
      <c r="H81" s="61">
        <f t="shared" si="9"/>
        <v>1</v>
      </c>
      <c r="I81" t="str">
        <f>IF(FT!B81&lt;&gt;"",FT!E81,"")</f>
        <v>2 [32.139984]</v>
      </c>
      <c r="J81">
        <f>IF(FT!B81&lt;&gt;"",FT!C81,"")</f>
        <v>32.14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196397</v>
      </c>
      <c r="D82" s="61">
        <f>FH!B82*1</f>
        <v>196397</v>
      </c>
      <c r="E82">
        <f t="shared" si="11"/>
        <v>80</v>
      </c>
      <c r="F82" s="61">
        <f>IF(FT!A82&lt;&gt;"",FT!A82*10,"")</f>
        <v>3.8885100000000001</v>
      </c>
      <c r="G82" s="61">
        <f>IF(FT!B82&lt;&gt;"",FT!B82*100,"")</f>
        <v>40.6813</v>
      </c>
      <c r="H82" s="61">
        <f t="shared" si="9"/>
        <v>1</v>
      </c>
      <c r="I82" t="str">
        <f>IF(FT!B82&lt;&gt;"",FT!E82,"")</f>
        <v>2 [32.543868]</v>
      </c>
      <c r="J82">
        <f>IF(FT!B82&lt;&gt;"",FT!C82,"")</f>
        <v>32.543900000000001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3.8969999999999998</v>
      </c>
      <c r="G83" s="61">
        <f>IF(FT!B83&lt;&gt;"",FT!B83*100,"")</f>
        <v>40.658999999999999</v>
      </c>
      <c r="H83" s="61">
        <f t="shared" si="9"/>
        <v>1</v>
      </c>
      <c r="I83" t="str">
        <f>IF(FT!B83&lt;&gt;"",FT!E83,"")</f>
        <v>2 [32.956637]</v>
      </c>
      <c r="J83">
        <f>IF(FT!B83&lt;&gt;"",FT!C83,"")</f>
        <v>32.956600000000002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3.9031100000000003</v>
      </c>
      <c r="G84" s="61">
        <f>IF(FT!B84&lt;&gt;"",FT!B84*100,"")</f>
        <v>40.616999999999997</v>
      </c>
      <c r="H84" s="61">
        <f t="shared" si="9"/>
        <v>1</v>
      </c>
      <c r="I84" t="str">
        <f>IF(FT!B84&lt;&gt;"",FT!E84,"")</f>
        <v>2 [33.358891]</v>
      </c>
      <c r="J84">
        <f>IF(FT!B84&lt;&gt;"",FT!C84,"")</f>
        <v>33.358899999999998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197540</v>
      </c>
      <c r="D85" s="61">
        <f>FH!B85*1</f>
        <v>197540</v>
      </c>
      <c r="E85">
        <f t="shared" si="11"/>
        <v>83</v>
      </c>
      <c r="F85" s="61">
        <f>IF(FT!A85&lt;&gt;"",FT!A85*10,"")</f>
        <v>3.90991</v>
      </c>
      <c r="G85" s="61">
        <f>IF(FT!B85&lt;&gt;"",FT!B85*100,"")</f>
        <v>40.5259</v>
      </c>
      <c r="H85" s="61">
        <f t="shared" si="9"/>
        <v>1</v>
      </c>
      <c r="I85" t="str">
        <f>IF(FT!B85&lt;&gt;"",FT!E85,"")</f>
        <v>2 [33.764572]</v>
      </c>
      <c r="J85">
        <f>IF(FT!B85&lt;&gt;"",FT!C85,"")</f>
        <v>33.764600000000002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3.9163700000000001</v>
      </c>
      <c r="G86" s="61">
        <f>IF(FT!B86&lt;&gt;"",FT!B86*100,"")</f>
        <v>40.381099999999996</v>
      </c>
      <c r="H86" s="61">
        <f t="shared" si="9"/>
        <v>1</v>
      </c>
      <c r="I86" t="str">
        <f>IF(FT!B86&lt;&gt;"",FT!E86,"")</f>
        <v>2 [34.170227]</v>
      </c>
      <c r="J86">
        <f>IF(FT!B86&lt;&gt;"",FT!C86,"")</f>
        <v>34.170200000000001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3.9228700000000001</v>
      </c>
      <c r="G87" s="61">
        <f>IF(FT!B87&lt;&gt;"",FT!B87*100,"")</f>
        <v>40.193800000000003</v>
      </c>
      <c r="H87" s="61">
        <f t="shared" si="9"/>
        <v>1</v>
      </c>
      <c r="I87" t="str">
        <f>IF(FT!B87&lt;&gt;"",FT!E87,"")</f>
        <v>2 [34.575352]</v>
      </c>
      <c r="J87">
        <f>IF(FT!B87&lt;&gt;"",FT!C87,"")</f>
        <v>34.575400000000002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203354</v>
      </c>
      <c r="D88" s="61">
        <f>FH!B88*1</f>
        <v>203354</v>
      </c>
      <c r="E88">
        <f t="shared" si="11"/>
        <v>86</v>
      </c>
      <c r="F88" s="61">
        <f>IF(FT!A88&lt;&gt;"",FT!A88*10,"")</f>
        <v>3.9306900000000002</v>
      </c>
      <c r="G88" s="61">
        <f>IF(FT!B88&lt;&gt;"",FT!B88*100,"")</f>
        <v>40.057700000000004</v>
      </c>
      <c r="H88" s="61">
        <f t="shared" si="9"/>
        <v>1</v>
      </c>
      <c r="I88" t="str">
        <f>IF(FT!B88&lt;&gt;"",FT!E88,"")</f>
        <v>2 [34.986042]</v>
      </c>
      <c r="J88">
        <f>IF(FT!B88&lt;&gt;"",FT!C88,"")</f>
        <v>34.985999999999997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3.94171</v>
      </c>
      <c r="G89" s="61">
        <f>IF(FT!B89&lt;&gt;"",FT!B89*100,"")</f>
        <v>39.881100000000004</v>
      </c>
      <c r="H89" s="61">
        <f t="shared" si="9"/>
        <v>1</v>
      </c>
      <c r="I89" t="str">
        <f>IF(FT!B89&lt;&gt;"",FT!E89,"")</f>
        <v>2 [35.391640]</v>
      </c>
      <c r="J89">
        <f>IF(FT!B89&lt;&gt;"",FT!C89,"")</f>
        <v>35.391599999999997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222828</v>
      </c>
      <c r="D90" s="61">
        <f>FH!B90*1</f>
        <v>222828</v>
      </c>
      <c r="E90">
        <f t="shared" si="11"/>
        <v>88</v>
      </c>
      <c r="F90" s="61">
        <f>IF(FT!A90&lt;&gt;"",FT!A90*10,"")</f>
        <v>3.9521000000000002</v>
      </c>
      <c r="G90" s="61">
        <f>IF(FT!B90&lt;&gt;"",FT!B90*100,"")</f>
        <v>39.731200000000001</v>
      </c>
      <c r="H90" s="61">
        <f t="shared" si="9"/>
        <v>1</v>
      </c>
      <c r="I90" t="str">
        <f>IF(FT!B90&lt;&gt;"",FT!E90,"")</f>
        <v>2 [35.794100]</v>
      </c>
      <c r="J90">
        <f>IF(FT!B90&lt;&gt;"",FT!C90,"")</f>
        <v>35.7941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3.9625500000000002</v>
      </c>
      <c r="G91" s="61">
        <f>IF(FT!B91&lt;&gt;"",FT!B91*100,"")</f>
        <v>39.593600000000002</v>
      </c>
      <c r="H91" s="61">
        <f t="shared" si="9"/>
        <v>1</v>
      </c>
      <c r="I91" t="str">
        <f>IF(FT!B91&lt;&gt;"",FT!E91,"")</f>
        <v>2 [36.201616]</v>
      </c>
      <c r="J91">
        <f>IF(FT!B91&lt;&gt;"",FT!C91,"")</f>
        <v>36.201599999999999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3.9752399999999999</v>
      </c>
      <c r="G92" s="61">
        <f>IF(FT!B92&lt;&gt;"",FT!B92*100,"")</f>
        <v>39.444000000000003</v>
      </c>
      <c r="H92" s="61">
        <f t="shared" si="9"/>
        <v>1</v>
      </c>
      <c r="I92" t="str">
        <f>IF(FT!B92&lt;&gt;"",FT!E92,"")</f>
        <v>2 [36.608054]</v>
      </c>
      <c r="J92">
        <f>IF(FT!B92&lt;&gt;"",FT!C92,"")</f>
        <v>36.6081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218979</v>
      </c>
      <c r="D93" s="61">
        <f>FH!B93*1</f>
        <v>218979</v>
      </c>
      <c r="E93">
        <f t="shared" si="11"/>
        <v>91</v>
      </c>
      <c r="F93" s="61">
        <f>IF(FT!A93&lt;&gt;"",FT!A93*10,"")</f>
        <v>3.9924200000000001</v>
      </c>
      <c r="G93" s="61">
        <f>IF(FT!B93&lt;&gt;"",FT!B93*100,"")</f>
        <v>39.212599999999995</v>
      </c>
      <c r="H93" s="61">
        <f t="shared" si="9"/>
        <v>1</v>
      </c>
      <c r="I93" t="str">
        <f>IF(FT!B93&lt;&gt;"",FT!E93,"")</f>
        <v>2 [37.019177]</v>
      </c>
      <c r="J93">
        <f>IF(FT!B93&lt;&gt;"",FT!C93,"")</f>
        <v>37.019199999999998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4.01295</v>
      </c>
      <c r="G94" s="61">
        <f>IF(FT!B94&lt;&gt;"",FT!B94*100,"")</f>
        <v>38.979799999999997</v>
      </c>
      <c r="H94" s="61">
        <f t="shared" si="9"/>
        <v>1</v>
      </c>
      <c r="I94" t="str">
        <f>IF(FT!B94&lt;&gt;"",FT!E94,"")</f>
        <v>2 [37.420984]</v>
      </c>
      <c r="J94">
        <f>IF(FT!B94&lt;&gt;"",FT!C94,"")</f>
        <v>37.420999999999999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245522</v>
      </c>
      <c r="D95" s="61">
        <f>FH!B95*1</f>
        <v>245522</v>
      </c>
      <c r="E95">
        <f t="shared" si="11"/>
        <v>93</v>
      </c>
      <c r="F95" s="61">
        <f>IF(FT!A95&lt;&gt;"",FT!A95*10,"")</f>
        <v>4.03512</v>
      </c>
      <c r="G95" s="61">
        <f>IF(FT!B95&lt;&gt;"",FT!B95*100,"")</f>
        <v>38.743600000000001</v>
      </c>
      <c r="H95" s="61">
        <f t="shared" si="9"/>
        <v>1</v>
      </c>
      <c r="I95" t="str">
        <f>IF(FT!B95&lt;&gt;"",FT!E95,"")</f>
        <v>2 [37.824779]</v>
      </c>
      <c r="J95">
        <f>IF(FT!B95&lt;&gt;"",FT!C95,"")</f>
        <v>37.824800000000003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4.0575400000000004</v>
      </c>
      <c r="G96" s="61">
        <f>IF(FT!B96&lt;&gt;"",FT!B96*100,"")</f>
        <v>38.556200000000004</v>
      </c>
      <c r="H96" s="61">
        <f t="shared" si="9"/>
        <v>1</v>
      </c>
      <c r="I96" t="str">
        <f>IF(FT!B96&lt;&gt;"",FT!E96,"")</f>
        <v>2 [38.233139]</v>
      </c>
      <c r="J96">
        <f>IF(FT!B96&lt;&gt;"",FT!C96,"")</f>
        <v>38.2331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4.0809899999999999</v>
      </c>
      <c r="G97" s="61">
        <f>IF(FT!B97&lt;&gt;"",FT!B97*100,"")</f>
        <v>38.407499999999999</v>
      </c>
      <c r="H97" s="61">
        <f t="shared" si="9"/>
        <v>1</v>
      </c>
      <c r="I97" t="str">
        <f>IF(FT!B97&lt;&gt;"",FT!E97,"")</f>
        <v>2 [38.644298]</v>
      </c>
      <c r="J97">
        <f>IF(FT!B97&lt;&gt;"",FT!C97,"")</f>
        <v>38.644300000000001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247391</v>
      </c>
      <c r="D98" s="61">
        <f>FH!B98*1</f>
        <v>247391</v>
      </c>
      <c r="E98">
        <f t="shared" si="11"/>
        <v>96</v>
      </c>
      <c r="F98" s="61">
        <f>IF(FT!A98&lt;&gt;"",FT!A98*10,"")</f>
        <v>4.1023700000000005</v>
      </c>
      <c r="G98" s="61">
        <f>IF(FT!B98&lt;&gt;"",FT!B98*100,"")</f>
        <v>38.328400000000002</v>
      </c>
      <c r="H98" s="61">
        <f t="shared" si="9"/>
        <v>1</v>
      </c>
      <c r="I98" t="str">
        <f>IF(FT!B98&lt;&gt;"",FT!E98,"")</f>
        <v>2 [39.047754]</v>
      </c>
      <c r="J98">
        <f>IF(FT!B98&lt;&gt;"",FT!C98,"")</f>
        <v>39.047800000000002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4.1269</v>
      </c>
      <c r="G99" s="61">
        <f>IF(FT!B99&lt;&gt;"",FT!B99*100,"")</f>
        <v>38.267800000000001</v>
      </c>
      <c r="H99" s="61">
        <f t="shared" si="9"/>
        <v>1</v>
      </c>
      <c r="I99" t="str">
        <f>IF(FT!B99&lt;&gt;"",FT!E99,"")</f>
        <v>2 [39.452675]</v>
      </c>
      <c r="J99">
        <f>IF(FT!B99&lt;&gt;"",FT!C99,"")</f>
        <v>39.4527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245289</v>
      </c>
      <c r="D100" s="61">
        <f>FH!B100*1</f>
        <v>245289</v>
      </c>
      <c r="E100">
        <f t="shared" si="11"/>
        <v>98</v>
      </c>
      <c r="F100" s="61">
        <f>IF(FT!A100&lt;&gt;"",FT!A100*10,"")</f>
        <v>4.1539099999999998</v>
      </c>
      <c r="G100" s="61">
        <f>IF(FT!B100&lt;&gt;"",FT!B100*100,"")</f>
        <v>38.213799999999999</v>
      </c>
      <c r="H100" s="61">
        <f t="shared" si="9"/>
        <v>1</v>
      </c>
      <c r="I100" t="str">
        <f>IF(FT!B100&lt;&gt;"",FT!E100,"")</f>
        <v>2 [39.856003]</v>
      </c>
      <c r="J100">
        <f>IF(FT!B100&lt;&gt;"",FT!C100,"")</f>
        <v>39.856000000000002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4.1844900000000003</v>
      </c>
      <c r="G101" s="61">
        <f>IF(FT!B101&lt;&gt;"",FT!B101*100,"")</f>
        <v>38.106499999999997</v>
      </c>
      <c r="H101" s="61">
        <f t="shared" si="9"/>
        <v>1</v>
      </c>
      <c r="I101" t="str">
        <f>IF(FT!B101&lt;&gt;"",FT!E101,"")</f>
        <v>2 [40.265921]</v>
      </c>
      <c r="J101">
        <f>IF(FT!B101&lt;&gt;"",FT!C101,"")</f>
        <v>40.265900000000002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4.2158299999999995</v>
      </c>
      <c r="G102" s="61">
        <f>IF(FT!B102&lt;&gt;"",FT!B102*100,"")</f>
        <v>37.957599999999999</v>
      </c>
      <c r="H102" s="61">
        <f t="shared" si="9"/>
        <v>1</v>
      </c>
      <c r="I102" t="str">
        <f>IF(FT!B102&lt;&gt;"",FT!E102,"")</f>
        <v>2 [40.672300]</v>
      </c>
      <c r="J102">
        <f>IF(FT!B102&lt;&gt;"",FT!C102,"")</f>
        <v>40.6723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256821</v>
      </c>
      <c r="D103" s="61">
        <f>FH!B103*1</f>
        <v>256821</v>
      </c>
      <c r="E103">
        <f t="shared" si="11"/>
        <v>101</v>
      </c>
      <c r="F103" s="61">
        <f>IF(FT!A103&lt;&gt;"",FT!A103*10,"")</f>
        <v>4.2509600000000001</v>
      </c>
      <c r="G103" s="61">
        <f>IF(FT!B103&lt;&gt;"",FT!B103*100,"")</f>
        <v>37.736699999999999</v>
      </c>
      <c r="H103" s="61">
        <f t="shared" si="9"/>
        <v>1</v>
      </c>
      <c r="I103" t="str">
        <f>IF(FT!B103&lt;&gt;"",FT!E103,"")</f>
        <v>2 [41.080372]</v>
      </c>
      <c r="J103">
        <f>IF(FT!B103&lt;&gt;"",FT!C103,"")</f>
        <v>41.080399999999997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4.2864300000000002</v>
      </c>
      <c r="G104" s="61">
        <f>IF(FT!B104&lt;&gt;"",FT!B104*100,"")</f>
        <v>37.519200000000005</v>
      </c>
      <c r="H104" s="61">
        <f t="shared" si="9"/>
        <v>1</v>
      </c>
      <c r="I104" t="str">
        <f>IF(FT!B104&lt;&gt;"",FT!E104,"")</f>
        <v>2 [41.486845]</v>
      </c>
      <c r="J104">
        <f>IF(FT!B104&lt;&gt;"",FT!C104,"")</f>
        <v>41.486800000000002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4.3218100000000002</v>
      </c>
      <c r="G105" s="61">
        <f>IF(FT!B105&lt;&gt;"",FT!B105*100,"")</f>
        <v>37.313499999999998</v>
      </c>
      <c r="H105" s="61">
        <f t="shared" si="9"/>
        <v>1</v>
      </c>
      <c r="I105" t="str">
        <f>IF(FT!B105&lt;&gt;"",FT!E105,"")</f>
        <v>2 [41.889800]</v>
      </c>
      <c r="J105">
        <f>IF(FT!B105&lt;&gt;"",FT!C105,"")</f>
        <v>41.889800000000001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249096</v>
      </c>
      <c r="D106" s="61">
        <f>FH!B106*1</f>
        <v>249096</v>
      </c>
      <c r="E106">
        <f t="shared" si="11"/>
        <v>104</v>
      </c>
      <c r="F106" s="61">
        <f>IF(FT!A106&lt;&gt;"",FT!A106*10,"")</f>
        <v>4.3564499999999997</v>
      </c>
      <c r="G106" s="61">
        <f>IF(FT!B106&lt;&gt;"",FT!B106*100,"")</f>
        <v>37.146799999999999</v>
      </c>
      <c r="H106" s="61">
        <f t="shared" si="9"/>
        <v>1</v>
      </c>
      <c r="I106" t="str">
        <f>IF(FT!B106&lt;&gt;"",FT!E106,"")</f>
        <v>2 [42.295128]</v>
      </c>
      <c r="J106">
        <f>IF(FT!B106&lt;&gt;"",FT!C106,"")</f>
        <v>42.295099999999998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4.3875299999999999</v>
      </c>
      <c r="G107" s="61">
        <f>IF(FT!B107&lt;&gt;"",FT!B107*100,"")</f>
        <v>37.1004</v>
      </c>
      <c r="H107" s="61">
        <f t="shared" si="9"/>
        <v>1</v>
      </c>
      <c r="I107" t="str">
        <f>IF(FT!B107&lt;&gt;"",FT!E107,"")</f>
        <v>2 [42.704410]</v>
      </c>
      <c r="J107">
        <f>IF(FT!B107&lt;&gt;"",FT!C107,"")</f>
        <v>42.7044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244527</v>
      </c>
      <c r="D108" s="61">
        <f>FH!B108*1</f>
        <v>244527</v>
      </c>
      <c r="E108">
        <f t="shared" si="11"/>
        <v>106</v>
      </c>
      <c r="F108" s="61">
        <f>IF(FT!A108&lt;&gt;"",FT!A108*10,"")</f>
        <v>4.4164300000000001</v>
      </c>
      <c r="G108" s="61">
        <f>IF(FT!B108&lt;&gt;"",FT!B108*100,"")</f>
        <v>37.103299999999997</v>
      </c>
      <c r="H108" s="61">
        <f t="shared" si="9"/>
        <v>1</v>
      </c>
      <c r="I108" t="str">
        <f>IF(FT!B108&lt;&gt;"",FT!E108,"")</f>
        <v>2 [43.110638]</v>
      </c>
      <c r="J108">
        <f>IF(FT!B108&lt;&gt;"",FT!C108,"")</f>
        <v>43.110599999999998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4.4440800000000005</v>
      </c>
      <c r="G109" s="61">
        <f>IF(FT!B109&lt;&gt;"",FT!B109*100,"")</f>
        <v>37.132300000000001</v>
      </c>
      <c r="H109" s="61">
        <f t="shared" si="9"/>
        <v>1</v>
      </c>
      <c r="I109" t="str">
        <f>IF(FT!B109&lt;&gt;"",FT!E109,"")</f>
        <v>2 [43.515792]</v>
      </c>
      <c r="J109">
        <f>IF(FT!B109&lt;&gt;"",FT!C109,"")</f>
        <v>43.515799999999999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4.4705699999999995</v>
      </c>
      <c r="G110" s="61">
        <f>IF(FT!B110&lt;&gt;"",FT!B110*100,"")</f>
        <v>37.173899999999996</v>
      </c>
      <c r="H110" s="61">
        <f t="shared" si="9"/>
        <v>1</v>
      </c>
      <c r="I110" t="str">
        <f>IF(FT!B110&lt;&gt;"",FT!E110,"")</f>
        <v>2 [43.921101]</v>
      </c>
      <c r="J110">
        <f>IF(FT!B110&lt;&gt;"",FT!C110,"")</f>
        <v>43.921100000000003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249171</v>
      </c>
      <c r="D111" s="61">
        <f>FH!B111*1</f>
        <v>249171</v>
      </c>
      <c r="E111">
        <f t="shared" si="11"/>
        <v>109</v>
      </c>
      <c r="F111" s="61">
        <f>IF(FT!A111&lt;&gt;"",FT!A111*10,"")</f>
        <v>4.4963899999999999</v>
      </c>
      <c r="G111" s="61">
        <f>IF(FT!B111&lt;&gt;"",FT!B111*100,"")</f>
        <v>37.280999999999999</v>
      </c>
      <c r="H111" s="61">
        <f t="shared" si="9"/>
        <v>1</v>
      </c>
      <c r="I111" t="str">
        <f>IF(FT!B111&lt;&gt;"",FT!E111,"")</f>
        <v>2 [44.329405]</v>
      </c>
      <c r="J111">
        <f>IF(FT!B111&lt;&gt;"",FT!C111,"")</f>
        <v>44.3294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4.5210499999999998</v>
      </c>
      <c r="G112" s="61">
        <f>IF(FT!B112&lt;&gt;"",FT!B112*100,"")</f>
        <v>37.488700000000001</v>
      </c>
      <c r="H112" s="61">
        <f t="shared" si="9"/>
        <v>1</v>
      </c>
      <c r="I112" t="str">
        <f>IF(FT!B112&lt;&gt;"",FT!E112,"")</f>
        <v>2 [44.736142]</v>
      </c>
      <c r="J112">
        <f>IF(FT!B112&lt;&gt;"",FT!C112,"")</f>
        <v>44.7361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234431</v>
      </c>
      <c r="D113" s="61">
        <f>FH!B113*1</f>
        <v>234431</v>
      </c>
      <c r="E113">
        <f t="shared" si="11"/>
        <v>111</v>
      </c>
      <c r="F113" s="61">
        <f>IF(FT!A113&lt;&gt;"",FT!A113*10,"")</f>
        <v>4.5453900000000003</v>
      </c>
      <c r="G113" s="61">
        <f>IF(FT!B113&lt;&gt;"",FT!B113*100,"")</f>
        <v>37.694600000000001</v>
      </c>
      <c r="H113" s="61">
        <f t="shared" si="9"/>
        <v>1</v>
      </c>
      <c r="I113" t="str">
        <f>IF(FT!B113&lt;&gt;"",FT!E113,"")</f>
        <v>2 [45.143916]</v>
      </c>
      <c r="J113">
        <f>IF(FT!B113&lt;&gt;"",FT!C113,"")</f>
        <v>45.143900000000002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4.56595</v>
      </c>
      <c r="G114" s="61">
        <f>IF(FT!B114&lt;&gt;"",FT!B114*100,"")</f>
        <v>37.946200000000005</v>
      </c>
      <c r="H114" s="61">
        <f t="shared" si="9"/>
        <v>1</v>
      </c>
      <c r="I114" t="str">
        <f>IF(FT!B114&lt;&gt;"",FT!E114,"")</f>
        <v>2 [45.554213]</v>
      </c>
      <c r="J114">
        <f>IF(FT!B114&lt;&gt;"",FT!C114,"")</f>
        <v>45.554200000000002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4.58453</v>
      </c>
      <c r="G115" s="61">
        <f>IF(FT!B115&lt;&gt;"",FT!B115*100,"")</f>
        <v>38.183099999999996</v>
      </c>
      <c r="H115" s="61">
        <f t="shared" si="9"/>
        <v>1</v>
      </c>
      <c r="I115" t="str">
        <f>IF(FT!B115&lt;&gt;"",FT!E115,"")</f>
        <v>2 [45.953346]</v>
      </c>
      <c r="J115">
        <f>IF(FT!B115&lt;&gt;"",FT!C115,"")</f>
        <v>45.953299999999999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222797</v>
      </c>
      <c r="D116" s="61">
        <f>FH!B116*1</f>
        <v>222797</v>
      </c>
      <c r="E116">
        <f t="shared" si="11"/>
        <v>114</v>
      </c>
      <c r="F116" s="61">
        <f>IF(FT!A116&lt;&gt;"",FT!A116*10,"")</f>
        <v>4.59985</v>
      </c>
      <c r="G116" s="61">
        <f>IF(FT!B116&lt;&gt;"",FT!B116*100,"")</f>
        <v>38.4101</v>
      </c>
      <c r="H116" s="61">
        <f t="shared" si="9"/>
        <v>1</v>
      </c>
      <c r="I116" t="str">
        <f>IF(FT!B116&lt;&gt;"",FT!E116,"")</f>
        <v>2 [46.364081]</v>
      </c>
      <c r="J116">
        <f>IF(FT!B116&lt;&gt;"",FT!C116,"")</f>
        <v>46.364100000000001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4.6119599999999998</v>
      </c>
      <c r="G117" s="61">
        <f>IF(FT!B117&lt;&gt;"",FT!B117*100,"")</f>
        <v>38.6297</v>
      </c>
      <c r="H117" s="61">
        <f t="shared" si="9"/>
        <v>1</v>
      </c>
      <c r="I117" t="str">
        <f>IF(FT!B117&lt;&gt;"",FT!E117,"")</f>
        <v>2 [46.769058]</v>
      </c>
      <c r="J117">
        <f>IF(FT!B117&lt;&gt;"",FT!C117,"")</f>
        <v>46.769100000000002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221596</v>
      </c>
      <c r="D118" s="61">
        <f>FH!B118*1</f>
        <v>221596</v>
      </c>
      <c r="E118">
        <f t="shared" si="11"/>
        <v>116</v>
      </c>
      <c r="F118" s="61">
        <f>IF(FT!A118&lt;&gt;"",FT!A118*10,"")</f>
        <v>4.6200999999999999</v>
      </c>
      <c r="G118" s="61">
        <f>IF(FT!B118&lt;&gt;"",FT!B118*100,"")</f>
        <v>38.836300000000001</v>
      </c>
      <c r="H118" s="61">
        <f t="shared" si="9"/>
        <v>1</v>
      </c>
      <c r="I118" t="str">
        <f>IF(FT!B118&lt;&gt;"",FT!E118,"")</f>
        <v>2 [47.174246]</v>
      </c>
      <c r="J118">
        <f>IF(FT!B118&lt;&gt;"",FT!C118,"")</f>
        <v>47.174199999999999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4.6243800000000004</v>
      </c>
      <c r="G119" s="61">
        <f>IF(FT!B119&lt;&gt;"",FT!B119*100,"")</f>
        <v>39.038499999999999</v>
      </c>
      <c r="H119" s="61">
        <f t="shared" si="9"/>
        <v>1</v>
      </c>
      <c r="I119" t="str">
        <f>IF(FT!B119&lt;&gt;"",FT!E119,"")</f>
        <v>2 [47.581015]</v>
      </c>
      <c r="J119">
        <f>IF(FT!B119&lt;&gt;"",FT!C119,"")</f>
        <v>47.581000000000003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4.6261299999999999</v>
      </c>
      <c r="G120" s="61">
        <f>IF(FT!B120&lt;&gt;"",FT!B120*100,"")</f>
        <v>39.261499999999998</v>
      </c>
      <c r="H120" s="61">
        <f t="shared" si="9"/>
        <v>1</v>
      </c>
      <c r="I120" t="str">
        <f>IF(FT!B120&lt;&gt;"",FT!E120,"")</f>
        <v>2 [47.985371]</v>
      </c>
      <c r="J120">
        <f>IF(FT!B120&lt;&gt;"",FT!C120,"")</f>
        <v>47.985399999999998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204369</v>
      </c>
      <c r="D121" s="61">
        <f>FH!B121*1</f>
        <v>204369</v>
      </c>
      <c r="E121">
        <f t="shared" si="11"/>
        <v>119</v>
      </c>
      <c r="F121" s="61">
        <f>IF(FT!A121&lt;&gt;"",FT!A121*10,"")</f>
        <v>4.6275500000000003</v>
      </c>
      <c r="G121" s="61">
        <f>IF(FT!B121&lt;&gt;"",FT!B121*100,"")</f>
        <v>39.509599999999999</v>
      </c>
      <c r="H121" s="61">
        <f t="shared" si="9"/>
        <v>1</v>
      </c>
      <c r="I121" t="str">
        <f>IF(FT!B121&lt;&gt;"",FT!E121,"")</f>
        <v>2 [48.389455]</v>
      </c>
      <c r="J121">
        <f>IF(FT!B121&lt;&gt;"",FT!C121,"")</f>
        <v>48.389499999999998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4.6265999999999998</v>
      </c>
      <c r="G122" s="61">
        <f>IF(FT!B122&lt;&gt;"",FT!B122*100,"")</f>
        <v>39.758099999999999</v>
      </c>
      <c r="H122" s="61">
        <f t="shared" si="9"/>
        <v>1</v>
      </c>
      <c r="I122" t="str">
        <f>IF(FT!B122&lt;&gt;"",FT!E122,"")</f>
        <v>2 [48.795454]</v>
      </c>
      <c r="J122">
        <f>IF(FT!B122&lt;&gt;"",FT!C122,"")</f>
        <v>48.795499999999997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4.6252599999999999</v>
      </c>
      <c r="G123" s="61">
        <f>IF(FT!B123&lt;&gt;"",FT!B123*100,"")</f>
        <v>39.9998</v>
      </c>
      <c r="H123" s="61">
        <f t="shared" si="9"/>
        <v>1</v>
      </c>
      <c r="I123" t="str">
        <f>IF(FT!B123&lt;&gt;"",FT!E123,"")</f>
        <v>2 [49.205999]</v>
      </c>
      <c r="J123">
        <f>IF(FT!B123&lt;&gt;"",FT!C123,"")</f>
        <v>49.206000000000003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188715</v>
      </c>
      <c r="D124" s="61">
        <f>FH!B124*1</f>
        <v>188715</v>
      </c>
      <c r="E124">
        <f t="shared" si="11"/>
        <v>122</v>
      </c>
      <c r="F124" s="61">
        <f>IF(FT!A124&lt;&gt;"",FT!A124*10,"")</f>
        <v>4.6196299999999999</v>
      </c>
      <c r="G124" s="61">
        <f>IF(FT!B124&lt;&gt;"",FT!B124*100,"")</f>
        <v>40.192799999999998</v>
      </c>
      <c r="H124" s="61">
        <f t="shared" si="9"/>
        <v>1</v>
      </c>
      <c r="I124" t="str">
        <f>IF(FT!B124&lt;&gt;"",FT!E124,"")</f>
        <v>2 [49.610737]</v>
      </c>
      <c r="J124">
        <f>IF(FT!B124&lt;&gt;"",FT!C124,"")</f>
        <v>49.610700000000001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4.6096500000000002</v>
      </c>
      <c r="G125" s="61">
        <f>IF(FT!B125&lt;&gt;"",FT!B125*100,"")</f>
        <v>40.363300000000002</v>
      </c>
      <c r="H125" s="61">
        <f t="shared" si="9"/>
        <v>1</v>
      </c>
      <c r="I125" t="str">
        <f>IF(FT!B125&lt;&gt;"",FT!E125,"")</f>
        <v>2 [50.017871]</v>
      </c>
      <c r="J125">
        <f>IF(FT!B125&lt;&gt;"",FT!C125,"")</f>
        <v>50.017899999999997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178732</v>
      </c>
      <c r="D126" s="61">
        <f>FH!B126*1</f>
        <v>178732</v>
      </c>
      <c r="E126">
        <f t="shared" si="11"/>
        <v>124</v>
      </c>
      <c r="F126" s="61">
        <f>IF(FT!A126&lt;&gt;"",FT!A126*10,"")</f>
        <v>4.6104899999999995</v>
      </c>
      <c r="G126" s="61">
        <f>IF(FT!B126&lt;&gt;"",FT!B126*100,"")</f>
        <v>40.386400000000002</v>
      </c>
      <c r="H126" s="61">
        <f t="shared" si="9"/>
        <v>1</v>
      </c>
      <c r="I126" t="str">
        <f>IF(FT!B126&lt;&gt;"",FT!E126,"")</f>
        <v>2 [50.419545]</v>
      </c>
      <c r="J126">
        <f>IF(FT!B126&lt;&gt;"",FT!C126,"")</f>
        <v>50.419499999999999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4.6084100000000001</v>
      </c>
      <c r="G127" s="61">
        <f>IF(FT!B127&lt;&gt;"",FT!B127*100,"")</f>
        <v>40.443600000000004</v>
      </c>
      <c r="H127" s="61">
        <f t="shared" si="9"/>
        <v>1</v>
      </c>
      <c r="I127" t="str">
        <f>IF(FT!B127&lt;&gt;"",FT!E127,"")</f>
        <v>2 [50.828420]</v>
      </c>
      <c r="J127">
        <f>IF(FT!B127&lt;&gt;"",FT!C127,"")</f>
        <v>50.828400000000002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4.6019500000000004</v>
      </c>
      <c r="G128" s="61">
        <f>IF(FT!B128&lt;&gt;"",FT!B128*100,"")</f>
        <v>40.571300000000001</v>
      </c>
      <c r="H128" s="61">
        <f t="shared" si="9"/>
        <v>1</v>
      </c>
      <c r="I128" t="str">
        <f>IF(FT!B128&lt;&gt;"",FT!E128,"")</f>
        <v>2 [51.236093]</v>
      </c>
      <c r="J128">
        <f>IF(FT!B128&lt;&gt;"",FT!C128,"")</f>
        <v>51.2361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168975</v>
      </c>
      <c r="D129" s="61">
        <f>FH!B129*1</f>
        <v>168975</v>
      </c>
      <c r="E129">
        <f t="shared" si="11"/>
        <v>127</v>
      </c>
      <c r="F129" s="61">
        <f>IF(FT!A129&lt;&gt;"",FT!A129*10,"")</f>
        <v>4.5930900000000001</v>
      </c>
      <c r="G129" s="61">
        <f>IF(FT!B129&lt;&gt;"",FT!B129*100,"")</f>
        <v>40.774500000000003</v>
      </c>
      <c r="H129" s="61">
        <f t="shared" si="9"/>
        <v>1</v>
      </c>
      <c r="I129" t="str">
        <f>IF(FT!B129&lt;&gt;"",FT!E129,"")</f>
        <v>2 [51.643408]</v>
      </c>
      <c r="J129">
        <f>IF(FT!B129&lt;&gt;"",FT!C129,"")</f>
        <v>51.6434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4.5816499999999998</v>
      </c>
      <c r="G130" s="61">
        <f>IF(FT!B130&lt;&gt;"",FT!B130*100,"")</f>
        <v>41.014200000000002</v>
      </c>
      <c r="H130" s="61">
        <f t="shared" si="9"/>
        <v>1</v>
      </c>
      <c r="I130" t="str">
        <f>IF(FT!B130&lt;&gt;"",FT!E130,"")</f>
        <v>2 [52.046895]</v>
      </c>
      <c r="J130">
        <f>IF(FT!B130&lt;&gt;"",FT!C130,"")</f>
        <v>52.046900000000001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155399</v>
      </c>
      <c r="D131" s="61">
        <f>FH!B131*1</f>
        <v>155399</v>
      </c>
      <c r="E131">
        <f t="shared" si="11"/>
        <v>129</v>
      </c>
      <c r="F131" s="61">
        <f>IF(FT!A131&lt;&gt;"",FT!A131*10,"")</f>
        <v>4.5670999999999999</v>
      </c>
      <c r="G131" s="61">
        <f>IF(FT!B131&lt;&gt;"",FT!B131*100,"")</f>
        <v>41.280299999999997</v>
      </c>
      <c r="H131" s="61">
        <f t="shared" ref="H131:H194" si="13">(IF(F131&lt;&gt;"",1,""))</f>
        <v>1</v>
      </c>
      <c r="I131" t="str">
        <f>IF(FT!B131&lt;&gt;"",FT!E131,"")</f>
        <v>2 [52.451383]</v>
      </c>
      <c r="J131">
        <f>IF(FT!B131&lt;&gt;"",FT!C131,"")</f>
        <v>52.4514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4.5536599999999998</v>
      </c>
      <c r="G132" s="61">
        <f>IF(FT!B132&lt;&gt;"",FT!B132*100,"")</f>
        <v>41.475099999999998</v>
      </c>
      <c r="H132" s="61">
        <f t="shared" si="13"/>
        <v>1</v>
      </c>
      <c r="I132" t="str">
        <f>IF(FT!B132&lt;&gt;"",FT!E132,"")</f>
        <v>2 [52.859945]</v>
      </c>
      <c r="J132">
        <f>IF(FT!B132&lt;&gt;"",FT!C132,"")</f>
        <v>52.859900000000003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4.5404900000000001</v>
      </c>
      <c r="G133" s="61">
        <f>IF(FT!B133&lt;&gt;"",FT!B133*100,"")</f>
        <v>41.654000000000003</v>
      </c>
      <c r="H133" s="61">
        <f t="shared" si="13"/>
        <v>1</v>
      </c>
      <c r="I133" t="str">
        <f>IF(FT!B133&lt;&gt;"",FT!E133,"")</f>
        <v>2 [53.265883]</v>
      </c>
      <c r="J133">
        <f>IF(FT!B133&lt;&gt;"",FT!C133,"")</f>
        <v>53.265900000000002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148946</v>
      </c>
      <c r="D134" s="61">
        <f>FH!B134*1</f>
        <v>148946</v>
      </c>
      <c r="E134">
        <f t="shared" si="15"/>
        <v>132</v>
      </c>
      <c r="F134" s="61">
        <f>IF(FT!A134&lt;&gt;"",FT!A134*10,"")</f>
        <v>4.5281500000000001</v>
      </c>
      <c r="G134" s="61">
        <f>IF(FT!B134&lt;&gt;"",FT!B134*100,"")</f>
        <v>41.897099999999995</v>
      </c>
      <c r="H134" s="61">
        <f t="shared" si="13"/>
        <v>1</v>
      </c>
      <c r="I134" t="str">
        <f>IF(FT!B134&lt;&gt;"",FT!E134,"")</f>
        <v>2 [53.673566]</v>
      </c>
      <c r="J134">
        <f>IF(FT!B134&lt;&gt;"",FT!C134,"")</f>
        <v>53.6736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4.5150499999999996</v>
      </c>
      <c r="G135" s="61">
        <f>IF(FT!B135&lt;&gt;"",FT!B135*100,"")</f>
        <v>42.2241</v>
      </c>
      <c r="H135" s="61">
        <f t="shared" si="13"/>
        <v>1</v>
      </c>
      <c r="I135" t="str">
        <f>IF(FT!B135&lt;&gt;"",FT!E135,"")</f>
        <v>2 [54.078292]</v>
      </c>
      <c r="J135">
        <f>IF(FT!B135&lt;&gt;"",FT!C135,"")</f>
        <v>54.078299999999999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133537</v>
      </c>
      <c r="D136" s="61">
        <f>FH!B136*1</f>
        <v>133537</v>
      </c>
      <c r="E136">
        <f t="shared" si="15"/>
        <v>134</v>
      </c>
      <c r="F136" s="61">
        <f>IF(FT!A136&lt;&gt;"",FT!A136*10,"")</f>
        <v>4.5000099999999996</v>
      </c>
      <c r="G136" s="61">
        <f>IF(FT!B136&lt;&gt;"",FT!B136*100,"")</f>
        <v>42.578299999999999</v>
      </c>
      <c r="H136" s="61">
        <f t="shared" si="13"/>
        <v>1</v>
      </c>
      <c r="I136" t="str">
        <f>IF(FT!B136&lt;&gt;"",FT!E136,"")</f>
        <v>2 [54.480821]</v>
      </c>
      <c r="J136">
        <f>IF(FT!B136&lt;&gt;"",FT!C136,"")</f>
        <v>54.480800000000002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4.4843899999999994</v>
      </c>
      <c r="G137" s="61">
        <f>IF(FT!B137&lt;&gt;"",FT!B137*100,"")</f>
        <v>42.916699999999999</v>
      </c>
      <c r="H137" s="61">
        <f t="shared" si="13"/>
        <v>1</v>
      </c>
      <c r="I137" t="str">
        <f>IF(FT!B137&lt;&gt;"",FT!E137,"")</f>
        <v>2 [54.889118]</v>
      </c>
      <c r="J137">
        <f>IF(FT!B137&lt;&gt;"",FT!C137,"")</f>
        <v>54.889099999999999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4.4662899999999999</v>
      </c>
      <c r="G138" s="61">
        <f>IF(FT!B138&lt;&gt;"",FT!B138*100,"")</f>
        <v>43.278499999999994</v>
      </c>
      <c r="H138" s="61">
        <f t="shared" si="13"/>
        <v>1</v>
      </c>
      <c r="I138" t="str">
        <f>IF(FT!B138&lt;&gt;"",FT!E138,"")</f>
        <v>2 [55.294575]</v>
      </c>
      <c r="J138">
        <f>IF(FT!B138&lt;&gt;"",FT!C138,"")</f>
        <v>55.294600000000003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134381</v>
      </c>
      <c r="D139" s="61">
        <f>FH!B139*1</f>
        <v>134381</v>
      </c>
      <c r="E139">
        <f t="shared" si="15"/>
        <v>137</v>
      </c>
      <c r="F139" s="61">
        <f>IF(FT!A139&lt;&gt;"",FT!A139*10,"")</f>
        <v>4.4499699999999995</v>
      </c>
      <c r="G139" s="61">
        <f>IF(FT!B139&lt;&gt;"",FT!B139*100,"")</f>
        <v>43.5899</v>
      </c>
      <c r="H139" s="61">
        <f t="shared" si="13"/>
        <v>1</v>
      </c>
      <c r="I139" t="str">
        <f>IF(FT!B139&lt;&gt;"",FT!E139,"")</f>
        <v>2 [55.700767]</v>
      </c>
      <c r="J139">
        <f>IF(FT!B139&lt;&gt;"",FT!C139,"")</f>
        <v>55.700800000000001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4.4335599999999999</v>
      </c>
      <c r="G140" s="61">
        <f>IF(FT!B140&lt;&gt;"",FT!B140*100,"")</f>
        <v>43.953900000000004</v>
      </c>
      <c r="H140" s="61">
        <f t="shared" si="13"/>
        <v>1</v>
      </c>
      <c r="I140" t="str">
        <f>IF(FT!B140&lt;&gt;"",FT!E140,"")</f>
        <v>2 [56.112395]</v>
      </c>
      <c r="J140">
        <f>IF(FT!B140&lt;&gt;"",FT!C140,"")</f>
        <v>56.112400000000001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4.41873</v>
      </c>
      <c r="G141" s="61">
        <f>IF(FT!B141&lt;&gt;"",FT!B141*100,"")</f>
        <v>44.374900000000004</v>
      </c>
      <c r="H141" s="61">
        <f t="shared" si="13"/>
        <v>1</v>
      </c>
      <c r="I141" t="str">
        <f>IF(FT!B141&lt;&gt;"",FT!E141,"")</f>
        <v>2 [56.515687]</v>
      </c>
      <c r="J141">
        <f>IF(FT!B141&lt;&gt;"",FT!C141,"")</f>
        <v>56.515700000000002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118316</v>
      </c>
      <c r="D142" s="61">
        <f>FH!B142*1</f>
        <v>118316</v>
      </c>
      <c r="E142">
        <f t="shared" si="15"/>
        <v>140</v>
      </c>
      <c r="F142" s="61">
        <f>IF(FT!A142&lt;&gt;"",FT!A142*10,"")</f>
        <v>4.4016599999999997</v>
      </c>
      <c r="G142" s="61">
        <f>IF(FT!B142&lt;&gt;"",FT!B142*100,"")</f>
        <v>44.830500000000001</v>
      </c>
      <c r="H142" s="61">
        <f t="shared" si="13"/>
        <v>1</v>
      </c>
      <c r="I142" t="str">
        <f>IF(FT!B142&lt;&gt;"",FT!E142,"")</f>
        <v>2 [56.922502]</v>
      </c>
      <c r="J142">
        <f>IF(FT!B142&lt;&gt;"",FT!C142,"")</f>
        <v>56.922499999999999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4.3817399999999997</v>
      </c>
      <c r="G143" s="61">
        <f>IF(FT!B143&lt;&gt;"",FT!B143*100,"")</f>
        <v>45.3658</v>
      </c>
      <c r="H143" s="61">
        <f t="shared" si="13"/>
        <v>1</v>
      </c>
      <c r="I143" t="str">
        <f>IF(FT!B143&lt;&gt;"",FT!E143,"")</f>
        <v>2 [57.331362]</v>
      </c>
      <c r="J143">
        <f>IF(FT!B143&lt;&gt;"",FT!C143,"")</f>
        <v>57.331400000000002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109684</v>
      </c>
      <c r="D144" s="61">
        <f>FH!B144*1</f>
        <v>109684</v>
      </c>
      <c r="E144">
        <f t="shared" si="15"/>
        <v>142</v>
      </c>
      <c r="F144" s="61">
        <f>IF(FT!A144&lt;&gt;"",FT!A144*10,"")</f>
        <v>4.3618199999999998</v>
      </c>
      <c r="G144" s="61">
        <f>IF(FT!B144&lt;&gt;"",FT!B144*100,"")</f>
        <v>45.8782</v>
      </c>
      <c r="H144" s="61">
        <f t="shared" si="13"/>
        <v>1</v>
      </c>
      <c r="I144" t="str">
        <f>IF(FT!B144&lt;&gt;"",FT!E144,"")</f>
        <v>2 [57.736407]</v>
      </c>
      <c r="J144">
        <f>IF(FT!B144&lt;&gt;"",FT!C144,"")</f>
        <v>57.736400000000003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4.3412899999999999</v>
      </c>
      <c r="G145" s="61">
        <f>IF(FT!B145&lt;&gt;"",FT!B145*100,"")</f>
        <v>46.362500000000004</v>
      </c>
      <c r="H145" s="61">
        <f t="shared" si="13"/>
        <v>1</v>
      </c>
      <c r="I145" t="str">
        <f>IF(FT!B145&lt;&gt;"",FT!E145,"")</f>
        <v>2 [58.144440]</v>
      </c>
      <c r="J145">
        <f>IF(FT!B145&lt;&gt;"",FT!C145,"")</f>
        <v>58.144399999999997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4.3144499999999999</v>
      </c>
      <c r="G146" s="61">
        <f>IF(FT!B146&lt;&gt;"",FT!B146*100,"")</f>
        <v>46.889900000000004</v>
      </c>
      <c r="H146" s="61">
        <f t="shared" si="13"/>
        <v>1</v>
      </c>
      <c r="I146" t="str">
        <f>IF(FT!B146&lt;&gt;"",FT!E146,"")</f>
        <v>2 [58.547675]</v>
      </c>
      <c r="J146">
        <f>IF(FT!B146&lt;&gt;"",FT!C146,"")</f>
        <v>58.547699999999999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103271</v>
      </c>
      <c r="D147" s="61">
        <f>FH!B147*1</f>
        <v>103271</v>
      </c>
      <c r="E147">
        <f t="shared" si="15"/>
        <v>145</v>
      </c>
      <c r="F147" s="61">
        <f>IF(FT!A147&lt;&gt;"",FT!A147*10,"")</f>
        <v>4.2903000000000002</v>
      </c>
      <c r="G147" s="61">
        <f>IF(FT!B147&lt;&gt;"",FT!B147*100,"")</f>
        <v>47.306399999999996</v>
      </c>
      <c r="H147" s="61">
        <f t="shared" si="13"/>
        <v>1</v>
      </c>
      <c r="I147" t="str">
        <f>IF(FT!B147&lt;&gt;"",FT!E147,"")</f>
        <v>2 [58.954076]</v>
      </c>
      <c r="J147">
        <f>IF(FT!B147&lt;&gt;"",FT!C147,"")</f>
        <v>58.954099999999997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4.2668999999999997</v>
      </c>
      <c r="G148" s="61">
        <f>IF(FT!B148&lt;&gt;"",FT!B148*100,"")</f>
        <v>47.621299999999998</v>
      </c>
      <c r="H148" s="61">
        <f t="shared" si="13"/>
        <v>1</v>
      </c>
      <c r="I148" t="str">
        <f>IF(FT!B148&lt;&gt;"",FT!E148,"")</f>
        <v>2 [59.360931]</v>
      </c>
      <c r="J148">
        <f>IF(FT!B148&lt;&gt;"",FT!C148,"")</f>
        <v>59.360900000000001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100287</v>
      </c>
      <c r="D149" s="61">
        <f>FH!B149*1</f>
        <v>100287</v>
      </c>
      <c r="E149">
        <f t="shared" si="15"/>
        <v>147</v>
      </c>
      <c r="F149" s="61">
        <f>IF(FT!A149&lt;&gt;"",FT!A149*10,"")</f>
        <v>4.2382299999999997</v>
      </c>
      <c r="G149" s="61">
        <f>IF(FT!B149&lt;&gt;"",FT!B149*100,"")</f>
        <v>47.955500000000001</v>
      </c>
      <c r="H149" s="61">
        <f t="shared" si="13"/>
        <v>1</v>
      </c>
      <c r="I149" t="str">
        <f>IF(FT!B149&lt;&gt;"",FT!E149,"")</f>
        <v>2 [59.767937]</v>
      </c>
      <c r="J149">
        <f>IF(FT!B149&lt;&gt;"",FT!C149,"")</f>
        <v>59.767899999999997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90859</v>
      </c>
      <c r="D152" s="61">
        <f>FH!B152*1</f>
        <v>90859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80327</v>
      </c>
      <c r="D154" s="61">
        <f>FH!B154*1</f>
        <v>80327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77966</v>
      </c>
      <c r="D157" s="61">
        <f>FH!B157*1</f>
        <v>77966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72444</v>
      </c>
      <c r="D160" s="61">
        <f>FH!B160*1</f>
        <v>72444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62481</v>
      </c>
      <c r="D162" s="61">
        <f>FH!B162*1</f>
        <v>62481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55468</v>
      </c>
      <c r="D165" s="61">
        <f>FH!B165*1</f>
        <v>55468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46908</v>
      </c>
      <c r="D167" s="61">
        <f>FH!B167*1</f>
        <v>46908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43158</v>
      </c>
      <c r="D170" s="61">
        <f>FH!B170*1</f>
        <v>43158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31932</v>
      </c>
      <c r="D173" s="61">
        <f>FH!B173*1</f>
        <v>31932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25489</v>
      </c>
      <c r="D175" s="61">
        <f>FH!B175*1</f>
        <v>25489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17218</v>
      </c>
      <c r="D178" s="61">
        <f>FH!B178*1</f>
        <v>17218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9206</v>
      </c>
      <c r="D180" s="61">
        <f>FH!B180*1</f>
        <v>9206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7455</v>
      </c>
      <c r="D183" s="61">
        <f>FH!B183*1</f>
        <v>7455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4019</v>
      </c>
      <c r="D185" s="61">
        <f>FH!B185*1</f>
        <v>4019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1381</v>
      </c>
      <c r="D188" s="61">
        <f>FH!B188*1</f>
        <v>1381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967</v>
      </c>
      <c r="D191" s="61">
        <f>FH!B191*1</f>
        <v>967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510</v>
      </c>
      <c r="D193" s="61">
        <f>FH!B193*1</f>
        <v>510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317</v>
      </c>
      <c r="D196" s="61">
        <f>FH!B196*1</f>
        <v>317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55</v>
      </c>
      <c r="D198" s="61">
        <f>FH!B198*1</f>
        <v>55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44.698999999999998</v>
      </c>
      <c r="C5" s="66">
        <v>7.6399100000000004</v>
      </c>
      <c r="D5" s="66">
        <v>17.091899999999999</v>
      </c>
      <c r="E5" s="66">
        <v>20</v>
      </c>
      <c r="F5" s="66">
        <v>15.224399999999999</v>
      </c>
      <c r="G5" s="66">
        <v>50</v>
      </c>
      <c r="H5" s="66">
        <v>51.959499999999998</v>
      </c>
    </row>
    <row r="6" spans="1:8">
      <c r="A6" s="58" t="s">
        <v>303</v>
      </c>
      <c r="B6" s="66">
        <v>27.791699999999999</v>
      </c>
      <c r="C6" s="66">
        <v>2.4114300000000002</v>
      </c>
      <c r="D6" s="66">
        <v>8.6768099999999997</v>
      </c>
      <c r="E6" s="66">
        <v>20</v>
      </c>
      <c r="F6" s="66">
        <v>22.692399999999999</v>
      </c>
      <c r="G6" s="66">
        <v>40</v>
      </c>
      <c r="H6" s="66">
        <v>32.159799999999997</v>
      </c>
    </row>
    <row r="7" spans="1:8">
      <c r="A7" s="58" t="s">
        <v>304</v>
      </c>
      <c r="B7" s="66">
        <v>15.183199999999999</v>
      </c>
      <c r="C7" s="66">
        <v>5.2575599999999998</v>
      </c>
      <c r="D7" s="66">
        <v>34.627499999999998</v>
      </c>
      <c r="E7" s="66">
        <v>15</v>
      </c>
      <c r="F7" s="66">
        <v>5.6767000000000003</v>
      </c>
      <c r="G7" s="66">
        <v>40</v>
      </c>
      <c r="H7" s="66">
        <v>47.252899999999997</v>
      </c>
    </row>
    <row r="8" spans="1:8">
      <c r="A8" s="58" t="s">
        <v>305</v>
      </c>
      <c r="B8" s="66">
        <v>29.329000000000001</v>
      </c>
      <c r="C8" s="66">
        <v>3.4310299999999998</v>
      </c>
      <c r="D8" s="66">
        <v>11.698399999999999</v>
      </c>
      <c r="E8" s="66">
        <v>20</v>
      </c>
      <c r="F8" s="66">
        <v>15.7575</v>
      </c>
      <c r="G8" s="66">
        <v>50</v>
      </c>
      <c r="H8" s="66">
        <v>33.680599999999998</v>
      </c>
    </row>
    <row r="9" spans="1:8">
      <c r="A9" s="58" t="s">
        <v>306</v>
      </c>
      <c r="B9" s="66">
        <v>72.046199999999999</v>
      </c>
      <c r="C9" s="66">
        <v>4.6839399999999998</v>
      </c>
      <c r="D9" s="66">
        <v>6.5012999999999996</v>
      </c>
      <c r="E9" s="66">
        <v>50</v>
      </c>
      <c r="F9" s="66">
        <v>60.274500000000003</v>
      </c>
      <c r="G9" s="66">
        <v>100</v>
      </c>
      <c r="H9" s="66">
        <v>81.035799999999995</v>
      </c>
    </row>
    <row r="10" spans="1:8">
      <c r="A10" s="58" t="s">
        <v>307</v>
      </c>
      <c r="B10" s="66">
        <v>78.413899999999998</v>
      </c>
      <c r="C10" s="66">
        <v>2.4443199999999998</v>
      </c>
      <c r="D10" s="66">
        <v>3.1172</v>
      </c>
      <c r="E10" s="66">
        <v>40</v>
      </c>
      <c r="F10" s="66">
        <v>71.239199999999997</v>
      </c>
      <c r="G10" s="66">
        <v>100</v>
      </c>
      <c r="H10" s="66">
        <v>81.924599999999998</v>
      </c>
    </row>
    <row r="11" spans="1:8">
      <c r="A11" s="58" t="s">
        <v>308</v>
      </c>
      <c r="B11" s="66">
        <v>27.0397</v>
      </c>
      <c r="C11" s="66">
        <v>5.8076400000000001</v>
      </c>
      <c r="D11" s="66">
        <v>21.478200000000001</v>
      </c>
      <c r="E11" s="66">
        <v>10</v>
      </c>
      <c r="F11" s="66">
        <v>10.6358</v>
      </c>
      <c r="G11" s="66">
        <v>50</v>
      </c>
      <c r="H11" s="66">
        <v>36.035699999999999</v>
      </c>
    </row>
    <row r="12" spans="1:8">
      <c r="A12" s="58" t="s">
        <v>309</v>
      </c>
      <c r="B12" s="66">
        <v>75.114500000000007</v>
      </c>
      <c r="C12" s="66">
        <v>2.0858500000000002</v>
      </c>
      <c r="D12" s="66">
        <v>2.7768899999999999</v>
      </c>
      <c r="E12" s="66">
        <v>50</v>
      </c>
      <c r="F12" s="66">
        <v>69.125799999999998</v>
      </c>
      <c r="G12" s="66">
        <v>100</v>
      </c>
      <c r="H12" s="66">
        <v>80.276300000000006</v>
      </c>
    </row>
    <row r="13" spans="1:8">
      <c r="A13" s="58" t="s">
        <v>310</v>
      </c>
      <c r="B13" s="66">
        <v>22.800899999999999</v>
      </c>
      <c r="C13" s="66">
        <v>2.24309</v>
      </c>
      <c r="D13" s="66">
        <v>9.8377199999999991</v>
      </c>
      <c r="E13" s="66">
        <v>10</v>
      </c>
      <c r="F13" s="66">
        <v>17.770299999999999</v>
      </c>
      <c r="G13" s="66">
        <v>25</v>
      </c>
      <c r="H13" s="66">
        <v>29.7455</v>
      </c>
    </row>
    <row r="14" spans="1:8">
      <c r="A14" s="58" t="s">
        <v>311</v>
      </c>
      <c r="B14" s="66">
        <v>22.430900000000001</v>
      </c>
      <c r="C14" s="66">
        <v>6.9278899999999997</v>
      </c>
      <c r="D14" s="66">
        <v>30.885400000000001</v>
      </c>
      <c r="E14" s="66">
        <v>10</v>
      </c>
      <c r="F14" s="66">
        <v>3.12384</v>
      </c>
      <c r="G14" s="66">
        <v>50</v>
      </c>
      <c r="H14" s="66">
        <v>27.4072</v>
      </c>
    </row>
    <row r="15" spans="1:8">
      <c r="A15" s="58" t="s">
        <v>312</v>
      </c>
      <c r="B15" s="66">
        <v>5.6130399999999997E-3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-3.0455900000000001E-2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14.6691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0.47553899999999999</v>
      </c>
      <c r="C18" s="66">
        <v>2.6901000000000001E-2</v>
      </c>
      <c r="D18" s="66">
        <v>5.6569500000000002E-2</v>
      </c>
      <c r="E18" s="66">
        <v>0</v>
      </c>
      <c r="F18" s="66">
        <v>0.44863799999999998</v>
      </c>
      <c r="G18" s="66">
        <v>0</v>
      </c>
      <c r="H18" s="66">
        <v>0.50244</v>
      </c>
    </row>
    <row r="19" spans="1:8">
      <c r="A19" s="58" t="s">
        <v>316</v>
      </c>
      <c r="B19" s="66">
        <v>0.54267900000000002</v>
      </c>
      <c r="C19" s="66">
        <v>1.43862E-3</v>
      </c>
      <c r="D19" s="66">
        <v>2.6509599999999999E-3</v>
      </c>
      <c r="E19" s="66">
        <v>0</v>
      </c>
      <c r="F19" s="66">
        <v>0.54124000000000005</v>
      </c>
      <c r="G19" s="66">
        <v>0</v>
      </c>
      <c r="H19" s="66">
        <v>0.54411799999999999</v>
      </c>
    </row>
    <row r="20" spans="1:8">
      <c r="A20" s="58" t="s">
        <v>317</v>
      </c>
      <c r="B20" s="66">
        <v>2.6566699999999999E-3</v>
      </c>
      <c r="C20" s="66">
        <v>4.5442499999999997E-2</v>
      </c>
      <c r="D20" s="66">
        <v>17.105</v>
      </c>
      <c r="E20" s="66">
        <v>0</v>
      </c>
      <c r="F20" s="196">
        <v>1.47265E-5</v>
      </c>
      <c r="G20" s="66">
        <v>0</v>
      </c>
      <c r="H20" s="66">
        <v>0.50519599999999998</v>
      </c>
    </row>
    <row r="21" spans="1:8">
      <c r="A21" s="58" t="s">
        <v>318</v>
      </c>
      <c r="B21" s="66">
        <v>0.21565999999999999</v>
      </c>
      <c r="C21" s="66">
        <v>0.52313799999999999</v>
      </c>
      <c r="D21" s="66">
        <v>2.4257599999999999</v>
      </c>
      <c r="E21" s="66">
        <v>0</v>
      </c>
      <c r="F21" s="66">
        <v>1.7910199999999999E-3</v>
      </c>
      <c r="G21" s="66">
        <v>0</v>
      </c>
      <c r="H21" s="66">
        <v>3.6791499999999999</v>
      </c>
    </row>
    <row r="22" spans="1:8">
      <c r="A22" s="58" t="s">
        <v>319</v>
      </c>
      <c r="B22" s="66">
        <v>42.106699999999996</v>
      </c>
      <c r="C22" s="66">
        <v>16.0505</v>
      </c>
      <c r="D22" s="66">
        <v>0.381187</v>
      </c>
      <c r="E22" s="66">
        <v>0</v>
      </c>
      <c r="F22" s="66">
        <v>22.990500000000001</v>
      </c>
      <c r="G22" s="66">
        <v>0</v>
      </c>
      <c r="H22" s="66">
        <v>105.97799999999999</v>
      </c>
    </row>
    <row r="23" spans="1:8">
      <c r="A23" s="58" t="s">
        <v>320</v>
      </c>
      <c r="B23" s="66">
        <v>22.2028</v>
      </c>
      <c r="C23" s="66">
        <v>3.9485299999999999</v>
      </c>
      <c r="D23" s="66">
        <v>0.177839</v>
      </c>
      <c r="E23" s="66">
        <v>0</v>
      </c>
      <c r="F23" s="66">
        <v>9.9065300000000001</v>
      </c>
      <c r="G23" s="66">
        <v>0</v>
      </c>
      <c r="H23" s="66">
        <v>26.892499999999998</v>
      </c>
    </row>
    <row r="24" spans="1:8">
      <c r="A24" s="58" t="s">
        <v>321</v>
      </c>
      <c r="B24" s="66">
        <v>4.0385799999999999E-3</v>
      </c>
      <c r="C24" s="66">
        <v>3.6636599999999998E-2</v>
      </c>
      <c r="D24" s="66">
        <v>9.0716599999999996</v>
      </c>
      <c r="E24" s="66">
        <v>0</v>
      </c>
      <c r="F24" s="66">
        <v>1.3522799999999999E-4</v>
      </c>
      <c r="G24" s="66">
        <v>0</v>
      </c>
      <c r="H24" s="66">
        <v>0.29930299999999999</v>
      </c>
    </row>
    <row r="25" spans="1:8">
      <c r="A25" s="58" t="s">
        <v>322</v>
      </c>
      <c r="B25" s="66">
        <v>0.25483</v>
      </c>
      <c r="C25" s="66">
        <v>0.39677499999999999</v>
      </c>
      <c r="D25" s="66">
        <v>1.5570200000000001</v>
      </c>
      <c r="E25" s="66">
        <v>0</v>
      </c>
      <c r="F25" s="66">
        <v>4.3801E-2</v>
      </c>
      <c r="G25" s="66">
        <v>0</v>
      </c>
      <c r="H25" s="66">
        <v>2.1286499999999999</v>
      </c>
    </row>
    <row r="26" spans="1:8">
      <c r="A26" s="58" t="s">
        <v>323</v>
      </c>
      <c r="B26" s="66">
        <v>9.2896500000000002E-4</v>
      </c>
      <c r="C26" s="66">
        <v>5.9964700000000003E-3</v>
      </c>
      <c r="D26" s="66">
        <v>6.4550000000000001</v>
      </c>
      <c r="E26" s="66">
        <v>0</v>
      </c>
      <c r="F26" s="196">
        <v>3.2825599999999999E-6</v>
      </c>
      <c r="G26" s="66">
        <v>0</v>
      </c>
      <c r="H26" s="66">
        <v>5.4382199999999999E-2</v>
      </c>
    </row>
    <row r="27" spans="1:8">
      <c r="A27" s="58" t="s">
        <v>324</v>
      </c>
      <c r="B27" s="196">
        <v>-9.8476899999999999E-6</v>
      </c>
      <c r="C27" s="66">
        <v>2.4424099999999999E-3</v>
      </c>
      <c r="D27" s="66">
        <v>-248.018</v>
      </c>
      <c r="E27" s="66">
        <v>0</v>
      </c>
      <c r="F27" s="66">
        <v>-1.9816799999999999E-2</v>
      </c>
      <c r="G27" s="66">
        <v>0</v>
      </c>
      <c r="H27" s="66">
        <v>3.1148200000000001E-2</v>
      </c>
    </row>
    <row r="28" spans="1:8">
      <c r="A28" s="58" t="s">
        <v>325</v>
      </c>
      <c r="B28" s="66">
        <v>2.8216100000000001E-2</v>
      </c>
      <c r="C28" s="66">
        <v>3.4633299999999999E-2</v>
      </c>
      <c r="D28" s="66">
        <v>1.22743</v>
      </c>
      <c r="E28" s="66">
        <v>0</v>
      </c>
      <c r="F28" s="66">
        <v>6.4127599999999998E-4</v>
      </c>
      <c r="G28" s="66">
        <v>0</v>
      </c>
      <c r="H28" s="66">
        <v>0.20571900000000001</v>
      </c>
    </row>
    <row r="29" spans="1:8">
      <c r="A29" s="58" t="s">
        <v>326</v>
      </c>
      <c r="B29" s="66">
        <v>76.108500000000006</v>
      </c>
      <c r="C29" s="66">
        <v>9.8725000000000005</v>
      </c>
      <c r="D29" s="66">
        <v>0.129716</v>
      </c>
      <c r="E29" s="66">
        <v>0</v>
      </c>
      <c r="F29" s="66">
        <v>58.078600000000002</v>
      </c>
      <c r="G29" s="66">
        <v>0</v>
      </c>
      <c r="H29" s="66">
        <v>110.967</v>
      </c>
    </row>
    <row r="30" spans="1:8">
      <c r="A30" s="58" t="s">
        <v>327</v>
      </c>
      <c r="B30" s="66">
        <v>32.617800000000003</v>
      </c>
      <c r="C30" s="66">
        <v>5.43994</v>
      </c>
      <c r="D30" s="66">
        <v>0.16677800000000001</v>
      </c>
      <c r="E30" s="66">
        <v>0</v>
      </c>
      <c r="F30" s="66">
        <v>13.877800000000001</v>
      </c>
      <c r="G30" s="66">
        <v>0</v>
      </c>
      <c r="H30" s="66">
        <v>38.287799999999997</v>
      </c>
    </row>
    <row r="31" spans="1:8">
      <c r="A31" s="58" t="s">
        <v>328</v>
      </c>
      <c r="B31" s="66">
        <v>126.01900000000001</v>
      </c>
      <c r="C31" s="66">
        <v>25.099799999999998</v>
      </c>
      <c r="D31" s="66">
        <v>0.19917499999999999</v>
      </c>
      <c r="E31" s="66">
        <v>0</v>
      </c>
      <c r="F31" s="66">
        <v>45.665700000000001</v>
      </c>
      <c r="G31" s="66">
        <v>0</v>
      </c>
      <c r="H31" s="66">
        <v>155.505</v>
      </c>
    </row>
    <row r="32" spans="1:8">
      <c r="A32" s="58" t="s">
        <v>329</v>
      </c>
      <c r="B32" s="66">
        <v>0.15183199999999999</v>
      </c>
      <c r="C32" s="66">
        <v>5.25756E-2</v>
      </c>
      <c r="D32" s="66">
        <v>0.346275</v>
      </c>
      <c r="E32" s="66">
        <v>0.15</v>
      </c>
      <c r="F32" s="66">
        <v>5.6766999999999998E-2</v>
      </c>
      <c r="G32" s="66">
        <v>0.4</v>
      </c>
      <c r="H32" s="66">
        <v>0.47252899999999998</v>
      </c>
    </row>
    <row r="33" spans="1:8">
      <c r="A33" s="58" t="s">
        <v>330</v>
      </c>
      <c r="B33" s="66">
        <v>0.327486</v>
      </c>
      <c r="C33" s="66">
        <v>4.6884000000000002E-2</v>
      </c>
      <c r="D33" s="66">
        <v>0.14316300000000001</v>
      </c>
      <c r="E33" s="66">
        <v>0</v>
      </c>
      <c r="F33" s="66">
        <v>0.25230799999999998</v>
      </c>
      <c r="G33" s="66">
        <v>0</v>
      </c>
      <c r="H33" s="66">
        <v>0.42853799999999997</v>
      </c>
    </row>
    <row r="34" spans="1:8">
      <c r="A34" s="58" t="s">
        <v>331</v>
      </c>
      <c r="B34" s="66">
        <v>0.22800899999999999</v>
      </c>
      <c r="C34" s="66">
        <v>2.24309E-2</v>
      </c>
      <c r="D34" s="66">
        <v>9.8377199999999998E-2</v>
      </c>
      <c r="E34" s="66">
        <v>0.1</v>
      </c>
      <c r="F34" s="66">
        <v>0.177703</v>
      </c>
      <c r="G34" s="66">
        <v>0.25</v>
      </c>
      <c r="H34" s="66">
        <v>0.29745500000000002</v>
      </c>
    </row>
    <row r="35" spans="1:8">
      <c r="A35" s="58" t="s">
        <v>332</v>
      </c>
      <c r="B35" s="66">
        <v>8.6493799999999996E-2</v>
      </c>
      <c r="C35" s="66">
        <v>2.6135100000000001E-2</v>
      </c>
      <c r="D35" s="66">
        <v>0.30216199999999999</v>
      </c>
      <c r="E35" s="66">
        <v>0</v>
      </c>
      <c r="F35" s="66">
        <v>4.2258700000000003E-2</v>
      </c>
      <c r="G35" s="66">
        <v>0</v>
      </c>
      <c r="H35" s="66">
        <v>0.16317899999999999</v>
      </c>
    </row>
    <row r="36" spans="1:8">
      <c r="A36" s="58" t="s">
        <v>333</v>
      </c>
      <c r="B36" s="66">
        <v>0.20657600000000001</v>
      </c>
      <c r="C36" s="66">
        <v>9.7842899999999997E-2</v>
      </c>
      <c r="D36" s="66">
        <v>0.47364099999999998</v>
      </c>
      <c r="E36" s="66">
        <v>0</v>
      </c>
      <c r="F36" s="66">
        <v>4.35964E-2</v>
      </c>
      <c r="G36" s="66">
        <v>0</v>
      </c>
      <c r="H36" s="66">
        <v>0.61233800000000005</v>
      </c>
    </row>
    <row r="37" spans="1:8">
      <c r="A37" s="58" t="s">
        <v>334</v>
      </c>
      <c r="B37" s="66">
        <v>0.22430900000000001</v>
      </c>
      <c r="C37" s="66">
        <v>6.9278900000000004E-2</v>
      </c>
      <c r="D37" s="66">
        <v>0.30885400000000002</v>
      </c>
      <c r="E37" s="66">
        <v>0.1</v>
      </c>
      <c r="F37" s="66">
        <v>3.12384E-2</v>
      </c>
      <c r="G37" s="66">
        <v>0.5</v>
      </c>
      <c r="H37" s="66">
        <v>0.27407199999999998</v>
      </c>
    </row>
    <row r="38" spans="1:8">
      <c r="A38" s="58" t="s">
        <v>335</v>
      </c>
      <c r="B38" s="66">
        <v>5.1654400000000003</v>
      </c>
      <c r="C38" s="66">
        <v>36.148499999999999</v>
      </c>
      <c r="D38" s="66">
        <v>6.9981499999999999</v>
      </c>
      <c r="E38" s="66">
        <v>0</v>
      </c>
      <c r="F38" s="66">
        <v>-156.68799999999999</v>
      </c>
      <c r="G38" s="66">
        <v>0</v>
      </c>
      <c r="H38" s="66">
        <v>132.685</v>
      </c>
    </row>
    <row r="39" spans="1:8">
      <c r="A39" s="58" t="s">
        <v>336</v>
      </c>
      <c r="B39" s="66">
        <v>-2.2326299999999999</v>
      </c>
      <c r="C39" s="66">
        <v>6.1612499999999999</v>
      </c>
      <c r="D39" s="66">
        <v>-2.7596400000000001</v>
      </c>
      <c r="E39" s="66">
        <v>0</v>
      </c>
      <c r="F39" s="66">
        <v>-15.2685</v>
      </c>
      <c r="G39" s="66">
        <v>0</v>
      </c>
      <c r="H39" s="66">
        <v>25.3064</v>
      </c>
    </row>
    <row r="40" spans="1:8">
      <c r="A40" s="58" t="s">
        <v>337</v>
      </c>
      <c r="B40" s="66">
        <v>-2.3650600000000002</v>
      </c>
      <c r="C40" s="66">
        <v>1.1540999999999999</v>
      </c>
      <c r="D40" s="66">
        <v>-0.48797699999999999</v>
      </c>
      <c r="E40" s="66">
        <v>0</v>
      </c>
      <c r="F40" s="66">
        <v>-4.4870400000000004</v>
      </c>
      <c r="G40" s="66">
        <v>0</v>
      </c>
      <c r="H40" s="66">
        <v>0.57336299999999996</v>
      </c>
    </row>
    <row r="41" spans="1:8">
      <c r="A41" s="58" t="s">
        <v>338</v>
      </c>
      <c r="B41" s="66">
        <v>4.6672800000000002E-3</v>
      </c>
      <c r="C41" s="66">
        <v>0.23908199999999999</v>
      </c>
      <c r="D41" s="66">
        <v>51.225099999999998</v>
      </c>
      <c r="E41" s="66">
        <v>0</v>
      </c>
      <c r="F41" s="66">
        <v>-0.79729700000000003</v>
      </c>
      <c r="G41" s="66">
        <v>0</v>
      </c>
      <c r="H41" s="66">
        <v>1</v>
      </c>
    </row>
    <row r="42" spans="1:8">
      <c r="A42" s="58" t="s">
        <v>339</v>
      </c>
      <c r="B42" s="66">
        <v>-8.6697800000000005E-2</v>
      </c>
      <c r="C42" s="66">
        <v>8.5144499999999998E-2</v>
      </c>
      <c r="D42" s="66">
        <v>-0.98208399999999996</v>
      </c>
      <c r="E42" s="66">
        <v>0</v>
      </c>
      <c r="F42" s="66">
        <v>-0.297317</v>
      </c>
      <c r="G42" s="66">
        <v>0</v>
      </c>
      <c r="H42" s="66">
        <v>0.21221899999999999</v>
      </c>
    </row>
    <row r="43" spans="1:8">
      <c r="A43" s="58" t="s">
        <v>340</v>
      </c>
      <c r="B43" s="66">
        <v>-7.1235199999999999E-2</v>
      </c>
      <c r="C43" s="66">
        <v>7.4497900000000006E-2</v>
      </c>
      <c r="D43" s="66">
        <v>-1.0458000000000001</v>
      </c>
      <c r="E43" s="66">
        <v>0</v>
      </c>
      <c r="F43" s="66">
        <v>-0.14615600000000001</v>
      </c>
      <c r="G43" s="66">
        <v>0</v>
      </c>
      <c r="H43" s="66">
        <v>0.151114</v>
      </c>
    </row>
    <row r="44" spans="1:8">
      <c r="A44" s="58" t="s">
        <v>341</v>
      </c>
      <c r="B44" s="66">
        <v>6.5033200000000004</v>
      </c>
      <c r="C44" s="66">
        <v>15.3559</v>
      </c>
      <c r="D44" s="66">
        <v>2.3612299999999999</v>
      </c>
      <c r="E44" s="66">
        <v>0</v>
      </c>
      <c r="F44" s="66">
        <v>-20.327500000000001</v>
      </c>
      <c r="G44" s="66">
        <v>0</v>
      </c>
      <c r="H44" s="66">
        <v>42.37</v>
      </c>
    </row>
    <row r="45" spans="1:8">
      <c r="A45" s="58" t="s">
        <v>342</v>
      </c>
      <c r="B45" s="66">
        <v>49.966700000000003</v>
      </c>
      <c r="C45" s="66">
        <v>5.1166099999999997</v>
      </c>
      <c r="D45" s="66">
        <v>0.1024</v>
      </c>
      <c r="E45" s="66">
        <v>0</v>
      </c>
      <c r="F45" s="66">
        <v>33.624699999999997</v>
      </c>
      <c r="G45" s="66">
        <v>0</v>
      </c>
      <c r="H45" s="66">
        <v>62.0047</v>
      </c>
    </row>
    <row r="46" spans="1:8">
      <c r="A46" s="58" t="s">
        <v>343</v>
      </c>
      <c r="B46" s="66">
        <v>33.0413</v>
      </c>
      <c r="C46" s="66">
        <v>5.4222000000000001</v>
      </c>
      <c r="D46" s="66">
        <v>0.164104</v>
      </c>
      <c r="E46" s="66">
        <v>0</v>
      </c>
      <c r="F46" s="66">
        <v>13.2822</v>
      </c>
      <c r="G46" s="66">
        <v>0</v>
      </c>
      <c r="H46" s="66">
        <v>39.227899999999998</v>
      </c>
    </row>
    <row r="47" spans="1:8">
      <c r="A47" s="58" t="s">
        <v>344</v>
      </c>
      <c r="B47" s="66">
        <v>1.3966400000000001</v>
      </c>
      <c r="C47" s="66">
        <v>1.0269999999999999</v>
      </c>
      <c r="D47" s="66">
        <v>0.73533499999999996</v>
      </c>
      <c r="E47" s="66">
        <v>0</v>
      </c>
      <c r="F47" s="66">
        <v>0.49973899999999999</v>
      </c>
      <c r="G47" s="66">
        <v>0</v>
      </c>
      <c r="H47" s="66">
        <v>7.0847600000000002</v>
      </c>
    </row>
    <row r="48" spans="1:8">
      <c r="A48" s="58" t="s">
        <v>345</v>
      </c>
      <c r="B48" s="66">
        <v>0.98685400000000001</v>
      </c>
      <c r="C48" s="66">
        <v>0.19950200000000001</v>
      </c>
      <c r="D48" s="66">
        <v>0.20216000000000001</v>
      </c>
      <c r="E48" s="66">
        <v>0</v>
      </c>
      <c r="F48" s="66">
        <v>0.74070199999999997</v>
      </c>
      <c r="G48" s="66">
        <v>0</v>
      </c>
      <c r="H48" s="66">
        <v>1.5570299999999999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4.6600999999999999</v>
      </c>
      <c r="C5" s="66">
        <f>'M2'!C5-'M1'!C5</f>
        <v>-5.6997200000000001</v>
      </c>
      <c r="D5" s="66">
        <f>'M2'!D5-'M1'!D5</f>
        <v>-14.70478</v>
      </c>
      <c r="E5" s="66">
        <f>'M2'!E5-'M1'!E5</f>
        <v>0</v>
      </c>
      <c r="F5" s="66">
        <f>'M2'!F5-'M1'!F5</f>
        <v>22.6724</v>
      </c>
      <c r="G5" s="66">
        <f>'M2'!G5-'M1'!G5</f>
        <v>0</v>
      </c>
      <c r="H5" s="66">
        <f>'M2'!H5-'M1'!H5</f>
        <v>3.8327999999999989</v>
      </c>
    </row>
    <row r="6" spans="1:8">
      <c r="A6" s="66" t="s">
        <v>244</v>
      </c>
      <c r="B6" s="66">
        <f>'M2'!B6-'M1'!B6</f>
        <v>-3.8063000000000002</v>
      </c>
      <c r="C6" s="66">
        <f>'M2'!C6-'M1'!C6</f>
        <v>5.543000000000009E-2</v>
      </c>
      <c r="D6" s="66">
        <f>'M2'!D6-'M1'!D6</f>
        <v>0.98944999999999972</v>
      </c>
      <c r="E6" s="66">
        <f>'M2'!E6-'M1'!E6</f>
        <v>0</v>
      </c>
      <c r="F6" s="66">
        <f>'M2'!F6-'M1'!F6</f>
        <v>-2.1716000000000015</v>
      </c>
      <c r="G6" s="66">
        <f>'M2'!G6-'M1'!G6</f>
        <v>0</v>
      </c>
      <c r="H6" s="66">
        <f>'M2'!H6-'M1'!H6</f>
        <v>-0.19929999999999737</v>
      </c>
    </row>
    <row r="7" spans="1:8">
      <c r="A7" s="66" t="s">
        <v>245</v>
      </c>
      <c r="B7" s="66">
        <f>'M2'!B7-'M1'!B7</f>
        <v>-1.9649999999999999</v>
      </c>
      <c r="C7" s="66">
        <f>'M2'!C7-'M1'!C7</f>
        <v>-0.30502999999999947</v>
      </c>
      <c r="D7" s="66">
        <f>'M2'!D7-'M1'!D7</f>
        <v>2.2909000000000006</v>
      </c>
      <c r="E7" s="66">
        <f>'M2'!E7-'M1'!E7</f>
        <v>0</v>
      </c>
      <c r="F7" s="66">
        <f>'M2'!F7-'M1'!F7</f>
        <v>0.38723999999999936</v>
      </c>
      <c r="G7" s="66">
        <f>'M2'!G7-'M1'!G7</f>
        <v>0</v>
      </c>
      <c r="H7" s="66">
        <f>'M2'!H7-'M1'!H7</f>
        <v>12.361999999999995</v>
      </c>
    </row>
    <row r="8" spans="1:8">
      <c r="A8" s="66" t="s">
        <v>246</v>
      </c>
      <c r="B8" s="66">
        <f>'M2'!B8-'M1'!B8</f>
        <v>-0.12009999999999721</v>
      </c>
      <c r="C8" s="66">
        <f>'M2'!C8-'M1'!C8</f>
        <v>-2.5865299999999998</v>
      </c>
      <c r="D8" s="66">
        <f>'M2'!D8-'M1'!D8</f>
        <v>-8.7706499999999998</v>
      </c>
      <c r="E8" s="66">
        <f>'M2'!E8-'M1'!E8</f>
        <v>0</v>
      </c>
      <c r="F8" s="66">
        <f>'M2'!F8-'M1'!F8</f>
        <v>9.4709000000000003</v>
      </c>
      <c r="G8" s="66">
        <f>'M2'!G8-'M1'!G8</f>
        <v>0</v>
      </c>
      <c r="H8" s="66">
        <f>'M2'!H8-'M1'!H8</f>
        <v>-0.81589999999999918</v>
      </c>
    </row>
    <row r="9" spans="1:8">
      <c r="A9" s="66" t="s">
        <v>247</v>
      </c>
      <c r="B9" s="66">
        <f>'M2'!B9-'M1'!B9</f>
        <v>-6.066900000000004</v>
      </c>
      <c r="C9" s="66">
        <f>'M2'!C9-'M1'!C9</f>
        <v>0.6615300000000004</v>
      </c>
      <c r="D9" s="66">
        <f>'M2'!D9-'M1'!D9</f>
        <v>1.3631500000000001</v>
      </c>
      <c r="E9" s="66">
        <f>'M2'!E9-'M1'!E9</f>
        <v>0</v>
      </c>
      <c r="F9" s="66">
        <f>'M2'!F9-'M1'!F9</f>
        <v>-4.4612999999999943</v>
      </c>
      <c r="G9" s="66">
        <f>'M2'!G9-'M1'!G9</f>
        <v>0</v>
      </c>
      <c r="H9" s="66">
        <f>'M2'!H9-'M1'!H9</f>
        <v>-1.2844999999999942</v>
      </c>
    </row>
    <row r="10" spans="1:8">
      <c r="A10" s="66" t="s">
        <v>248</v>
      </c>
      <c r="B10" s="66">
        <f>'M2'!B10-'M1'!B10</f>
        <v>3.0923999999999978</v>
      </c>
      <c r="C10" s="66">
        <f>'M2'!C10-'M1'!C10</f>
        <v>-0.22969999999999979</v>
      </c>
      <c r="D10" s="66">
        <f>'M2'!D10-'M1'!D10</f>
        <v>-0.39161999999999964</v>
      </c>
      <c r="E10" s="66">
        <f>'M2'!E10-'M1'!E10</f>
        <v>0</v>
      </c>
      <c r="F10" s="66">
        <f>'M2'!F10-'M1'!F10</f>
        <v>2.9359000000000037</v>
      </c>
      <c r="G10" s="66">
        <f>'M2'!G10-'M1'!G10</f>
        <v>0</v>
      </c>
      <c r="H10" s="66">
        <f>'M2'!H10-'M1'!H10</f>
        <v>0.47299999999999898</v>
      </c>
    </row>
    <row r="11" spans="1:8">
      <c r="A11" s="66" t="s">
        <v>249</v>
      </c>
      <c r="B11" s="66">
        <f>'M2'!B11-'M1'!B11</f>
        <v>2.8270000000000017</v>
      </c>
      <c r="C11" s="66">
        <f>'M2'!C11-'M1'!C11</f>
        <v>-2.1362099999999997</v>
      </c>
      <c r="D11" s="66">
        <f>'M2'!D11-'M1'!D11</f>
        <v>-9.7298999999999989</v>
      </c>
      <c r="E11" s="66">
        <f>'M2'!E11-'M1'!E11</f>
        <v>0</v>
      </c>
      <c r="F11" s="66">
        <f>'M2'!F11-'M1'!F11</f>
        <v>14.929300000000001</v>
      </c>
      <c r="G11" s="66">
        <f>'M2'!G11-'M1'!G11</f>
        <v>0</v>
      </c>
      <c r="H11" s="66">
        <f>'M2'!H11-'M1'!H11</f>
        <v>7.5</v>
      </c>
    </row>
    <row r="12" spans="1:8">
      <c r="A12" s="66" t="s">
        <v>250</v>
      </c>
      <c r="B12" s="66">
        <f>'M2'!B12-'M1'!B12</f>
        <v>-1.568799999999996</v>
      </c>
      <c r="C12" s="66">
        <f>'M2'!C12-'M1'!C12</f>
        <v>0.28272000000000008</v>
      </c>
      <c r="D12" s="66">
        <f>'M2'!D12-'M1'!D12</f>
        <v>0.43132999999999999</v>
      </c>
      <c r="E12" s="66">
        <f>'M2'!E12-'M1'!E12</f>
        <v>0</v>
      </c>
      <c r="F12" s="66">
        <f>'M2'!F12-'M1'!F12</f>
        <v>-2.7049999999999983</v>
      </c>
      <c r="G12" s="66">
        <f>'M2'!G12-'M1'!G12</f>
        <v>0</v>
      </c>
      <c r="H12" s="66">
        <f>'M2'!H12-'M1'!H12</f>
        <v>0.10550000000000637</v>
      </c>
    </row>
    <row r="13" spans="1:8">
      <c r="A13" s="66" t="s">
        <v>251</v>
      </c>
      <c r="B13" s="66">
        <f>'M2'!B13-'M1'!B13</f>
        <v>-9.1300000000000381E-2</v>
      </c>
      <c r="C13" s="66">
        <f>'M2'!C13-'M1'!C13</f>
        <v>0.55140999999999973</v>
      </c>
      <c r="D13" s="66">
        <f>'M2'!D13-'M1'!D13</f>
        <v>2.4609299999999994</v>
      </c>
      <c r="E13" s="66">
        <f>'M2'!E13-'M1'!E13</f>
        <v>0</v>
      </c>
      <c r="F13" s="66">
        <f>'M2'!F13-'M1'!F13</f>
        <v>-1.5278000000000027</v>
      </c>
      <c r="G13" s="66">
        <f>'M2'!G13-'M1'!G13</f>
        <v>0</v>
      </c>
      <c r="H13" s="66">
        <f>'M2'!H13-'M1'!H13</f>
        <v>-2.3200000000000003</v>
      </c>
    </row>
    <row r="14" spans="1:8">
      <c r="A14" s="66" t="s">
        <v>252</v>
      </c>
      <c r="B14" s="66">
        <f>'M2'!B14-'M1'!B14</f>
        <v>5.5140999999999991</v>
      </c>
      <c r="C14" s="66">
        <f>'M2'!C14-'M1'!C14</f>
        <v>-0.53331999999999979</v>
      </c>
      <c r="D14" s="66">
        <f>'M2'!D14-'M1'!D14</f>
        <v>-10.366700000000002</v>
      </c>
      <c r="E14" s="66">
        <f>'M2'!E14-'M1'!E14</f>
        <v>0</v>
      </c>
      <c r="F14" s="66">
        <f>'M2'!F14-'M1'!F14</f>
        <v>0.17061999999999999</v>
      </c>
      <c r="G14" s="66">
        <f>'M2'!G14-'M1'!G14</f>
        <v>0</v>
      </c>
      <c r="H14" s="66">
        <f>'M2'!H14-'M1'!H14</f>
        <v>-3.2217999999999982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-3.0144000000000004E-2</v>
      </c>
      <c r="C18" s="66">
        <f>'M2'!C18-'M1'!C18</f>
        <v>2.6901000000000001E-2</v>
      </c>
      <c r="D18" s="66">
        <f>'M2'!D18-'M1'!D18</f>
        <v>5.6569500000000002E-2</v>
      </c>
      <c r="E18" s="66">
        <f>'M2'!E18-'M1'!E18</f>
        <v>0</v>
      </c>
      <c r="F18" s="66">
        <f>'M2'!F18-'M1'!F18</f>
        <v>0.44863799999999998</v>
      </c>
      <c r="G18" s="66">
        <f>'M2'!G18-'M1'!G18</f>
        <v>0</v>
      </c>
      <c r="H18" s="66">
        <f>'M2'!H18-'M1'!H18</f>
        <v>0.50244</v>
      </c>
    </row>
    <row r="19" spans="1:8">
      <c r="A19" s="66" t="s">
        <v>256</v>
      </c>
      <c r="B19" s="66">
        <f>'M2'!B19-'M1'!B19</f>
        <v>7.9647000000000023E-2</v>
      </c>
      <c r="C19" s="66">
        <f>'M2'!C19-'M1'!C19</f>
        <v>1.43862E-3</v>
      </c>
      <c r="D19" s="66">
        <f>'M2'!D19-'M1'!D19</f>
        <v>2.6509599999999999E-3</v>
      </c>
      <c r="E19" s="66">
        <f>'M2'!E19-'M1'!E19</f>
        <v>0</v>
      </c>
      <c r="F19" s="66">
        <f>'M2'!F19-'M1'!F19</f>
        <v>0.54124000000000005</v>
      </c>
      <c r="G19" s="66">
        <f>'M2'!G19-'M1'!G19</f>
        <v>0</v>
      </c>
      <c r="H19" s="66">
        <f>'M2'!H19-'M1'!H19</f>
        <v>0.54411799999999999</v>
      </c>
    </row>
    <row r="20" spans="1:8">
      <c r="A20" s="66" t="s">
        <v>63</v>
      </c>
      <c r="B20" s="66">
        <f>'M2'!B20-'M1'!B20</f>
        <v>1.1070299999999997E-3</v>
      </c>
      <c r="C20" s="66">
        <f>'M2'!C20-'M1'!C20</f>
        <v>1.5035E-2</v>
      </c>
      <c r="D20" s="66">
        <f>'M2'!D20-'M1'!D20</f>
        <v>-1.2372999999999976</v>
      </c>
      <c r="E20" s="66">
        <f>'M2'!E20-'M1'!E20</f>
        <v>0</v>
      </c>
      <c r="F20" s="66">
        <f>'M2'!F20-'M1'!F20</f>
        <v>2.7418999999999996E-5</v>
      </c>
      <c r="G20" s="66">
        <f>'M2'!G20-'M1'!G20</f>
        <v>0</v>
      </c>
      <c r="H20" s="66">
        <f>'M2'!H20-'M1'!H20</f>
        <v>3.9625999999999995E-2</v>
      </c>
    </row>
    <row r="21" spans="1:8">
      <c r="A21" s="66" t="s">
        <v>64</v>
      </c>
      <c r="B21" s="66">
        <f>'M2'!B21-'M1'!B21</f>
        <v>5.4757E-2</v>
      </c>
      <c r="C21" s="66">
        <f>'M2'!C21-'M1'!C21</f>
        <v>0.26431600000000005</v>
      </c>
      <c r="D21" s="66">
        <f>'M2'!D21-'M1'!D21</f>
        <v>0.64789999999999992</v>
      </c>
      <c r="E21" s="66">
        <f>'M2'!E21-'M1'!E21</f>
        <v>0</v>
      </c>
      <c r="F21" s="66">
        <f>'M2'!F21-'M1'!F21</f>
        <v>8.681379999999999E-3</v>
      </c>
      <c r="G21" s="66">
        <f>'M2'!G21-'M1'!G21</f>
        <v>0</v>
      </c>
      <c r="H21" s="66">
        <f>'M2'!H21-'M1'!H21</f>
        <v>1.23001</v>
      </c>
    </row>
    <row r="22" spans="1:8">
      <c r="A22" s="66" t="s">
        <v>65</v>
      </c>
      <c r="B22" s="66">
        <f>'M2'!B22-'M1'!B22</f>
        <v>8.7711000000000041</v>
      </c>
      <c r="C22" s="66">
        <f>'M2'!C22-'M1'!C22</f>
        <v>4.6538999999999984</v>
      </c>
      <c r="D22" s="66">
        <f>'M2'!D22-'M1'!D22</f>
        <v>3.3082E-2</v>
      </c>
      <c r="E22" s="66">
        <f>'M2'!E22-'M1'!E22</f>
        <v>0</v>
      </c>
      <c r="F22" s="66">
        <f>'M2'!F22-'M1'!F22</f>
        <v>-0.68519999999999825</v>
      </c>
      <c r="G22" s="66">
        <f>'M2'!G22-'M1'!G22</f>
        <v>0</v>
      </c>
      <c r="H22" s="66">
        <f>'M2'!H22-'M1'!H22</f>
        <v>21.830299999999994</v>
      </c>
    </row>
    <row r="23" spans="1:8">
      <c r="A23" s="66" t="s">
        <v>66</v>
      </c>
      <c r="B23" s="66">
        <f>'M2'!B23-'M1'!B23</f>
        <v>0.60020000000000095</v>
      </c>
      <c r="C23" s="66">
        <f>'M2'!C23-'M1'!C23</f>
        <v>-2.64201</v>
      </c>
      <c r="D23" s="66">
        <f>'M2'!D23-'M1'!D23</f>
        <v>-0.12365080000000001</v>
      </c>
      <c r="E23" s="66">
        <f>'M2'!E23-'M1'!E23</f>
        <v>0</v>
      </c>
      <c r="F23" s="66">
        <f>'M2'!F23-'M1'!F23</f>
        <v>9.3887700000000009</v>
      </c>
      <c r="G23" s="66">
        <f>'M2'!G23-'M1'!G23</f>
        <v>0</v>
      </c>
      <c r="H23" s="66">
        <f>'M2'!H23-'M1'!H23</f>
        <v>2.5182000000000002</v>
      </c>
    </row>
    <row r="24" spans="1:8">
      <c r="A24" s="66" t="s">
        <v>67</v>
      </c>
      <c r="B24" s="66">
        <f>'M2'!B24-'M1'!B24</f>
        <v>1.5018599999999998E-3</v>
      </c>
      <c r="C24" s="66">
        <f>'M2'!C24-'M1'!C24</f>
        <v>1.7879199999999998E-2</v>
      </c>
      <c r="D24" s="66">
        <f>'M2'!D24-'M1'!D24</f>
        <v>1.2319200000000006</v>
      </c>
      <c r="E24" s="66">
        <f>'M2'!E24-'M1'!E24</f>
        <v>0</v>
      </c>
      <c r="F24" s="66">
        <f>'M2'!F24-'M1'!F24</f>
        <v>6.5977000000000022E-5</v>
      </c>
      <c r="G24" s="66">
        <f>'M2'!G24-'M1'!G24</f>
        <v>0</v>
      </c>
      <c r="H24" s="66">
        <f>'M2'!H24-'M1'!H24</f>
        <v>8.6824999999999986E-2</v>
      </c>
    </row>
    <row r="25" spans="1:8">
      <c r="A25" s="66" t="s">
        <v>68</v>
      </c>
      <c r="B25" s="66">
        <f>'M2'!B25-'M1'!B25</f>
        <v>0.13368900000000003</v>
      </c>
      <c r="C25" s="66">
        <f>'M2'!C25-'M1'!C25</f>
        <v>0.24923499999999998</v>
      </c>
      <c r="D25" s="66">
        <f>'M2'!D25-'M1'!D25</f>
        <v>0.23153000000000001</v>
      </c>
      <c r="E25" s="66">
        <f>'M2'!E25-'M1'!E25</f>
        <v>0</v>
      </c>
      <c r="F25" s="66">
        <f>'M2'!F25-'M1'!F25</f>
        <v>7.4197999999999972E-3</v>
      </c>
      <c r="G25" s="66">
        <f>'M2'!G25-'M1'!G25</f>
        <v>0</v>
      </c>
      <c r="H25" s="66">
        <f>'M2'!H25-'M1'!H25</f>
        <v>1.00963</v>
      </c>
    </row>
    <row r="26" spans="1:8">
      <c r="A26" s="66" t="s">
        <v>69</v>
      </c>
      <c r="B26" s="66">
        <f>'M2'!B26-'M1'!B26</f>
        <v>3.1020499999999992E-4</v>
      </c>
      <c r="C26" s="66">
        <f>'M2'!C26-'M1'!C26</f>
        <v>2.3644699999999996E-3</v>
      </c>
      <c r="D26" s="66">
        <f>'M2'!D26-'M1'!D26</f>
        <v>0.48009000000000057</v>
      </c>
      <c r="E26" s="66">
        <f>'M2'!E26-'M1'!E26</f>
        <v>0</v>
      </c>
      <c r="F26" s="66">
        <f>'M2'!F26-'M1'!F26</f>
        <v>9.84774E-6</v>
      </c>
      <c r="G26" s="66">
        <f>'M2'!G26-'M1'!G26</f>
        <v>0</v>
      </c>
      <c r="H26" s="66">
        <f>'M2'!H26-'M1'!H26</f>
        <v>9.0729999999999977E-3</v>
      </c>
    </row>
    <row r="27" spans="1:8">
      <c r="A27" s="66" t="s">
        <v>70</v>
      </c>
      <c r="B27" s="66">
        <f>'M2'!B27-'M1'!B27</f>
        <v>3.282589999999999E-6</v>
      </c>
      <c r="C27" s="66">
        <f>'M2'!C27-'M1'!C27</f>
        <v>1.0482999999999977E-4</v>
      </c>
      <c r="D27" s="66">
        <f>'M2'!D27-'M1'!D27</f>
        <v>-96.032999999999987</v>
      </c>
      <c r="E27" s="66">
        <f>'M2'!E27-'M1'!E27</f>
        <v>0</v>
      </c>
      <c r="F27" s="66">
        <f>'M2'!F27-'M1'!F27</f>
        <v>1.1586999999999986E-3</v>
      </c>
      <c r="G27" s="66">
        <f>'M2'!G27-'M1'!G27</f>
        <v>0</v>
      </c>
      <c r="H27" s="66">
        <f>'M2'!H27-'M1'!H27</f>
        <v>6.1744999999999994E-3</v>
      </c>
    </row>
    <row r="28" spans="1:8">
      <c r="A28" s="66" t="s">
        <v>71</v>
      </c>
      <c r="B28" s="66">
        <f>'M2'!B28-'M1'!B28</f>
        <v>6.9140999999999959E-3</v>
      </c>
      <c r="C28" s="66">
        <f>'M2'!C28-'M1'!C28</f>
        <v>1.38916E-2</v>
      </c>
      <c r="D28" s="66">
        <f>'M2'!D28-'M1'!D28</f>
        <v>0.20382000000000011</v>
      </c>
      <c r="E28" s="66">
        <f>'M2'!E28-'M1'!E28</f>
        <v>0</v>
      </c>
      <c r="F28" s="66">
        <f>'M2'!F28-'M1'!F28</f>
        <v>1.9010439999999997E-3</v>
      </c>
      <c r="G28" s="66">
        <f>'M2'!G28-'M1'!G28</f>
        <v>0</v>
      </c>
      <c r="H28" s="66">
        <f>'M2'!H28-'M1'!H28</f>
        <v>5.8326000000000017E-2</v>
      </c>
    </row>
    <row r="29" spans="1:8">
      <c r="A29" s="66" t="s">
        <v>72</v>
      </c>
      <c r="B29" s="66">
        <f>'M2'!B29-'M1'!B29</f>
        <v>1.6663000000000068</v>
      </c>
      <c r="C29" s="66">
        <f>'M2'!C29-'M1'!C29</f>
        <v>2.9018500000000014</v>
      </c>
      <c r="D29" s="66">
        <f>'M2'!D29-'M1'!D29</f>
        <v>3.5289000000000015E-2</v>
      </c>
      <c r="E29" s="66">
        <f>'M2'!E29-'M1'!E29</f>
        <v>0</v>
      </c>
      <c r="F29" s="66">
        <f>'M2'!F29-'M1'!F29</f>
        <v>1.346899999999998</v>
      </c>
      <c r="G29" s="66">
        <f>'M2'!G29-'M1'!G29</f>
        <v>0</v>
      </c>
      <c r="H29" s="66">
        <f>'M2'!H29-'M1'!H29</f>
        <v>13.068100000000001</v>
      </c>
    </row>
    <row r="30" spans="1:8">
      <c r="A30" s="66" t="s">
        <v>73</v>
      </c>
      <c r="B30" s="66">
        <f>'M2'!B30-'M1'!B30</f>
        <v>2.5619000000000014</v>
      </c>
      <c r="C30" s="66">
        <f>'M2'!C30-'M1'!C30</f>
        <v>-4.4675200000000004</v>
      </c>
      <c r="D30" s="66">
        <f>'M2'!D30-'M1'!D30</f>
        <v>-0.14703659999999999</v>
      </c>
      <c r="E30" s="66">
        <f>'M2'!E30-'M1'!E30</f>
        <v>0</v>
      </c>
      <c r="F30" s="66">
        <f>'M2'!F30-'M1'!F30</f>
        <v>16.276499999999999</v>
      </c>
      <c r="G30" s="66">
        <f>'M2'!G30-'M1'!G30</f>
        <v>0</v>
      </c>
      <c r="H30" s="66">
        <f>'M2'!H30-'M1'!H30</f>
        <v>4.3193999999999946</v>
      </c>
    </row>
    <row r="31" spans="1:8">
      <c r="A31" s="66" t="s">
        <v>74</v>
      </c>
      <c r="B31" s="66">
        <f>'M2'!B31-'M1'!B31</f>
        <v>-7.1430000000000007</v>
      </c>
      <c r="C31" s="66">
        <f>'M2'!C31-'M1'!C31</f>
        <v>-15.013800000000002</v>
      </c>
      <c r="D31" s="66">
        <f>'M2'!D31-'M1'!D31</f>
        <v>-0.109795</v>
      </c>
      <c r="E31" s="66">
        <f>'M2'!E31-'M1'!E31</f>
        <v>0</v>
      </c>
      <c r="F31" s="66">
        <f>'M2'!F31-'M1'!F31</f>
        <v>57.143299999999996</v>
      </c>
      <c r="G31" s="66">
        <f>'M2'!G31-'M1'!G31</f>
        <v>0</v>
      </c>
      <c r="H31" s="66">
        <f>'M2'!H31-'M1'!H31</f>
        <v>8.132000000000005</v>
      </c>
    </row>
    <row r="32" spans="1:8">
      <c r="A32" s="66" t="s">
        <v>75</v>
      </c>
      <c r="B32" s="66">
        <f>'M2'!B32-'M1'!B32</f>
        <v>-1.9650000000000001E-2</v>
      </c>
      <c r="C32" s="66">
        <f>'M2'!C32-'M1'!C32</f>
        <v>-3.0502999999999988E-3</v>
      </c>
      <c r="D32" s="66">
        <f>'M2'!D32-'M1'!D32</f>
        <v>2.2909000000000013E-2</v>
      </c>
      <c r="E32" s="66">
        <f>'M2'!E32-'M1'!E32</f>
        <v>0</v>
      </c>
      <c r="F32" s="66">
        <f>'M2'!F32-'M1'!F32</f>
        <v>3.872400000000005E-3</v>
      </c>
      <c r="G32" s="66">
        <f>'M2'!G32-'M1'!G32</f>
        <v>0</v>
      </c>
      <c r="H32" s="66">
        <f>'M2'!H32-'M1'!H32</f>
        <v>0.12361999999999995</v>
      </c>
    </row>
    <row r="33" spans="1:8">
      <c r="A33" s="66" t="s">
        <v>76</v>
      </c>
      <c r="B33" s="66">
        <f>'M2'!B33-'M1'!B33</f>
        <v>5.4542000000000035E-2</v>
      </c>
      <c r="C33" s="66">
        <f>'M2'!C33-'M1'!C33</f>
        <v>1.6011000000000001E-2</v>
      </c>
      <c r="D33" s="66">
        <f>'M2'!D33-'M1'!D33</f>
        <v>2.9921699999999996E-2</v>
      </c>
      <c r="E33" s="66">
        <f>'M2'!E33-'M1'!E33</f>
        <v>0</v>
      </c>
      <c r="F33" s="66">
        <f>'M2'!F33-'M1'!F33</f>
        <v>2.9068000000000038E-2</v>
      </c>
      <c r="G33" s="66">
        <f>'M2'!G33-'M1'!G33</f>
        <v>0</v>
      </c>
      <c r="H33" s="66">
        <f>'M2'!H33-'M1'!H33</f>
        <v>6.099899999999997E-2</v>
      </c>
    </row>
    <row r="34" spans="1:8">
      <c r="A34" s="66" t="s">
        <v>77</v>
      </c>
      <c r="B34" s="66">
        <f>'M2'!B34-'M1'!B34</f>
        <v>-9.1299999999999715E-4</v>
      </c>
      <c r="C34" s="66">
        <f>'M2'!C34-'M1'!C34</f>
        <v>5.5140999999999975E-3</v>
      </c>
      <c r="D34" s="66">
        <f>'M2'!D34-'M1'!D34</f>
        <v>2.4609299999999987E-2</v>
      </c>
      <c r="E34" s="66">
        <f>'M2'!E34-'M1'!E34</f>
        <v>0</v>
      </c>
      <c r="F34" s="66">
        <f>'M2'!F34-'M1'!F34</f>
        <v>-1.5278000000000014E-2</v>
      </c>
      <c r="G34" s="66">
        <f>'M2'!G34-'M1'!G34</f>
        <v>0</v>
      </c>
      <c r="H34" s="66">
        <f>'M2'!H34-'M1'!H34</f>
        <v>-2.3199999999999998E-2</v>
      </c>
    </row>
    <row r="35" spans="1:8">
      <c r="A35" s="66" t="s">
        <v>78</v>
      </c>
      <c r="B35" s="66">
        <f>'M2'!B35-'M1'!B35</f>
        <v>-4.3125999999999998E-3</v>
      </c>
      <c r="C35" s="66">
        <f>'M2'!C35-'M1'!C35</f>
        <v>7.5749999999999776E-4</v>
      </c>
      <c r="D35" s="66">
        <f>'M2'!D35-'M1'!D35</f>
        <v>2.4282999999999999E-2</v>
      </c>
      <c r="E35" s="66">
        <f>'M2'!E35-'M1'!E35</f>
        <v>0</v>
      </c>
      <c r="F35" s="66">
        <f>'M2'!F35-'M1'!F35</f>
        <v>-1.0172599999999997E-2</v>
      </c>
      <c r="G35" s="66">
        <f>'M2'!G35-'M1'!G35</f>
        <v>0</v>
      </c>
      <c r="H35" s="66">
        <f>'M2'!H35-'M1'!H35</f>
        <v>1.798999999999995E-3</v>
      </c>
    </row>
    <row r="36" spans="1:8">
      <c r="A36" s="66" t="s">
        <v>79</v>
      </c>
      <c r="B36" s="66">
        <f>'M2'!B36-'M1'!B36</f>
        <v>8.8100000000002066E-4</v>
      </c>
      <c r="C36" s="66">
        <f>'M2'!C36-'M1'!C36</f>
        <v>-1.0982199999999998E-2</v>
      </c>
      <c r="D36" s="66">
        <f>'M2'!D36-'M1'!D36</f>
        <v>-5.5301999999999962E-2</v>
      </c>
      <c r="E36" s="66">
        <f>'M2'!E36-'M1'!E36</f>
        <v>0</v>
      </c>
      <c r="F36" s="66">
        <f>'M2'!F36-'M1'!F36</f>
        <v>-1.57804E-2</v>
      </c>
      <c r="G36" s="66">
        <f>'M2'!G36-'M1'!G36</f>
        <v>0</v>
      </c>
      <c r="H36" s="66">
        <f>'M2'!H36-'M1'!H36</f>
        <v>-0.15249300000000005</v>
      </c>
    </row>
    <row r="37" spans="1:8">
      <c r="A37" s="66" t="s">
        <v>80</v>
      </c>
      <c r="B37" s="66">
        <f>'M2'!B37-'M1'!B37</f>
        <v>5.5140999999999996E-2</v>
      </c>
      <c r="C37" s="66">
        <f>'M2'!C37-'M1'!C37</f>
        <v>-5.3331999999999963E-3</v>
      </c>
      <c r="D37" s="66">
        <f>'M2'!D37-'M1'!D37</f>
        <v>-0.10366700000000001</v>
      </c>
      <c r="E37" s="66">
        <f>'M2'!E37-'M1'!E37</f>
        <v>0</v>
      </c>
      <c r="F37" s="66">
        <f>'M2'!F37-'M1'!F37</f>
        <v>1.706199999999998E-3</v>
      </c>
      <c r="G37" s="66">
        <f>'M2'!G37-'M1'!G37</f>
        <v>0</v>
      </c>
      <c r="H37" s="66">
        <f>'M2'!H37-'M1'!H37</f>
        <v>-3.2216999999999996E-2</v>
      </c>
    </row>
    <row r="38" spans="1:8">
      <c r="A38" s="66" t="s">
        <v>81</v>
      </c>
      <c r="B38" s="66">
        <f>'M2'!B38-'M1'!B38</f>
        <v>-1.5179499999999999</v>
      </c>
      <c r="C38" s="66">
        <f>'M2'!C38-'M1'!C38</f>
        <v>2.2332999999999998</v>
      </c>
      <c r="D38" s="66">
        <f>'M2'!D38-'M1'!D38</f>
        <v>2.2098199999999997</v>
      </c>
      <c r="E38" s="66">
        <f>'M2'!E38-'M1'!E38</f>
        <v>0</v>
      </c>
      <c r="F38" s="66">
        <f>'M2'!F38-'M1'!F38</f>
        <v>-84.677499999999995</v>
      </c>
      <c r="G38" s="66">
        <f>'M2'!G38-'M1'!G38</f>
        <v>0</v>
      </c>
      <c r="H38" s="66">
        <f>'M2'!H38-'M1'!H38</f>
        <v>-28.790999999999997</v>
      </c>
    </row>
    <row r="39" spans="1:8">
      <c r="A39" s="66" t="s">
        <v>82</v>
      </c>
      <c r="B39" s="66">
        <f>'M2'!B39-'M1'!B39</f>
        <v>-1.5375099999999999</v>
      </c>
      <c r="C39" s="66">
        <f>'M2'!C39-'M1'!C39</f>
        <v>3.41045</v>
      </c>
      <c r="D39" s="66">
        <f>'M2'!D39-'M1'!D39</f>
        <v>1.7449999999999743E-2</v>
      </c>
      <c r="E39" s="66">
        <f>'M2'!E39-'M1'!E39</f>
        <v>0</v>
      </c>
      <c r="F39" s="66">
        <f>'M2'!F39-'M1'!F39</f>
        <v>-2.0153999999999996</v>
      </c>
      <c r="G39" s="66">
        <f>'M2'!G39-'M1'!G39</f>
        <v>0</v>
      </c>
      <c r="H39" s="66">
        <f>'M2'!H39-'M1'!H39</f>
        <v>19.196460000000002</v>
      </c>
    </row>
    <row r="40" spans="1:8">
      <c r="A40" s="66" t="s">
        <v>83</v>
      </c>
      <c r="B40" s="66">
        <f>'M2'!B40-'M1'!B40</f>
        <v>1.1781700000000002</v>
      </c>
      <c r="C40" s="66">
        <f>'M2'!C40-'M1'!C40</f>
        <v>0.426454</v>
      </c>
      <c r="D40" s="66">
        <f>'M2'!D40-'M1'!D40</f>
        <v>-0.34466799999999997</v>
      </c>
      <c r="E40" s="66">
        <f>'M2'!E40-'M1'!E40</f>
        <v>0</v>
      </c>
      <c r="F40" s="66">
        <f>'M2'!F40-'M1'!F40</f>
        <v>-0.43907000000000007</v>
      </c>
      <c r="G40" s="66">
        <f>'M2'!G40-'M1'!G40</f>
        <v>0</v>
      </c>
      <c r="H40" s="66">
        <f>'M2'!H40-'M1'!H40</f>
        <v>1.937265</v>
      </c>
    </row>
    <row r="41" spans="1:8">
      <c r="A41" s="66" t="s">
        <v>84</v>
      </c>
      <c r="B41" s="66">
        <f>'M2'!B41-'M1'!B41</f>
        <v>-1.43786E-2</v>
      </c>
      <c r="C41" s="66">
        <f>'M2'!C41-'M1'!C41</f>
        <v>-2.0508999999999999E-2</v>
      </c>
      <c r="D41" s="66">
        <f>'M2'!D41-'M1'!D41</f>
        <v>-17.296299999999999</v>
      </c>
      <c r="E41" s="66">
        <f>'M2'!E41-'M1'!E41</f>
        <v>0</v>
      </c>
      <c r="F41" s="66">
        <f>'M2'!F41-'M1'!F41</f>
        <v>-0.28831499999999999</v>
      </c>
      <c r="G41" s="66">
        <f>'M2'!G41-'M1'!G41</f>
        <v>0</v>
      </c>
      <c r="H41" s="66">
        <f>'M2'!H41-'M1'!H41</f>
        <v>-0.13901300000000005</v>
      </c>
    </row>
    <row r="42" spans="1:8">
      <c r="A42" s="66" t="s">
        <v>85</v>
      </c>
      <c r="B42" s="66">
        <f>'M2'!B42-'M1'!B42</f>
        <v>1.7604599999999998E-2</v>
      </c>
      <c r="C42" s="66">
        <f>'M2'!C42-'M1'!C42</f>
        <v>3.4062300000000004E-2</v>
      </c>
      <c r="D42" s="66">
        <f>'M2'!D42-'M1'!D42</f>
        <v>-0.62329200000000007</v>
      </c>
      <c r="E42" s="66">
        <f>'M2'!E42-'M1'!E42</f>
        <v>0</v>
      </c>
      <c r="F42" s="66">
        <f>'M2'!F42-'M1'!F42</f>
        <v>2.837400000000001E-2</v>
      </c>
      <c r="G42" s="66">
        <f>'M2'!G42-'M1'!G42</f>
        <v>0</v>
      </c>
      <c r="H42" s="66">
        <f>'M2'!H42-'M1'!H42</f>
        <v>7.8053999999999985E-2</v>
      </c>
    </row>
    <row r="43" spans="1:8">
      <c r="A43" s="66" t="s">
        <v>86</v>
      </c>
      <c r="B43" s="66">
        <f>'M2'!B43-'M1'!B43</f>
        <v>9.4494999999999996E-3</v>
      </c>
      <c r="C43" s="66">
        <f>'M2'!C43-'M1'!C43</f>
        <v>6.1596100000000001E-2</v>
      </c>
      <c r="D43" s="66">
        <f>'M2'!D43-'M1'!D43</f>
        <v>-0.95381800000000005</v>
      </c>
      <c r="E43" s="66">
        <f>'M2'!E43-'M1'!E43</f>
        <v>0</v>
      </c>
      <c r="F43" s="66">
        <f>'M2'!F43-'M1'!F43</f>
        <v>2.3410000000000014E-2</v>
      </c>
      <c r="G43" s="66">
        <f>'M2'!G43-'M1'!G43</f>
        <v>0</v>
      </c>
      <c r="H43" s="66">
        <f>'M2'!H43-'M1'!H43</f>
        <v>0.17331849999999999</v>
      </c>
    </row>
    <row r="44" spans="1:8">
      <c r="A44" s="66" t="s">
        <v>87</v>
      </c>
      <c r="B44" s="66">
        <f>'M2'!B44-'M1'!B44</f>
        <v>-17.014088000000001</v>
      </c>
      <c r="C44" s="66">
        <f>'M2'!C44-'M1'!C44</f>
        <v>-7.9827400000000015</v>
      </c>
      <c r="D44" s="66">
        <f>'M2'!D44-'M1'!D44</f>
        <v>-39.092179999999999</v>
      </c>
      <c r="E44" s="66">
        <f>'M2'!E44-'M1'!E44</f>
        <v>0</v>
      </c>
      <c r="F44" s="66">
        <f>'M2'!F44-'M1'!F44</f>
        <v>-3.7603000000000009</v>
      </c>
      <c r="G44" s="66">
        <f>'M2'!G44-'M1'!G44</f>
        <v>0</v>
      </c>
      <c r="H44" s="66">
        <f>'M2'!H44-'M1'!H44</f>
        <v>-24.567499999999999</v>
      </c>
    </row>
    <row r="45" spans="1:8">
      <c r="A45" s="66" t="s">
        <v>88</v>
      </c>
      <c r="B45" s="66">
        <f>'M2'!B45-'M1'!B45</f>
        <v>-2.0433999999999983</v>
      </c>
      <c r="C45" s="66">
        <f>'M2'!C45-'M1'!C45</f>
        <v>0.64204000000000061</v>
      </c>
      <c r="D45" s="66">
        <f>'M2'!D45-'M1'!D45</f>
        <v>1.6784900000000005E-2</v>
      </c>
      <c r="E45" s="66">
        <f>'M2'!E45-'M1'!E45</f>
        <v>0</v>
      </c>
      <c r="F45" s="66">
        <f>'M2'!F45-'M1'!F45</f>
        <v>-9.3961000000000041</v>
      </c>
      <c r="G45" s="66">
        <f>'M2'!G45-'M1'!G45</f>
        <v>0</v>
      </c>
      <c r="H45" s="66">
        <f>'M2'!H45-'M1'!H45</f>
        <v>-0.69420000000000215</v>
      </c>
    </row>
    <row r="46" spans="1:8">
      <c r="A46" s="66" t="s">
        <v>89</v>
      </c>
      <c r="B46" s="66">
        <f>'M2'!B46-'M1'!B46</f>
        <v>1.5530000000000044</v>
      </c>
      <c r="C46" s="66">
        <f>'M2'!C46-'M1'!C46</f>
        <v>-4.3630100000000009</v>
      </c>
      <c r="D46" s="66">
        <f>'M2'!D46-'M1'!D46</f>
        <v>-0.13908039999999999</v>
      </c>
      <c r="E46" s="66">
        <f>'M2'!E46-'M1'!E46</f>
        <v>0</v>
      </c>
      <c r="F46" s="66">
        <f>'M2'!F46-'M1'!F46</f>
        <v>15.9392</v>
      </c>
      <c r="G46" s="66">
        <f>'M2'!G46-'M1'!G46</f>
        <v>0</v>
      </c>
      <c r="H46" s="66">
        <f>'M2'!H46-'M1'!H46</f>
        <v>3.2813000000000017</v>
      </c>
    </row>
    <row r="47" spans="1:8">
      <c r="A47" s="66" t="s">
        <v>90</v>
      </c>
      <c r="B47" s="66">
        <f>'M2'!B47-'M1'!B47</f>
        <v>0.37888999999999995</v>
      </c>
      <c r="C47" s="66">
        <f>'M2'!C47-'M1'!C47</f>
        <v>0.55359300000000011</v>
      </c>
      <c r="D47" s="66">
        <f>'M2'!D47-'M1'!D47</f>
        <v>0.21551100000000001</v>
      </c>
      <c r="E47" s="66">
        <f>'M2'!E47-'M1'!E47</f>
        <v>0</v>
      </c>
      <c r="F47" s="66">
        <f>'M2'!F47-'M1'!F47</f>
        <v>-6.6306000000000032E-2</v>
      </c>
      <c r="G47" s="66">
        <f>'M2'!G47-'M1'!G47</f>
        <v>0</v>
      </c>
      <c r="H47" s="66">
        <f>'M2'!H47-'M1'!H47</f>
        <v>2.79711</v>
      </c>
    </row>
    <row r="48" spans="1:8">
      <c r="A48" s="66" t="s">
        <v>91</v>
      </c>
      <c r="B48" s="66">
        <f>'M2'!B48-'M1'!B48</f>
        <v>9.9859999999999949E-2</v>
      </c>
      <c r="C48" s="66">
        <f>'M2'!C48-'M1'!C48</f>
        <v>0.10938199999999999</v>
      </c>
      <c r="D48" s="66">
        <f>'M2'!D48-'M1'!D48</f>
        <v>9.3396000000000007E-2</v>
      </c>
      <c r="E48" s="66">
        <f>'M2'!E48-'M1'!E48</f>
        <v>0</v>
      </c>
      <c r="F48" s="66">
        <f>'M2'!F48-'M1'!F48</f>
        <v>0.14847100000000002</v>
      </c>
      <c r="G48" s="66">
        <f>'M2'!G48-'M1'!G48</f>
        <v>0</v>
      </c>
      <c r="H48" s="66">
        <f>'M2'!H48-'M1'!H48</f>
        <v>0.45417999999999981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347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40.93</v>
      </c>
      <c r="C5" s="66">
        <v>8.8200500000000002</v>
      </c>
      <c r="D5" s="66">
        <v>21.549099999999999</v>
      </c>
      <c r="E5" s="66">
        <v>20</v>
      </c>
      <c r="F5" s="66">
        <v>15.224399999999999</v>
      </c>
      <c r="G5" s="66">
        <v>50</v>
      </c>
      <c r="H5" s="66">
        <v>48.1267</v>
      </c>
    </row>
    <row r="6" spans="1:8">
      <c r="A6" s="66" t="s">
        <v>303</v>
      </c>
      <c r="B6" s="66">
        <v>29.537500000000001</v>
      </c>
      <c r="C6" s="66">
        <v>1.54562</v>
      </c>
      <c r="D6" s="66">
        <v>5.2327300000000001</v>
      </c>
      <c r="E6" s="66">
        <v>20</v>
      </c>
      <c r="F6" s="66">
        <v>24.864000000000001</v>
      </c>
      <c r="G6" s="66">
        <v>40</v>
      </c>
      <c r="H6" s="66">
        <v>32.159799999999997</v>
      </c>
    </row>
    <row r="7" spans="1:8">
      <c r="A7" s="66" t="s">
        <v>304</v>
      </c>
      <c r="B7" s="66">
        <v>16.2559</v>
      </c>
      <c r="C7" s="66">
        <v>5.2319399999999998</v>
      </c>
      <c r="D7" s="66">
        <v>32.184899999999999</v>
      </c>
      <c r="E7" s="66">
        <v>15</v>
      </c>
      <c r="F7" s="66">
        <v>5.6767000000000003</v>
      </c>
      <c r="G7" s="66">
        <v>40</v>
      </c>
      <c r="H7" s="66">
        <v>34.890900000000002</v>
      </c>
    </row>
    <row r="8" spans="1:8">
      <c r="A8" s="66" t="s">
        <v>305</v>
      </c>
      <c r="B8" s="66">
        <v>29.404399999999999</v>
      </c>
      <c r="C8" s="66">
        <v>4.4360799999999996</v>
      </c>
      <c r="D8" s="66">
        <v>15.086499999999999</v>
      </c>
      <c r="E8" s="66">
        <v>20</v>
      </c>
      <c r="F8" s="66">
        <v>15.7575</v>
      </c>
      <c r="G8" s="66">
        <v>50</v>
      </c>
      <c r="H8" s="66">
        <v>33.680599999999998</v>
      </c>
    </row>
    <row r="9" spans="1:8">
      <c r="A9" s="66" t="s">
        <v>306</v>
      </c>
      <c r="B9" s="66">
        <v>75.203699999999998</v>
      </c>
      <c r="C9" s="66">
        <v>3.4820199999999999</v>
      </c>
      <c r="D9" s="66">
        <v>4.6301199999999998</v>
      </c>
      <c r="E9" s="66">
        <v>50</v>
      </c>
      <c r="F9" s="66">
        <v>64.735799999999998</v>
      </c>
      <c r="G9" s="66">
        <v>100</v>
      </c>
      <c r="H9" s="66">
        <v>81.035799999999995</v>
      </c>
    </row>
    <row r="10" spans="1:8">
      <c r="A10" s="66" t="s">
        <v>307</v>
      </c>
      <c r="B10" s="66">
        <v>77.664000000000001</v>
      </c>
      <c r="C10" s="66">
        <v>2.1739099999999998</v>
      </c>
      <c r="D10" s="66">
        <v>2.7991199999999998</v>
      </c>
      <c r="E10" s="66">
        <v>40</v>
      </c>
      <c r="F10" s="66">
        <v>71.239199999999997</v>
      </c>
      <c r="G10" s="66">
        <v>100</v>
      </c>
      <c r="H10" s="66">
        <v>81.451599999999999</v>
      </c>
    </row>
    <row r="11" spans="1:8">
      <c r="A11" s="66" t="s">
        <v>308</v>
      </c>
      <c r="B11" s="66">
        <v>25.4634</v>
      </c>
      <c r="C11" s="66">
        <v>5.5523199999999999</v>
      </c>
      <c r="D11" s="66">
        <v>21.805099999999999</v>
      </c>
      <c r="E11" s="66">
        <v>10</v>
      </c>
      <c r="F11" s="66">
        <v>10.6358</v>
      </c>
      <c r="G11" s="66">
        <v>50</v>
      </c>
      <c r="H11" s="66">
        <v>28.535699999999999</v>
      </c>
    </row>
    <row r="12" spans="1:8">
      <c r="A12" s="66" t="s">
        <v>309</v>
      </c>
      <c r="B12" s="66">
        <v>75.804400000000001</v>
      </c>
      <c r="C12" s="66">
        <v>1.8113900000000001</v>
      </c>
      <c r="D12" s="66">
        <v>2.3895599999999999</v>
      </c>
      <c r="E12" s="66">
        <v>50</v>
      </c>
      <c r="F12" s="66">
        <v>71.830799999999996</v>
      </c>
      <c r="G12" s="66">
        <v>100</v>
      </c>
      <c r="H12" s="66">
        <v>80.1708</v>
      </c>
    </row>
    <row r="13" spans="1:8">
      <c r="A13" s="66" t="s">
        <v>310</v>
      </c>
      <c r="B13" s="66">
        <v>22.8127</v>
      </c>
      <c r="C13" s="66">
        <v>1.9364300000000001</v>
      </c>
      <c r="D13" s="66">
        <v>8.4883699999999997</v>
      </c>
      <c r="E13" s="66">
        <v>10</v>
      </c>
      <c r="F13" s="66">
        <v>19.298100000000002</v>
      </c>
      <c r="G13" s="66">
        <v>25</v>
      </c>
      <c r="H13" s="66">
        <v>29.7455</v>
      </c>
    </row>
    <row r="14" spans="1:8">
      <c r="A14" s="66" t="s">
        <v>311</v>
      </c>
      <c r="B14" s="66">
        <v>19.3643</v>
      </c>
      <c r="C14" s="66">
        <v>7.1841900000000001</v>
      </c>
      <c r="D14" s="66">
        <v>37.100200000000001</v>
      </c>
      <c r="E14" s="66">
        <v>10</v>
      </c>
      <c r="F14" s="66">
        <v>3.12384</v>
      </c>
      <c r="G14" s="66">
        <v>50</v>
      </c>
      <c r="H14" s="66">
        <v>27.4072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0.50568299999999999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0.463032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2.1569800000000002E-3</v>
      </c>
      <c r="C20" s="66">
        <v>3.7163399999999999E-2</v>
      </c>
      <c r="D20" s="66">
        <v>17.229399999999998</v>
      </c>
      <c r="E20" s="66">
        <v>0</v>
      </c>
      <c r="F20" s="196">
        <v>1.47265E-5</v>
      </c>
      <c r="G20" s="66">
        <v>0</v>
      </c>
      <c r="H20" s="66">
        <v>0.46556999999999998</v>
      </c>
    </row>
    <row r="21" spans="1:8">
      <c r="A21" s="66" t="s">
        <v>318</v>
      </c>
      <c r="B21" s="66">
        <v>0.17983499999999999</v>
      </c>
      <c r="C21" s="66">
        <v>0.36890099999999998</v>
      </c>
      <c r="D21" s="66">
        <v>2.0513300000000001</v>
      </c>
      <c r="E21" s="66">
        <v>0</v>
      </c>
      <c r="F21" s="66">
        <v>1.7910199999999999E-3</v>
      </c>
      <c r="G21" s="66">
        <v>0</v>
      </c>
      <c r="H21" s="66">
        <v>2.4491399999999999</v>
      </c>
    </row>
    <row r="22" spans="1:8">
      <c r="A22" s="66" t="s">
        <v>319</v>
      </c>
      <c r="B22" s="66">
        <v>37.194499999999998</v>
      </c>
      <c r="C22" s="66">
        <v>13.2872</v>
      </c>
      <c r="D22" s="66">
        <v>0.35723500000000002</v>
      </c>
      <c r="E22" s="66">
        <v>0</v>
      </c>
      <c r="F22" s="66">
        <v>23.675699999999999</v>
      </c>
      <c r="G22" s="66">
        <v>0</v>
      </c>
      <c r="H22" s="66">
        <v>84.1477</v>
      </c>
    </row>
    <row r="23" spans="1:8">
      <c r="A23" s="66" t="s">
        <v>320</v>
      </c>
      <c r="B23" s="66">
        <v>21.7912</v>
      </c>
      <c r="C23" s="66">
        <v>4.6011199999999999</v>
      </c>
      <c r="D23" s="66">
        <v>0.211145</v>
      </c>
      <c r="E23" s="66">
        <v>0</v>
      </c>
      <c r="F23" s="66">
        <v>9.9065300000000001</v>
      </c>
      <c r="G23" s="66">
        <v>0</v>
      </c>
      <c r="H23" s="66">
        <v>24.227399999999999</v>
      </c>
    </row>
    <row r="24" spans="1:8">
      <c r="A24" s="66" t="s">
        <v>321</v>
      </c>
      <c r="B24" s="66">
        <v>3.3239200000000002E-3</v>
      </c>
      <c r="C24" s="66">
        <v>2.6412600000000001E-2</v>
      </c>
      <c r="D24" s="66">
        <v>7.9462299999999999</v>
      </c>
      <c r="E24" s="66">
        <v>0</v>
      </c>
      <c r="F24" s="66">
        <v>1.3522799999999999E-4</v>
      </c>
      <c r="G24" s="66">
        <v>0</v>
      </c>
      <c r="H24" s="66">
        <v>0.212478</v>
      </c>
    </row>
    <row r="25" spans="1:8">
      <c r="A25" s="66" t="s">
        <v>348</v>
      </c>
      <c r="B25" s="66">
        <v>0.185387</v>
      </c>
      <c r="C25" s="66">
        <v>0.243174</v>
      </c>
      <c r="D25" s="66">
        <v>1.3117099999999999</v>
      </c>
      <c r="E25" s="66">
        <v>0</v>
      </c>
      <c r="F25" s="66">
        <v>4.3801E-2</v>
      </c>
      <c r="G25" s="66">
        <v>0</v>
      </c>
      <c r="H25" s="66">
        <v>1.1190199999999999</v>
      </c>
    </row>
    <row r="26" spans="1:8">
      <c r="A26" s="66" t="s">
        <v>323</v>
      </c>
      <c r="B26" s="66">
        <v>7.8781499999999998E-4</v>
      </c>
      <c r="C26" s="66">
        <v>4.6662600000000002E-3</v>
      </c>
      <c r="D26" s="66">
        <v>5.9230299999999998</v>
      </c>
      <c r="E26" s="66">
        <v>0</v>
      </c>
      <c r="F26" s="196">
        <v>3.2825599999999999E-6</v>
      </c>
      <c r="G26" s="66">
        <v>0</v>
      </c>
      <c r="H26" s="66">
        <v>4.5309200000000001E-2</v>
      </c>
    </row>
    <row r="27" spans="1:8">
      <c r="A27" s="66" t="s">
        <v>324</v>
      </c>
      <c r="B27" s="196">
        <v>-1.1489E-5</v>
      </c>
      <c r="C27" s="66">
        <v>2.3914000000000001E-3</v>
      </c>
      <c r="D27" s="66">
        <v>-208.148</v>
      </c>
      <c r="E27" s="66">
        <v>0</v>
      </c>
      <c r="F27" s="66">
        <v>-1.9816799999999999E-2</v>
      </c>
      <c r="G27" s="66">
        <v>0</v>
      </c>
      <c r="H27" s="66">
        <v>2.4973700000000001E-2</v>
      </c>
    </row>
    <row r="28" spans="1:8">
      <c r="A28" s="66" t="s">
        <v>325</v>
      </c>
      <c r="B28" s="66">
        <v>2.4664700000000001E-2</v>
      </c>
      <c r="C28" s="66">
        <v>2.6595799999999999E-2</v>
      </c>
      <c r="D28" s="66">
        <v>1.07829</v>
      </c>
      <c r="E28" s="66">
        <v>0</v>
      </c>
      <c r="F28" s="66">
        <v>6.4127599999999998E-4</v>
      </c>
      <c r="G28" s="66">
        <v>0</v>
      </c>
      <c r="H28" s="66">
        <v>0.147393</v>
      </c>
    </row>
    <row r="29" spans="1:8">
      <c r="A29" s="66" t="s">
        <v>326</v>
      </c>
      <c r="B29" s="66">
        <v>75.415599999999998</v>
      </c>
      <c r="C29" s="66">
        <v>8.2212499999999995</v>
      </c>
      <c r="D29" s="66">
        <v>0.109013</v>
      </c>
      <c r="E29" s="66">
        <v>0</v>
      </c>
      <c r="F29" s="66">
        <v>58.078600000000002</v>
      </c>
      <c r="G29" s="66">
        <v>0</v>
      </c>
      <c r="H29" s="66">
        <v>97.898899999999998</v>
      </c>
    </row>
    <row r="30" spans="1:8">
      <c r="A30" s="66" t="s">
        <v>327</v>
      </c>
      <c r="B30" s="66">
        <v>31.2941</v>
      </c>
      <c r="C30" s="66">
        <v>6.23637</v>
      </c>
      <c r="D30" s="66">
        <v>0.19928299999999999</v>
      </c>
      <c r="E30" s="66">
        <v>0</v>
      </c>
      <c r="F30" s="66">
        <v>13.877800000000001</v>
      </c>
      <c r="G30" s="66">
        <v>0</v>
      </c>
      <c r="H30" s="66">
        <v>33.968400000000003</v>
      </c>
    </row>
    <row r="31" spans="1:8">
      <c r="A31" s="66" t="s">
        <v>328</v>
      </c>
      <c r="B31" s="66">
        <v>128.66200000000001</v>
      </c>
      <c r="C31" s="66">
        <v>30.112500000000001</v>
      </c>
      <c r="D31" s="66">
        <v>0.234045</v>
      </c>
      <c r="E31" s="66">
        <v>0</v>
      </c>
      <c r="F31" s="66">
        <v>45.665700000000001</v>
      </c>
      <c r="G31" s="66">
        <v>0</v>
      </c>
      <c r="H31" s="66">
        <v>147.37299999999999</v>
      </c>
    </row>
    <row r="32" spans="1:8">
      <c r="A32" s="66" t="s">
        <v>329</v>
      </c>
      <c r="B32" s="66">
        <v>0.16255900000000001</v>
      </c>
      <c r="C32" s="66">
        <v>5.2319400000000002E-2</v>
      </c>
      <c r="D32" s="66">
        <v>0.321849</v>
      </c>
      <c r="E32" s="66">
        <v>0.15</v>
      </c>
      <c r="F32" s="66">
        <v>5.6766999999999998E-2</v>
      </c>
      <c r="G32" s="66">
        <v>0.4</v>
      </c>
      <c r="H32" s="66">
        <v>0.34890900000000002</v>
      </c>
    </row>
    <row r="33" spans="1:8">
      <c r="A33" s="66" t="s">
        <v>330</v>
      </c>
      <c r="B33" s="66">
        <v>0.31758799999999998</v>
      </c>
      <c r="C33" s="66">
        <v>2.8392799999999999E-2</v>
      </c>
      <c r="D33" s="66">
        <v>8.9401300000000003E-2</v>
      </c>
      <c r="E33" s="66">
        <v>0</v>
      </c>
      <c r="F33" s="66">
        <v>0.25230799999999998</v>
      </c>
      <c r="G33" s="66">
        <v>0</v>
      </c>
      <c r="H33" s="66">
        <v>0.367539</v>
      </c>
    </row>
    <row r="34" spans="1:8">
      <c r="A34" s="66" t="s">
        <v>331</v>
      </c>
      <c r="B34" s="66">
        <v>0.228127</v>
      </c>
      <c r="C34" s="66">
        <v>1.9364300000000001E-2</v>
      </c>
      <c r="D34" s="66">
        <v>8.4883700000000006E-2</v>
      </c>
      <c r="E34" s="66">
        <v>0.1</v>
      </c>
      <c r="F34" s="66">
        <v>0.19298100000000001</v>
      </c>
      <c r="G34" s="66">
        <v>0.25</v>
      </c>
      <c r="H34" s="66">
        <v>0.29745500000000002</v>
      </c>
    </row>
    <row r="35" spans="1:8">
      <c r="A35" s="66" t="s">
        <v>332</v>
      </c>
      <c r="B35" s="66">
        <v>8.7520600000000004E-2</v>
      </c>
      <c r="C35" s="66">
        <v>2.5632100000000001E-2</v>
      </c>
      <c r="D35" s="66">
        <v>0.29287000000000002</v>
      </c>
      <c r="E35" s="66">
        <v>0</v>
      </c>
      <c r="F35" s="66">
        <v>5.24313E-2</v>
      </c>
      <c r="G35" s="66">
        <v>0</v>
      </c>
      <c r="H35" s="66">
        <v>0.16138</v>
      </c>
    </row>
    <row r="36" spans="1:8">
      <c r="A36" s="66" t="s">
        <v>333</v>
      </c>
      <c r="B36" s="66">
        <v>0.20569499999999999</v>
      </c>
      <c r="C36" s="66">
        <v>0.103259</v>
      </c>
      <c r="D36" s="66">
        <v>0.50199899999999997</v>
      </c>
      <c r="E36" s="66">
        <v>0</v>
      </c>
      <c r="F36" s="66">
        <v>5.93768E-2</v>
      </c>
      <c r="G36" s="66">
        <v>0</v>
      </c>
      <c r="H36" s="66">
        <v>0.61233800000000005</v>
      </c>
    </row>
    <row r="37" spans="1:8">
      <c r="A37" s="66" t="s">
        <v>334</v>
      </c>
      <c r="B37" s="66">
        <v>0.19364300000000001</v>
      </c>
      <c r="C37" s="66">
        <v>7.18419E-2</v>
      </c>
      <c r="D37" s="66">
        <v>0.371002</v>
      </c>
      <c r="E37" s="66">
        <v>0.1</v>
      </c>
      <c r="F37" s="66">
        <v>3.12384E-2</v>
      </c>
      <c r="G37" s="66">
        <v>0.5</v>
      </c>
      <c r="H37" s="66">
        <v>0.27407199999999998</v>
      </c>
    </row>
    <row r="38" spans="1:8">
      <c r="A38" s="66" t="s">
        <v>335</v>
      </c>
      <c r="B38" s="66">
        <v>6.3250700000000002</v>
      </c>
      <c r="C38" s="66">
        <v>34.957799999999999</v>
      </c>
      <c r="D38" s="66">
        <v>5.5268600000000001</v>
      </c>
      <c r="E38" s="66">
        <v>0</v>
      </c>
      <c r="F38" s="66">
        <v>-72.010499999999993</v>
      </c>
      <c r="G38" s="66">
        <v>0</v>
      </c>
      <c r="H38" s="66">
        <v>132.685</v>
      </c>
    </row>
    <row r="39" spans="1:8">
      <c r="A39" s="66" t="s">
        <v>336</v>
      </c>
      <c r="B39" s="66">
        <v>-1.8644000000000001</v>
      </c>
      <c r="C39" s="66">
        <v>4.2075199999999997</v>
      </c>
      <c r="D39" s="66">
        <v>-2.2567699999999999</v>
      </c>
      <c r="E39" s="66">
        <v>0</v>
      </c>
      <c r="F39" s="66">
        <v>-13.2531</v>
      </c>
      <c r="G39" s="66">
        <v>0</v>
      </c>
      <c r="H39" s="66">
        <v>6.1099399999999999</v>
      </c>
    </row>
    <row r="40" spans="1:8">
      <c r="A40" s="66" t="s">
        <v>337</v>
      </c>
      <c r="B40" s="66">
        <v>-3.2246100000000002</v>
      </c>
      <c r="C40" s="66">
        <v>0.76331599999999999</v>
      </c>
      <c r="D40" s="66">
        <v>-0.23671600000000001</v>
      </c>
      <c r="E40" s="66">
        <v>0</v>
      </c>
      <c r="F40" s="66">
        <v>-4.0479700000000003</v>
      </c>
      <c r="G40" s="66">
        <v>0</v>
      </c>
      <c r="H40" s="66">
        <v>-1.3876999999999999</v>
      </c>
    </row>
    <row r="41" spans="1:8">
      <c r="A41" s="66" t="s">
        <v>338</v>
      </c>
      <c r="B41" s="66">
        <v>1.43786E-2</v>
      </c>
      <c r="C41" s="66">
        <v>0.248697</v>
      </c>
      <c r="D41" s="66">
        <v>17.296299999999999</v>
      </c>
      <c r="E41" s="66">
        <v>0</v>
      </c>
      <c r="F41" s="66">
        <v>-0.50898200000000005</v>
      </c>
      <c r="G41" s="66">
        <v>0</v>
      </c>
      <c r="H41" s="66">
        <v>1</v>
      </c>
    </row>
    <row r="42" spans="1:8">
      <c r="A42" s="66" t="s">
        <v>339</v>
      </c>
      <c r="B42" s="66">
        <v>-9.23929E-2</v>
      </c>
      <c r="C42" s="66">
        <v>6.5880499999999995E-2</v>
      </c>
      <c r="D42" s="66">
        <v>-0.71304800000000002</v>
      </c>
      <c r="E42" s="66">
        <v>0</v>
      </c>
      <c r="F42" s="66">
        <v>-0.297317</v>
      </c>
      <c r="G42" s="66">
        <v>0</v>
      </c>
      <c r="H42" s="66">
        <v>0.13416500000000001</v>
      </c>
    </row>
    <row r="43" spans="1:8">
      <c r="A43" s="66" t="s">
        <v>340</v>
      </c>
      <c r="B43" s="66">
        <v>-7.7765399999999998E-2</v>
      </c>
      <c r="C43" s="66">
        <v>2.9337999999999999E-2</v>
      </c>
      <c r="D43" s="66">
        <v>-0.37726199999999999</v>
      </c>
      <c r="E43" s="66">
        <v>0</v>
      </c>
      <c r="F43" s="66">
        <v>-0.14615600000000001</v>
      </c>
      <c r="G43" s="66">
        <v>0</v>
      </c>
      <c r="H43" s="66">
        <v>-2.2204499999999999E-2</v>
      </c>
    </row>
    <row r="44" spans="1:8">
      <c r="A44" s="66" t="s">
        <v>341</v>
      </c>
      <c r="B44" s="66">
        <v>16.770099999999999</v>
      </c>
      <c r="C44" s="66">
        <v>17.269500000000001</v>
      </c>
      <c r="D44" s="66">
        <v>1.0297799999999999</v>
      </c>
      <c r="E44" s="66">
        <v>0</v>
      </c>
      <c r="F44" s="66">
        <v>-16.5672</v>
      </c>
      <c r="G44" s="66">
        <v>0</v>
      </c>
      <c r="H44" s="66">
        <v>42.37</v>
      </c>
    </row>
    <row r="45" spans="1:8">
      <c r="A45" s="66" t="s">
        <v>342</v>
      </c>
      <c r="B45" s="66">
        <v>51.32</v>
      </c>
      <c r="C45" s="66">
        <v>4.6484199999999998</v>
      </c>
      <c r="D45" s="66">
        <v>9.0577099999999994E-2</v>
      </c>
      <c r="E45" s="66">
        <v>0</v>
      </c>
      <c r="F45" s="66">
        <v>43.020800000000001</v>
      </c>
      <c r="G45" s="66">
        <v>0</v>
      </c>
      <c r="H45" s="66">
        <v>62.0047</v>
      </c>
    </row>
    <row r="46" spans="1:8">
      <c r="A46" s="66" t="s">
        <v>343</v>
      </c>
      <c r="B46" s="66">
        <v>32.078699999999998</v>
      </c>
      <c r="C46" s="66">
        <v>6.4961900000000004</v>
      </c>
      <c r="D46" s="66">
        <v>0.20250799999999999</v>
      </c>
      <c r="E46" s="66">
        <v>0</v>
      </c>
      <c r="F46" s="66">
        <v>13.2822</v>
      </c>
      <c r="G46" s="66">
        <v>0</v>
      </c>
      <c r="H46" s="66">
        <v>35.946599999999997</v>
      </c>
    </row>
    <row r="47" spans="1:8">
      <c r="A47" s="66" t="s">
        <v>344</v>
      </c>
      <c r="B47" s="66">
        <v>1.19485</v>
      </c>
      <c r="C47" s="66">
        <v>0.67621699999999996</v>
      </c>
      <c r="D47" s="66">
        <v>0.56594100000000003</v>
      </c>
      <c r="E47" s="66">
        <v>0</v>
      </c>
      <c r="F47" s="66">
        <v>0.56604500000000002</v>
      </c>
      <c r="G47" s="66">
        <v>0</v>
      </c>
      <c r="H47" s="66">
        <v>4.2876500000000002</v>
      </c>
    </row>
    <row r="48" spans="1:8">
      <c r="A48" s="66" t="s">
        <v>345</v>
      </c>
      <c r="B48" s="66">
        <v>0.95528000000000002</v>
      </c>
      <c r="C48" s="66">
        <v>0.10366499999999999</v>
      </c>
      <c r="D48" s="66">
        <v>0.108518</v>
      </c>
      <c r="E48" s="66">
        <v>0</v>
      </c>
      <c r="F48" s="66">
        <v>0.74070199999999997</v>
      </c>
      <c r="G48" s="66">
        <v>0</v>
      </c>
      <c r="H48" s="66">
        <v>1.1028500000000001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347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45.5901</v>
      </c>
      <c r="C5" s="66">
        <v>3.12033</v>
      </c>
      <c r="D5" s="66">
        <v>6.8443199999999997</v>
      </c>
      <c r="E5" s="66">
        <v>20</v>
      </c>
      <c r="F5" s="66">
        <v>37.896799999999999</v>
      </c>
      <c r="G5" s="66">
        <v>50</v>
      </c>
      <c r="H5" s="66">
        <v>51.959499999999998</v>
      </c>
    </row>
    <row r="6" spans="1:8">
      <c r="A6" s="66" t="s">
        <v>303</v>
      </c>
      <c r="B6" s="66">
        <v>25.731200000000001</v>
      </c>
      <c r="C6" s="66">
        <v>1.6010500000000001</v>
      </c>
      <c r="D6" s="66">
        <v>6.2221799999999998</v>
      </c>
      <c r="E6" s="66">
        <v>20</v>
      </c>
      <c r="F6" s="66">
        <v>22.692399999999999</v>
      </c>
      <c r="G6" s="66">
        <v>40</v>
      </c>
      <c r="H6" s="66">
        <v>31.9605</v>
      </c>
    </row>
    <row r="7" spans="1:8">
      <c r="A7" s="66" t="s">
        <v>304</v>
      </c>
      <c r="B7" s="66">
        <v>14.290900000000001</v>
      </c>
      <c r="C7" s="66">
        <v>4.9269100000000003</v>
      </c>
      <c r="D7" s="66">
        <v>34.4758</v>
      </c>
      <c r="E7" s="66">
        <v>15</v>
      </c>
      <c r="F7" s="66">
        <v>6.0639399999999997</v>
      </c>
      <c r="G7" s="66">
        <v>40</v>
      </c>
      <c r="H7" s="66">
        <v>47.252899999999997</v>
      </c>
    </row>
    <row r="8" spans="1:8">
      <c r="A8" s="66" t="s">
        <v>305</v>
      </c>
      <c r="B8" s="66">
        <v>29.284300000000002</v>
      </c>
      <c r="C8" s="66">
        <v>1.84955</v>
      </c>
      <c r="D8" s="66">
        <v>6.3158500000000002</v>
      </c>
      <c r="E8" s="66">
        <v>20</v>
      </c>
      <c r="F8" s="66">
        <v>25.228400000000001</v>
      </c>
      <c r="G8" s="66">
        <v>50</v>
      </c>
      <c r="H8" s="66">
        <v>32.864699999999999</v>
      </c>
    </row>
    <row r="9" spans="1:8">
      <c r="A9" s="66" t="s">
        <v>306</v>
      </c>
      <c r="B9" s="66">
        <v>69.136799999999994</v>
      </c>
      <c r="C9" s="66">
        <v>4.1435500000000003</v>
      </c>
      <c r="D9" s="66">
        <v>5.9932699999999999</v>
      </c>
      <c r="E9" s="66">
        <v>50</v>
      </c>
      <c r="F9" s="66">
        <v>60.274500000000003</v>
      </c>
      <c r="G9" s="66">
        <v>100</v>
      </c>
      <c r="H9" s="66">
        <v>79.751300000000001</v>
      </c>
    </row>
    <row r="10" spans="1:8">
      <c r="A10" s="66" t="s">
        <v>307</v>
      </c>
      <c r="B10" s="66">
        <v>80.756399999999999</v>
      </c>
      <c r="C10" s="66">
        <v>1.94421</v>
      </c>
      <c r="D10" s="66">
        <v>2.4075000000000002</v>
      </c>
      <c r="E10" s="66">
        <v>40</v>
      </c>
      <c r="F10" s="66">
        <v>74.1751</v>
      </c>
      <c r="G10" s="66">
        <v>100</v>
      </c>
      <c r="H10" s="66">
        <v>81.924599999999998</v>
      </c>
    </row>
    <row r="11" spans="1:8">
      <c r="A11" s="66" t="s">
        <v>308</v>
      </c>
      <c r="B11" s="66">
        <v>28.290400000000002</v>
      </c>
      <c r="C11" s="66">
        <v>3.4161100000000002</v>
      </c>
      <c r="D11" s="66">
        <v>12.075200000000001</v>
      </c>
      <c r="E11" s="66">
        <v>10</v>
      </c>
      <c r="F11" s="66">
        <v>25.565100000000001</v>
      </c>
      <c r="G11" s="66">
        <v>50</v>
      </c>
      <c r="H11" s="66">
        <v>36.035699999999999</v>
      </c>
    </row>
    <row r="12" spans="1:8">
      <c r="A12" s="66" t="s">
        <v>309</v>
      </c>
      <c r="B12" s="66">
        <v>74.235600000000005</v>
      </c>
      <c r="C12" s="66">
        <v>2.0941100000000001</v>
      </c>
      <c r="D12" s="66">
        <v>2.8208899999999999</v>
      </c>
      <c r="E12" s="66">
        <v>50</v>
      </c>
      <c r="F12" s="66">
        <v>69.125799999999998</v>
      </c>
      <c r="G12" s="66">
        <v>100</v>
      </c>
      <c r="H12" s="66">
        <v>80.276300000000006</v>
      </c>
    </row>
    <row r="13" spans="1:8">
      <c r="A13" s="66" t="s">
        <v>310</v>
      </c>
      <c r="B13" s="66">
        <v>22.721399999999999</v>
      </c>
      <c r="C13" s="66">
        <v>2.4878399999999998</v>
      </c>
      <c r="D13" s="66">
        <v>10.949299999999999</v>
      </c>
      <c r="E13" s="66">
        <v>10</v>
      </c>
      <c r="F13" s="66">
        <v>17.770299999999999</v>
      </c>
      <c r="G13" s="66">
        <v>25</v>
      </c>
      <c r="H13" s="66">
        <v>27.4255</v>
      </c>
    </row>
    <row r="14" spans="1:8">
      <c r="A14" s="66" t="s">
        <v>311</v>
      </c>
      <c r="B14" s="66">
        <v>24.878399999999999</v>
      </c>
      <c r="C14" s="66">
        <v>6.6508700000000003</v>
      </c>
      <c r="D14" s="66">
        <v>26.733499999999999</v>
      </c>
      <c r="E14" s="66">
        <v>10</v>
      </c>
      <c r="F14" s="66">
        <v>3.2944599999999999</v>
      </c>
      <c r="G14" s="66">
        <v>50</v>
      </c>
      <c r="H14" s="66">
        <v>24.185400000000001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0.47553899999999999</v>
      </c>
      <c r="C18" s="66">
        <v>2.6901000000000001E-2</v>
      </c>
      <c r="D18" s="66">
        <v>5.6569500000000002E-2</v>
      </c>
      <c r="E18" s="66">
        <v>0</v>
      </c>
      <c r="F18" s="66">
        <v>0.44863799999999998</v>
      </c>
      <c r="G18" s="66">
        <v>0</v>
      </c>
      <c r="H18" s="66">
        <v>0.50244</v>
      </c>
    </row>
    <row r="19" spans="1:8">
      <c r="A19" s="66" t="s">
        <v>316</v>
      </c>
      <c r="B19" s="66">
        <v>0.54267900000000002</v>
      </c>
      <c r="C19" s="66">
        <v>1.43862E-3</v>
      </c>
      <c r="D19" s="66">
        <v>2.6509599999999999E-3</v>
      </c>
      <c r="E19" s="66">
        <v>0</v>
      </c>
      <c r="F19" s="66">
        <v>0.54124000000000005</v>
      </c>
      <c r="G19" s="66">
        <v>0</v>
      </c>
      <c r="H19" s="66">
        <v>0.54411799999999999</v>
      </c>
    </row>
    <row r="20" spans="1:8">
      <c r="A20" s="66" t="s">
        <v>317</v>
      </c>
      <c r="B20" s="66">
        <v>3.2640099999999999E-3</v>
      </c>
      <c r="C20" s="66">
        <v>5.2198399999999999E-2</v>
      </c>
      <c r="D20" s="66">
        <v>15.992100000000001</v>
      </c>
      <c r="E20" s="66">
        <v>0</v>
      </c>
      <c r="F20" s="196">
        <v>4.2145499999999998E-5</v>
      </c>
      <c r="G20" s="66">
        <v>0</v>
      </c>
      <c r="H20" s="66">
        <v>0.50519599999999998</v>
      </c>
    </row>
    <row r="21" spans="1:8">
      <c r="A21" s="66" t="s">
        <v>318</v>
      </c>
      <c r="B21" s="66">
        <v>0.23459199999999999</v>
      </c>
      <c r="C21" s="66">
        <v>0.63321700000000003</v>
      </c>
      <c r="D21" s="66">
        <v>2.69923</v>
      </c>
      <c r="E21" s="66">
        <v>0</v>
      </c>
      <c r="F21" s="66">
        <v>1.04724E-2</v>
      </c>
      <c r="G21" s="66">
        <v>0</v>
      </c>
      <c r="H21" s="66">
        <v>3.6791499999999999</v>
      </c>
    </row>
    <row r="22" spans="1:8">
      <c r="A22" s="66" t="s">
        <v>319</v>
      </c>
      <c r="B22" s="66">
        <v>45.965600000000002</v>
      </c>
      <c r="C22" s="66">
        <v>17.941099999999999</v>
      </c>
      <c r="D22" s="66">
        <v>0.39031700000000003</v>
      </c>
      <c r="E22" s="66">
        <v>0</v>
      </c>
      <c r="F22" s="66">
        <v>22.990500000000001</v>
      </c>
      <c r="G22" s="66">
        <v>0</v>
      </c>
      <c r="H22" s="66">
        <v>105.97799999999999</v>
      </c>
    </row>
    <row r="23" spans="1:8">
      <c r="A23" s="66" t="s">
        <v>320</v>
      </c>
      <c r="B23" s="66">
        <v>22.391400000000001</v>
      </c>
      <c r="C23" s="66">
        <v>1.9591099999999999</v>
      </c>
      <c r="D23" s="66">
        <v>8.7494199999999994E-2</v>
      </c>
      <c r="E23" s="66">
        <v>0</v>
      </c>
      <c r="F23" s="66">
        <v>19.295300000000001</v>
      </c>
      <c r="G23" s="66">
        <v>0</v>
      </c>
      <c r="H23" s="66">
        <v>26.7456</v>
      </c>
    </row>
    <row r="24" spans="1:8">
      <c r="A24" s="66" t="s">
        <v>321</v>
      </c>
      <c r="B24" s="66">
        <v>4.82578E-3</v>
      </c>
      <c r="C24" s="66">
        <v>4.4291799999999999E-2</v>
      </c>
      <c r="D24" s="66">
        <v>9.1781500000000005</v>
      </c>
      <c r="E24" s="66">
        <v>0</v>
      </c>
      <c r="F24" s="66">
        <v>2.0120500000000001E-4</v>
      </c>
      <c r="G24" s="66">
        <v>0</v>
      </c>
      <c r="H24" s="66">
        <v>0.29930299999999999</v>
      </c>
    </row>
    <row r="25" spans="1:8">
      <c r="A25" s="66" t="s">
        <v>322</v>
      </c>
      <c r="B25" s="66">
        <v>0.31907600000000003</v>
      </c>
      <c r="C25" s="66">
        <v>0.49240899999999999</v>
      </c>
      <c r="D25" s="66">
        <v>1.5432399999999999</v>
      </c>
      <c r="E25" s="66">
        <v>0</v>
      </c>
      <c r="F25" s="66">
        <v>5.1220799999999997E-2</v>
      </c>
      <c r="G25" s="66">
        <v>0</v>
      </c>
      <c r="H25" s="66">
        <v>2.1286499999999999</v>
      </c>
    </row>
    <row r="26" spans="1:8">
      <c r="A26" s="66" t="s">
        <v>323</v>
      </c>
      <c r="B26" s="66">
        <v>1.0980199999999999E-3</v>
      </c>
      <c r="C26" s="66">
        <v>7.0307299999999998E-3</v>
      </c>
      <c r="D26" s="66">
        <v>6.4031200000000004</v>
      </c>
      <c r="E26" s="66">
        <v>0</v>
      </c>
      <c r="F26" s="196">
        <v>1.31303E-5</v>
      </c>
      <c r="G26" s="66">
        <v>0</v>
      </c>
      <c r="H26" s="66">
        <v>5.4382199999999999E-2</v>
      </c>
    </row>
    <row r="27" spans="1:8">
      <c r="A27" s="66" t="s">
        <v>324</v>
      </c>
      <c r="B27" s="196">
        <v>-8.2064100000000006E-6</v>
      </c>
      <c r="C27" s="66">
        <v>2.4962299999999999E-3</v>
      </c>
      <c r="D27" s="66">
        <v>-304.18099999999998</v>
      </c>
      <c r="E27" s="66">
        <v>0</v>
      </c>
      <c r="F27" s="66">
        <v>-1.86581E-2</v>
      </c>
      <c r="G27" s="66">
        <v>0</v>
      </c>
      <c r="H27" s="66">
        <v>3.1148200000000001E-2</v>
      </c>
    </row>
    <row r="28" spans="1:8">
      <c r="A28" s="66" t="s">
        <v>325</v>
      </c>
      <c r="B28" s="66">
        <v>3.1578799999999997E-2</v>
      </c>
      <c r="C28" s="66">
        <v>4.04874E-2</v>
      </c>
      <c r="D28" s="66">
        <v>1.2821100000000001</v>
      </c>
      <c r="E28" s="66">
        <v>0</v>
      </c>
      <c r="F28" s="66">
        <v>2.5423199999999998E-3</v>
      </c>
      <c r="G28" s="66">
        <v>0</v>
      </c>
      <c r="H28" s="66">
        <v>0.20571900000000001</v>
      </c>
    </row>
    <row r="29" spans="1:8">
      <c r="A29" s="66" t="s">
        <v>326</v>
      </c>
      <c r="B29" s="66">
        <v>77.081900000000005</v>
      </c>
      <c r="C29" s="66">
        <v>11.123100000000001</v>
      </c>
      <c r="D29" s="66">
        <v>0.14430200000000001</v>
      </c>
      <c r="E29" s="66">
        <v>0</v>
      </c>
      <c r="F29" s="66">
        <v>59.4255</v>
      </c>
      <c r="G29" s="66">
        <v>0</v>
      </c>
      <c r="H29" s="66">
        <v>110.967</v>
      </c>
    </row>
    <row r="30" spans="1:8">
      <c r="A30" s="66" t="s">
        <v>327</v>
      </c>
      <c r="B30" s="66">
        <v>33.856000000000002</v>
      </c>
      <c r="C30" s="66">
        <v>1.76885</v>
      </c>
      <c r="D30" s="66">
        <v>5.2246399999999998E-2</v>
      </c>
      <c r="E30" s="66">
        <v>0</v>
      </c>
      <c r="F30" s="66">
        <v>30.154299999999999</v>
      </c>
      <c r="G30" s="66">
        <v>0</v>
      </c>
      <c r="H30" s="66">
        <v>38.287799999999997</v>
      </c>
    </row>
    <row r="31" spans="1:8">
      <c r="A31" s="66" t="s">
        <v>328</v>
      </c>
      <c r="B31" s="66">
        <v>121.51900000000001</v>
      </c>
      <c r="C31" s="66">
        <v>15.098699999999999</v>
      </c>
      <c r="D31" s="66">
        <v>0.12425</v>
      </c>
      <c r="E31" s="66">
        <v>0</v>
      </c>
      <c r="F31" s="66">
        <v>102.809</v>
      </c>
      <c r="G31" s="66">
        <v>0</v>
      </c>
      <c r="H31" s="66">
        <v>155.505</v>
      </c>
    </row>
    <row r="32" spans="1:8">
      <c r="A32" s="66" t="s">
        <v>329</v>
      </c>
      <c r="B32" s="66">
        <v>0.14290900000000001</v>
      </c>
      <c r="C32" s="66">
        <v>4.9269100000000003E-2</v>
      </c>
      <c r="D32" s="66">
        <v>0.34475800000000001</v>
      </c>
      <c r="E32" s="66">
        <v>0.15</v>
      </c>
      <c r="F32" s="66">
        <v>6.0639400000000003E-2</v>
      </c>
      <c r="G32" s="66">
        <v>0.4</v>
      </c>
      <c r="H32" s="66">
        <v>0.47252899999999998</v>
      </c>
    </row>
    <row r="33" spans="1:8">
      <c r="A33" s="66" t="s">
        <v>330</v>
      </c>
      <c r="B33" s="66">
        <v>0.37213000000000002</v>
      </c>
      <c r="C33" s="66">
        <v>4.44038E-2</v>
      </c>
      <c r="D33" s="66">
        <v>0.119323</v>
      </c>
      <c r="E33" s="66">
        <v>0</v>
      </c>
      <c r="F33" s="66">
        <v>0.28137600000000001</v>
      </c>
      <c r="G33" s="66">
        <v>0</v>
      </c>
      <c r="H33" s="66">
        <v>0.42853799999999997</v>
      </c>
    </row>
    <row r="34" spans="1:8">
      <c r="A34" s="66" t="s">
        <v>331</v>
      </c>
      <c r="B34" s="66">
        <v>0.227214</v>
      </c>
      <c r="C34" s="66">
        <v>2.4878399999999998E-2</v>
      </c>
      <c r="D34" s="66">
        <v>0.10949299999999999</v>
      </c>
      <c r="E34" s="66">
        <v>0.1</v>
      </c>
      <c r="F34" s="66">
        <v>0.177703</v>
      </c>
      <c r="G34" s="66">
        <v>0.25</v>
      </c>
      <c r="H34" s="66">
        <v>0.27425500000000003</v>
      </c>
    </row>
    <row r="35" spans="1:8">
      <c r="A35" s="66" t="s">
        <v>332</v>
      </c>
      <c r="B35" s="66">
        <v>8.3208000000000004E-2</v>
      </c>
      <c r="C35" s="66">
        <v>2.6389599999999999E-2</v>
      </c>
      <c r="D35" s="66">
        <v>0.31715300000000002</v>
      </c>
      <c r="E35" s="66">
        <v>0</v>
      </c>
      <c r="F35" s="66">
        <v>4.2258700000000003E-2</v>
      </c>
      <c r="G35" s="66">
        <v>0</v>
      </c>
      <c r="H35" s="66">
        <v>0.16317899999999999</v>
      </c>
    </row>
    <row r="36" spans="1:8">
      <c r="A36" s="66" t="s">
        <v>333</v>
      </c>
      <c r="B36" s="66">
        <v>0.20657600000000001</v>
      </c>
      <c r="C36" s="66">
        <v>9.2276800000000006E-2</v>
      </c>
      <c r="D36" s="66">
        <v>0.44669700000000001</v>
      </c>
      <c r="E36" s="66">
        <v>0</v>
      </c>
      <c r="F36" s="66">
        <v>4.35964E-2</v>
      </c>
      <c r="G36" s="66">
        <v>0</v>
      </c>
      <c r="H36" s="66">
        <v>0.459845</v>
      </c>
    </row>
    <row r="37" spans="1:8">
      <c r="A37" s="66" t="s">
        <v>334</v>
      </c>
      <c r="B37" s="66">
        <v>0.24878400000000001</v>
      </c>
      <c r="C37" s="66">
        <v>6.6508700000000004E-2</v>
      </c>
      <c r="D37" s="66">
        <v>0.26733499999999999</v>
      </c>
      <c r="E37" s="66">
        <v>0.1</v>
      </c>
      <c r="F37" s="66">
        <v>3.2944599999999997E-2</v>
      </c>
      <c r="G37" s="66">
        <v>0.5</v>
      </c>
      <c r="H37" s="66">
        <v>0.24185499999999999</v>
      </c>
    </row>
    <row r="38" spans="1:8">
      <c r="A38" s="66" t="s">
        <v>335</v>
      </c>
      <c r="B38" s="66">
        <v>4.8071200000000003</v>
      </c>
      <c r="C38" s="66">
        <v>37.191099999999999</v>
      </c>
      <c r="D38" s="66">
        <v>7.7366799999999998</v>
      </c>
      <c r="E38" s="66">
        <v>0</v>
      </c>
      <c r="F38" s="66">
        <v>-156.68799999999999</v>
      </c>
      <c r="G38" s="66">
        <v>0</v>
      </c>
      <c r="H38" s="66">
        <v>103.89400000000001</v>
      </c>
    </row>
    <row r="39" spans="1:8">
      <c r="A39" s="66" t="s">
        <v>336</v>
      </c>
      <c r="B39" s="66">
        <v>-3.40191</v>
      </c>
      <c r="C39" s="66">
        <v>7.6179699999999997</v>
      </c>
      <c r="D39" s="66">
        <v>-2.2393200000000002</v>
      </c>
      <c r="E39" s="66">
        <v>0</v>
      </c>
      <c r="F39" s="66">
        <v>-15.2685</v>
      </c>
      <c r="G39" s="66">
        <v>0</v>
      </c>
      <c r="H39" s="66">
        <v>25.3064</v>
      </c>
    </row>
    <row r="40" spans="1:8">
      <c r="A40" s="66" t="s">
        <v>337</v>
      </c>
      <c r="B40" s="66">
        <v>-2.04644</v>
      </c>
      <c r="C40" s="66">
        <v>1.18977</v>
      </c>
      <c r="D40" s="66">
        <v>-0.58138400000000001</v>
      </c>
      <c r="E40" s="66">
        <v>0</v>
      </c>
      <c r="F40" s="66">
        <v>-4.4870400000000004</v>
      </c>
      <c r="G40" s="66">
        <v>0</v>
      </c>
      <c r="H40" s="66">
        <v>0.54956499999999997</v>
      </c>
    </row>
    <row r="41" spans="1:8">
      <c r="A41" s="66" t="s">
        <v>338</v>
      </c>
      <c r="B41" s="66">
        <v>0</v>
      </c>
      <c r="C41" s="66">
        <v>0.228188</v>
      </c>
      <c r="D41" s="66">
        <v>0</v>
      </c>
      <c r="E41" s="66">
        <v>0</v>
      </c>
      <c r="F41" s="66">
        <v>-0.79729700000000003</v>
      </c>
      <c r="G41" s="66">
        <v>0</v>
      </c>
      <c r="H41" s="66">
        <v>0.86098699999999995</v>
      </c>
    </row>
    <row r="42" spans="1:8">
      <c r="A42" s="66" t="s">
        <v>339</v>
      </c>
      <c r="B42" s="66">
        <v>-7.4788300000000002E-2</v>
      </c>
      <c r="C42" s="66">
        <v>9.9942799999999998E-2</v>
      </c>
      <c r="D42" s="66">
        <v>-1.3363400000000001</v>
      </c>
      <c r="E42" s="66">
        <v>0</v>
      </c>
      <c r="F42" s="66">
        <v>-0.26894299999999999</v>
      </c>
      <c r="G42" s="66">
        <v>0</v>
      </c>
      <c r="H42" s="66">
        <v>0.21221899999999999</v>
      </c>
    </row>
    <row r="43" spans="1:8">
      <c r="A43" s="66" t="s">
        <v>340</v>
      </c>
      <c r="B43" s="66">
        <v>-6.8315899999999999E-2</v>
      </c>
      <c r="C43" s="66">
        <v>9.0934100000000004E-2</v>
      </c>
      <c r="D43" s="66">
        <v>-1.33108</v>
      </c>
      <c r="E43" s="66">
        <v>0</v>
      </c>
      <c r="F43" s="66">
        <v>-0.12274599999999999</v>
      </c>
      <c r="G43" s="66">
        <v>0</v>
      </c>
      <c r="H43" s="66">
        <v>0.151114</v>
      </c>
    </row>
    <row r="44" spans="1:8">
      <c r="A44" s="66" t="s">
        <v>341</v>
      </c>
      <c r="B44" s="66">
        <v>-0.24398800000000001</v>
      </c>
      <c r="C44" s="66">
        <v>9.2867599999999992</v>
      </c>
      <c r="D44" s="66">
        <v>-38.062399999999997</v>
      </c>
      <c r="E44" s="66">
        <v>0</v>
      </c>
      <c r="F44" s="66">
        <v>-20.327500000000001</v>
      </c>
      <c r="G44" s="66">
        <v>0</v>
      </c>
      <c r="H44" s="66">
        <v>17.802499999999998</v>
      </c>
    </row>
    <row r="45" spans="1:8">
      <c r="A45" s="66" t="s">
        <v>342</v>
      </c>
      <c r="B45" s="66">
        <v>49.276600000000002</v>
      </c>
      <c r="C45" s="66">
        <v>5.2904600000000004</v>
      </c>
      <c r="D45" s="66">
        <v>0.107362</v>
      </c>
      <c r="E45" s="66">
        <v>0</v>
      </c>
      <c r="F45" s="66">
        <v>33.624699999999997</v>
      </c>
      <c r="G45" s="66">
        <v>0</v>
      </c>
      <c r="H45" s="66">
        <v>61.310499999999998</v>
      </c>
    </row>
    <row r="46" spans="1:8">
      <c r="A46" s="66" t="s">
        <v>343</v>
      </c>
      <c r="B46" s="66">
        <v>33.631700000000002</v>
      </c>
      <c r="C46" s="66">
        <v>2.1331799999999999</v>
      </c>
      <c r="D46" s="66">
        <v>6.3427600000000001E-2</v>
      </c>
      <c r="E46" s="66">
        <v>0</v>
      </c>
      <c r="F46" s="66">
        <v>29.221399999999999</v>
      </c>
      <c r="G46" s="66">
        <v>0</v>
      </c>
      <c r="H46" s="66">
        <v>39.227899999999998</v>
      </c>
    </row>
    <row r="47" spans="1:8">
      <c r="A47" s="66" t="s">
        <v>344</v>
      </c>
      <c r="B47" s="66">
        <v>1.5737399999999999</v>
      </c>
      <c r="C47" s="66">
        <v>1.2298100000000001</v>
      </c>
      <c r="D47" s="66">
        <v>0.78145200000000004</v>
      </c>
      <c r="E47" s="66">
        <v>0</v>
      </c>
      <c r="F47" s="66">
        <v>0.49973899999999999</v>
      </c>
      <c r="G47" s="66">
        <v>0</v>
      </c>
      <c r="H47" s="66">
        <v>7.0847600000000002</v>
      </c>
    </row>
    <row r="48" spans="1:8">
      <c r="A48" s="66" t="s">
        <v>345</v>
      </c>
      <c r="B48" s="66">
        <v>1.05514</v>
      </c>
      <c r="C48" s="66">
        <v>0.21304699999999999</v>
      </c>
      <c r="D48" s="66">
        <v>0.20191400000000001</v>
      </c>
      <c r="E48" s="66">
        <v>0</v>
      </c>
      <c r="F48" s="66">
        <v>0.88917299999999999</v>
      </c>
      <c r="G48" s="66">
        <v>0</v>
      </c>
      <c r="H48" s="66">
        <v>1.5570299999999999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349</v>
      </c>
      <c r="B1" s="60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99.643565020196192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1.9238671547297417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0.64493024567939683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3027</v>
      </c>
      <c r="B8" s="66">
        <v>3027</v>
      </c>
      <c r="D8">
        <f t="shared" si="0"/>
        <v>1.1786419334867475E-2</v>
      </c>
      <c r="E8">
        <f t="shared" si="0"/>
        <v>1.1786419334867475E-2</v>
      </c>
      <c r="G8">
        <f t="shared" ca="1" si="1"/>
        <v>6</v>
      </c>
      <c r="H8">
        <f t="shared" ca="1" si="2"/>
        <v>7.0718516009204854E-2</v>
      </c>
      <c r="I8">
        <f t="shared" ca="1" si="3"/>
        <v>103.35649333721467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4809</v>
      </c>
      <c r="B10" s="66">
        <v>4809</v>
      </c>
      <c r="D10">
        <f t="shared" si="0"/>
        <v>1.8725104255493126E-2</v>
      </c>
      <c r="E10">
        <f t="shared" si="0"/>
        <v>1.8725104255493126E-2</v>
      </c>
      <c r="G10">
        <f t="shared" ca="1" si="1"/>
        <v>8</v>
      </c>
      <c r="H10">
        <f t="shared" ca="1" si="2"/>
        <v>0.14980083404394501</v>
      </c>
      <c r="I10">
        <f t="shared" ca="1" si="3"/>
        <v>157.2635934492076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5944</v>
      </c>
      <c r="B13" s="66">
        <v>5944</v>
      </c>
      <c r="D13">
        <f t="shared" si="0"/>
        <v>2.3144524785745715E-2</v>
      </c>
      <c r="E13">
        <f t="shared" si="0"/>
        <v>2.3144524785745715E-2</v>
      </c>
      <c r="G13">
        <f t="shared" ca="1" si="1"/>
        <v>11</v>
      </c>
      <c r="H13">
        <f t="shared" ca="1" si="2"/>
        <v>0.25458977264320287</v>
      </c>
      <c r="I13">
        <f t="shared" ca="1" si="3"/>
        <v>181.86230700077905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7283</v>
      </c>
      <c r="B15" s="66">
        <v>7283</v>
      </c>
      <c r="D15">
        <f t="shared" si="0"/>
        <v>2.8358272882669251E-2</v>
      </c>
      <c r="E15">
        <f t="shared" si="0"/>
        <v>2.8358272882669251E-2</v>
      </c>
      <c r="G15">
        <f t="shared" ca="1" si="1"/>
        <v>13</v>
      </c>
      <c r="H15">
        <f t="shared" ca="1" si="2"/>
        <v>0.36865754747470025</v>
      </c>
      <c r="I15">
        <f t="shared" ca="1" si="3"/>
        <v>212.88859905761402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14163</v>
      </c>
      <c r="B18" s="66">
        <v>14163</v>
      </c>
      <c r="D18">
        <f t="shared" si="0"/>
        <v>5.5147359444905203E-2</v>
      </c>
      <c r="E18">
        <f t="shared" si="0"/>
        <v>5.5147359444905203E-2</v>
      </c>
      <c r="G18">
        <f t="shared" ca="1" si="1"/>
        <v>16</v>
      </c>
      <c r="H18">
        <f t="shared" ca="1" si="2"/>
        <v>0.88235775111848325</v>
      </c>
      <c r="I18">
        <f t="shared" ca="1" si="3"/>
        <v>385.82449123328286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14680</v>
      </c>
      <c r="B21" s="66">
        <v>14680</v>
      </c>
      <c r="D21">
        <f t="shared" si="0"/>
        <v>5.7160434699654622E-2</v>
      </c>
      <c r="E21">
        <f t="shared" si="0"/>
        <v>5.7160434699654622E-2</v>
      </c>
      <c r="G21">
        <f t="shared" ca="1" si="1"/>
        <v>19</v>
      </c>
      <c r="H21">
        <f t="shared" ca="1" si="2"/>
        <v>1.0860482592934377</v>
      </c>
      <c r="I21">
        <f t="shared" ca="1" si="3"/>
        <v>371.7362895641939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21391</v>
      </c>
      <c r="B23" s="66">
        <v>21391</v>
      </c>
      <c r="D23">
        <f t="shared" si="0"/>
        <v>8.3291475385579836E-2</v>
      </c>
      <c r="E23">
        <f t="shared" si="0"/>
        <v>8.3291475385579836E-2</v>
      </c>
      <c r="G23">
        <f t="shared" ca="1" si="1"/>
        <v>21</v>
      </c>
      <c r="H23">
        <f t="shared" ca="1" si="2"/>
        <v>1.7491209830971766</v>
      </c>
      <c r="I23">
        <f t="shared" ca="1" si="3"/>
        <v>515.14197645661727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20679</v>
      </c>
      <c r="B26" s="66">
        <v>20679</v>
      </c>
      <c r="D26">
        <f t="shared" si="0"/>
        <v>8.0519116427394954E-2</v>
      </c>
      <c r="E26">
        <f t="shared" si="0"/>
        <v>8.0519116427394954E-2</v>
      </c>
      <c r="G26">
        <f t="shared" ca="1" si="1"/>
        <v>24</v>
      </c>
      <c r="H26">
        <f t="shared" ca="1" si="2"/>
        <v>1.9324587942574789</v>
      </c>
      <c r="I26">
        <f t="shared" ca="1" si="3"/>
        <v>460.72627200291242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27942</v>
      </c>
      <c r="B28" s="66">
        <v>27942</v>
      </c>
      <c r="D28">
        <f t="shared" si="0"/>
        <v>0.1087995140584298</v>
      </c>
      <c r="E28">
        <f t="shared" si="0"/>
        <v>0.1087995140584298</v>
      </c>
      <c r="G28">
        <f t="shared" ca="1" si="1"/>
        <v>26</v>
      </c>
      <c r="H28">
        <f t="shared" ca="1" si="2"/>
        <v>2.8287873655191751</v>
      </c>
      <c r="I28">
        <f t="shared" ca="1" si="3"/>
        <v>590.06052853136202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33795</v>
      </c>
      <c r="B31" s="66">
        <v>33795</v>
      </c>
      <c r="D31">
        <f t="shared" si="0"/>
        <v>0.13158970644923895</v>
      </c>
      <c r="E31">
        <f t="shared" si="0"/>
        <v>0.13158970644923895</v>
      </c>
      <c r="G31">
        <f t="shared" ca="1" si="1"/>
        <v>29</v>
      </c>
      <c r="H31">
        <f t="shared" ca="1" si="2"/>
        <v>3.8161014870279297</v>
      </c>
      <c r="I31">
        <f t="shared" ca="1" si="3"/>
        <v>656.70017738341096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40407</v>
      </c>
      <c r="B33" s="66">
        <v>40407</v>
      </c>
      <c r="D33">
        <f t="shared" si="0"/>
        <v>0.15733526463957387</v>
      </c>
      <c r="E33">
        <f t="shared" si="0"/>
        <v>0.15733526463957387</v>
      </c>
      <c r="G33">
        <f t="shared" ca="1" si="1"/>
        <v>31</v>
      </c>
      <c r="H33">
        <f t="shared" ca="1" si="2"/>
        <v>4.8773932038267898</v>
      </c>
      <c r="I33">
        <f t="shared" ca="1" si="3"/>
        <v>741.35417246985105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45984</v>
      </c>
      <c r="B36" s="66">
        <v>45984</v>
      </c>
      <c r="D36">
        <f t="shared" si="0"/>
        <v>0.17905077855782822</v>
      </c>
      <c r="E36">
        <f t="shared" si="0"/>
        <v>0.17905077855782822</v>
      </c>
      <c r="G36">
        <f t="shared" ca="1" si="1"/>
        <v>34</v>
      </c>
      <c r="H36">
        <f t="shared" ca="1" si="2"/>
        <v>6.0877264709661594</v>
      </c>
      <c r="I36">
        <f t="shared" ca="1" si="3"/>
        <v>771.54370425991794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46755</v>
      </c>
      <c r="B39" s="66">
        <v>46755</v>
      </c>
      <c r="D39">
        <f t="shared" si="0"/>
        <v>0.1820528695083346</v>
      </c>
      <c r="E39">
        <f t="shared" si="0"/>
        <v>0.1820528695083346</v>
      </c>
      <c r="G39">
        <f t="shared" ca="1" si="1"/>
        <v>37</v>
      </c>
      <c r="H39">
        <f t="shared" ca="1" si="2"/>
        <v>6.7359561718083807</v>
      </c>
      <c r="I39">
        <f t="shared" ca="1" si="3"/>
        <v>714.41482677912268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52398</v>
      </c>
      <c r="B41" s="66">
        <v>52398</v>
      </c>
      <c r="D41">
        <f t="shared" si="0"/>
        <v>0.20402537175698249</v>
      </c>
      <c r="E41">
        <f t="shared" si="0"/>
        <v>0.20402537175698249</v>
      </c>
      <c r="G41">
        <f t="shared" ca="1" si="1"/>
        <v>39</v>
      </c>
      <c r="H41">
        <f t="shared" ca="1" si="2"/>
        <v>7.9569894985223169</v>
      </c>
      <c r="I41">
        <f t="shared" ca="1" si="3"/>
        <v>750.33227182373116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63818</v>
      </c>
      <c r="B44" s="66">
        <v>63818</v>
      </c>
      <c r="D44">
        <f t="shared" si="0"/>
        <v>0.2484921404402288</v>
      </c>
      <c r="E44">
        <f t="shared" si="0"/>
        <v>0.2484921404402288</v>
      </c>
      <c r="G44">
        <f t="shared" ca="1" si="1"/>
        <v>42</v>
      </c>
      <c r="H44">
        <f t="shared" ca="1" si="2"/>
        <v>10.43666989848961</v>
      </c>
      <c r="I44">
        <f t="shared" ca="1" si="3"/>
        <v>825.68486058440033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70338</v>
      </c>
      <c r="B46" s="66">
        <v>70338</v>
      </c>
      <c r="D46">
        <f t="shared" si="0"/>
        <v>0.27387947247304545</v>
      </c>
      <c r="E46">
        <f t="shared" si="0"/>
        <v>0.27387947247304545</v>
      </c>
      <c r="G46">
        <f t="shared" ca="1" si="1"/>
        <v>44</v>
      </c>
      <c r="H46">
        <f t="shared" ca="1" si="2"/>
        <v>12.050696788813999</v>
      </c>
      <c r="I46">
        <f t="shared" ca="1" si="3"/>
        <v>847.9873558232897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77897</v>
      </c>
      <c r="B49" s="66">
        <v>77897</v>
      </c>
      <c r="D49">
        <f t="shared" si="0"/>
        <v>0.30331242382826951</v>
      </c>
      <c r="E49">
        <f t="shared" si="0"/>
        <v>0.30331242382826951</v>
      </c>
      <c r="G49">
        <f t="shared" ca="1" si="1"/>
        <v>47</v>
      </c>
      <c r="H49">
        <f t="shared" ca="1" si="2"/>
        <v>14.255683919928666</v>
      </c>
      <c r="I49">
        <f t="shared" ca="1" si="3"/>
        <v>840.58335041979058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84583</v>
      </c>
      <c r="B51" s="66">
        <v>84583</v>
      </c>
      <c r="D51">
        <f t="shared" si="0"/>
        <v>0.32934612044965172</v>
      </c>
      <c r="E51">
        <f t="shared" si="0"/>
        <v>0.32934612044965172</v>
      </c>
      <c r="G51">
        <f t="shared" ca="1" si="1"/>
        <v>49</v>
      </c>
      <c r="H51">
        <f t="shared" ca="1" si="2"/>
        <v>16.137959902032936</v>
      </c>
      <c r="I51">
        <f t="shared" ca="1" si="3"/>
        <v>844.69727262744948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92835</v>
      </c>
      <c r="B54" s="66">
        <v>92835</v>
      </c>
      <c r="D54">
        <f t="shared" si="0"/>
        <v>0.36147744927400799</v>
      </c>
      <c r="E54">
        <f t="shared" si="0"/>
        <v>0.36147744927400799</v>
      </c>
      <c r="G54">
        <f t="shared" ca="1" si="1"/>
        <v>52</v>
      </c>
      <c r="H54">
        <f t="shared" ca="1" si="2"/>
        <v>18.796827362248415</v>
      </c>
      <c r="I54">
        <f t="shared" ca="1" si="3"/>
        <v>820.52101944949231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96034</v>
      </c>
      <c r="B57" s="66">
        <v>96034</v>
      </c>
      <c r="D57">
        <f t="shared" si="0"/>
        <v>0.37393359577293134</v>
      </c>
      <c r="E57">
        <f t="shared" si="0"/>
        <v>0.37393359577293134</v>
      </c>
      <c r="G57">
        <f t="shared" ca="1" si="1"/>
        <v>55</v>
      </c>
      <c r="H57">
        <f t="shared" ca="1" si="2"/>
        <v>20.566347767511225</v>
      </c>
      <c r="I57">
        <f t="shared" ca="1" si="3"/>
        <v>745.267566939311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113606</v>
      </c>
      <c r="B59" s="66">
        <v>113606</v>
      </c>
      <c r="D59">
        <f t="shared" si="0"/>
        <v>0.44235479185892118</v>
      </c>
      <c r="E59">
        <f t="shared" si="0"/>
        <v>0.44235479185892118</v>
      </c>
      <c r="G59">
        <f t="shared" ca="1" si="1"/>
        <v>57</v>
      </c>
      <c r="H59">
        <f t="shared" ca="1" si="2"/>
        <v>25.214223135958509</v>
      </c>
      <c r="I59">
        <f t="shared" ca="1" si="3"/>
        <v>804.410527475506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120515</v>
      </c>
      <c r="B62" s="66">
        <v>120515</v>
      </c>
      <c r="D62">
        <f t="shared" si="0"/>
        <v>0.46925679753602706</v>
      </c>
      <c r="E62">
        <f t="shared" si="0"/>
        <v>0.46925679753602706</v>
      </c>
      <c r="G62">
        <f t="shared" ca="1" si="1"/>
        <v>60</v>
      </c>
      <c r="H62">
        <f t="shared" ca="1" si="2"/>
        <v>28.155407852161623</v>
      </c>
      <c r="I62">
        <f t="shared" ca="1" si="3"/>
        <v>737.48973023518602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132292</v>
      </c>
      <c r="B64" s="66">
        <v>132292</v>
      </c>
      <c r="D64">
        <f t="shared" si="0"/>
        <v>0.51511363946094746</v>
      </c>
      <c r="E64">
        <f t="shared" si="0"/>
        <v>0.51511363946094746</v>
      </c>
      <c r="G64">
        <f t="shared" ca="1" si="1"/>
        <v>62</v>
      </c>
      <c r="H64">
        <f t="shared" ca="1" si="2"/>
        <v>31.937045646578742</v>
      </c>
      <c r="I64">
        <f t="shared" ca="1" si="3"/>
        <v>729.9355949593488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129547</v>
      </c>
      <c r="B67" s="66">
        <v>129547</v>
      </c>
      <c r="D67">
        <f t="shared" ref="D67:E130" si="4">IFERROR( A67/MAX(A$2:A$257), 0 )</f>
        <v>0.50442526117412512</v>
      </c>
      <c r="E67">
        <f t="shared" si="4"/>
        <v>0.50442526117412512</v>
      </c>
      <c r="G67">
        <f t="shared" ref="G67:G130" ca="1" si="5">CELL("row",D67)-2</f>
        <v>65</v>
      </c>
      <c r="H67">
        <f t="shared" ref="H67:H130" ca="1" si="6">D67*G67</f>
        <v>32.787641976318135</v>
      </c>
      <c r="I67">
        <f t="shared" ref="I67:I130" ca="1" si="7">D67*((G67-$L$1)^2)</f>
        <v>605.39939355244383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141751</v>
      </c>
      <c r="B69" s="66">
        <v>141751</v>
      </c>
      <c r="D69">
        <f t="shared" si="4"/>
        <v>0.5519447397214402</v>
      </c>
      <c r="E69">
        <f t="shared" si="4"/>
        <v>0.5519447397214402</v>
      </c>
      <c r="G69">
        <f t="shared" ca="1" si="5"/>
        <v>67</v>
      </c>
      <c r="H69">
        <f t="shared" ca="1" si="6"/>
        <v>36.980297561336492</v>
      </c>
      <c r="I69">
        <f t="shared" ca="1" si="7"/>
        <v>588.15360466774337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153649</v>
      </c>
      <c r="B72" s="66">
        <v>153649</v>
      </c>
      <c r="D72">
        <f t="shared" si="4"/>
        <v>0.59827272691874889</v>
      </c>
      <c r="E72">
        <f t="shared" si="4"/>
        <v>0.59827272691874889</v>
      </c>
      <c r="G72">
        <f t="shared" ca="1" si="5"/>
        <v>70</v>
      </c>
      <c r="H72">
        <f t="shared" ca="1" si="6"/>
        <v>41.879090884312419</v>
      </c>
      <c r="I72">
        <f t="shared" ca="1" si="7"/>
        <v>525.72674268062917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177796</v>
      </c>
      <c r="B75" s="66">
        <v>177796</v>
      </c>
      <c r="D75">
        <f t="shared" si="4"/>
        <v>0.69229541197954991</v>
      </c>
      <c r="E75">
        <f t="shared" si="4"/>
        <v>0.69229541197954991</v>
      </c>
      <c r="G75">
        <f t="shared" ca="1" si="5"/>
        <v>73</v>
      </c>
      <c r="H75">
        <f t="shared" ca="1" si="6"/>
        <v>50.537565074507143</v>
      </c>
      <c r="I75">
        <f t="shared" ca="1" si="7"/>
        <v>491.4463603590832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188308</v>
      </c>
      <c r="B77" s="66">
        <v>188308</v>
      </c>
      <c r="D77">
        <f t="shared" si="4"/>
        <v>0.73322664423859418</v>
      </c>
      <c r="E77">
        <f t="shared" si="4"/>
        <v>0.73322664423859418</v>
      </c>
      <c r="G77">
        <f t="shared" ca="1" si="5"/>
        <v>75</v>
      </c>
      <c r="H77">
        <f t="shared" ca="1" si="6"/>
        <v>54.991998317894563</v>
      </c>
      <c r="I77">
        <f t="shared" ca="1" si="7"/>
        <v>445.29242487771035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199428</v>
      </c>
      <c r="B80" s="66">
        <v>199428</v>
      </c>
      <c r="D80">
        <f t="shared" si="4"/>
        <v>0.77652528414732436</v>
      </c>
      <c r="E80">
        <f t="shared" si="4"/>
        <v>0.77652528414732436</v>
      </c>
      <c r="G80">
        <f t="shared" ca="1" si="5"/>
        <v>78</v>
      </c>
      <c r="H80">
        <f t="shared" ca="1" si="6"/>
        <v>60.568972163491303</v>
      </c>
      <c r="I80">
        <f t="shared" ca="1" si="7"/>
        <v>363.75853782210913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196397</v>
      </c>
      <c r="B82" s="66">
        <v>196397</v>
      </c>
      <c r="D82">
        <f t="shared" si="4"/>
        <v>0.76472328976213</v>
      </c>
      <c r="E82">
        <f t="shared" si="4"/>
        <v>0.76472328976213</v>
      </c>
      <c r="G82">
        <f t="shared" ca="1" si="5"/>
        <v>80</v>
      </c>
      <c r="H82">
        <f t="shared" ca="1" si="6"/>
        <v>61.177863180970398</v>
      </c>
      <c r="I82">
        <f t="shared" ca="1" si="7"/>
        <v>295.08350564582076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197540</v>
      </c>
      <c r="B85" s="66">
        <v>197540</v>
      </c>
      <c r="D85">
        <f t="shared" si="4"/>
        <v>0.76917386039303637</v>
      </c>
      <c r="E85">
        <f t="shared" si="4"/>
        <v>0.76917386039303637</v>
      </c>
      <c r="G85">
        <f t="shared" ca="1" si="5"/>
        <v>83</v>
      </c>
      <c r="H85">
        <f t="shared" ca="1" si="6"/>
        <v>63.841430412622017</v>
      </c>
      <c r="I85">
        <f t="shared" ca="1" si="7"/>
        <v>213.06751007553572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203354</v>
      </c>
      <c r="B88" s="66">
        <v>203354</v>
      </c>
      <c r="D88">
        <f t="shared" si="4"/>
        <v>0.79181219604315844</v>
      </c>
      <c r="E88">
        <f t="shared" si="4"/>
        <v>0.79181219604315844</v>
      </c>
      <c r="G88">
        <f t="shared" ca="1" si="5"/>
        <v>86</v>
      </c>
      <c r="H88">
        <f t="shared" ca="1" si="6"/>
        <v>68.095848859711623</v>
      </c>
      <c r="I88">
        <f t="shared" ca="1" si="7"/>
        <v>147.39335911849943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222828</v>
      </c>
      <c r="B90" s="66">
        <v>222828</v>
      </c>
      <c r="D90">
        <f t="shared" si="4"/>
        <v>0.86763932855958037</v>
      </c>
      <c r="E90">
        <f t="shared" si="4"/>
        <v>0.86763932855958037</v>
      </c>
      <c r="G90">
        <f t="shared" ca="1" si="5"/>
        <v>88</v>
      </c>
      <c r="H90">
        <f t="shared" ca="1" si="6"/>
        <v>76.352260913243072</v>
      </c>
      <c r="I90">
        <f t="shared" ca="1" si="7"/>
        <v>117.62812517021321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218979</v>
      </c>
      <c r="B93" s="66">
        <v>218979</v>
      </c>
      <c r="D93">
        <f t="shared" si="4"/>
        <v>0.85265223638253884</v>
      </c>
      <c r="E93">
        <f t="shared" si="4"/>
        <v>0.85265223638253884</v>
      </c>
      <c r="G93">
        <f t="shared" ca="1" si="5"/>
        <v>91</v>
      </c>
      <c r="H93">
        <f t="shared" ca="1" si="6"/>
        <v>77.591353510811032</v>
      </c>
      <c r="I93">
        <f t="shared" ca="1" si="7"/>
        <v>63.702685625549471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245522</v>
      </c>
      <c r="B95" s="66">
        <v>245522</v>
      </c>
      <c r="D95">
        <f t="shared" si="4"/>
        <v>0.95600437658914184</v>
      </c>
      <c r="E95">
        <f t="shared" si="4"/>
        <v>0.95600437658914184</v>
      </c>
      <c r="G95">
        <f t="shared" ca="1" si="5"/>
        <v>93</v>
      </c>
      <c r="H95">
        <f t="shared" ca="1" si="6"/>
        <v>88.908407022790186</v>
      </c>
      <c r="I95">
        <f t="shared" ca="1" si="7"/>
        <v>42.195123275084313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247391</v>
      </c>
      <c r="B98" s="66">
        <v>247391</v>
      </c>
      <c r="D98">
        <f t="shared" si="4"/>
        <v>0.96328181885437714</v>
      </c>
      <c r="E98">
        <f t="shared" si="4"/>
        <v>0.96328181885437714</v>
      </c>
      <c r="G98">
        <f t="shared" ca="1" si="5"/>
        <v>96</v>
      </c>
      <c r="H98">
        <f t="shared" ca="1" si="6"/>
        <v>92.475054610020209</v>
      </c>
      <c r="I98">
        <f t="shared" ca="1" si="7"/>
        <v>12.7881114171278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245289</v>
      </c>
      <c r="B100" s="66">
        <v>245289</v>
      </c>
      <c r="D100">
        <f t="shared" si="4"/>
        <v>0.95509712990760098</v>
      </c>
      <c r="E100">
        <f t="shared" si="4"/>
        <v>0.95509712990760098</v>
      </c>
      <c r="G100">
        <f t="shared" ca="1" si="5"/>
        <v>98</v>
      </c>
      <c r="H100">
        <f t="shared" ca="1" si="6"/>
        <v>93.599518730944894</v>
      </c>
      <c r="I100">
        <f t="shared" ca="1" si="7"/>
        <v>2.5800095843097592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256821</v>
      </c>
      <c r="B103" s="66">
        <v>256821</v>
      </c>
      <c r="D103">
        <f t="shared" si="4"/>
        <v>1</v>
      </c>
      <c r="E103">
        <f t="shared" si="4"/>
        <v>1</v>
      </c>
      <c r="G103">
        <f t="shared" ca="1" si="5"/>
        <v>101</v>
      </c>
      <c r="H103">
        <f t="shared" ca="1" si="6"/>
        <v>101</v>
      </c>
      <c r="I103">
        <f t="shared" ca="1" si="7"/>
        <v>1.8399158544353571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249096</v>
      </c>
      <c r="B106" s="66">
        <v>249096</v>
      </c>
      <c r="D106">
        <f t="shared" si="4"/>
        <v>0.96992068405621035</v>
      </c>
      <c r="E106">
        <f t="shared" si="4"/>
        <v>0.96992068405621035</v>
      </c>
      <c r="G106">
        <f t="shared" ca="1" si="5"/>
        <v>104</v>
      </c>
      <c r="H106">
        <f t="shared" ca="1" si="6"/>
        <v>100.87175114184588</v>
      </c>
      <c r="I106">
        <f t="shared" ca="1" si="7"/>
        <v>18.407664661580188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244527</v>
      </c>
      <c r="B108" s="66">
        <v>244527</v>
      </c>
      <c r="D108">
        <f t="shared" si="4"/>
        <v>0.95213008282033007</v>
      </c>
      <c r="E108">
        <f t="shared" si="4"/>
        <v>0.95213008282033007</v>
      </c>
      <c r="G108">
        <f t="shared" ca="1" si="5"/>
        <v>106</v>
      </c>
      <c r="H108">
        <f t="shared" ca="1" si="6"/>
        <v>100.92578877895498</v>
      </c>
      <c r="I108">
        <f t="shared" ca="1" si="7"/>
        <v>38.470116801984148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249171</v>
      </c>
      <c r="B111" s="66">
        <v>249171</v>
      </c>
      <c r="D111">
        <f t="shared" si="4"/>
        <v>0.9702127162498394</v>
      </c>
      <c r="E111">
        <f t="shared" si="4"/>
        <v>0.9702127162498394</v>
      </c>
      <c r="G111">
        <f t="shared" ca="1" si="5"/>
        <v>109</v>
      </c>
      <c r="H111">
        <f t="shared" ca="1" si="6"/>
        <v>105.75318607123249</v>
      </c>
      <c r="I111">
        <f t="shared" ca="1" si="7"/>
        <v>84.93521105754057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234431</v>
      </c>
      <c r="B113" s="66">
        <v>234431</v>
      </c>
      <c r="D113">
        <f t="shared" si="4"/>
        <v>0.91281865579528154</v>
      </c>
      <c r="E113">
        <f t="shared" si="4"/>
        <v>0.91281865579528154</v>
      </c>
      <c r="G113">
        <f t="shared" ca="1" si="5"/>
        <v>111</v>
      </c>
      <c r="H113">
        <f t="shared" ca="1" si="6"/>
        <v>101.32287079327625</v>
      </c>
      <c r="I113">
        <f t="shared" ca="1" si="7"/>
        <v>117.7249581953145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222797</v>
      </c>
      <c r="B116" s="66">
        <v>222797</v>
      </c>
      <c r="D116">
        <f t="shared" si="4"/>
        <v>0.86751862191954709</v>
      </c>
      <c r="E116">
        <f t="shared" si="4"/>
        <v>0.86751862191954709</v>
      </c>
      <c r="G116">
        <f t="shared" ca="1" si="5"/>
        <v>114</v>
      </c>
      <c r="H116">
        <f t="shared" ca="1" si="6"/>
        <v>98.897122898828371</v>
      </c>
      <c r="I116">
        <f t="shared" ca="1" si="7"/>
        <v>178.80185608536573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221596</v>
      </c>
      <c r="B118" s="66">
        <v>221596</v>
      </c>
      <c r="D118">
        <f t="shared" si="4"/>
        <v>0.86284221305890096</v>
      </c>
      <c r="E118">
        <f t="shared" si="4"/>
        <v>0.86284221305890096</v>
      </c>
      <c r="G118">
        <f t="shared" ca="1" si="5"/>
        <v>116</v>
      </c>
      <c r="H118">
        <f t="shared" ca="1" si="6"/>
        <v>100.08969671483251</v>
      </c>
      <c r="I118">
        <f t="shared" ca="1" si="7"/>
        <v>230.83873580126857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204369</v>
      </c>
      <c r="B121" s="66">
        <v>204369</v>
      </c>
      <c r="D121">
        <f t="shared" si="4"/>
        <v>0.7957643650636046</v>
      </c>
      <c r="E121">
        <f t="shared" si="4"/>
        <v>0.7957643650636046</v>
      </c>
      <c r="G121">
        <f t="shared" ca="1" si="5"/>
        <v>119</v>
      </c>
      <c r="H121">
        <f t="shared" ca="1" si="6"/>
        <v>94.695959442568949</v>
      </c>
      <c r="I121">
        <f t="shared" ca="1" si="7"/>
        <v>298.15028808861416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188715</v>
      </c>
      <c r="B124" s="66">
        <v>188715</v>
      </c>
      <c r="D124">
        <f t="shared" si="4"/>
        <v>0.73481140560935443</v>
      </c>
      <c r="E124">
        <f t="shared" si="4"/>
        <v>0.73481140560935443</v>
      </c>
      <c r="G124">
        <f t="shared" ca="1" si="5"/>
        <v>122</v>
      </c>
      <c r="H124">
        <f t="shared" ca="1" si="6"/>
        <v>89.646991484341243</v>
      </c>
      <c r="I124">
        <f t="shared" ca="1" si="7"/>
        <v>367.26622458227388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178732</v>
      </c>
      <c r="B126" s="66">
        <v>178732</v>
      </c>
      <c r="D126">
        <f t="shared" si="4"/>
        <v>0.69593997375604022</v>
      </c>
      <c r="E126">
        <f t="shared" si="4"/>
        <v>0.69593997375604022</v>
      </c>
      <c r="G126">
        <f t="shared" ca="1" si="5"/>
        <v>124</v>
      </c>
      <c r="H126">
        <f t="shared" ca="1" si="6"/>
        <v>86.296556745748987</v>
      </c>
      <c r="I126">
        <f t="shared" ca="1" si="7"/>
        <v>412.85659402373039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168975</v>
      </c>
      <c r="B129" s="66">
        <v>168975</v>
      </c>
      <c r="D129">
        <f t="shared" si="4"/>
        <v>0.65794853224619487</v>
      </c>
      <c r="E129">
        <f t="shared" si="4"/>
        <v>0.65794853224619487</v>
      </c>
      <c r="G129">
        <f t="shared" ca="1" si="5"/>
        <v>127</v>
      </c>
      <c r="H129">
        <f t="shared" ca="1" si="6"/>
        <v>83.559463595266749</v>
      </c>
      <c r="I129">
        <f t="shared" ca="1" si="7"/>
        <v>492.39192674487424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155399</v>
      </c>
      <c r="B131" s="66">
        <v>155399</v>
      </c>
      <c r="D131">
        <f t="shared" ref="D131:E194" si="8">IFERROR( A131/MAX(A$2:A$257), 0 )</f>
        <v>0.60508681143675946</v>
      </c>
      <c r="E131">
        <f t="shared" si="8"/>
        <v>0.60508681143675946</v>
      </c>
      <c r="G131">
        <f t="shared" ref="G131:G194" ca="1" si="9">CELL("row",D131)-2</f>
        <v>129</v>
      </c>
      <c r="H131">
        <f t="shared" ref="H131:H194" ca="1" si="10">D131*G131</f>
        <v>78.056198675341975</v>
      </c>
      <c r="I131">
        <f t="shared" ref="I131:I194" ca="1" si="11">D131*((G131-$L$1)^2)</f>
        <v>521.46398032773482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148946</v>
      </c>
      <c r="B134" s="66">
        <v>148946</v>
      </c>
      <c r="D134">
        <f t="shared" si="8"/>
        <v>0.5799603614969181</v>
      </c>
      <c r="E134">
        <f t="shared" si="8"/>
        <v>0.5799603614969181</v>
      </c>
      <c r="G134">
        <f t="shared" ca="1" si="9"/>
        <v>132</v>
      </c>
      <c r="H134">
        <f t="shared" ca="1" si="10"/>
        <v>76.554767717593194</v>
      </c>
      <c r="I134">
        <f t="shared" ca="1" si="11"/>
        <v>607.18305397911354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133537</v>
      </c>
      <c r="B136" s="66">
        <v>133537</v>
      </c>
      <c r="D136">
        <f t="shared" si="8"/>
        <v>0.51996137387518937</v>
      </c>
      <c r="E136">
        <f t="shared" si="8"/>
        <v>0.51996137387518937</v>
      </c>
      <c r="G136">
        <f t="shared" ca="1" si="9"/>
        <v>134</v>
      </c>
      <c r="H136">
        <f t="shared" ca="1" si="10"/>
        <v>69.674824099275369</v>
      </c>
      <c r="I136">
        <f t="shared" ca="1" si="11"/>
        <v>613.74401183986424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134381</v>
      </c>
      <c r="B139" s="66">
        <v>134381</v>
      </c>
      <c r="D139">
        <f t="shared" si="8"/>
        <v>0.52324770949416133</v>
      </c>
      <c r="E139">
        <f t="shared" si="8"/>
        <v>0.52324770949416133</v>
      </c>
      <c r="G139">
        <f t="shared" ca="1" si="9"/>
        <v>137</v>
      </c>
      <c r="H139">
        <f t="shared" ca="1" si="10"/>
        <v>71.684936200700108</v>
      </c>
      <c r="I139">
        <f t="shared" ca="1" si="11"/>
        <v>730.19387099165567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118316</v>
      </c>
      <c r="B142" s="66">
        <v>118316</v>
      </c>
      <c r="D142">
        <f t="shared" si="8"/>
        <v>0.46069441361882402</v>
      </c>
      <c r="E142">
        <f t="shared" si="8"/>
        <v>0.46069441361882402</v>
      </c>
      <c r="G142">
        <f t="shared" ca="1" si="9"/>
        <v>140</v>
      </c>
      <c r="H142">
        <f t="shared" ca="1" si="10"/>
        <v>64.497217906635356</v>
      </c>
      <c r="I142">
        <f t="shared" ca="1" si="11"/>
        <v>750.30619944525495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109684</v>
      </c>
      <c r="B144" s="66">
        <v>109684</v>
      </c>
      <c r="D144">
        <f t="shared" si="8"/>
        <v>0.42708345501341399</v>
      </c>
      <c r="E144">
        <f t="shared" si="8"/>
        <v>0.42708345501341399</v>
      </c>
      <c r="G144">
        <f t="shared" ca="1" si="9"/>
        <v>142</v>
      </c>
      <c r="H144">
        <f t="shared" ca="1" si="10"/>
        <v>60.645850611904784</v>
      </c>
      <c r="I144">
        <f t="shared" ca="1" si="11"/>
        <v>766.21658238699922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103271</v>
      </c>
      <c r="B147" s="66">
        <v>103271</v>
      </c>
      <c r="D147">
        <f t="shared" si="8"/>
        <v>0.40211275557684145</v>
      </c>
      <c r="E147">
        <f t="shared" si="8"/>
        <v>0.40211275557684145</v>
      </c>
      <c r="G147">
        <f t="shared" ca="1" si="9"/>
        <v>145</v>
      </c>
      <c r="H147">
        <f t="shared" ca="1" si="10"/>
        <v>58.306349558642012</v>
      </c>
      <c r="I147">
        <f t="shared" ca="1" si="11"/>
        <v>827.22885149011756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100287</v>
      </c>
      <c r="B149" s="66">
        <v>100287</v>
      </c>
      <c r="D149">
        <f t="shared" si="8"/>
        <v>0.39049376803298796</v>
      </c>
      <c r="E149">
        <f t="shared" si="8"/>
        <v>0.39049376803298796</v>
      </c>
      <c r="G149">
        <f t="shared" ca="1" si="9"/>
        <v>147</v>
      </c>
      <c r="H149">
        <f t="shared" ca="1" si="10"/>
        <v>57.40258390084923</v>
      </c>
      <c r="I149">
        <f t="shared" ca="1" si="11"/>
        <v>875.73379421735581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90859</v>
      </c>
      <c r="B152" s="66">
        <v>90859</v>
      </c>
      <c r="D152">
        <f t="shared" si="8"/>
        <v>0.35378337441252855</v>
      </c>
      <c r="E152">
        <f t="shared" si="8"/>
        <v>0.35378337441252855</v>
      </c>
      <c r="G152">
        <f t="shared" ca="1" si="9"/>
        <v>150</v>
      </c>
      <c r="H152">
        <f t="shared" ca="1" si="10"/>
        <v>53.06750616187928</v>
      </c>
      <c r="I152">
        <f t="shared" ca="1" si="11"/>
        <v>897.11345974806409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80327</v>
      </c>
      <c r="B154" s="66">
        <v>80327</v>
      </c>
      <c r="D154">
        <f t="shared" si="8"/>
        <v>0.31277426690184995</v>
      </c>
      <c r="E154">
        <f t="shared" si="8"/>
        <v>0.31277426690184995</v>
      </c>
      <c r="G154">
        <f t="shared" ca="1" si="9"/>
        <v>152</v>
      </c>
      <c r="H154">
        <f t="shared" ca="1" si="10"/>
        <v>47.541688569081195</v>
      </c>
      <c r="I154">
        <f t="shared" ca="1" si="11"/>
        <v>857.37565809787634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77966</v>
      </c>
      <c r="B157" s="66">
        <v>77966</v>
      </c>
      <c r="D157">
        <f t="shared" si="8"/>
        <v>0.30358109344640821</v>
      </c>
      <c r="E157">
        <f t="shared" si="8"/>
        <v>0.30358109344640821</v>
      </c>
      <c r="G157">
        <f t="shared" ca="1" si="9"/>
        <v>155</v>
      </c>
      <c r="H157">
        <f t="shared" ca="1" si="10"/>
        <v>47.055069484193275</v>
      </c>
      <c r="I157">
        <f t="shared" ca="1" si="11"/>
        <v>930.27413770730732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72444</v>
      </c>
      <c r="B160" s="66">
        <v>72444</v>
      </c>
      <c r="D160">
        <f t="shared" si="8"/>
        <v>0.28207973647014845</v>
      </c>
      <c r="E160">
        <f t="shared" si="8"/>
        <v>0.28207973647014845</v>
      </c>
      <c r="G160">
        <f t="shared" ca="1" si="9"/>
        <v>158</v>
      </c>
      <c r="H160">
        <f t="shared" ca="1" si="10"/>
        <v>44.568598362283453</v>
      </c>
      <c r="I160">
        <f t="shared" ca="1" si="11"/>
        <v>960.61506843804091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62481</v>
      </c>
      <c r="B162" s="66">
        <v>62481</v>
      </c>
      <c r="D162">
        <f t="shared" si="8"/>
        <v>0.2432861798684687</v>
      </c>
      <c r="E162">
        <f t="shared" si="8"/>
        <v>0.2432861798684687</v>
      </c>
      <c r="G162">
        <f t="shared" ca="1" si="9"/>
        <v>160</v>
      </c>
      <c r="H162">
        <f t="shared" ca="1" si="10"/>
        <v>38.925788778954995</v>
      </c>
      <c r="I162">
        <f t="shared" ca="1" si="11"/>
        <v>886.26704058986354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55468</v>
      </c>
      <c r="B165" s="66">
        <v>55468</v>
      </c>
      <c r="D165">
        <f t="shared" si="8"/>
        <v>0.21597922288286395</v>
      </c>
      <c r="E165">
        <f t="shared" si="8"/>
        <v>0.21597922288286395</v>
      </c>
      <c r="G165">
        <f t="shared" ca="1" si="9"/>
        <v>163</v>
      </c>
      <c r="H165">
        <f t="shared" ca="1" si="10"/>
        <v>35.20461332990682</v>
      </c>
      <c r="I165">
        <f t="shared" ca="1" si="11"/>
        <v>866.94877618895566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46908</v>
      </c>
      <c r="B167" s="66">
        <v>46908</v>
      </c>
      <c r="D167">
        <f t="shared" si="8"/>
        <v>0.1826486151833378</v>
      </c>
      <c r="E167">
        <f t="shared" si="8"/>
        <v>0.1826486151833378</v>
      </c>
      <c r="G167">
        <f t="shared" ca="1" si="9"/>
        <v>165</v>
      </c>
      <c r="H167">
        <f t="shared" ca="1" si="10"/>
        <v>30.137021505250736</v>
      </c>
      <c r="I167">
        <f t="shared" ca="1" si="11"/>
        <v>780.17691011668592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43158</v>
      </c>
      <c r="B170" s="66">
        <v>43158</v>
      </c>
      <c r="D170">
        <f t="shared" si="8"/>
        <v>0.16804700550188653</v>
      </c>
      <c r="E170">
        <f t="shared" si="8"/>
        <v>0.16804700550188653</v>
      </c>
      <c r="G170">
        <f t="shared" ca="1" si="9"/>
        <v>168</v>
      </c>
      <c r="H170">
        <f t="shared" ca="1" si="10"/>
        <v>28.231896924316938</v>
      </c>
      <c r="I170">
        <f t="shared" ca="1" si="11"/>
        <v>785.21680814056344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31932</v>
      </c>
      <c r="B173" s="66">
        <v>31932</v>
      </c>
      <c r="D173">
        <f t="shared" si="8"/>
        <v>0.12433562675949397</v>
      </c>
      <c r="E173">
        <f t="shared" si="8"/>
        <v>0.12433562675949397</v>
      </c>
      <c r="G173">
        <f t="shared" ca="1" si="9"/>
        <v>171</v>
      </c>
      <c r="H173">
        <f t="shared" ca="1" si="10"/>
        <v>21.261392175873468</v>
      </c>
      <c r="I173">
        <f t="shared" ca="1" si="11"/>
        <v>633.08478528460353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25489</v>
      </c>
      <c r="B175" s="66">
        <v>25489</v>
      </c>
      <c r="D175">
        <f t="shared" si="8"/>
        <v>9.9248114445469798E-2</v>
      </c>
      <c r="E175">
        <f t="shared" si="8"/>
        <v>9.9248114445469798E-2</v>
      </c>
      <c r="G175">
        <f t="shared" ca="1" si="9"/>
        <v>173</v>
      </c>
      <c r="H175">
        <f t="shared" ca="1" si="10"/>
        <v>17.169923799066275</v>
      </c>
      <c r="I175">
        <f t="shared" ca="1" si="11"/>
        <v>534.07063389693701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17218</v>
      </c>
      <c r="B178" s="66">
        <v>17218</v>
      </c>
      <c r="D178">
        <f t="shared" si="8"/>
        <v>6.7042804132060846E-2</v>
      </c>
      <c r="E178">
        <f t="shared" si="8"/>
        <v>6.7042804132060846E-2</v>
      </c>
      <c r="G178">
        <f t="shared" ca="1" si="9"/>
        <v>176</v>
      </c>
      <c r="H178">
        <f t="shared" ca="1" si="10"/>
        <v>11.799533527242708</v>
      </c>
      <c r="I178">
        <f t="shared" ca="1" si="11"/>
        <v>390.88000706142003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9206</v>
      </c>
      <c r="B180" s="66">
        <v>9206</v>
      </c>
      <c r="D180">
        <f t="shared" si="8"/>
        <v>3.5845978327317472E-2</v>
      </c>
      <c r="E180">
        <f t="shared" si="8"/>
        <v>3.5845978327317472E-2</v>
      </c>
      <c r="G180">
        <f t="shared" ca="1" si="9"/>
        <v>178</v>
      </c>
      <c r="H180">
        <f t="shared" ca="1" si="10"/>
        <v>6.38058414226251</v>
      </c>
      <c r="I180">
        <f t="shared" ca="1" si="11"/>
        <v>220.08466087533071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7455</v>
      </c>
      <c r="B183" s="66">
        <v>7455</v>
      </c>
      <c r="D183">
        <f t="shared" si="8"/>
        <v>2.902800004672515E-2</v>
      </c>
      <c r="E183">
        <f t="shared" si="8"/>
        <v>2.902800004672515E-2</v>
      </c>
      <c r="G183">
        <f t="shared" ca="1" si="9"/>
        <v>181</v>
      </c>
      <c r="H183">
        <f t="shared" ca="1" si="10"/>
        <v>5.254068008457252</v>
      </c>
      <c r="I183">
        <f t="shared" ca="1" si="11"/>
        <v>192.13254452168943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4019</v>
      </c>
      <c r="B185" s="66">
        <v>4019</v>
      </c>
      <c r="D185">
        <f t="shared" si="8"/>
        <v>1.5649031815934054E-2</v>
      </c>
      <c r="E185">
        <f t="shared" si="8"/>
        <v>1.5649031815934054E-2</v>
      </c>
      <c r="G185">
        <f t="shared" ca="1" si="9"/>
        <v>183</v>
      </c>
      <c r="H185">
        <f t="shared" ca="1" si="10"/>
        <v>2.8637728223159318</v>
      </c>
      <c r="I185">
        <f t="shared" ca="1" si="11"/>
        <v>108.73409347353736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1381</v>
      </c>
      <c r="B188" s="66">
        <v>1381</v>
      </c>
      <c r="D188">
        <f t="shared" si="8"/>
        <v>5.3772861253557928E-3</v>
      </c>
      <c r="E188">
        <f t="shared" si="8"/>
        <v>5.3772861253557928E-3</v>
      </c>
      <c r="G188">
        <f t="shared" ca="1" si="9"/>
        <v>186</v>
      </c>
      <c r="H188">
        <f t="shared" ca="1" si="10"/>
        <v>1.0001752193161775</v>
      </c>
      <c r="I188">
        <f t="shared" ca="1" si="11"/>
        <v>40.100755639155345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967</v>
      </c>
      <c r="B191" s="66">
        <v>967</v>
      </c>
      <c r="D191">
        <f t="shared" si="8"/>
        <v>3.7652684165235708E-3</v>
      </c>
      <c r="E191">
        <f t="shared" si="8"/>
        <v>3.7652684165235708E-3</v>
      </c>
      <c r="G191">
        <f t="shared" ca="1" si="9"/>
        <v>189</v>
      </c>
      <c r="H191">
        <f t="shared" ca="1" si="10"/>
        <v>0.71163573072295494</v>
      </c>
      <c r="I191">
        <f t="shared" ca="1" si="11"/>
        <v>30.06405854939436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510</v>
      </c>
      <c r="B193" s="66">
        <v>510</v>
      </c>
      <c r="D193">
        <f t="shared" si="8"/>
        <v>1.9858189166773745E-3</v>
      </c>
      <c r="E193">
        <f t="shared" si="8"/>
        <v>1.9858189166773745E-3</v>
      </c>
      <c r="G193">
        <f t="shared" ca="1" si="9"/>
        <v>191</v>
      </c>
      <c r="H193">
        <f t="shared" ca="1" si="10"/>
        <v>0.3792914130853785</v>
      </c>
      <c r="I193">
        <f t="shared" ca="1" si="11"/>
        <v>16.573641128380281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317</v>
      </c>
      <c r="B196" s="66">
        <v>317</v>
      </c>
      <c r="D196">
        <f t="shared" si="12"/>
        <v>1.2343227384053485E-3</v>
      </c>
      <c r="E196">
        <f t="shared" si="12"/>
        <v>1.2343227384053485E-3</v>
      </c>
      <c r="G196">
        <f t="shared" ca="1" si="13"/>
        <v>194</v>
      </c>
      <c r="H196">
        <f t="shared" ca="1" si="14"/>
        <v>0.23945861125063761</v>
      </c>
      <c r="I196">
        <f t="shared" ca="1" si="15"/>
        <v>10.989344222649427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55</v>
      </c>
      <c r="B198" s="66">
        <v>55</v>
      </c>
      <c r="D198">
        <f t="shared" si="12"/>
        <v>2.1415694199461882E-4</v>
      </c>
      <c r="E198">
        <f t="shared" si="12"/>
        <v>2.1415694199461882E-4</v>
      </c>
      <c r="G198">
        <f t="shared" ca="1" si="13"/>
        <v>196</v>
      </c>
      <c r="H198">
        <f t="shared" ca="1" si="14"/>
        <v>4.1974760630945289E-2</v>
      </c>
      <c r="I198">
        <f t="shared" ca="1" si="15"/>
        <v>1.9883535260393184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89.935448774725273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1.7364277954979221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0.63110115703226022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2548</v>
      </c>
      <c r="B8" s="66">
        <v>2548</v>
      </c>
      <c r="D8">
        <f t="shared" si="0"/>
        <v>2.2212923248596437</v>
      </c>
      <c r="E8">
        <f t="shared" si="1"/>
        <v>2.2212923248596437</v>
      </c>
      <c r="G8">
        <f t="shared" ca="1" si="2"/>
        <v>6</v>
      </c>
      <c r="H8">
        <f t="shared" ca="1" si="3"/>
        <v>13.327753949157863</v>
      </c>
      <c r="I8">
        <f t="shared" ca="1" si="4"/>
        <v>15649.358860293112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2419</v>
      </c>
      <c r="B10" s="66">
        <v>2419</v>
      </c>
      <c r="D10">
        <f t="shared" si="0"/>
        <v>2.1088328625727937</v>
      </c>
      <c r="E10">
        <f t="shared" si="1"/>
        <v>2.1088328625727937</v>
      </c>
      <c r="G10">
        <f t="shared" ca="1" si="2"/>
        <v>8</v>
      </c>
      <c r="H10">
        <f t="shared" ca="1" si="3"/>
        <v>16.870662900582349</v>
      </c>
      <c r="I10">
        <f t="shared" ca="1" si="4"/>
        <v>14157.476004942906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3150</v>
      </c>
      <c r="B13" s="66">
        <v>3150</v>
      </c>
      <c r="D13">
        <f t="shared" si="0"/>
        <v>2.7461031488649441</v>
      </c>
      <c r="E13">
        <f t="shared" si="1"/>
        <v>2.7461031488649441</v>
      </c>
      <c r="G13">
        <f t="shared" ca="1" si="2"/>
        <v>11</v>
      </c>
      <c r="H13">
        <f t="shared" ca="1" si="3"/>
        <v>30.207134637514386</v>
      </c>
      <c r="I13">
        <f t="shared" ca="1" si="4"/>
        <v>17110.433431662939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5154</v>
      </c>
      <c r="B15" s="66">
        <v>5154</v>
      </c>
      <c r="D15">
        <f t="shared" si="0"/>
        <v>4.4931478188094989</v>
      </c>
      <c r="E15">
        <f t="shared" si="1"/>
        <v>4.4931478188094989</v>
      </c>
      <c r="G15">
        <f t="shared" ca="1" si="2"/>
        <v>13</v>
      </c>
      <c r="H15">
        <f t="shared" ca="1" si="3"/>
        <v>58.410921644523484</v>
      </c>
      <c r="I15">
        <f t="shared" ca="1" si="4"/>
        <v>26595.226257697643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9016</v>
      </c>
      <c r="B18" s="66">
        <v>9016</v>
      </c>
      <c r="D18">
        <f t="shared" si="0"/>
        <v>7.8599574571956623</v>
      </c>
      <c r="E18">
        <f t="shared" si="1"/>
        <v>7.8599574571956623</v>
      </c>
      <c r="G18">
        <f t="shared" ca="1" si="2"/>
        <v>16</v>
      </c>
      <c r="H18">
        <f t="shared" ca="1" si="3"/>
        <v>125.7593193151306</v>
      </c>
      <c r="I18">
        <f t="shared" ca="1" si="4"/>
        <v>42966.069044049713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10672</v>
      </c>
      <c r="B21" s="66">
        <v>10672</v>
      </c>
      <c r="D21">
        <f t="shared" si="0"/>
        <v>9.303623112598947</v>
      </c>
      <c r="E21">
        <f t="shared" si="1"/>
        <v>9.303623112598947</v>
      </c>
      <c r="G21">
        <f t="shared" ca="1" si="2"/>
        <v>19</v>
      </c>
      <c r="H21">
        <f t="shared" ca="1" si="3"/>
        <v>176.76883913937999</v>
      </c>
      <c r="I21">
        <f t="shared" ca="1" si="4"/>
        <v>46814.323318972078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17755</v>
      </c>
      <c r="B23" s="66">
        <v>17755</v>
      </c>
      <c r="D23">
        <f t="shared" si="0"/>
        <v>15.478432193046693</v>
      </c>
      <c r="E23">
        <f t="shared" si="1"/>
        <v>15.478432193046693</v>
      </c>
      <c r="G23">
        <f t="shared" ca="1" si="2"/>
        <v>21</v>
      </c>
      <c r="H23">
        <f t="shared" ca="1" si="3"/>
        <v>325.04707605398056</v>
      </c>
      <c r="I23">
        <f t="shared" ca="1" si="4"/>
        <v>73554.99722421763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15797</v>
      </c>
      <c r="B26" s="66">
        <v>15797</v>
      </c>
      <c r="D26">
        <f t="shared" si="0"/>
        <v>13.771489346863341</v>
      </c>
      <c r="E26">
        <f t="shared" si="1"/>
        <v>13.771489346863341</v>
      </c>
      <c r="G26">
        <f t="shared" ca="1" si="2"/>
        <v>24</v>
      </c>
      <c r="H26">
        <f t="shared" ca="1" si="3"/>
        <v>330.51574432472017</v>
      </c>
      <c r="I26">
        <f t="shared" ca="1" si="4"/>
        <v>59871.321399336121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19456</v>
      </c>
      <c r="B28" s="66">
        <v>19456</v>
      </c>
      <c r="D28">
        <f t="shared" si="0"/>
        <v>16.961327893433761</v>
      </c>
      <c r="E28">
        <f t="shared" si="1"/>
        <v>16.961327893433761</v>
      </c>
      <c r="G28">
        <f t="shared" ca="1" si="2"/>
        <v>26</v>
      </c>
      <c r="H28">
        <f t="shared" ca="1" si="3"/>
        <v>440.99452522927777</v>
      </c>
      <c r="I28">
        <f t="shared" ca="1" si="4"/>
        <v>69333.525791275679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22682</v>
      </c>
      <c r="B31" s="66">
        <v>22682</v>
      </c>
      <c r="D31">
        <f t="shared" si="0"/>
        <v>19.773686229382431</v>
      </c>
      <c r="E31">
        <f t="shared" si="1"/>
        <v>19.773686229382431</v>
      </c>
      <c r="G31">
        <f t="shared" ca="1" si="2"/>
        <v>29</v>
      </c>
      <c r="H31">
        <f t="shared" ca="1" si="3"/>
        <v>573.43690065209046</v>
      </c>
      <c r="I31">
        <f t="shared" ca="1" si="4"/>
        <v>73422.246141462601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29239</v>
      </c>
      <c r="B33" s="66">
        <v>29239</v>
      </c>
      <c r="D33">
        <f t="shared" si="0"/>
        <v>25.489939672908601</v>
      </c>
      <c r="E33">
        <f t="shared" si="1"/>
        <v>25.489939672908601</v>
      </c>
      <c r="G33">
        <f t="shared" ca="1" si="2"/>
        <v>31</v>
      </c>
      <c r="H33">
        <f t="shared" ca="1" si="3"/>
        <v>790.18812986016667</v>
      </c>
      <c r="I33">
        <f t="shared" ca="1" si="4"/>
        <v>88536.428207530626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33022</v>
      </c>
      <c r="B36" s="66">
        <v>33022</v>
      </c>
      <c r="D36">
        <f t="shared" si="0"/>
        <v>28.787878787878789</v>
      </c>
      <c r="E36">
        <f t="shared" si="1"/>
        <v>28.787878787878789</v>
      </c>
      <c r="G36">
        <f t="shared" ca="1" si="2"/>
        <v>34</v>
      </c>
      <c r="H36">
        <f t="shared" ca="1" si="3"/>
        <v>978.78787878787887</v>
      </c>
      <c r="I36">
        <f t="shared" ca="1" si="4"/>
        <v>90070.779034800595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32211</v>
      </c>
      <c r="B39" s="66">
        <v>32211</v>
      </c>
      <c r="D39">
        <f t="shared" si="0"/>
        <v>28.080866199393242</v>
      </c>
      <c r="E39">
        <f t="shared" si="1"/>
        <v>28.080866199393242</v>
      </c>
      <c r="G39">
        <f t="shared" ca="1" si="2"/>
        <v>37</v>
      </c>
      <c r="H39">
        <f t="shared" ca="1" si="3"/>
        <v>1038.9920493775498</v>
      </c>
      <c r="I39">
        <f t="shared" ca="1" si="4"/>
        <v>78687.128805238637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37970</v>
      </c>
      <c r="B41" s="66">
        <v>37970</v>
      </c>
      <c r="D41">
        <f t="shared" si="0"/>
        <v>33.101440178540294</v>
      </c>
      <c r="E41">
        <f t="shared" si="1"/>
        <v>33.101440178540294</v>
      </c>
      <c r="G41">
        <f t="shared" ca="1" si="2"/>
        <v>39</v>
      </c>
      <c r="H41">
        <f t="shared" ca="1" si="3"/>
        <v>1290.9561669630714</v>
      </c>
      <c r="I41">
        <f t="shared" ca="1" si="4"/>
        <v>85879.036504240939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45195</v>
      </c>
      <c r="B44" s="66">
        <v>45195</v>
      </c>
      <c r="D44">
        <f t="shared" si="0"/>
        <v>39.400041845381317</v>
      </c>
      <c r="E44">
        <f t="shared" si="1"/>
        <v>39.400041845381317</v>
      </c>
      <c r="G44">
        <f t="shared" ca="1" si="2"/>
        <v>42</v>
      </c>
      <c r="H44">
        <f t="shared" ca="1" si="3"/>
        <v>1654.8017575060153</v>
      </c>
      <c r="I44">
        <f t="shared" ca="1" si="4"/>
        <v>90533.701772452376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49822</v>
      </c>
      <c r="B46" s="66">
        <v>49822</v>
      </c>
      <c r="D46">
        <f t="shared" si="0"/>
        <v>43.433762248491824</v>
      </c>
      <c r="E46">
        <f t="shared" si="1"/>
        <v>43.433762248491824</v>
      </c>
      <c r="G46">
        <f t="shared" ca="1" si="2"/>
        <v>44</v>
      </c>
      <c r="H46">
        <f t="shared" ca="1" si="3"/>
        <v>1911.0855389336402</v>
      </c>
      <c r="I46">
        <f t="shared" ca="1" si="4"/>
        <v>91648.081263673317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53802</v>
      </c>
      <c r="B49" s="66">
        <v>53802</v>
      </c>
      <c r="D49">
        <f t="shared" si="0"/>
        <v>46.903441782613243</v>
      </c>
      <c r="E49">
        <f t="shared" si="1"/>
        <v>46.903441782613243</v>
      </c>
      <c r="G49">
        <f t="shared" ca="1" si="2"/>
        <v>47</v>
      </c>
      <c r="H49">
        <f t="shared" ca="1" si="3"/>
        <v>2204.4617637828223</v>
      </c>
      <c r="I49">
        <f t="shared" ca="1" si="4"/>
        <v>86464.279277405847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58749</v>
      </c>
      <c r="B51" s="66">
        <v>58749</v>
      </c>
      <c r="D51">
        <f t="shared" si="0"/>
        <v>51.216131394497332</v>
      </c>
      <c r="E51">
        <f t="shared" si="1"/>
        <v>51.216131394497332</v>
      </c>
      <c r="G51">
        <f t="shared" ca="1" si="2"/>
        <v>49</v>
      </c>
      <c r="H51">
        <f t="shared" ca="1" si="3"/>
        <v>2509.5904383303691</v>
      </c>
      <c r="I51">
        <f t="shared" ca="1" si="4"/>
        <v>85823.433033735942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66942</v>
      </c>
      <c r="B54" s="66">
        <v>66942</v>
      </c>
      <c r="D54">
        <f t="shared" si="0"/>
        <v>58.358614917878441</v>
      </c>
      <c r="E54">
        <f t="shared" si="1"/>
        <v>58.358614917878441</v>
      </c>
      <c r="G54">
        <f t="shared" ca="1" si="2"/>
        <v>52</v>
      </c>
      <c r="H54">
        <f t="shared" ca="1" si="3"/>
        <v>3034.6479757296788</v>
      </c>
      <c r="I54">
        <f t="shared" ca="1" si="4"/>
        <v>83983.781986164919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71073</v>
      </c>
      <c r="B57" s="66">
        <v>71073</v>
      </c>
      <c r="D57">
        <f t="shared" si="0"/>
        <v>61.959933047389896</v>
      </c>
      <c r="E57">
        <f t="shared" si="1"/>
        <v>61.959933047389896</v>
      </c>
      <c r="G57">
        <f t="shared" ca="1" si="2"/>
        <v>55</v>
      </c>
      <c r="H57">
        <f t="shared" ca="1" si="3"/>
        <v>3407.7963176064441</v>
      </c>
      <c r="I57">
        <f t="shared" ca="1" si="4"/>
        <v>75621.20488973122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83524</v>
      </c>
      <c r="B59" s="66">
        <v>83524</v>
      </c>
      <c r="D59">
        <f t="shared" si="0"/>
        <v>72.814450605014471</v>
      </c>
      <c r="E59">
        <f t="shared" si="1"/>
        <v>72.814450605014471</v>
      </c>
      <c r="G59">
        <f t="shared" ca="1" si="2"/>
        <v>57</v>
      </c>
      <c r="H59">
        <f t="shared" ca="1" si="3"/>
        <v>4150.4236844858251</v>
      </c>
      <c r="I59">
        <f t="shared" ca="1" si="4"/>
        <v>78985.022824251108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86086</v>
      </c>
      <c r="B62" s="66">
        <v>86086</v>
      </c>
      <c r="D62">
        <f t="shared" si="0"/>
        <v>75.047947832757956</v>
      </c>
      <c r="E62">
        <f t="shared" si="1"/>
        <v>75.047947832757956</v>
      </c>
      <c r="G62">
        <f t="shared" ca="1" si="2"/>
        <v>60</v>
      </c>
      <c r="H62">
        <f t="shared" ca="1" si="3"/>
        <v>4502.8768699654775</v>
      </c>
      <c r="I62">
        <f t="shared" ca="1" si="4"/>
        <v>67252.799544607929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88149</v>
      </c>
      <c r="B64" s="66">
        <v>88149</v>
      </c>
      <c r="D64">
        <f t="shared" si="0"/>
        <v>76.846427450570147</v>
      </c>
      <c r="E64">
        <f t="shared" si="1"/>
        <v>76.846427450570147</v>
      </c>
      <c r="G64">
        <f t="shared" ca="1" si="2"/>
        <v>62</v>
      </c>
      <c r="H64">
        <f t="shared" ca="1" si="3"/>
        <v>4764.4785019353494</v>
      </c>
      <c r="I64">
        <f t="shared" ca="1" si="4"/>
        <v>59970.129590808778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81985</v>
      </c>
      <c r="B67" s="66">
        <v>81985</v>
      </c>
      <c r="D67">
        <f t="shared" ref="D67:D130" si="5">IFERROR( 100*A67/MAX(A$2:A$257), 0 )</f>
        <v>71.472783066569022</v>
      </c>
      <c r="E67">
        <f t="shared" ref="E67:E130" si="6">IFERROR( 100*B67/MAX(B$2:B$257), 0 )</f>
        <v>71.472783066569022</v>
      </c>
      <c r="G67">
        <f t="shared" ref="G67:G130" ca="1" si="7">CELL("row",D67)-2</f>
        <v>65</v>
      </c>
      <c r="H67">
        <f t="shared" ref="H67:H130" ca="1" si="8">D67*G67</f>
        <v>4645.7308993269862</v>
      </c>
      <c r="I67">
        <f t="shared" ref="I67:I130" ca="1" si="9">D67*((G67-$L$1)^2)</f>
        <v>44440.104447698315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83879</v>
      </c>
      <c r="B69" s="66">
        <v>83879</v>
      </c>
      <c r="D69">
        <f t="shared" si="5"/>
        <v>73.123932070997668</v>
      </c>
      <c r="E69">
        <f t="shared" si="6"/>
        <v>73.123932070997668</v>
      </c>
      <c r="G69">
        <f t="shared" ca="1" si="7"/>
        <v>67</v>
      </c>
      <c r="H69">
        <f t="shared" ca="1" si="8"/>
        <v>4899.3034487568439</v>
      </c>
      <c r="I69">
        <f t="shared" ca="1" si="9"/>
        <v>38465.733749839324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85922</v>
      </c>
      <c r="B72" s="66">
        <v>85922</v>
      </c>
      <c r="D72">
        <f t="shared" si="5"/>
        <v>74.904976113261498</v>
      </c>
      <c r="E72">
        <f t="shared" si="6"/>
        <v>74.904976113261498</v>
      </c>
      <c r="G72">
        <f t="shared" ca="1" si="7"/>
        <v>70</v>
      </c>
      <c r="H72">
        <f t="shared" ca="1" si="8"/>
        <v>5243.3483279283046</v>
      </c>
      <c r="I72">
        <f t="shared" ca="1" si="9"/>
        <v>29768.89424441323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97993</v>
      </c>
      <c r="B75" s="66">
        <v>97993</v>
      </c>
      <c r="D75">
        <f t="shared" si="5"/>
        <v>85.428217735467442</v>
      </c>
      <c r="E75">
        <f t="shared" si="6"/>
        <v>85.428217735467442</v>
      </c>
      <c r="G75">
        <f t="shared" ca="1" si="7"/>
        <v>73</v>
      </c>
      <c r="H75">
        <f t="shared" ca="1" si="8"/>
        <v>6236.259894689123</v>
      </c>
      <c r="I75">
        <f t="shared" ca="1" si="9"/>
        <v>24501.618024684656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100739</v>
      </c>
      <c r="B77" s="66">
        <v>100739</v>
      </c>
      <c r="D77">
        <f t="shared" si="5"/>
        <v>87.822122258255746</v>
      </c>
      <c r="E77">
        <f t="shared" si="6"/>
        <v>87.822122258255746</v>
      </c>
      <c r="G77">
        <f t="shared" ca="1" si="7"/>
        <v>75</v>
      </c>
      <c r="H77">
        <f t="shared" ca="1" si="8"/>
        <v>6586.6591693691807</v>
      </c>
      <c r="I77">
        <f t="shared" ca="1" si="9"/>
        <v>19590.272682716091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100561</v>
      </c>
      <c r="B80" s="66">
        <v>100561</v>
      </c>
      <c r="D80">
        <f t="shared" si="5"/>
        <v>87.666945635875436</v>
      </c>
      <c r="E80">
        <f t="shared" si="6"/>
        <v>87.666945635875436</v>
      </c>
      <c r="G80">
        <f t="shared" ca="1" si="7"/>
        <v>78</v>
      </c>
      <c r="H80">
        <f t="shared" ca="1" si="8"/>
        <v>6838.021759598284</v>
      </c>
      <c r="I80">
        <f t="shared" ca="1" si="9"/>
        <v>12488.589257349835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98635</v>
      </c>
      <c r="B82" s="66">
        <v>98635</v>
      </c>
      <c r="D82">
        <f t="shared" si="5"/>
        <v>85.987899710569451</v>
      </c>
      <c r="E82">
        <f t="shared" si="6"/>
        <v>85.987899710569451</v>
      </c>
      <c r="G82">
        <f t="shared" ca="1" si="7"/>
        <v>80</v>
      </c>
      <c r="H82">
        <f t="shared" ca="1" si="8"/>
        <v>6879.0319768455556</v>
      </c>
      <c r="I82">
        <f t="shared" ca="1" si="9"/>
        <v>8488.1357849532378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99611</v>
      </c>
      <c r="B85" s="66">
        <v>99611</v>
      </c>
      <c r="D85">
        <f t="shared" si="5"/>
        <v>86.838755797328872</v>
      </c>
      <c r="E85">
        <f t="shared" si="6"/>
        <v>86.838755797328872</v>
      </c>
      <c r="G85">
        <f t="shared" ca="1" si="7"/>
        <v>83</v>
      </c>
      <c r="H85">
        <f t="shared" ca="1" si="8"/>
        <v>7207.6167311782965</v>
      </c>
      <c r="I85">
        <f t="shared" ca="1" si="9"/>
        <v>4176.9832058338297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95619</v>
      </c>
      <c r="B88" s="66">
        <v>95619</v>
      </c>
      <c r="D88">
        <f t="shared" si="5"/>
        <v>83.358614917878441</v>
      </c>
      <c r="E88">
        <f t="shared" si="6"/>
        <v>83.358614917878441</v>
      </c>
      <c r="G88">
        <f t="shared" ca="1" si="7"/>
        <v>86</v>
      </c>
      <c r="H88">
        <f t="shared" ca="1" si="8"/>
        <v>7168.8408829375458</v>
      </c>
      <c r="I88">
        <f t="shared" ca="1" si="9"/>
        <v>1291.0379765800428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104008</v>
      </c>
      <c r="B90" s="66">
        <v>104008</v>
      </c>
      <c r="D90">
        <f t="shared" si="5"/>
        <v>90.671967081633369</v>
      </c>
      <c r="E90">
        <f t="shared" si="6"/>
        <v>90.671967081633369</v>
      </c>
      <c r="G90">
        <f t="shared" ca="1" si="7"/>
        <v>88</v>
      </c>
      <c r="H90">
        <f t="shared" ca="1" si="8"/>
        <v>7979.1331031837362</v>
      </c>
      <c r="I90">
        <f t="shared" ca="1" si="9"/>
        <v>339.65373948859292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99090</v>
      </c>
      <c r="B93" s="66">
        <v>99090</v>
      </c>
      <c r="D93">
        <f t="shared" si="5"/>
        <v>86.384559054294385</v>
      </c>
      <c r="E93">
        <f t="shared" si="6"/>
        <v>86.384559054294385</v>
      </c>
      <c r="G93">
        <f t="shared" ca="1" si="7"/>
        <v>91</v>
      </c>
      <c r="H93">
        <f t="shared" ca="1" si="8"/>
        <v>7860.9948739407891</v>
      </c>
      <c r="I93">
        <f t="shared" ca="1" si="9"/>
        <v>97.89696974070624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114708</v>
      </c>
      <c r="B95" s="66">
        <v>114708</v>
      </c>
      <c r="D95">
        <f t="shared" si="5"/>
        <v>100</v>
      </c>
      <c r="E95">
        <f t="shared" si="6"/>
        <v>100</v>
      </c>
      <c r="G95">
        <f t="shared" ca="1" si="7"/>
        <v>93</v>
      </c>
      <c r="H95">
        <f t="shared" ca="1" si="8"/>
        <v>9300</v>
      </c>
      <c r="I95">
        <f t="shared" ca="1" si="9"/>
        <v>939.1474212332829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108407</v>
      </c>
      <c r="B98" s="66">
        <v>108407</v>
      </c>
      <c r="D98">
        <f t="shared" si="5"/>
        <v>94.506921923492698</v>
      </c>
      <c r="E98">
        <f t="shared" si="6"/>
        <v>94.506921923492698</v>
      </c>
      <c r="G98">
        <f t="shared" ca="1" si="7"/>
        <v>96</v>
      </c>
      <c r="H98">
        <f t="shared" ca="1" si="8"/>
        <v>9072.6645046552985</v>
      </c>
      <c r="I98">
        <f t="shared" ca="1" si="9"/>
        <v>3475.849437708363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99792</v>
      </c>
      <c r="B100" s="66">
        <v>99792</v>
      </c>
      <c r="D100">
        <f t="shared" si="5"/>
        <v>86.996547756041423</v>
      </c>
      <c r="E100">
        <f t="shared" si="6"/>
        <v>86.996547756041423</v>
      </c>
      <c r="G100">
        <f t="shared" ca="1" si="7"/>
        <v>98</v>
      </c>
      <c r="H100">
        <f t="shared" ca="1" si="8"/>
        <v>8525.6616800920601</v>
      </c>
      <c r="I100">
        <f t="shared" ca="1" si="9"/>
        <v>5657.9932989183599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108307</v>
      </c>
      <c r="B103" s="66">
        <v>108307</v>
      </c>
      <c r="D103">
        <f t="shared" si="5"/>
        <v>94.419744045750946</v>
      </c>
      <c r="E103">
        <f t="shared" si="6"/>
        <v>94.419744045750946</v>
      </c>
      <c r="G103">
        <f t="shared" ca="1" si="7"/>
        <v>101</v>
      </c>
      <c r="H103">
        <f t="shared" ca="1" si="8"/>
        <v>9536.394148620846</v>
      </c>
      <c r="I103">
        <f t="shared" ca="1" si="9"/>
        <v>11559.27048715731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100708</v>
      </c>
      <c r="B106" s="66">
        <v>100708</v>
      </c>
      <c r="D106">
        <f t="shared" si="5"/>
        <v>87.795097116155802</v>
      </c>
      <c r="E106">
        <f t="shared" si="6"/>
        <v>87.795097116155802</v>
      </c>
      <c r="G106">
        <f t="shared" ca="1" si="7"/>
        <v>104</v>
      </c>
      <c r="H106">
        <f t="shared" ca="1" si="8"/>
        <v>9130.6901000802027</v>
      </c>
      <c r="I106">
        <f t="shared" ca="1" si="9"/>
        <v>17366.888735279921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98425</v>
      </c>
      <c r="B108" s="66">
        <v>98425</v>
      </c>
      <c r="D108">
        <f t="shared" si="5"/>
        <v>85.804826167311788</v>
      </c>
      <c r="E108">
        <f t="shared" si="6"/>
        <v>85.804826167311788</v>
      </c>
      <c r="G108">
        <f t="shared" ca="1" si="7"/>
        <v>106</v>
      </c>
      <c r="H108">
        <f t="shared" ca="1" si="8"/>
        <v>9095.311573735049</v>
      </c>
      <c r="I108">
        <f t="shared" ca="1" si="9"/>
        <v>22143.634848823229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97172</v>
      </c>
      <c r="B111" s="66">
        <v>97172</v>
      </c>
      <c r="D111">
        <f t="shared" si="5"/>
        <v>84.712487359207728</v>
      </c>
      <c r="E111">
        <f t="shared" si="6"/>
        <v>84.712487359207728</v>
      </c>
      <c r="G111">
        <f t="shared" ca="1" si="7"/>
        <v>109</v>
      </c>
      <c r="H111">
        <f t="shared" ca="1" si="8"/>
        <v>9233.6611221536423</v>
      </c>
      <c r="I111">
        <f t="shared" ca="1" si="9"/>
        <v>30789.356126301103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90063</v>
      </c>
      <c r="B113" s="66">
        <v>90063</v>
      </c>
      <c r="D113">
        <f t="shared" si="5"/>
        <v>78.515012030547126</v>
      </c>
      <c r="E113">
        <f t="shared" si="6"/>
        <v>78.515012030547126</v>
      </c>
      <c r="G113">
        <f t="shared" ca="1" si="7"/>
        <v>111</v>
      </c>
      <c r="H113">
        <f t="shared" ca="1" si="8"/>
        <v>8715.1663353907315</v>
      </c>
      <c r="I113">
        <f t="shared" ca="1" si="9"/>
        <v>34838.313556207388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93809</v>
      </c>
      <c r="B116" s="66">
        <v>93809</v>
      </c>
      <c r="D116">
        <f t="shared" si="5"/>
        <v>81.780695330752863</v>
      </c>
      <c r="E116">
        <f t="shared" si="6"/>
        <v>81.780695330752863</v>
      </c>
      <c r="G116">
        <f t="shared" ca="1" si="7"/>
        <v>114</v>
      </c>
      <c r="H116">
        <f t="shared" ca="1" si="8"/>
        <v>9322.9992677058272</v>
      </c>
      <c r="I116">
        <f t="shared" ca="1" si="9"/>
        <v>47359.415395473894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94588</v>
      </c>
      <c r="B118" s="66">
        <v>94588</v>
      </c>
      <c r="D118">
        <f t="shared" si="5"/>
        <v>82.45981099836105</v>
      </c>
      <c r="E118">
        <f t="shared" si="6"/>
        <v>82.45981099836105</v>
      </c>
      <c r="G118">
        <f t="shared" ca="1" si="7"/>
        <v>116</v>
      </c>
      <c r="H118">
        <f t="shared" ca="1" si="8"/>
        <v>9565.338075809881</v>
      </c>
      <c r="I118">
        <f t="shared" ca="1" si="9"/>
        <v>56019.965688901626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82652</v>
      </c>
      <c r="B121" s="66">
        <v>82652</v>
      </c>
      <c r="D121">
        <f t="shared" si="5"/>
        <v>72.054259511106466</v>
      </c>
      <c r="E121">
        <f t="shared" si="6"/>
        <v>72.054259511106466</v>
      </c>
      <c r="G121">
        <f t="shared" ca="1" si="7"/>
        <v>119</v>
      </c>
      <c r="H121">
        <f t="shared" ca="1" si="8"/>
        <v>8574.4568818216685</v>
      </c>
      <c r="I121">
        <f t="shared" ca="1" si="9"/>
        <v>60867.701551688537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76247</v>
      </c>
      <c r="B124" s="66">
        <v>76247</v>
      </c>
      <c r="D124">
        <f t="shared" si="5"/>
        <v>66.470516441747748</v>
      </c>
      <c r="E124">
        <f t="shared" si="6"/>
        <v>66.470516441747748</v>
      </c>
      <c r="G124">
        <f t="shared" ca="1" si="7"/>
        <v>122</v>
      </c>
      <c r="H124">
        <f t="shared" ca="1" si="8"/>
        <v>8109.4030058932249</v>
      </c>
      <c r="I124">
        <f t="shared" ca="1" si="9"/>
        <v>68340.694019712697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69324</v>
      </c>
      <c r="B126" s="66">
        <v>69324</v>
      </c>
      <c r="D126">
        <f t="shared" si="5"/>
        <v>60.435191965686791</v>
      </c>
      <c r="E126">
        <f t="shared" si="6"/>
        <v>60.435191965686791</v>
      </c>
      <c r="G126">
        <f t="shared" ca="1" si="7"/>
        <v>124</v>
      </c>
      <c r="H126">
        <f t="shared" ca="1" si="8"/>
        <v>7493.9638037451623</v>
      </c>
      <c r="I126">
        <f t="shared" ca="1" si="9"/>
        <v>70128.613004353989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65841</v>
      </c>
      <c r="B129" s="66">
        <v>65841</v>
      </c>
      <c r="D129">
        <f t="shared" si="5"/>
        <v>57.398786483941834</v>
      </c>
      <c r="E129">
        <f t="shared" si="6"/>
        <v>57.398786483941834</v>
      </c>
      <c r="G129">
        <f t="shared" ca="1" si="7"/>
        <v>127</v>
      </c>
      <c r="H129">
        <f t="shared" ca="1" si="8"/>
        <v>7289.6458834606128</v>
      </c>
      <c r="I129">
        <f t="shared" ca="1" si="9"/>
        <v>78853.359857027855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58002</v>
      </c>
      <c r="B131" s="66">
        <v>58002</v>
      </c>
      <c r="D131">
        <f t="shared" ref="D131:D194" si="10">IFERROR( 100*A131/MAX(A$2:A$257), 0 )</f>
        <v>50.564912647766505</v>
      </c>
      <c r="E131">
        <f t="shared" ref="E131:E194" si="11">IFERROR( 100*B131/MAX(B$2:B$257), 0 )</f>
        <v>50.564912647766505</v>
      </c>
      <c r="G131">
        <f t="shared" ref="G131:G194" ca="1" si="12">CELL("row",D131)-2</f>
        <v>129</v>
      </c>
      <c r="H131">
        <f t="shared" ref="H131:H194" ca="1" si="13">D131*G131</f>
        <v>6522.8737315618791</v>
      </c>
      <c r="I131">
        <f t="shared" ref="I131:I194" ca="1" si="14">D131*((G131-$L$1)^2)</f>
        <v>77164.036945450571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54282</v>
      </c>
      <c r="B134" s="66">
        <v>54282</v>
      </c>
      <c r="D134">
        <f t="shared" si="10"/>
        <v>47.321895595773618</v>
      </c>
      <c r="E134">
        <f t="shared" si="11"/>
        <v>47.321895595773618</v>
      </c>
      <c r="G134">
        <f t="shared" ca="1" si="12"/>
        <v>132</v>
      </c>
      <c r="H134">
        <f t="shared" ca="1" si="13"/>
        <v>6246.4902186421177</v>
      </c>
      <c r="I134">
        <f t="shared" ca="1" si="14"/>
        <v>83732.614667505448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46171</v>
      </c>
      <c r="B136" s="66">
        <v>46171</v>
      </c>
      <c r="D136">
        <f t="shared" si="10"/>
        <v>40.250897932140738</v>
      </c>
      <c r="E136">
        <f t="shared" si="11"/>
        <v>40.250897932140738</v>
      </c>
      <c r="G136">
        <f t="shared" ca="1" si="12"/>
        <v>134</v>
      </c>
      <c r="H136">
        <f t="shared" ca="1" si="13"/>
        <v>5393.6203229068587</v>
      </c>
      <c r="I136">
        <f t="shared" ca="1" si="14"/>
        <v>78154.551657142219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48406</v>
      </c>
      <c r="B139" s="66">
        <v>48406</v>
      </c>
      <c r="D139">
        <f t="shared" si="10"/>
        <v>42.199323499668722</v>
      </c>
      <c r="E139">
        <f t="shared" si="11"/>
        <v>42.199323499668722</v>
      </c>
      <c r="G139">
        <f t="shared" ca="1" si="12"/>
        <v>137</v>
      </c>
      <c r="H139">
        <f t="shared" ca="1" si="13"/>
        <v>5781.307319454615</v>
      </c>
      <c r="I139">
        <f t="shared" ca="1" si="14"/>
        <v>93474.539145011018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34020</v>
      </c>
      <c r="B142" s="66">
        <v>34020</v>
      </c>
      <c r="D142">
        <f t="shared" si="10"/>
        <v>29.657914007741397</v>
      </c>
      <c r="E142">
        <f t="shared" si="11"/>
        <v>29.657914007741397</v>
      </c>
      <c r="G142">
        <f t="shared" ca="1" si="12"/>
        <v>140</v>
      </c>
      <c r="H142">
        <f t="shared" ca="1" si="13"/>
        <v>4152.1079610837951</v>
      </c>
      <c r="I142">
        <f t="shared" ca="1" si="14"/>
        <v>74336.35406857857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31332</v>
      </c>
      <c r="B144" s="66">
        <v>31332</v>
      </c>
      <c r="D144">
        <f t="shared" si="10"/>
        <v>27.31457265404331</v>
      </c>
      <c r="E144">
        <f t="shared" si="11"/>
        <v>27.31457265404331</v>
      </c>
      <c r="G144">
        <f t="shared" ca="1" si="12"/>
        <v>142</v>
      </c>
      <c r="H144">
        <f t="shared" ca="1" si="13"/>
        <v>3878.6693168741499</v>
      </c>
      <c r="I144">
        <f t="shared" ca="1" si="14"/>
        <v>74042.089942350125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31856</v>
      </c>
      <c r="B147" s="66">
        <v>31856</v>
      </c>
      <c r="D147">
        <f t="shared" si="10"/>
        <v>27.771384733410049</v>
      </c>
      <c r="E147">
        <f t="shared" si="11"/>
        <v>27.771384733410049</v>
      </c>
      <c r="G147">
        <f t="shared" ca="1" si="12"/>
        <v>145</v>
      </c>
      <c r="H147">
        <f t="shared" ca="1" si="13"/>
        <v>4026.850786344457</v>
      </c>
      <c r="I147">
        <f t="shared" ca="1" si="14"/>
        <v>84205.748998389521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26849</v>
      </c>
      <c r="B149" s="66">
        <v>26849</v>
      </c>
      <c r="D149">
        <f t="shared" si="10"/>
        <v>23.406388394880913</v>
      </c>
      <c r="E149">
        <f t="shared" si="11"/>
        <v>23.406388394880913</v>
      </c>
      <c r="G149">
        <f t="shared" ca="1" si="12"/>
        <v>147</v>
      </c>
      <c r="H149">
        <f t="shared" ca="1" si="13"/>
        <v>3440.7390940474943</v>
      </c>
      <c r="I149">
        <f t="shared" ca="1" si="14"/>
        <v>76219.697285844275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17939</v>
      </c>
      <c r="B152" s="66">
        <v>17939</v>
      </c>
      <c r="D152">
        <f t="shared" si="10"/>
        <v>15.638839488091502</v>
      </c>
      <c r="E152">
        <f t="shared" si="11"/>
        <v>15.638839488091502</v>
      </c>
      <c r="G152">
        <f t="shared" ca="1" si="12"/>
        <v>150</v>
      </c>
      <c r="H152">
        <f t="shared" ca="1" si="13"/>
        <v>2345.8259232137252</v>
      </c>
      <c r="I152">
        <f t="shared" ca="1" si="14"/>
        <v>56421.028072094552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15524</v>
      </c>
      <c r="B154" s="66">
        <v>15524</v>
      </c>
      <c r="D154">
        <f t="shared" si="10"/>
        <v>13.533493740628378</v>
      </c>
      <c r="E154">
        <f t="shared" si="11"/>
        <v>13.533493740628378</v>
      </c>
      <c r="G154">
        <f t="shared" ca="1" si="12"/>
        <v>152</v>
      </c>
      <c r="H154">
        <f t="shared" ca="1" si="13"/>
        <v>2057.0910485755135</v>
      </c>
      <c r="I154">
        <f t="shared" ca="1" si="14"/>
        <v>52131.133177955948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16360</v>
      </c>
      <c r="B157" s="66">
        <v>16360</v>
      </c>
      <c r="D157">
        <f t="shared" si="10"/>
        <v>14.26230079854936</v>
      </c>
      <c r="E157">
        <f t="shared" si="11"/>
        <v>14.26230079854936</v>
      </c>
      <c r="G157">
        <f t="shared" ca="1" si="12"/>
        <v>155</v>
      </c>
      <c r="H157">
        <f t="shared" ca="1" si="13"/>
        <v>2210.6566237751508</v>
      </c>
      <c r="I157">
        <f t="shared" ca="1" si="14"/>
        <v>60377.964671823305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14822</v>
      </c>
      <c r="B160" s="66">
        <v>14822</v>
      </c>
      <c r="D160">
        <f t="shared" si="10"/>
        <v>12.921505038881334</v>
      </c>
      <c r="E160">
        <f t="shared" si="11"/>
        <v>12.921505038881334</v>
      </c>
      <c r="G160">
        <f t="shared" ca="1" si="12"/>
        <v>158</v>
      </c>
      <c r="H160">
        <f t="shared" ca="1" si="13"/>
        <v>2041.5977961432507</v>
      </c>
      <c r="I160">
        <f t="shared" ca="1" si="14"/>
        <v>59862.530603539475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13501</v>
      </c>
      <c r="B162" s="66">
        <v>13501</v>
      </c>
      <c r="D162">
        <f t="shared" si="10"/>
        <v>11.769885273912893</v>
      </c>
      <c r="E162">
        <f t="shared" si="11"/>
        <v>11.769885273912893</v>
      </c>
      <c r="G162">
        <f t="shared" ca="1" si="12"/>
        <v>160</v>
      </c>
      <c r="H162">
        <f t="shared" ca="1" si="13"/>
        <v>1883.1816438260628</v>
      </c>
      <c r="I162">
        <f t="shared" ca="1" si="14"/>
        <v>57778.853357853746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11212</v>
      </c>
      <c r="B165" s="66">
        <v>11212</v>
      </c>
      <c r="D165">
        <f t="shared" si="10"/>
        <v>9.7743836524043655</v>
      </c>
      <c r="E165">
        <f t="shared" si="11"/>
        <v>9.7743836524043655</v>
      </c>
      <c r="G165">
        <f t="shared" ca="1" si="12"/>
        <v>163</v>
      </c>
      <c r="H165">
        <f t="shared" ca="1" si="13"/>
        <v>1593.2245353419116</v>
      </c>
      <c r="I165">
        <f t="shared" ca="1" si="14"/>
        <v>52179.849684553737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10728</v>
      </c>
      <c r="B167" s="66">
        <v>10728</v>
      </c>
      <c r="D167">
        <f t="shared" si="10"/>
        <v>9.352442724134324</v>
      </c>
      <c r="E167">
        <f t="shared" si="11"/>
        <v>9.352442724134324</v>
      </c>
      <c r="G167">
        <f t="shared" ca="1" si="12"/>
        <v>165</v>
      </c>
      <c r="H167">
        <f t="shared" ca="1" si="13"/>
        <v>1543.1530494821634</v>
      </c>
      <c r="I167">
        <f t="shared" ca="1" si="14"/>
        <v>52698.086039154645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11888</v>
      </c>
      <c r="B170" s="66">
        <v>11888</v>
      </c>
      <c r="D170">
        <f t="shared" si="10"/>
        <v>10.363706105938556</v>
      </c>
      <c r="E170">
        <f t="shared" si="11"/>
        <v>10.363706105938556</v>
      </c>
      <c r="G170">
        <f t="shared" ca="1" si="12"/>
        <v>168</v>
      </c>
      <c r="H170">
        <f t="shared" ca="1" si="13"/>
        <v>1741.1026257976775</v>
      </c>
      <c r="I170">
        <f t="shared" ca="1" si="14"/>
        <v>63157.193561343673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6923</v>
      </c>
      <c r="B173" s="66">
        <v>6923</v>
      </c>
      <c r="D173">
        <f t="shared" si="10"/>
        <v>6.0353244760609543</v>
      </c>
      <c r="E173">
        <f t="shared" si="11"/>
        <v>6.0353244760609543</v>
      </c>
      <c r="G173">
        <f t="shared" ca="1" si="12"/>
        <v>171</v>
      </c>
      <c r="H173">
        <f t="shared" ca="1" si="13"/>
        <v>1032.0404854064232</v>
      </c>
      <c r="I173">
        <f t="shared" ca="1" si="14"/>
        <v>39660.902225349564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4459</v>
      </c>
      <c r="B175" s="66">
        <v>4459</v>
      </c>
      <c r="D175">
        <f t="shared" si="10"/>
        <v>3.8872615685043765</v>
      </c>
      <c r="E175">
        <f t="shared" si="11"/>
        <v>3.8872615685043765</v>
      </c>
      <c r="G175">
        <f t="shared" ca="1" si="12"/>
        <v>173</v>
      </c>
      <c r="H175">
        <f t="shared" ca="1" si="13"/>
        <v>672.49625135125711</v>
      </c>
      <c r="I175">
        <f t="shared" ca="1" si="14"/>
        <v>26821.01510764096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3260</v>
      </c>
      <c r="B178" s="66">
        <v>3260</v>
      </c>
      <c r="D178">
        <f t="shared" si="10"/>
        <v>2.8419988143808625</v>
      </c>
      <c r="E178">
        <f t="shared" si="11"/>
        <v>2.8419988143808625</v>
      </c>
      <c r="G178">
        <f t="shared" ca="1" si="12"/>
        <v>176</v>
      </c>
      <c r="H178">
        <f t="shared" ca="1" si="13"/>
        <v>500.19179133103182</v>
      </c>
      <c r="I178">
        <f t="shared" ca="1" si="14"/>
        <v>21050.989248353973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1573</v>
      </c>
      <c r="B180" s="66">
        <v>1573</v>
      </c>
      <c r="D180">
        <f t="shared" si="10"/>
        <v>1.371308016877637</v>
      </c>
      <c r="E180">
        <f t="shared" si="11"/>
        <v>1.371308016877637</v>
      </c>
      <c r="G180">
        <f t="shared" ca="1" si="12"/>
        <v>178</v>
      </c>
      <c r="H180">
        <f t="shared" ca="1" si="13"/>
        <v>244.0928270042194</v>
      </c>
      <c r="I180">
        <f t="shared" ca="1" si="14"/>
        <v>10634.994448588341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1560</v>
      </c>
      <c r="B183" s="66">
        <v>1560</v>
      </c>
      <c r="D183">
        <f t="shared" si="10"/>
        <v>1.3599748927712103</v>
      </c>
      <c r="E183">
        <f t="shared" si="11"/>
        <v>1.3599748927712103</v>
      </c>
      <c r="G183">
        <f t="shared" ca="1" si="12"/>
        <v>181</v>
      </c>
      <c r="H183">
        <f t="shared" ca="1" si="13"/>
        <v>246.15545559158906</v>
      </c>
      <c r="I183">
        <f t="shared" ca="1" si="14"/>
        <v>11277.935178176471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363</v>
      </c>
      <c r="B185" s="66">
        <v>363</v>
      </c>
      <c r="D185">
        <f t="shared" si="10"/>
        <v>0.31645569620253167</v>
      </c>
      <c r="E185">
        <f t="shared" si="11"/>
        <v>0.31645569620253167</v>
      </c>
      <c r="G185">
        <f t="shared" ca="1" si="12"/>
        <v>183</v>
      </c>
      <c r="H185">
        <f t="shared" ca="1" si="13"/>
        <v>57.911392405063296</v>
      </c>
      <c r="I185">
        <f t="shared" ca="1" si="14"/>
        <v>2740.8261692284127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107.63445579370929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2.0781511999972793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0.61457890665872705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488</v>
      </c>
      <c r="B8" s="66">
        <v>488</v>
      </c>
      <c r="D8">
        <f t="shared" si="0"/>
        <v>0.31667542715491787</v>
      </c>
      <c r="E8">
        <f t="shared" si="1"/>
        <v>0.31667542715491787</v>
      </c>
      <c r="G8">
        <f t="shared" ca="1" si="2"/>
        <v>6</v>
      </c>
      <c r="H8">
        <f t="shared" ca="1" si="3"/>
        <v>1.9000525629295071</v>
      </c>
      <c r="I8">
        <f t="shared" ca="1" si="4"/>
        <v>3271.1186500982617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2418</v>
      </c>
      <c r="B10" s="66">
        <v>2418</v>
      </c>
      <c r="D10">
        <f t="shared" si="0"/>
        <v>1.5691007845503924</v>
      </c>
      <c r="E10">
        <f t="shared" si="1"/>
        <v>1.5691007845503924</v>
      </c>
      <c r="G10">
        <f t="shared" ca="1" si="2"/>
        <v>8</v>
      </c>
      <c r="H10">
        <f t="shared" ca="1" si="3"/>
        <v>12.552806276403139</v>
      </c>
      <c r="I10">
        <f t="shared" ca="1" si="4"/>
        <v>15576.50237260253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2834</v>
      </c>
      <c r="B13" s="66">
        <v>2834</v>
      </c>
      <c r="D13">
        <f t="shared" si="0"/>
        <v>1.8390536076988468</v>
      </c>
      <c r="E13">
        <f t="shared" si="1"/>
        <v>1.8390536076988468</v>
      </c>
      <c r="G13">
        <f t="shared" ca="1" si="2"/>
        <v>11</v>
      </c>
      <c r="H13">
        <f t="shared" ca="1" si="3"/>
        <v>20.229589684687316</v>
      </c>
      <c r="I13">
        <f t="shared" ca="1" si="4"/>
        <v>17173.483587979554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2231</v>
      </c>
      <c r="B15" s="66">
        <v>2231</v>
      </c>
      <c r="D15">
        <f t="shared" si="0"/>
        <v>1.4477517991447169</v>
      </c>
      <c r="E15">
        <f t="shared" si="1"/>
        <v>1.4477517991447169</v>
      </c>
      <c r="G15">
        <f t="shared" ca="1" si="2"/>
        <v>13</v>
      </c>
      <c r="H15">
        <f t="shared" ca="1" si="3"/>
        <v>18.820773388881321</v>
      </c>
      <c r="I15">
        <f t="shared" ca="1" si="4"/>
        <v>12965.602155950875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5416</v>
      </c>
      <c r="B18" s="66">
        <v>5416</v>
      </c>
      <c r="D18">
        <f t="shared" si="0"/>
        <v>3.5145781013750721</v>
      </c>
      <c r="E18">
        <f t="shared" si="1"/>
        <v>3.5145781013750721</v>
      </c>
      <c r="G18">
        <f t="shared" ca="1" si="2"/>
        <v>16</v>
      </c>
      <c r="H18">
        <f t="shared" ca="1" si="3"/>
        <v>56.233249622001154</v>
      </c>
      <c r="I18">
        <f t="shared" ca="1" si="4"/>
        <v>29511.467683083021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4223</v>
      </c>
      <c r="B21" s="66">
        <v>4223</v>
      </c>
      <c r="D21">
        <f t="shared" si="0"/>
        <v>2.7404105099902014</v>
      </c>
      <c r="E21">
        <f t="shared" si="1"/>
        <v>2.7404105099902014</v>
      </c>
      <c r="G21">
        <f t="shared" ca="1" si="2"/>
        <v>19</v>
      </c>
      <c r="H21">
        <f t="shared" ca="1" si="3"/>
        <v>52.067799689813825</v>
      </c>
      <c r="I21">
        <f t="shared" ca="1" si="4"/>
        <v>21528.847899426943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3760</v>
      </c>
      <c r="B23" s="66">
        <v>3760</v>
      </c>
      <c r="D23">
        <f t="shared" si="0"/>
        <v>2.4399582092264165</v>
      </c>
      <c r="E23">
        <f t="shared" si="1"/>
        <v>2.4399582092264165</v>
      </c>
      <c r="G23">
        <f t="shared" ca="1" si="2"/>
        <v>21</v>
      </c>
      <c r="H23">
        <f t="shared" ca="1" si="3"/>
        <v>51.239122393754748</v>
      </c>
      <c r="I23">
        <f t="shared" ca="1" si="4"/>
        <v>18313.176928979927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5002</v>
      </c>
      <c r="B26" s="66">
        <v>5002</v>
      </c>
      <c r="D26">
        <f t="shared" si="0"/>
        <v>3.2459231283379082</v>
      </c>
      <c r="E26">
        <f t="shared" si="1"/>
        <v>3.2459231283379082</v>
      </c>
      <c r="G26">
        <f t="shared" ca="1" si="2"/>
        <v>24</v>
      </c>
      <c r="H26">
        <f t="shared" ca="1" si="3"/>
        <v>77.902155080109793</v>
      </c>
      <c r="I26">
        <f t="shared" ca="1" si="4"/>
        <v>22704.330552002513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8728</v>
      </c>
      <c r="B28" s="66">
        <v>8728</v>
      </c>
      <c r="D28">
        <f t="shared" si="0"/>
        <v>5.6638178856723833</v>
      </c>
      <c r="E28">
        <f t="shared" si="1"/>
        <v>5.6638178856723833</v>
      </c>
      <c r="G28">
        <f t="shared" ca="1" si="2"/>
        <v>26</v>
      </c>
      <c r="H28">
        <f t="shared" ca="1" si="3"/>
        <v>147.25926502748197</v>
      </c>
      <c r="I28">
        <f t="shared" ca="1" si="4"/>
        <v>37744.726643715323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11402</v>
      </c>
      <c r="B31" s="66">
        <v>11402</v>
      </c>
      <c r="D31">
        <f t="shared" si="0"/>
        <v>7.3990434844679784</v>
      </c>
      <c r="E31">
        <f t="shared" si="1"/>
        <v>7.3990434844679784</v>
      </c>
      <c r="G31">
        <f t="shared" ca="1" si="2"/>
        <v>29</v>
      </c>
      <c r="H31">
        <f t="shared" ca="1" si="3"/>
        <v>214.57226104957138</v>
      </c>
      <c r="I31">
        <f t="shared" ca="1" si="4"/>
        <v>45751.0800242478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11333</v>
      </c>
      <c r="B33" s="66">
        <v>11333</v>
      </c>
      <c r="D33">
        <f t="shared" si="0"/>
        <v>7.3542676556284512</v>
      </c>
      <c r="E33">
        <f t="shared" si="1"/>
        <v>7.3542676556284512</v>
      </c>
      <c r="G33">
        <f t="shared" ca="1" si="2"/>
        <v>31</v>
      </c>
      <c r="H33">
        <f t="shared" ca="1" si="3"/>
        <v>227.98229732448198</v>
      </c>
      <c r="I33">
        <f t="shared" ca="1" si="4"/>
        <v>43190.435896655799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13335</v>
      </c>
      <c r="B36" s="66">
        <v>13335</v>
      </c>
      <c r="D36">
        <f t="shared" si="0"/>
        <v>8.6534156170303884</v>
      </c>
      <c r="E36">
        <f t="shared" si="1"/>
        <v>8.6534156170303884</v>
      </c>
      <c r="G36">
        <f t="shared" ca="1" si="2"/>
        <v>34</v>
      </c>
      <c r="H36">
        <f t="shared" ca="1" si="3"/>
        <v>294.21613097903321</v>
      </c>
      <c r="I36">
        <f t="shared" ca="1" si="4"/>
        <v>46919.105730836542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14934</v>
      </c>
      <c r="B39" s="66">
        <v>14934</v>
      </c>
      <c r="D39">
        <f t="shared" si="0"/>
        <v>9.6910467810072607</v>
      </c>
      <c r="E39">
        <f t="shared" si="1"/>
        <v>9.6910467810072607</v>
      </c>
      <c r="G39">
        <f t="shared" ca="1" si="2"/>
        <v>37</v>
      </c>
      <c r="H39">
        <f t="shared" ca="1" si="3"/>
        <v>358.56873089726867</v>
      </c>
      <c r="I39">
        <f t="shared" ca="1" si="4"/>
        <v>48350.825913079105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14677</v>
      </c>
      <c r="B41" s="66">
        <v>14677</v>
      </c>
      <c r="D41">
        <f t="shared" si="0"/>
        <v>9.5242730417064134</v>
      </c>
      <c r="E41">
        <f t="shared" si="1"/>
        <v>9.5242730417064134</v>
      </c>
      <c r="G41">
        <f t="shared" ca="1" si="2"/>
        <v>39</v>
      </c>
      <c r="H41">
        <f t="shared" ca="1" si="3"/>
        <v>371.44664862655014</v>
      </c>
      <c r="I41">
        <f t="shared" ca="1" si="4"/>
        <v>44865.883698899859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18849</v>
      </c>
      <c r="B44" s="66">
        <v>18849</v>
      </c>
      <c r="D44">
        <f t="shared" si="0"/>
        <v>12.231588373858703</v>
      </c>
      <c r="E44">
        <f t="shared" si="1"/>
        <v>12.231588373858703</v>
      </c>
      <c r="G44">
        <f t="shared" ca="1" si="2"/>
        <v>42</v>
      </c>
      <c r="H44">
        <f t="shared" ca="1" si="3"/>
        <v>513.72671170206547</v>
      </c>
      <c r="I44">
        <f t="shared" ca="1" si="4"/>
        <v>52692.236785941306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20695</v>
      </c>
      <c r="B46" s="66">
        <v>20695</v>
      </c>
      <c r="D46">
        <f t="shared" si="0"/>
        <v>13.42950402657997</v>
      </c>
      <c r="E46">
        <f t="shared" si="1"/>
        <v>13.42950402657997</v>
      </c>
      <c r="G46">
        <f t="shared" ca="1" si="2"/>
        <v>44</v>
      </c>
      <c r="H46">
        <f t="shared" ca="1" si="3"/>
        <v>590.8981771695187</v>
      </c>
      <c r="I46">
        <f t="shared" ca="1" si="4"/>
        <v>54380.681071714731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24638</v>
      </c>
      <c r="B49" s="66">
        <v>24638</v>
      </c>
      <c r="D49">
        <f t="shared" si="0"/>
        <v>15.988215520989481</v>
      </c>
      <c r="E49">
        <f t="shared" si="1"/>
        <v>15.988215520989481</v>
      </c>
      <c r="G49">
        <f t="shared" ca="1" si="2"/>
        <v>47</v>
      </c>
      <c r="H49">
        <f t="shared" ca="1" si="3"/>
        <v>751.44612948650558</v>
      </c>
      <c r="I49">
        <f t="shared" ca="1" si="4"/>
        <v>58781.269594577338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26281</v>
      </c>
      <c r="B51" s="66">
        <v>26281</v>
      </c>
      <c r="D51">
        <f t="shared" si="0"/>
        <v>17.054399387414747</v>
      </c>
      <c r="E51">
        <f t="shared" si="1"/>
        <v>17.054399387414747</v>
      </c>
      <c r="G51">
        <f t="shared" ca="1" si="2"/>
        <v>49</v>
      </c>
      <c r="H51">
        <f t="shared" ca="1" si="3"/>
        <v>835.6655699833226</v>
      </c>
      <c r="I51">
        <f t="shared" ca="1" si="4"/>
        <v>58633.014967446514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26834</v>
      </c>
      <c r="B54" s="66">
        <v>26834</v>
      </c>
      <c r="D54">
        <f t="shared" si="0"/>
        <v>17.413254943186612</v>
      </c>
      <c r="E54">
        <f t="shared" si="1"/>
        <v>17.413254943186612</v>
      </c>
      <c r="G54">
        <f t="shared" ca="1" si="2"/>
        <v>52</v>
      </c>
      <c r="H54">
        <f t="shared" ca="1" si="3"/>
        <v>905.48925704570377</v>
      </c>
      <c r="I54">
        <f t="shared" ca="1" si="4"/>
        <v>53897.379086454021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26092</v>
      </c>
      <c r="B57" s="66">
        <v>26092</v>
      </c>
      <c r="D57">
        <f t="shared" si="0"/>
        <v>16.93175255189778</v>
      </c>
      <c r="E57">
        <f t="shared" si="1"/>
        <v>16.93175255189778</v>
      </c>
      <c r="G57">
        <f t="shared" ca="1" si="2"/>
        <v>55</v>
      </c>
      <c r="H57">
        <f t="shared" ca="1" si="3"/>
        <v>931.24639035437792</v>
      </c>
      <c r="I57">
        <f t="shared" ca="1" si="4"/>
        <v>46907.489153460891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31240</v>
      </c>
      <c r="B59" s="66">
        <v>31240</v>
      </c>
      <c r="D59">
        <f t="shared" si="0"/>
        <v>20.272418738359907</v>
      </c>
      <c r="E59">
        <f t="shared" si="1"/>
        <v>20.272418738359907</v>
      </c>
      <c r="G59">
        <f t="shared" ca="1" si="2"/>
        <v>57</v>
      </c>
      <c r="H59">
        <f t="shared" ca="1" si="3"/>
        <v>1155.5278680865147</v>
      </c>
      <c r="I59">
        <f t="shared" ca="1" si="4"/>
        <v>51975.402538934941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36661</v>
      </c>
      <c r="B62" s="66">
        <v>36661</v>
      </c>
      <c r="D62">
        <f t="shared" si="0"/>
        <v>23.790241465013207</v>
      </c>
      <c r="E62">
        <f t="shared" si="1"/>
        <v>23.790241465013207</v>
      </c>
      <c r="G62">
        <f t="shared" ca="1" si="2"/>
        <v>60</v>
      </c>
      <c r="H62">
        <f t="shared" ca="1" si="3"/>
        <v>1427.4144879007924</v>
      </c>
      <c r="I62">
        <f t="shared" ca="1" si="4"/>
        <v>53981.042294874569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46491</v>
      </c>
      <c r="B64" s="66">
        <v>46491</v>
      </c>
      <c r="D64">
        <f t="shared" si="0"/>
        <v>30.169174762006737</v>
      </c>
      <c r="E64">
        <f t="shared" si="1"/>
        <v>30.169174762006737</v>
      </c>
      <c r="G64">
        <f t="shared" ca="1" si="2"/>
        <v>62</v>
      </c>
      <c r="H64">
        <f t="shared" ca="1" si="3"/>
        <v>1870.4888352444177</v>
      </c>
      <c r="I64">
        <f t="shared" ca="1" si="4"/>
        <v>62827.413711035013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49763</v>
      </c>
      <c r="B67" s="66">
        <v>49763</v>
      </c>
      <c r="D67">
        <f t="shared" ref="D67:D130" si="5">IFERROR(100*A67/MAX(A$2:A$257), 0 )</f>
        <v>32.292457544078232</v>
      </c>
      <c r="E67">
        <f t="shared" ref="E67:E130" si="6">IFERROR(100*B67/MAX(B$2:B$257), 0 )</f>
        <v>32.292457544078232</v>
      </c>
      <c r="G67">
        <f t="shared" ref="G67:G130" ca="1" si="7">CELL("row",D67)-2</f>
        <v>65</v>
      </c>
      <c r="H67">
        <f t="shared" ref="H67:H130" ca="1" si="8">D67*G67</f>
        <v>2099.0097403650852</v>
      </c>
      <c r="I67">
        <f t="shared" ref="I67:I130" ca="1" si="9">D67*((G67-$L$1)^2)</f>
        <v>58697.897414521569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59851</v>
      </c>
      <c r="B69" s="66">
        <v>59851</v>
      </c>
      <c r="D69">
        <f t="shared" si="5"/>
        <v>38.838813505428256</v>
      </c>
      <c r="E69">
        <f t="shared" si="6"/>
        <v>38.838813505428256</v>
      </c>
      <c r="G69">
        <f t="shared" ca="1" si="7"/>
        <v>67</v>
      </c>
      <c r="H69">
        <f t="shared" ca="1" si="8"/>
        <v>2602.2005048636929</v>
      </c>
      <c r="I69">
        <f t="shared" ca="1" si="9"/>
        <v>64129.056377573725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69725</v>
      </c>
      <c r="B72" s="66">
        <v>69725</v>
      </c>
      <c r="D72">
        <f t="shared" si="5"/>
        <v>45.24629950487018</v>
      </c>
      <c r="E72">
        <f t="shared" si="6"/>
        <v>45.24629950487018</v>
      </c>
      <c r="G72">
        <f t="shared" ca="1" si="7"/>
        <v>70</v>
      </c>
      <c r="H72">
        <f t="shared" ca="1" si="8"/>
        <v>3167.2409653409127</v>
      </c>
      <c r="I72">
        <f t="shared" ca="1" si="9"/>
        <v>64084.69869106089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81225</v>
      </c>
      <c r="B75" s="66">
        <v>81225</v>
      </c>
      <c r="D75">
        <f t="shared" si="5"/>
        <v>52.708937644791405</v>
      </c>
      <c r="E75">
        <f t="shared" si="6"/>
        <v>52.708937644791405</v>
      </c>
      <c r="G75">
        <f t="shared" ca="1" si="7"/>
        <v>73</v>
      </c>
      <c r="H75">
        <f t="shared" ca="1" si="8"/>
        <v>3847.7524480697725</v>
      </c>
      <c r="I75">
        <f t="shared" ca="1" si="9"/>
        <v>63226.770444102964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89117</v>
      </c>
      <c r="B77" s="66">
        <v>89117</v>
      </c>
      <c r="D77">
        <f t="shared" si="5"/>
        <v>57.830254183944298</v>
      </c>
      <c r="E77">
        <f t="shared" si="6"/>
        <v>57.830254183944298</v>
      </c>
      <c r="G77">
        <f t="shared" ca="1" si="7"/>
        <v>75</v>
      </c>
      <c r="H77">
        <f t="shared" ca="1" si="8"/>
        <v>4337.2690637958221</v>
      </c>
      <c r="I77">
        <f t="shared" ca="1" si="9"/>
        <v>61589.666285208215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100459</v>
      </c>
      <c r="B80" s="66">
        <v>100459</v>
      </c>
      <c r="D80">
        <f t="shared" si="5"/>
        <v>65.190362165073552</v>
      </c>
      <c r="E80">
        <f t="shared" si="6"/>
        <v>65.190362165073552</v>
      </c>
      <c r="G80">
        <f t="shared" ca="1" si="7"/>
        <v>78</v>
      </c>
      <c r="H80">
        <f t="shared" ca="1" si="8"/>
        <v>5084.8482488757372</v>
      </c>
      <c r="I80">
        <f t="shared" ca="1" si="9"/>
        <v>57250.239300360096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99961</v>
      </c>
      <c r="B82" s="66">
        <v>99961</v>
      </c>
      <c r="D82">
        <f t="shared" si="5"/>
        <v>64.867197487362191</v>
      </c>
      <c r="E82">
        <f t="shared" si="6"/>
        <v>64.867197487362191</v>
      </c>
      <c r="G82">
        <f t="shared" ca="1" si="7"/>
        <v>80</v>
      </c>
      <c r="H82">
        <f t="shared" ca="1" si="8"/>
        <v>5189.3757989889755</v>
      </c>
      <c r="I82">
        <f t="shared" ca="1" si="9"/>
        <v>49536.688171208334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99960</v>
      </c>
      <c r="B85" s="66">
        <v>99960</v>
      </c>
      <c r="D85">
        <f t="shared" si="5"/>
        <v>64.866548562306534</v>
      </c>
      <c r="E85">
        <f t="shared" si="6"/>
        <v>64.866548562306534</v>
      </c>
      <c r="G85">
        <f t="shared" ca="1" si="7"/>
        <v>83</v>
      </c>
      <c r="H85">
        <f t="shared" ca="1" si="8"/>
        <v>5383.9235306714427</v>
      </c>
      <c r="I85">
        <f t="shared" ca="1" si="9"/>
        <v>39364.680935705568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109493</v>
      </c>
      <c r="B88" s="66">
        <v>109493</v>
      </c>
      <c r="D88">
        <f t="shared" si="5"/>
        <v>71.052751117773411</v>
      </c>
      <c r="E88">
        <f t="shared" si="6"/>
        <v>71.052751117773411</v>
      </c>
      <c r="G88">
        <f t="shared" ca="1" si="7"/>
        <v>86</v>
      </c>
      <c r="H88">
        <f t="shared" ca="1" si="8"/>
        <v>6110.5365961285133</v>
      </c>
      <c r="I88">
        <f t="shared" ca="1" si="9"/>
        <v>33256.217245448352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120651</v>
      </c>
      <c r="B90" s="66">
        <v>120651</v>
      </c>
      <c r="D90">
        <f t="shared" si="5"/>
        <v>78.293456888663925</v>
      </c>
      <c r="E90">
        <f t="shared" si="6"/>
        <v>78.293456888663925</v>
      </c>
      <c r="G90">
        <f t="shared" ca="1" si="7"/>
        <v>88</v>
      </c>
      <c r="H90">
        <f t="shared" ca="1" si="8"/>
        <v>6889.8242062024256</v>
      </c>
      <c r="I90">
        <f t="shared" ca="1" si="9"/>
        <v>30183.05574589008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121751</v>
      </c>
      <c r="B93" s="66">
        <v>121751</v>
      </c>
      <c r="D93">
        <f t="shared" si="5"/>
        <v>79.00727444987379</v>
      </c>
      <c r="E93">
        <f t="shared" si="6"/>
        <v>79.00727444987379</v>
      </c>
      <c r="G93">
        <f t="shared" ca="1" si="7"/>
        <v>91</v>
      </c>
      <c r="H93">
        <f t="shared" ca="1" si="8"/>
        <v>7189.6619749385145</v>
      </c>
      <c r="I93">
        <f t="shared" ca="1" si="9"/>
        <v>21861.717322198634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133409</v>
      </c>
      <c r="B95" s="66">
        <v>133409</v>
      </c>
      <c r="D95">
        <f t="shared" si="5"/>
        <v>86.572442748586965</v>
      </c>
      <c r="E95">
        <f t="shared" si="6"/>
        <v>86.572442748586965</v>
      </c>
      <c r="G95">
        <f t="shared" ca="1" si="7"/>
        <v>93</v>
      </c>
      <c r="H95">
        <f t="shared" ca="1" si="8"/>
        <v>8051.2371756185876</v>
      </c>
      <c r="I95">
        <f t="shared" ca="1" si="9"/>
        <v>18540.986004306789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141835</v>
      </c>
      <c r="B98" s="66">
        <v>141835</v>
      </c>
      <c r="D98">
        <f t="shared" si="5"/>
        <v>92.040285267454465</v>
      </c>
      <c r="E98">
        <f t="shared" si="6"/>
        <v>92.040285267454465</v>
      </c>
      <c r="G98">
        <f t="shared" ca="1" si="7"/>
        <v>96</v>
      </c>
      <c r="H98">
        <f t="shared" ca="1" si="8"/>
        <v>8835.8673856756286</v>
      </c>
      <c r="I98">
        <f t="shared" ca="1" si="9"/>
        <v>12458.624705078846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148250</v>
      </c>
      <c r="B100" s="66">
        <v>148250</v>
      </c>
      <c r="D100">
        <f t="shared" si="5"/>
        <v>96.203139499419208</v>
      </c>
      <c r="E100">
        <f t="shared" si="6"/>
        <v>96.203139499419208</v>
      </c>
      <c r="G100">
        <f t="shared" ca="1" si="7"/>
        <v>98</v>
      </c>
      <c r="H100">
        <f t="shared" ca="1" si="8"/>
        <v>9427.9076709430828</v>
      </c>
      <c r="I100">
        <f t="shared" ca="1" si="9"/>
        <v>8929.8388549517149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151165</v>
      </c>
      <c r="B103" s="66">
        <v>151165</v>
      </c>
      <c r="D103">
        <f t="shared" si="5"/>
        <v>98.094756036625327</v>
      </c>
      <c r="E103">
        <f t="shared" si="6"/>
        <v>98.094756036625327</v>
      </c>
      <c r="G103">
        <f t="shared" ca="1" si="7"/>
        <v>101</v>
      </c>
      <c r="H103">
        <f t="shared" ca="1" si="8"/>
        <v>9907.5703596991589</v>
      </c>
      <c r="I103">
        <f t="shared" ca="1" si="9"/>
        <v>4317.7391425675933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151499</v>
      </c>
      <c r="B106" s="66">
        <v>151499</v>
      </c>
      <c r="D106">
        <f t="shared" si="5"/>
        <v>98.311497005210867</v>
      </c>
      <c r="E106">
        <f t="shared" si="6"/>
        <v>98.311497005210867</v>
      </c>
      <c r="G106">
        <f t="shared" ca="1" si="7"/>
        <v>104</v>
      </c>
      <c r="H106">
        <f t="shared" ca="1" si="8"/>
        <v>10224.39568854193</v>
      </c>
      <c r="I106">
        <f t="shared" ca="1" si="9"/>
        <v>1298.6230015183426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148936</v>
      </c>
      <c r="B108" s="66">
        <v>148936</v>
      </c>
      <c r="D108">
        <f t="shared" si="5"/>
        <v>96.648302087591901</v>
      </c>
      <c r="E108">
        <f t="shared" si="6"/>
        <v>96.648302087591901</v>
      </c>
      <c r="G108">
        <f t="shared" ca="1" si="7"/>
        <v>106</v>
      </c>
      <c r="H108">
        <f t="shared" ca="1" si="8"/>
        <v>10244.720021284742</v>
      </c>
      <c r="I108">
        <f t="shared" ca="1" si="9"/>
        <v>258.19069504378916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154101</v>
      </c>
      <c r="B111" s="66">
        <v>154101</v>
      </c>
      <c r="D111">
        <f t="shared" si="5"/>
        <v>100</v>
      </c>
      <c r="E111">
        <f t="shared" si="6"/>
        <v>100</v>
      </c>
      <c r="G111">
        <f t="shared" ca="1" si="7"/>
        <v>109</v>
      </c>
      <c r="H111">
        <f t="shared" ca="1" si="8"/>
        <v>10900</v>
      </c>
      <c r="I111">
        <f t="shared" ca="1" si="9"/>
        <v>186.4710979334117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145874</v>
      </c>
      <c r="B113" s="66">
        <v>145874</v>
      </c>
      <c r="D113">
        <f t="shared" si="5"/>
        <v>94.661293567205917</v>
      </c>
      <c r="E113">
        <f t="shared" si="6"/>
        <v>94.661293567205917</v>
      </c>
      <c r="G113">
        <f t="shared" ca="1" si="7"/>
        <v>111</v>
      </c>
      <c r="H113">
        <f t="shared" ca="1" si="8"/>
        <v>10507.403585959857</v>
      </c>
      <c r="I113">
        <f t="shared" ca="1" si="9"/>
        <v>1072.2178516642898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130981</v>
      </c>
      <c r="B116" s="66">
        <v>130981</v>
      </c>
      <c r="D116">
        <f t="shared" si="5"/>
        <v>84.996852713480123</v>
      </c>
      <c r="E116">
        <f t="shared" si="6"/>
        <v>84.996852713480123</v>
      </c>
      <c r="G116">
        <f t="shared" ca="1" si="7"/>
        <v>114</v>
      </c>
      <c r="H116">
        <f t="shared" ca="1" si="8"/>
        <v>9689.6412093367344</v>
      </c>
      <c r="I116">
        <f t="shared" ca="1" si="9"/>
        <v>3444.0854800590482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129366</v>
      </c>
      <c r="B118" s="66">
        <v>129366</v>
      </c>
      <c r="D118">
        <f t="shared" si="5"/>
        <v>83.948838748612928</v>
      </c>
      <c r="E118">
        <f t="shared" si="6"/>
        <v>83.948838748612928</v>
      </c>
      <c r="G118">
        <f t="shared" ca="1" si="7"/>
        <v>116</v>
      </c>
      <c r="H118">
        <f t="shared" ca="1" si="8"/>
        <v>9738.0652948390998</v>
      </c>
      <c r="I118">
        <f t="shared" ca="1" si="9"/>
        <v>5874.9353252909386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123329</v>
      </c>
      <c r="B121" s="66">
        <v>123329</v>
      </c>
      <c r="D121">
        <f t="shared" si="5"/>
        <v>80.031278187682105</v>
      </c>
      <c r="E121">
        <f t="shared" si="6"/>
        <v>80.031278187682105</v>
      </c>
      <c r="G121">
        <f t="shared" ca="1" si="7"/>
        <v>119</v>
      </c>
      <c r="H121">
        <f t="shared" ca="1" si="8"/>
        <v>9523.7221043341706</v>
      </c>
      <c r="I121">
        <f t="shared" ca="1" si="9"/>
        <v>10338.087986919507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114185</v>
      </c>
      <c r="B124" s="66">
        <v>114185</v>
      </c>
      <c r="D124">
        <f t="shared" si="5"/>
        <v>74.09750747886126</v>
      </c>
      <c r="E124">
        <f t="shared" si="6"/>
        <v>74.09750747886126</v>
      </c>
      <c r="G124">
        <f t="shared" ca="1" si="7"/>
        <v>122</v>
      </c>
      <c r="H124">
        <f t="shared" ca="1" si="8"/>
        <v>9039.8959124210742</v>
      </c>
      <c r="I124">
        <f t="shared" ca="1" si="9"/>
        <v>15291.418172661552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110559</v>
      </c>
      <c r="B126" s="66">
        <v>110559</v>
      </c>
      <c r="D126">
        <f t="shared" si="5"/>
        <v>71.744505227091324</v>
      </c>
      <c r="E126">
        <f t="shared" si="6"/>
        <v>71.744505227091324</v>
      </c>
      <c r="G126">
        <f t="shared" ca="1" si="7"/>
        <v>124</v>
      </c>
      <c r="H126">
        <f t="shared" ca="1" si="8"/>
        <v>8896.3186481593239</v>
      </c>
      <c r="I126">
        <f t="shared" ca="1" si="9"/>
        <v>19215.405246080838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104750</v>
      </c>
      <c r="B129" s="66">
        <v>104750</v>
      </c>
      <c r="D129">
        <f t="shared" si="5"/>
        <v>67.974899578847641</v>
      </c>
      <c r="E129">
        <f t="shared" si="6"/>
        <v>67.974899578847641</v>
      </c>
      <c r="G129">
        <f t="shared" ca="1" si="7"/>
        <v>127</v>
      </c>
      <c r="H129">
        <f t="shared" ca="1" si="8"/>
        <v>8632.8122465136512</v>
      </c>
      <c r="I129">
        <f t="shared" ca="1" si="9"/>
        <v>25492.239295661617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98677</v>
      </c>
      <c r="B131" s="66">
        <v>98677</v>
      </c>
      <c r="D131">
        <f t="shared" ref="D131:D194" si="10">IFERROR(100*A131/MAX(A$2:A$257), 0 )</f>
        <v>64.033977715913593</v>
      </c>
      <c r="E131">
        <f t="shared" ref="E131:E194" si="11">IFERROR(100*B131/MAX(B$2:B$257), 0 )</f>
        <v>64.033977715913593</v>
      </c>
      <c r="G131">
        <f t="shared" ref="G131:G194" ca="1" si="12">CELL("row",D131)-2</f>
        <v>129</v>
      </c>
      <c r="H131">
        <f t="shared" ref="H131:H194" ca="1" si="13">D131*G131</f>
        <v>8260.3831253528533</v>
      </c>
      <c r="I131">
        <f t="shared" ref="I131:I194" ca="1" si="14">D131*((G131-$L$1)^2)</f>
        <v>29230.645038691298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95563</v>
      </c>
      <c r="B134" s="66">
        <v>95563</v>
      </c>
      <c r="D134">
        <f t="shared" si="10"/>
        <v>62.013225092634052</v>
      </c>
      <c r="E134">
        <f t="shared" si="11"/>
        <v>62.013225092634052</v>
      </c>
      <c r="G134">
        <f t="shared" ca="1" si="12"/>
        <v>132</v>
      </c>
      <c r="H134">
        <f t="shared" ca="1" si="13"/>
        <v>8185.7457122276946</v>
      </c>
      <c r="I134">
        <f t="shared" ca="1" si="14"/>
        <v>36815.995626675372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88807</v>
      </c>
      <c r="B136" s="66">
        <v>88807</v>
      </c>
      <c r="D136">
        <f t="shared" si="10"/>
        <v>57.629087416694247</v>
      </c>
      <c r="E136">
        <f t="shared" si="11"/>
        <v>57.629087416694247</v>
      </c>
      <c r="G136">
        <f t="shared" ca="1" si="12"/>
        <v>134</v>
      </c>
      <c r="H136">
        <f t="shared" ca="1" si="13"/>
        <v>7722.2977138370288</v>
      </c>
      <c r="I136">
        <f t="shared" ca="1" si="14"/>
        <v>40060.394549253193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86943</v>
      </c>
      <c r="B139" s="66">
        <v>86943</v>
      </c>
      <c r="D139">
        <f t="shared" si="10"/>
        <v>56.419491112971365</v>
      </c>
      <c r="E139">
        <f t="shared" si="11"/>
        <v>56.419491112971365</v>
      </c>
      <c r="G139">
        <f t="shared" ca="1" si="12"/>
        <v>137</v>
      </c>
      <c r="H139">
        <f t="shared" ca="1" si="13"/>
        <v>7729.4702824770766</v>
      </c>
      <c r="I139">
        <f t="shared" ca="1" si="14"/>
        <v>48652.512392922879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85290</v>
      </c>
      <c r="B142" s="66">
        <v>85290</v>
      </c>
      <c r="D142">
        <f t="shared" si="10"/>
        <v>55.346817995989646</v>
      </c>
      <c r="E142">
        <f t="shared" si="11"/>
        <v>55.346817995989646</v>
      </c>
      <c r="G142">
        <f t="shared" ca="1" si="12"/>
        <v>140</v>
      </c>
      <c r="H142">
        <f t="shared" ca="1" si="13"/>
        <v>7748.5545194385504</v>
      </c>
      <c r="I142">
        <f t="shared" ca="1" si="14"/>
        <v>57977.366565699464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79255</v>
      </c>
      <c r="B144" s="66">
        <v>79255</v>
      </c>
      <c r="D144">
        <f t="shared" si="10"/>
        <v>51.430555285170115</v>
      </c>
      <c r="E144">
        <f t="shared" si="11"/>
        <v>51.430555285170115</v>
      </c>
      <c r="G144">
        <f t="shared" ca="1" si="12"/>
        <v>142</v>
      </c>
      <c r="H144">
        <f t="shared" ca="1" si="13"/>
        <v>7303.138850494156</v>
      </c>
      <c r="I144">
        <f t="shared" ca="1" si="14"/>
        <v>60739.00381519831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72315</v>
      </c>
      <c r="B147" s="66">
        <v>72315</v>
      </c>
      <c r="D147">
        <f t="shared" si="10"/>
        <v>46.927015398991571</v>
      </c>
      <c r="E147">
        <f t="shared" si="11"/>
        <v>46.927015398991571</v>
      </c>
      <c r="G147">
        <f t="shared" ca="1" si="12"/>
        <v>145</v>
      </c>
      <c r="H147">
        <f t="shared" ca="1" si="13"/>
        <v>6804.4172328537779</v>
      </c>
      <c r="I147">
        <f t="shared" ca="1" si="14"/>
        <v>65518.743085690716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74345</v>
      </c>
      <c r="B149" s="66">
        <v>74345</v>
      </c>
      <c r="D149">
        <f t="shared" si="10"/>
        <v>48.244333261951574</v>
      </c>
      <c r="E149">
        <f t="shared" si="11"/>
        <v>48.244333261951574</v>
      </c>
      <c r="G149">
        <f t="shared" ca="1" si="12"/>
        <v>147</v>
      </c>
      <c r="H149">
        <f t="shared" ca="1" si="13"/>
        <v>7091.9169895068817</v>
      </c>
      <c r="I149">
        <f t="shared" ca="1" si="14"/>
        <v>74761.641470870702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73724</v>
      </c>
      <c r="B152" s="66">
        <v>73724</v>
      </c>
      <c r="D152">
        <f t="shared" si="10"/>
        <v>47.84135080239583</v>
      </c>
      <c r="E152">
        <f t="shared" si="11"/>
        <v>47.84135080239583</v>
      </c>
      <c r="G152">
        <f t="shared" ca="1" si="12"/>
        <v>150</v>
      </c>
      <c r="H152">
        <f t="shared" ca="1" si="13"/>
        <v>7176.2026203593741</v>
      </c>
      <c r="I152">
        <f t="shared" ca="1" si="14"/>
        <v>85867.538302500092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65391</v>
      </c>
      <c r="B154" s="66">
        <v>65391</v>
      </c>
      <c r="D154">
        <f t="shared" si="10"/>
        <v>42.433858313703354</v>
      </c>
      <c r="E154">
        <f t="shared" si="11"/>
        <v>42.433858313703354</v>
      </c>
      <c r="G154">
        <f t="shared" ca="1" si="12"/>
        <v>152</v>
      </c>
      <c r="H154">
        <f t="shared" ca="1" si="13"/>
        <v>6449.9464636829098</v>
      </c>
      <c r="I154">
        <f t="shared" ca="1" si="14"/>
        <v>83522.627509422673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62609</v>
      </c>
      <c r="B157" s="66">
        <v>62609</v>
      </c>
      <c r="D157">
        <f t="shared" si="10"/>
        <v>40.62854880889806</v>
      </c>
      <c r="E157">
        <f t="shared" si="11"/>
        <v>40.62854880889806</v>
      </c>
      <c r="G157">
        <f t="shared" ca="1" si="12"/>
        <v>155</v>
      </c>
      <c r="H157">
        <f t="shared" ca="1" si="13"/>
        <v>6297.4250653791996</v>
      </c>
      <c r="I157">
        <f t="shared" ca="1" si="14"/>
        <v>91149.937088777748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58303</v>
      </c>
      <c r="B160" s="66">
        <v>58303</v>
      </c>
      <c r="D160">
        <f t="shared" si="10"/>
        <v>37.834277519289294</v>
      </c>
      <c r="E160">
        <f t="shared" si="11"/>
        <v>37.834277519289294</v>
      </c>
      <c r="G160">
        <f t="shared" ca="1" si="12"/>
        <v>158</v>
      </c>
      <c r="H160">
        <f t="shared" ca="1" si="13"/>
        <v>5977.8158480477086</v>
      </c>
      <c r="I160">
        <f t="shared" ca="1" si="14"/>
        <v>95973.759406133686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49560</v>
      </c>
      <c r="B162" s="66">
        <v>49560</v>
      </c>
      <c r="D162">
        <f t="shared" si="10"/>
        <v>32.160725757782231</v>
      </c>
      <c r="E162">
        <f t="shared" si="11"/>
        <v>32.160725757782231</v>
      </c>
      <c r="G162">
        <f t="shared" ca="1" si="12"/>
        <v>160</v>
      </c>
      <c r="H162">
        <f t="shared" ca="1" si="13"/>
        <v>5145.7161212451574</v>
      </c>
      <c r="I162">
        <f t="shared" ca="1" si="14"/>
        <v>88189.541212737138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44911</v>
      </c>
      <c r="B165" s="66">
        <v>44911</v>
      </c>
      <c r="D165">
        <f t="shared" si="10"/>
        <v>29.143873174087126</v>
      </c>
      <c r="E165">
        <f t="shared" si="11"/>
        <v>29.143873174087126</v>
      </c>
      <c r="G165">
        <f t="shared" ca="1" si="12"/>
        <v>163</v>
      </c>
      <c r="H165">
        <f t="shared" ca="1" si="13"/>
        <v>4750.4513273762013</v>
      </c>
      <c r="I165">
        <f t="shared" ca="1" si="14"/>
        <v>89335.981769394653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36847</v>
      </c>
      <c r="B167" s="66">
        <v>36847</v>
      </c>
      <c r="D167">
        <f t="shared" si="10"/>
        <v>23.910941525363235</v>
      </c>
      <c r="E167">
        <f t="shared" si="11"/>
        <v>23.910941525363235</v>
      </c>
      <c r="G167">
        <f t="shared" ca="1" si="12"/>
        <v>165</v>
      </c>
      <c r="H167">
        <f t="shared" ca="1" si="13"/>
        <v>3945.3053516849336</v>
      </c>
      <c r="I167">
        <f t="shared" ca="1" si="14"/>
        <v>78686.261757422224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32266</v>
      </c>
      <c r="B170" s="66">
        <v>32266</v>
      </c>
      <c r="D170">
        <f t="shared" si="10"/>
        <v>20.93821584545201</v>
      </c>
      <c r="E170">
        <f t="shared" si="11"/>
        <v>20.93821584545201</v>
      </c>
      <c r="G170">
        <f t="shared" ca="1" si="12"/>
        <v>168</v>
      </c>
      <c r="H170">
        <f t="shared" ca="1" si="13"/>
        <v>3517.6202620359377</v>
      </c>
      <c r="I170">
        <f t="shared" ca="1" si="14"/>
        <v>76298.836080856039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25567</v>
      </c>
      <c r="B173" s="66">
        <v>25567</v>
      </c>
      <c r="D173">
        <f t="shared" si="10"/>
        <v>16.591066897683987</v>
      </c>
      <c r="E173">
        <f t="shared" si="11"/>
        <v>16.591066897683987</v>
      </c>
      <c r="G173">
        <f t="shared" ca="1" si="12"/>
        <v>171</v>
      </c>
      <c r="H173">
        <f t="shared" ca="1" si="13"/>
        <v>2837.072439503962</v>
      </c>
      <c r="I173">
        <f t="shared" ca="1" si="14"/>
        <v>66616.322273811151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21233</v>
      </c>
      <c r="B175" s="66">
        <v>21233</v>
      </c>
      <c r="D175">
        <f t="shared" si="10"/>
        <v>13.778625706517154</v>
      </c>
      <c r="E175">
        <f t="shared" si="11"/>
        <v>13.778625706517154</v>
      </c>
      <c r="G175">
        <f t="shared" ca="1" si="12"/>
        <v>173</v>
      </c>
      <c r="H175">
        <f t="shared" ca="1" si="13"/>
        <v>2383.7022472274675</v>
      </c>
      <c r="I175">
        <f t="shared" ca="1" si="14"/>
        <v>58871.305329064722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14207</v>
      </c>
      <c r="B178" s="66">
        <v>14207</v>
      </c>
      <c r="D178">
        <f t="shared" si="10"/>
        <v>9.2192782655531111</v>
      </c>
      <c r="E178">
        <f t="shared" si="11"/>
        <v>9.2192782655531111</v>
      </c>
      <c r="G178">
        <f t="shared" ca="1" si="12"/>
        <v>176</v>
      </c>
      <c r="H178">
        <f t="shared" ca="1" si="13"/>
        <v>1622.5929747373475</v>
      </c>
      <c r="I178">
        <f t="shared" ca="1" si="14"/>
        <v>43089.501914380082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7633</v>
      </c>
      <c r="B180" s="66">
        <v>7633</v>
      </c>
      <c r="D180">
        <f t="shared" si="10"/>
        <v>4.9532449497407542</v>
      </c>
      <c r="E180">
        <f t="shared" si="11"/>
        <v>4.9532449497407542</v>
      </c>
      <c r="G180">
        <f t="shared" ca="1" si="12"/>
        <v>178</v>
      </c>
      <c r="H180">
        <f t="shared" ca="1" si="13"/>
        <v>881.67760105385423</v>
      </c>
      <c r="I180">
        <f t="shared" ca="1" si="14"/>
        <v>24525.050318153935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5946</v>
      </c>
      <c r="B183" s="66">
        <v>5946</v>
      </c>
      <c r="D183">
        <f t="shared" si="10"/>
        <v>3.8585083808670935</v>
      </c>
      <c r="E183">
        <f t="shared" si="11"/>
        <v>3.8585083808670935</v>
      </c>
      <c r="G183">
        <f t="shared" ca="1" si="12"/>
        <v>181</v>
      </c>
      <c r="H183">
        <f t="shared" ca="1" si="13"/>
        <v>698.39001693694388</v>
      </c>
      <c r="I183">
        <f t="shared" ca="1" si="14"/>
        <v>20768.433231432744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3759</v>
      </c>
      <c r="B185" s="66">
        <v>3759</v>
      </c>
      <c r="D185">
        <f t="shared" si="10"/>
        <v>2.4393092841707711</v>
      </c>
      <c r="E185">
        <f t="shared" si="11"/>
        <v>2.4393092841707711</v>
      </c>
      <c r="G185">
        <f t="shared" ca="1" si="12"/>
        <v>183</v>
      </c>
      <c r="H185">
        <f t="shared" ca="1" si="13"/>
        <v>446.3935990032511</v>
      </c>
      <c r="I185">
        <f t="shared" ca="1" si="14"/>
        <v>13855.191976655206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1381</v>
      </c>
      <c r="B188" s="66">
        <v>1381</v>
      </c>
      <c r="D188">
        <f t="shared" si="10"/>
        <v>0.89616550184619181</v>
      </c>
      <c r="E188">
        <f t="shared" si="11"/>
        <v>0.89616550184619181</v>
      </c>
      <c r="G188">
        <f t="shared" ca="1" si="12"/>
        <v>186</v>
      </c>
      <c r="H188">
        <f t="shared" ca="1" si="13"/>
        <v>166.68678334339168</v>
      </c>
      <c r="I188">
        <f t="shared" ca="1" si="14"/>
        <v>5503.4944058709098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967</v>
      </c>
      <c r="B191" s="66">
        <v>967</v>
      </c>
      <c r="D191">
        <f t="shared" si="10"/>
        <v>0.6275105288090278</v>
      </c>
      <c r="E191">
        <f t="shared" si="11"/>
        <v>0.6275105288090278</v>
      </c>
      <c r="G191">
        <f t="shared" ca="1" si="12"/>
        <v>189</v>
      </c>
      <c r="H191">
        <f t="shared" ca="1" si="13"/>
        <v>118.59948994490625</v>
      </c>
      <c r="I191">
        <f t="shared" ca="1" si="14"/>
        <v>4154.3404488707492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510</v>
      </c>
      <c r="B193" s="66">
        <v>510</v>
      </c>
      <c r="D193">
        <f t="shared" si="10"/>
        <v>0.33095177837911499</v>
      </c>
      <c r="E193">
        <f t="shared" si="11"/>
        <v>0.33095177837911499</v>
      </c>
      <c r="G193">
        <f t="shared" ca="1" si="12"/>
        <v>191</v>
      </c>
      <c r="H193">
        <f t="shared" ca="1" si="13"/>
        <v>63.211789670410965</v>
      </c>
      <c r="I193">
        <f t="shared" ca="1" si="14"/>
        <v>2300.0532897344051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317</v>
      </c>
      <c r="B196" s="66">
        <v>317</v>
      </c>
      <c r="D196">
        <f t="shared" si="15"/>
        <v>0.20570924263956755</v>
      </c>
      <c r="E196">
        <f t="shared" si="16"/>
        <v>0.20570924263956755</v>
      </c>
      <c r="G196">
        <f t="shared" ca="1" si="17"/>
        <v>194</v>
      </c>
      <c r="H196">
        <f t="shared" ca="1" si="18"/>
        <v>39.907593072076104</v>
      </c>
      <c r="I196">
        <f t="shared" ca="1" si="19"/>
        <v>1534.3867273135509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55</v>
      </c>
      <c r="B198" s="66">
        <v>55</v>
      </c>
      <c r="D198">
        <f t="shared" si="15"/>
        <v>3.5690878060492794E-2</v>
      </c>
      <c r="E198">
        <f t="shared" si="16"/>
        <v>3.5690878060492794E-2</v>
      </c>
      <c r="G198">
        <f t="shared" ca="1" si="17"/>
        <v>196</v>
      </c>
      <c r="H198">
        <f t="shared" ca="1" si="18"/>
        <v>6.9954120998565879</v>
      </c>
      <c r="I198">
        <f t="shared" ca="1" si="19"/>
        <v>278.69112929706193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0.248309</v>
      </c>
      <c r="B2" s="68">
        <v>0.50712699999999999</v>
      </c>
      <c r="C2" s="68">
        <v>0</v>
      </c>
      <c r="D2" s="68">
        <v>1</v>
      </c>
      <c r="E2" s="68" t="s">
        <v>356</v>
      </c>
    </row>
    <row r="3" spans="1:5">
      <c r="A3" s="68">
        <v>0.25605699999999998</v>
      </c>
      <c r="B3" s="68">
        <v>0.49651499999999998</v>
      </c>
      <c r="C3" s="68">
        <v>0.405783</v>
      </c>
      <c r="D3" s="89">
        <v>1</v>
      </c>
      <c r="E3" s="68" t="s">
        <v>357</v>
      </c>
    </row>
    <row r="4" spans="1:5">
      <c r="A4" s="68">
        <v>0.26390799999999998</v>
      </c>
      <c r="B4" s="68">
        <v>0.48635899999999999</v>
      </c>
      <c r="C4" s="68">
        <v>0.81308400000000003</v>
      </c>
      <c r="D4" s="89">
        <v>1</v>
      </c>
      <c r="E4" s="68" t="s">
        <v>358</v>
      </c>
    </row>
    <row r="5" spans="1:5">
      <c r="A5" s="89">
        <v>0.27215299999999998</v>
      </c>
      <c r="B5" s="89">
        <v>0.474908</v>
      </c>
      <c r="C5" s="89">
        <v>1.22045</v>
      </c>
      <c r="D5" s="89">
        <v>1</v>
      </c>
      <c r="E5" s="68" t="s">
        <v>359</v>
      </c>
    </row>
    <row r="6" spans="1:5">
      <c r="A6" s="68">
        <v>0.280725</v>
      </c>
      <c r="B6" s="68">
        <v>0.46262399999999998</v>
      </c>
      <c r="C6" s="68">
        <v>1.6277900000000001</v>
      </c>
      <c r="D6" s="68">
        <v>1</v>
      </c>
      <c r="E6" s="68" t="s">
        <v>360</v>
      </c>
    </row>
    <row r="7" spans="1:5">
      <c r="A7" s="68">
        <v>0.28950300000000001</v>
      </c>
      <c r="B7" s="68">
        <v>0.45045800000000003</v>
      </c>
      <c r="C7" s="68">
        <v>2.03077</v>
      </c>
      <c r="D7" s="68">
        <v>1</v>
      </c>
      <c r="E7" s="68" t="s">
        <v>361</v>
      </c>
    </row>
    <row r="8" spans="1:5">
      <c r="A8" s="68">
        <v>0.298261</v>
      </c>
      <c r="B8" s="68">
        <v>0.43964599999999998</v>
      </c>
      <c r="C8" s="68">
        <v>2.4384800000000002</v>
      </c>
      <c r="D8" s="68">
        <v>1</v>
      </c>
      <c r="E8" s="68" t="s">
        <v>362</v>
      </c>
    </row>
    <row r="9" spans="1:5">
      <c r="A9" s="68">
        <v>0.306811</v>
      </c>
      <c r="B9" s="68">
        <v>0.43056899999999998</v>
      </c>
      <c r="C9" s="68">
        <v>2.8420899999999998</v>
      </c>
      <c r="D9" s="68">
        <v>1</v>
      </c>
      <c r="E9" s="68" t="s">
        <v>363</v>
      </c>
    </row>
    <row r="10" spans="1:5">
      <c r="A10" s="68">
        <v>0.31497700000000001</v>
      </c>
      <c r="B10" s="68">
        <v>0.42399199999999998</v>
      </c>
      <c r="C10" s="68">
        <v>3.2501000000000002</v>
      </c>
      <c r="D10" s="68">
        <v>1</v>
      </c>
      <c r="E10" s="68" t="s">
        <v>364</v>
      </c>
    </row>
    <row r="11" spans="1:5">
      <c r="A11" s="68">
        <v>0.32276700000000003</v>
      </c>
      <c r="B11" s="68">
        <v>0.41947899999999999</v>
      </c>
      <c r="C11" s="68">
        <v>3.6564199999999998</v>
      </c>
      <c r="D11" s="68">
        <v>1</v>
      </c>
      <c r="E11" s="68" t="s">
        <v>365</v>
      </c>
    </row>
    <row r="12" spans="1:5">
      <c r="A12" s="68">
        <v>0.32989800000000002</v>
      </c>
      <c r="B12" s="68">
        <v>0.41708499999999998</v>
      </c>
      <c r="C12" s="68">
        <v>4.06501</v>
      </c>
      <c r="D12" s="68">
        <v>1</v>
      </c>
      <c r="E12" s="68" t="s">
        <v>366</v>
      </c>
    </row>
    <row r="13" spans="1:5">
      <c r="A13" s="68">
        <v>0.33649899999999999</v>
      </c>
      <c r="B13" s="68">
        <v>0.416244</v>
      </c>
      <c r="C13" s="68">
        <v>4.4675200000000004</v>
      </c>
      <c r="D13" s="68">
        <v>1</v>
      </c>
      <c r="E13" s="68" t="s">
        <v>367</v>
      </c>
    </row>
    <row r="14" spans="1:5">
      <c r="A14" s="68">
        <v>0.34236100000000003</v>
      </c>
      <c r="B14" s="68">
        <v>0.41735699999999998</v>
      </c>
      <c r="C14" s="68">
        <v>4.8743400000000001</v>
      </c>
      <c r="D14" s="68">
        <v>1</v>
      </c>
      <c r="E14" s="68" t="s">
        <v>368</v>
      </c>
    </row>
    <row r="15" spans="1:5">
      <c r="A15" s="68">
        <v>0.34765600000000002</v>
      </c>
      <c r="B15" s="68">
        <v>0.41947899999999999</v>
      </c>
      <c r="C15" s="68">
        <v>5.2826599999999999</v>
      </c>
      <c r="D15" s="68">
        <v>1</v>
      </c>
      <c r="E15" s="68" t="s">
        <v>369</v>
      </c>
    </row>
    <row r="16" spans="1:5">
      <c r="A16" s="68">
        <v>0.35255399999999998</v>
      </c>
      <c r="B16" s="68">
        <v>0.42217399999999999</v>
      </c>
      <c r="C16" s="68">
        <v>5.6898999999999997</v>
      </c>
      <c r="D16" s="68">
        <v>1</v>
      </c>
      <c r="E16" s="68" t="s">
        <v>370</v>
      </c>
    </row>
    <row r="17" spans="1:5">
      <c r="A17" s="68">
        <v>0.35706199999999999</v>
      </c>
      <c r="B17" s="68">
        <v>0.425263</v>
      </c>
      <c r="C17" s="68">
        <v>6.0939399999999999</v>
      </c>
      <c r="D17" s="68">
        <v>1</v>
      </c>
      <c r="E17" s="68" t="s">
        <v>371</v>
      </c>
    </row>
    <row r="18" spans="1:5">
      <c r="A18" s="68">
        <v>0.36126999999999998</v>
      </c>
      <c r="B18" s="68">
        <v>0.427649</v>
      </c>
      <c r="C18" s="68">
        <v>6.4990500000000004</v>
      </c>
      <c r="D18" s="68">
        <v>1</v>
      </c>
      <c r="E18" s="68" t="s">
        <v>372</v>
      </c>
    </row>
    <row r="19" spans="1:5">
      <c r="A19" s="68">
        <v>0.36513699999999999</v>
      </c>
      <c r="B19" s="68">
        <v>0.42997600000000002</v>
      </c>
      <c r="C19" s="68">
        <v>6.90571</v>
      </c>
      <c r="D19" s="68">
        <v>1</v>
      </c>
      <c r="E19" s="68" t="s">
        <v>373</v>
      </c>
    </row>
    <row r="20" spans="1:5">
      <c r="A20" s="68">
        <v>0.36857600000000001</v>
      </c>
      <c r="B20" s="68">
        <v>0.43246899999999999</v>
      </c>
      <c r="C20" s="68">
        <v>7.3157699999999997</v>
      </c>
      <c r="D20" s="68">
        <v>1</v>
      </c>
      <c r="E20" s="68" t="s">
        <v>374</v>
      </c>
    </row>
    <row r="21" spans="1:5">
      <c r="A21" s="68">
        <v>0.37166300000000002</v>
      </c>
      <c r="B21" s="68">
        <v>0.43518899999999999</v>
      </c>
      <c r="C21" s="68">
        <v>7.7207800000000004</v>
      </c>
      <c r="D21" s="68">
        <v>1</v>
      </c>
      <c r="E21" s="68" t="s">
        <v>375</v>
      </c>
    </row>
    <row r="22" spans="1:5">
      <c r="A22" s="68">
        <v>0.374641</v>
      </c>
      <c r="B22" s="68">
        <v>0.43729299999999999</v>
      </c>
      <c r="C22" s="68">
        <v>8.1251700000000007</v>
      </c>
      <c r="D22" s="68">
        <v>1</v>
      </c>
      <c r="E22" s="68" t="s">
        <v>376</v>
      </c>
    </row>
    <row r="23" spans="1:5">
      <c r="A23" s="68">
        <v>0.37737999999999999</v>
      </c>
      <c r="B23" s="68">
        <v>0.43868400000000002</v>
      </c>
      <c r="C23" s="68">
        <v>8.5315499999999993</v>
      </c>
      <c r="D23" s="68">
        <v>1</v>
      </c>
      <c r="E23" s="68" t="s">
        <v>377</v>
      </c>
    </row>
    <row r="24" spans="1:5">
      <c r="A24" s="68">
        <v>0.379828</v>
      </c>
      <c r="B24" s="68">
        <v>0.43970199999999998</v>
      </c>
      <c r="C24" s="68">
        <v>8.9373699999999996</v>
      </c>
      <c r="D24" s="68">
        <v>1</v>
      </c>
      <c r="E24" s="68" t="s">
        <v>378</v>
      </c>
    </row>
    <row r="25" spans="1:5">
      <c r="A25" s="68">
        <v>0.38176199999999999</v>
      </c>
      <c r="B25" s="68">
        <v>0.44045299999999998</v>
      </c>
      <c r="C25" s="68">
        <v>9.3450399999999991</v>
      </c>
      <c r="D25" s="68">
        <v>1</v>
      </c>
      <c r="E25" s="68" t="s">
        <v>379</v>
      </c>
    </row>
    <row r="26" spans="1:5">
      <c r="A26" s="68">
        <v>0.38363199999999997</v>
      </c>
      <c r="B26" s="68">
        <v>0.44097799999999998</v>
      </c>
      <c r="C26" s="68">
        <v>9.7535299999999996</v>
      </c>
      <c r="D26" s="68">
        <v>1</v>
      </c>
      <c r="E26" s="68" t="s">
        <v>380</v>
      </c>
    </row>
    <row r="27" spans="1:5">
      <c r="A27" s="68">
        <v>0.38527499999999998</v>
      </c>
      <c r="B27" s="68">
        <v>0.441195</v>
      </c>
      <c r="C27" s="68">
        <v>10.156599999999999</v>
      </c>
      <c r="D27" s="68">
        <v>1</v>
      </c>
      <c r="E27" s="68" t="s">
        <v>381</v>
      </c>
    </row>
    <row r="28" spans="1:5">
      <c r="A28" s="68">
        <v>0.38680100000000001</v>
      </c>
      <c r="B28" s="68">
        <v>0.44105100000000003</v>
      </c>
      <c r="C28" s="68">
        <v>10.5603</v>
      </c>
      <c r="D28" s="68">
        <v>1</v>
      </c>
      <c r="E28" s="68" t="s">
        <v>382</v>
      </c>
    </row>
    <row r="29" spans="1:5">
      <c r="A29" s="68">
        <v>0.38802999999999999</v>
      </c>
      <c r="B29" s="68">
        <v>0.44036700000000001</v>
      </c>
      <c r="C29" s="68">
        <v>10.968500000000001</v>
      </c>
      <c r="D29" s="68">
        <v>1</v>
      </c>
      <c r="E29" s="68" t="s">
        <v>383</v>
      </c>
    </row>
    <row r="30" spans="1:5">
      <c r="A30" s="68">
        <v>0.38880100000000001</v>
      </c>
      <c r="B30" s="68">
        <v>0.43909900000000002</v>
      </c>
      <c r="C30" s="68">
        <v>11.3767</v>
      </c>
      <c r="D30" s="68">
        <v>1</v>
      </c>
      <c r="E30" s="68" t="s">
        <v>384</v>
      </c>
    </row>
    <row r="31" spans="1:5">
      <c r="A31" s="68">
        <v>0.389075</v>
      </c>
      <c r="B31" s="68">
        <v>0.43764999999999998</v>
      </c>
      <c r="C31" s="68">
        <v>11.782500000000001</v>
      </c>
      <c r="D31" s="68">
        <v>1</v>
      </c>
      <c r="E31" s="68" t="s">
        <v>385</v>
      </c>
    </row>
    <row r="32" spans="1:5">
      <c r="A32" s="68">
        <v>0.38904899999999998</v>
      </c>
      <c r="B32" s="68">
        <v>0.43606699999999998</v>
      </c>
      <c r="C32" s="68">
        <v>12.188599999999999</v>
      </c>
      <c r="D32" s="68">
        <v>1</v>
      </c>
      <c r="E32" s="68" t="s">
        <v>386</v>
      </c>
    </row>
    <row r="33" spans="1:5">
      <c r="A33" s="68">
        <v>0.38879399999999997</v>
      </c>
      <c r="B33" s="68">
        <v>0.43453000000000003</v>
      </c>
      <c r="C33" s="68">
        <v>12.590999999999999</v>
      </c>
      <c r="D33" s="68">
        <v>1</v>
      </c>
      <c r="E33" s="68" t="s">
        <v>387</v>
      </c>
    </row>
    <row r="34" spans="1:5">
      <c r="A34" s="68">
        <v>0.38842300000000002</v>
      </c>
      <c r="B34" s="68">
        <v>0.43307000000000001</v>
      </c>
      <c r="C34" s="68">
        <v>12.9983</v>
      </c>
      <c r="D34" s="68">
        <v>1</v>
      </c>
      <c r="E34" s="68" t="s">
        <v>388</v>
      </c>
    </row>
    <row r="35" spans="1:5">
      <c r="A35" s="68">
        <v>0.388042</v>
      </c>
      <c r="B35" s="68">
        <v>0.43156800000000001</v>
      </c>
      <c r="C35" s="68">
        <v>13.4033</v>
      </c>
      <c r="D35" s="68">
        <v>1</v>
      </c>
      <c r="E35" s="68" t="s">
        <v>389</v>
      </c>
    </row>
    <row r="36" spans="1:5">
      <c r="A36" s="68">
        <v>0.38749699999999998</v>
      </c>
      <c r="B36" s="68">
        <v>0.42991600000000002</v>
      </c>
      <c r="C36" s="68">
        <v>13.8133</v>
      </c>
      <c r="D36" s="68">
        <v>1</v>
      </c>
      <c r="E36" s="68" t="s">
        <v>390</v>
      </c>
    </row>
    <row r="37" spans="1:5">
      <c r="A37" s="68">
        <v>0.38694699999999999</v>
      </c>
      <c r="B37" s="68">
        <v>0.42820200000000003</v>
      </c>
      <c r="C37" s="68">
        <v>14.2203</v>
      </c>
      <c r="D37" s="68">
        <v>1</v>
      </c>
      <c r="E37" s="68" t="s">
        <v>391</v>
      </c>
    </row>
    <row r="38" spans="1:5">
      <c r="A38" s="68">
        <v>0.38641399999999998</v>
      </c>
      <c r="B38" s="68">
        <v>0.42597200000000002</v>
      </c>
      <c r="C38" s="68">
        <v>14.6275</v>
      </c>
      <c r="D38" s="68">
        <v>1</v>
      </c>
      <c r="E38" s="68" t="s">
        <v>392</v>
      </c>
    </row>
    <row r="39" spans="1:5">
      <c r="A39" s="68">
        <v>0.38605200000000001</v>
      </c>
      <c r="B39" s="68">
        <v>0.42282799999999998</v>
      </c>
      <c r="C39" s="68">
        <v>15.0282</v>
      </c>
      <c r="D39" s="68">
        <v>1</v>
      </c>
      <c r="E39" s="68" t="s">
        <v>393</v>
      </c>
    </row>
    <row r="40" spans="1:5">
      <c r="A40" s="68">
        <v>0.38577499999999998</v>
      </c>
      <c r="B40" s="68">
        <v>0.41931400000000002</v>
      </c>
      <c r="C40" s="68">
        <v>15.4369</v>
      </c>
      <c r="D40" s="68">
        <v>1</v>
      </c>
      <c r="E40" s="68" t="s">
        <v>394</v>
      </c>
    </row>
    <row r="41" spans="1:5">
      <c r="A41" s="68">
        <v>0.38568999999999998</v>
      </c>
      <c r="B41" s="68">
        <v>0.41528799999999999</v>
      </c>
      <c r="C41" s="68">
        <v>15.841100000000001</v>
      </c>
      <c r="D41" s="68">
        <v>1</v>
      </c>
      <c r="E41" s="68" t="s">
        <v>395</v>
      </c>
    </row>
    <row r="42" spans="1:5">
      <c r="A42" s="68">
        <v>0.385519</v>
      </c>
      <c r="B42" s="68">
        <v>0.41099200000000002</v>
      </c>
      <c r="C42" s="68">
        <v>16.252600000000001</v>
      </c>
      <c r="D42" s="68">
        <v>1</v>
      </c>
      <c r="E42" s="68" t="s">
        <v>396</v>
      </c>
    </row>
    <row r="43" spans="1:5">
      <c r="A43" s="68">
        <v>0.38516099999999998</v>
      </c>
      <c r="B43" s="68">
        <v>0.40720000000000001</v>
      </c>
      <c r="C43" s="68">
        <v>16.657299999999999</v>
      </c>
      <c r="D43" s="68">
        <v>1</v>
      </c>
      <c r="E43" s="68" t="s">
        <v>397</v>
      </c>
    </row>
    <row r="44" spans="1:5">
      <c r="A44" s="68">
        <v>0.38492500000000002</v>
      </c>
      <c r="B44" s="68">
        <v>0.40293299999999999</v>
      </c>
      <c r="C44" s="68">
        <v>17.062899999999999</v>
      </c>
      <c r="D44" s="68">
        <v>1</v>
      </c>
      <c r="E44" s="68" t="s">
        <v>398</v>
      </c>
    </row>
    <row r="45" spans="1:5">
      <c r="A45" s="68">
        <v>0.38485599999999998</v>
      </c>
      <c r="B45" s="68">
        <v>0.39865200000000001</v>
      </c>
      <c r="C45" s="68">
        <v>17.466899999999999</v>
      </c>
      <c r="D45" s="68">
        <v>1</v>
      </c>
      <c r="E45" s="68" t="s">
        <v>399</v>
      </c>
    </row>
    <row r="46" spans="1:5">
      <c r="A46" s="68">
        <v>0.38468999999999998</v>
      </c>
      <c r="B46" s="68">
        <v>0.39413799999999999</v>
      </c>
      <c r="C46" s="68">
        <v>17.874099999999999</v>
      </c>
      <c r="D46" s="68">
        <v>1</v>
      </c>
      <c r="E46" s="68" t="s">
        <v>400</v>
      </c>
    </row>
    <row r="47" spans="1:5">
      <c r="A47" s="68">
        <v>0.38427099999999997</v>
      </c>
      <c r="B47" s="68">
        <v>0.38945000000000002</v>
      </c>
      <c r="C47" s="68">
        <v>18.282599999999999</v>
      </c>
      <c r="D47" s="68">
        <v>1</v>
      </c>
      <c r="E47" s="68" t="s">
        <v>401</v>
      </c>
    </row>
    <row r="48" spans="1:5">
      <c r="A48" s="68">
        <v>0.38377899999999998</v>
      </c>
      <c r="B48" s="68">
        <v>0.38523499999999999</v>
      </c>
      <c r="C48" s="68">
        <v>18.687100000000001</v>
      </c>
      <c r="D48" s="68">
        <v>1</v>
      </c>
      <c r="E48" s="68" t="s">
        <v>402</v>
      </c>
    </row>
    <row r="49" spans="1:5">
      <c r="A49" s="68">
        <v>0.38353999999999999</v>
      </c>
      <c r="B49" s="68">
        <v>0.381324</v>
      </c>
      <c r="C49" s="68">
        <v>19.094899999999999</v>
      </c>
      <c r="D49" s="68">
        <v>1</v>
      </c>
      <c r="E49" s="68" t="s">
        <v>403</v>
      </c>
    </row>
    <row r="50" spans="1:5">
      <c r="A50" s="68">
        <v>0.38366899999999998</v>
      </c>
      <c r="B50" s="68">
        <v>0.37738100000000002</v>
      </c>
      <c r="C50" s="68">
        <v>19.499300000000002</v>
      </c>
      <c r="D50" s="68">
        <v>1</v>
      </c>
      <c r="E50" s="68" t="s">
        <v>404</v>
      </c>
    </row>
    <row r="51" spans="1:5">
      <c r="A51" s="68">
        <v>0.38391999999999998</v>
      </c>
      <c r="B51" s="68">
        <v>0.37357000000000001</v>
      </c>
      <c r="C51" s="68">
        <v>19.908200000000001</v>
      </c>
      <c r="D51" s="68">
        <v>1</v>
      </c>
      <c r="E51" s="68" t="s">
        <v>405</v>
      </c>
    </row>
    <row r="52" spans="1:5">
      <c r="A52" s="68">
        <v>0.38404100000000002</v>
      </c>
      <c r="B52" s="68">
        <v>0.37015799999999999</v>
      </c>
      <c r="C52" s="68">
        <v>20.3126</v>
      </c>
      <c r="D52" s="68">
        <v>1</v>
      </c>
      <c r="E52" s="68" t="s">
        <v>406</v>
      </c>
    </row>
    <row r="53" spans="1:5">
      <c r="A53" s="68">
        <v>0.38430700000000001</v>
      </c>
      <c r="B53" s="68">
        <v>0.36671300000000001</v>
      </c>
      <c r="C53" s="68">
        <v>20.717700000000001</v>
      </c>
      <c r="D53" s="68">
        <v>1</v>
      </c>
      <c r="E53" s="68" t="s">
        <v>407</v>
      </c>
    </row>
    <row r="54" spans="1:5">
      <c r="A54" s="68">
        <v>0.38451400000000002</v>
      </c>
      <c r="B54" s="68">
        <v>0.36373299999999997</v>
      </c>
      <c r="C54" s="68">
        <v>21.123000000000001</v>
      </c>
      <c r="D54" s="68">
        <v>1</v>
      </c>
      <c r="E54" s="68" t="s">
        <v>408</v>
      </c>
    </row>
    <row r="55" spans="1:5">
      <c r="A55" s="68">
        <v>0.38482699999999997</v>
      </c>
      <c r="B55" s="68">
        <v>0.36175200000000002</v>
      </c>
      <c r="C55" s="68">
        <v>21.532299999999999</v>
      </c>
      <c r="D55" s="68">
        <v>1</v>
      </c>
      <c r="E55" s="68" t="s">
        <v>409</v>
      </c>
    </row>
    <row r="56" spans="1:5">
      <c r="A56" s="68">
        <v>0.38494</v>
      </c>
      <c r="B56" s="68">
        <v>0.36044799999999999</v>
      </c>
      <c r="C56" s="68">
        <v>21.938500000000001</v>
      </c>
      <c r="D56" s="68">
        <v>1</v>
      </c>
      <c r="E56" s="68" t="s">
        <v>410</v>
      </c>
    </row>
    <row r="57" spans="1:5">
      <c r="A57" s="68">
        <v>0.38486999999999999</v>
      </c>
      <c r="B57" s="68">
        <v>0.358906</v>
      </c>
      <c r="C57" s="68">
        <v>22.3446</v>
      </c>
      <c r="D57" s="68">
        <v>1</v>
      </c>
      <c r="E57" s="68" t="s">
        <v>411</v>
      </c>
    </row>
    <row r="58" spans="1:5">
      <c r="A58" s="68">
        <v>0.38469100000000001</v>
      </c>
      <c r="B58" s="68">
        <v>0.35848600000000003</v>
      </c>
      <c r="C58" s="68">
        <v>22.748100000000001</v>
      </c>
      <c r="D58" s="68">
        <v>1</v>
      </c>
      <c r="E58" s="68" t="s">
        <v>412</v>
      </c>
    </row>
    <row r="59" spans="1:5">
      <c r="A59" s="68">
        <v>0.38454199999999999</v>
      </c>
      <c r="B59" s="68">
        <v>0.35951699999999998</v>
      </c>
      <c r="C59" s="68">
        <v>23.1662</v>
      </c>
      <c r="D59" s="68">
        <v>1</v>
      </c>
      <c r="E59" s="68" t="s">
        <v>413</v>
      </c>
    </row>
    <row r="60" spans="1:5">
      <c r="A60" s="68">
        <v>0.38437900000000003</v>
      </c>
      <c r="B60" s="68">
        <v>0.36035499999999998</v>
      </c>
      <c r="C60" s="68">
        <v>23.565000000000001</v>
      </c>
      <c r="D60" s="68">
        <v>1</v>
      </c>
      <c r="E60" s="68" t="s">
        <v>414</v>
      </c>
    </row>
    <row r="61" spans="1:5">
      <c r="A61" s="68">
        <v>0.38442100000000001</v>
      </c>
      <c r="B61" s="68">
        <v>0.36164000000000002</v>
      </c>
      <c r="C61" s="68">
        <v>23.970800000000001</v>
      </c>
      <c r="D61" s="68">
        <v>1</v>
      </c>
      <c r="E61" s="68" t="s">
        <v>415</v>
      </c>
    </row>
    <row r="62" spans="1:5">
      <c r="A62" s="68">
        <v>0.384465</v>
      </c>
      <c r="B62" s="68">
        <v>0.36202099999999998</v>
      </c>
      <c r="C62" s="68">
        <v>24.373999999999999</v>
      </c>
      <c r="D62" s="68">
        <v>1</v>
      </c>
      <c r="E62" s="68" t="s">
        <v>416</v>
      </c>
    </row>
    <row r="63" spans="1:5">
      <c r="A63" s="68">
        <v>0.38460899999999998</v>
      </c>
      <c r="B63" s="68">
        <v>0.363672</v>
      </c>
      <c r="C63" s="68">
        <v>24.78</v>
      </c>
      <c r="D63" s="68">
        <v>1</v>
      </c>
      <c r="E63" s="68" t="s">
        <v>417</v>
      </c>
    </row>
    <row r="64" spans="1:5">
      <c r="A64" s="68">
        <v>0.384633</v>
      </c>
      <c r="B64" s="68">
        <v>0.36679099999999998</v>
      </c>
      <c r="C64" s="68">
        <v>25.1935</v>
      </c>
      <c r="D64" s="68">
        <v>1</v>
      </c>
      <c r="E64" s="68" t="s">
        <v>418</v>
      </c>
    </row>
    <row r="65" spans="1:5">
      <c r="A65" s="68">
        <v>0.38479400000000002</v>
      </c>
      <c r="B65" s="68">
        <v>0.36904399999999998</v>
      </c>
      <c r="C65" s="68">
        <v>25.597799999999999</v>
      </c>
      <c r="D65" s="68">
        <v>1</v>
      </c>
      <c r="E65" s="68" t="s">
        <v>419</v>
      </c>
    </row>
    <row r="66" spans="1:5">
      <c r="A66" s="68">
        <v>0.38480199999999998</v>
      </c>
      <c r="B66" s="68">
        <v>0.37071300000000001</v>
      </c>
      <c r="C66" s="68">
        <v>25.9986</v>
      </c>
      <c r="D66" s="68">
        <v>1</v>
      </c>
      <c r="E66" s="68" t="s">
        <v>420</v>
      </c>
    </row>
    <row r="67" spans="1:5">
      <c r="A67" s="68">
        <v>0.385432</v>
      </c>
      <c r="B67" s="68">
        <v>0.37349700000000002</v>
      </c>
      <c r="C67" s="68">
        <v>26.404299999999999</v>
      </c>
      <c r="D67" s="68">
        <v>1</v>
      </c>
      <c r="E67" s="68" t="s">
        <v>421</v>
      </c>
    </row>
    <row r="68" spans="1:5">
      <c r="A68" s="68">
        <v>0.38585799999999998</v>
      </c>
      <c r="B68" s="68">
        <v>0.37502200000000002</v>
      </c>
      <c r="C68" s="68">
        <v>26.813199999999998</v>
      </c>
      <c r="D68" s="68">
        <v>1</v>
      </c>
      <c r="E68" s="68" t="s">
        <v>422</v>
      </c>
    </row>
    <row r="69" spans="1:5">
      <c r="A69" s="68">
        <v>0.38640000000000002</v>
      </c>
      <c r="B69" s="68">
        <v>0.37873600000000002</v>
      </c>
      <c r="C69" s="68">
        <v>27.2209</v>
      </c>
      <c r="D69" s="68">
        <v>1</v>
      </c>
      <c r="E69" s="68" t="s">
        <v>423</v>
      </c>
    </row>
    <row r="70" spans="1:5">
      <c r="A70" s="68">
        <v>0.38666099999999998</v>
      </c>
      <c r="B70" s="68">
        <v>0.38161699999999998</v>
      </c>
      <c r="C70" s="68">
        <v>27.627800000000001</v>
      </c>
      <c r="D70" s="68">
        <v>1</v>
      </c>
      <c r="E70" s="68" t="s">
        <v>424</v>
      </c>
    </row>
    <row r="71" spans="1:5">
      <c r="A71" s="68">
        <v>0.38694800000000001</v>
      </c>
      <c r="B71" s="68">
        <v>0.38461600000000001</v>
      </c>
      <c r="C71" s="68">
        <v>28.034300000000002</v>
      </c>
      <c r="D71" s="68">
        <v>1</v>
      </c>
      <c r="E71" s="68" t="s">
        <v>425</v>
      </c>
    </row>
    <row r="72" spans="1:5">
      <c r="A72" s="68">
        <v>0.38731700000000002</v>
      </c>
      <c r="B72" s="68">
        <v>0.38745000000000002</v>
      </c>
      <c r="C72" s="68">
        <v>28.435300000000002</v>
      </c>
      <c r="D72" s="68">
        <v>1</v>
      </c>
      <c r="E72" s="68" t="s">
        <v>426</v>
      </c>
    </row>
    <row r="73" spans="1:5">
      <c r="A73" s="68">
        <v>0.38764999999999999</v>
      </c>
      <c r="B73" s="68">
        <v>0.39075500000000002</v>
      </c>
      <c r="C73" s="68">
        <v>28.841999999999999</v>
      </c>
      <c r="D73" s="68">
        <v>1</v>
      </c>
      <c r="E73" s="68" t="s">
        <v>427</v>
      </c>
    </row>
    <row r="74" spans="1:5">
      <c r="A74" s="68">
        <v>0.38769900000000002</v>
      </c>
      <c r="B74" s="68">
        <v>0.394403</v>
      </c>
      <c r="C74" s="68">
        <v>29.256399999999999</v>
      </c>
      <c r="D74" s="68">
        <v>1</v>
      </c>
      <c r="E74" s="68" t="s">
        <v>428</v>
      </c>
    </row>
    <row r="75" spans="1:5">
      <c r="A75" s="68">
        <v>0.387743</v>
      </c>
      <c r="B75" s="68">
        <v>0.39688000000000001</v>
      </c>
      <c r="C75" s="68">
        <v>29.656199999999998</v>
      </c>
      <c r="D75" s="68">
        <v>1</v>
      </c>
      <c r="E75" s="68" t="s">
        <v>429</v>
      </c>
    </row>
    <row r="76" spans="1:5">
      <c r="A76" s="68">
        <v>0.38741700000000001</v>
      </c>
      <c r="B76" s="68">
        <v>0.39976200000000001</v>
      </c>
      <c r="C76" s="68">
        <v>30.0672</v>
      </c>
      <c r="D76" s="68">
        <v>2</v>
      </c>
      <c r="E76" s="68" t="s">
        <v>430</v>
      </c>
    </row>
    <row r="77" spans="1:5">
      <c r="A77" s="68">
        <v>0.387409</v>
      </c>
      <c r="B77" s="68">
        <v>0.401953</v>
      </c>
      <c r="C77" s="68">
        <v>30.530999999999999</v>
      </c>
      <c r="D77" s="68">
        <v>2</v>
      </c>
      <c r="E77" s="68" t="s">
        <v>431</v>
      </c>
    </row>
    <row r="78" spans="1:5">
      <c r="A78" s="68">
        <v>0.38735999999999998</v>
      </c>
      <c r="B78" s="68">
        <v>0.40399099999999999</v>
      </c>
      <c r="C78" s="68">
        <v>30.9238</v>
      </c>
      <c r="D78" s="68">
        <v>2</v>
      </c>
      <c r="E78" s="68" t="s">
        <v>432</v>
      </c>
    </row>
    <row r="79" spans="1:5">
      <c r="A79" s="68">
        <v>0.38741199999999998</v>
      </c>
      <c r="B79" s="68">
        <v>0.40537699999999999</v>
      </c>
      <c r="C79" s="68">
        <v>31.330100000000002</v>
      </c>
      <c r="D79" s="68">
        <v>2</v>
      </c>
      <c r="E79" s="68" t="s">
        <v>433</v>
      </c>
    </row>
    <row r="80" spans="1:5">
      <c r="A80" s="68">
        <v>0.38758999999999999</v>
      </c>
      <c r="B80" s="68">
        <v>0.406447</v>
      </c>
      <c r="C80" s="68">
        <v>31.732800000000001</v>
      </c>
      <c r="D80" s="68">
        <v>2</v>
      </c>
      <c r="E80" s="68" t="s">
        <v>434</v>
      </c>
    </row>
    <row r="81" spans="1:5">
      <c r="A81" s="68">
        <v>0.38807199999999997</v>
      </c>
      <c r="B81" s="68">
        <v>0.40676899999999999</v>
      </c>
      <c r="C81" s="68">
        <v>32.14</v>
      </c>
      <c r="D81" s="68">
        <v>2</v>
      </c>
      <c r="E81" s="68" t="s">
        <v>435</v>
      </c>
    </row>
    <row r="82" spans="1:5">
      <c r="A82" s="68">
        <v>0.388851</v>
      </c>
      <c r="B82" s="68">
        <v>0.40681299999999998</v>
      </c>
      <c r="C82" s="68">
        <v>32.543900000000001</v>
      </c>
      <c r="D82" s="68">
        <v>2</v>
      </c>
      <c r="E82" s="68" t="s">
        <v>436</v>
      </c>
    </row>
    <row r="83" spans="1:5">
      <c r="A83" s="68">
        <v>0.38969999999999999</v>
      </c>
      <c r="B83" s="68">
        <v>0.40659000000000001</v>
      </c>
      <c r="C83" s="68">
        <v>32.956600000000002</v>
      </c>
      <c r="D83" s="68">
        <v>2</v>
      </c>
      <c r="E83" s="68" t="s">
        <v>437</v>
      </c>
    </row>
    <row r="84" spans="1:5">
      <c r="A84" s="68">
        <v>0.39031100000000002</v>
      </c>
      <c r="B84" s="68">
        <v>0.40616999999999998</v>
      </c>
      <c r="C84" s="68">
        <v>33.358899999999998</v>
      </c>
      <c r="D84" s="68">
        <v>2</v>
      </c>
      <c r="E84" s="68" t="s">
        <v>438</v>
      </c>
    </row>
    <row r="85" spans="1:5">
      <c r="A85" s="68">
        <v>0.39099099999999998</v>
      </c>
      <c r="B85" s="68">
        <v>0.40525899999999998</v>
      </c>
      <c r="C85" s="68">
        <v>33.764600000000002</v>
      </c>
      <c r="D85" s="68">
        <v>2</v>
      </c>
      <c r="E85" s="68" t="s">
        <v>439</v>
      </c>
    </row>
    <row r="86" spans="1:5">
      <c r="A86" s="68">
        <v>0.39163700000000001</v>
      </c>
      <c r="B86" s="68">
        <v>0.40381099999999998</v>
      </c>
      <c r="C86" s="68">
        <v>34.170200000000001</v>
      </c>
      <c r="D86" s="68">
        <v>2</v>
      </c>
      <c r="E86" s="68" t="s">
        <v>440</v>
      </c>
    </row>
    <row r="87" spans="1:5">
      <c r="A87" s="68">
        <v>0.392287</v>
      </c>
      <c r="B87" s="68">
        <v>0.40193800000000002</v>
      </c>
      <c r="C87" s="68">
        <v>34.575400000000002</v>
      </c>
      <c r="D87" s="68">
        <v>2</v>
      </c>
      <c r="E87" s="68" t="s">
        <v>441</v>
      </c>
    </row>
    <row r="88" spans="1:5">
      <c r="A88" s="68">
        <v>0.393069</v>
      </c>
      <c r="B88" s="68">
        <v>0.40057700000000002</v>
      </c>
      <c r="C88" s="68">
        <v>34.985999999999997</v>
      </c>
      <c r="D88" s="68">
        <v>2</v>
      </c>
      <c r="E88" s="68" t="s">
        <v>442</v>
      </c>
    </row>
    <row r="89" spans="1:5">
      <c r="A89" s="68">
        <v>0.39417099999999999</v>
      </c>
      <c r="B89" s="68">
        <v>0.39881100000000003</v>
      </c>
      <c r="C89" s="68">
        <v>35.391599999999997</v>
      </c>
      <c r="D89" s="68">
        <v>2</v>
      </c>
      <c r="E89" s="68" t="s">
        <v>443</v>
      </c>
    </row>
    <row r="90" spans="1:5">
      <c r="A90" s="68">
        <v>0.39521000000000001</v>
      </c>
      <c r="B90" s="68">
        <v>0.397312</v>
      </c>
      <c r="C90" s="68">
        <v>35.7941</v>
      </c>
      <c r="D90" s="68">
        <v>2</v>
      </c>
      <c r="E90" s="68" t="s">
        <v>444</v>
      </c>
    </row>
    <row r="91" spans="1:5">
      <c r="A91" s="68">
        <v>0.39625500000000002</v>
      </c>
      <c r="B91" s="68">
        <v>0.39593600000000001</v>
      </c>
      <c r="C91" s="68">
        <v>36.201599999999999</v>
      </c>
      <c r="D91" s="68">
        <v>2</v>
      </c>
      <c r="E91" s="68" t="s">
        <v>445</v>
      </c>
    </row>
    <row r="92" spans="1:5">
      <c r="A92" s="68">
        <v>0.39752399999999999</v>
      </c>
      <c r="B92" s="68">
        <v>0.39444000000000001</v>
      </c>
      <c r="C92" s="68">
        <v>36.6081</v>
      </c>
      <c r="D92" s="68">
        <v>2</v>
      </c>
      <c r="E92" s="68" t="s">
        <v>446</v>
      </c>
    </row>
    <row r="93" spans="1:5">
      <c r="A93" s="68">
        <v>0.39924199999999999</v>
      </c>
      <c r="B93" s="68">
        <v>0.39212599999999997</v>
      </c>
      <c r="C93" s="68">
        <v>37.019199999999998</v>
      </c>
      <c r="D93" s="68">
        <v>2</v>
      </c>
      <c r="E93" s="68" t="s">
        <v>447</v>
      </c>
    </row>
    <row r="94" spans="1:5">
      <c r="A94" s="68">
        <v>0.40129500000000001</v>
      </c>
      <c r="B94" s="68">
        <v>0.38979799999999998</v>
      </c>
      <c r="C94" s="68">
        <v>37.420999999999999</v>
      </c>
      <c r="D94" s="68">
        <v>2</v>
      </c>
      <c r="E94" s="68" t="s">
        <v>448</v>
      </c>
    </row>
    <row r="95" spans="1:5">
      <c r="A95" s="68">
        <v>0.40351199999999998</v>
      </c>
      <c r="B95" s="68">
        <v>0.387436</v>
      </c>
      <c r="C95" s="68">
        <v>37.824800000000003</v>
      </c>
      <c r="D95" s="68">
        <v>2</v>
      </c>
      <c r="E95" s="68" t="s">
        <v>449</v>
      </c>
    </row>
    <row r="96" spans="1:5">
      <c r="A96" s="68">
        <v>0.405754</v>
      </c>
      <c r="B96" s="68">
        <v>0.38556200000000002</v>
      </c>
      <c r="C96" s="68">
        <v>38.2331</v>
      </c>
      <c r="D96" s="68">
        <v>2</v>
      </c>
      <c r="E96" s="68" t="s">
        <v>450</v>
      </c>
    </row>
    <row r="97" spans="1:5">
      <c r="A97" s="68">
        <v>0.40809899999999999</v>
      </c>
      <c r="B97" s="68">
        <v>0.384075</v>
      </c>
      <c r="C97" s="68">
        <v>38.644300000000001</v>
      </c>
      <c r="D97" s="68">
        <v>2</v>
      </c>
      <c r="E97" s="68" t="s">
        <v>451</v>
      </c>
    </row>
    <row r="98" spans="1:5">
      <c r="A98" s="68">
        <v>0.41023700000000002</v>
      </c>
      <c r="B98" s="68">
        <v>0.38328400000000001</v>
      </c>
      <c r="C98" s="68">
        <v>39.047800000000002</v>
      </c>
      <c r="D98" s="68">
        <v>2</v>
      </c>
      <c r="E98" s="68" t="s">
        <v>452</v>
      </c>
    </row>
    <row r="99" spans="1:5">
      <c r="A99" s="68">
        <v>0.41269</v>
      </c>
      <c r="B99" s="68">
        <v>0.38267800000000002</v>
      </c>
      <c r="C99" s="68">
        <v>39.4527</v>
      </c>
      <c r="D99" s="68">
        <v>2</v>
      </c>
      <c r="E99" s="68" t="s">
        <v>453</v>
      </c>
    </row>
    <row r="100" spans="1:5">
      <c r="A100" s="68">
        <v>0.41539100000000001</v>
      </c>
      <c r="B100" s="68">
        <v>0.38213799999999998</v>
      </c>
      <c r="C100" s="68">
        <v>39.856000000000002</v>
      </c>
      <c r="D100" s="68">
        <v>2</v>
      </c>
      <c r="E100" s="68" t="s">
        <v>454</v>
      </c>
    </row>
    <row r="101" spans="1:5">
      <c r="A101" s="68">
        <v>0.41844900000000002</v>
      </c>
      <c r="B101" s="68">
        <v>0.38106499999999999</v>
      </c>
      <c r="C101" s="68">
        <v>40.265900000000002</v>
      </c>
      <c r="D101" s="68">
        <v>2</v>
      </c>
      <c r="E101" s="68" t="s">
        <v>455</v>
      </c>
    </row>
    <row r="102" spans="1:5">
      <c r="A102" s="68">
        <v>0.42158299999999999</v>
      </c>
      <c r="B102" s="68">
        <v>0.37957600000000002</v>
      </c>
      <c r="C102" s="68">
        <v>40.6723</v>
      </c>
      <c r="D102" s="68">
        <v>2</v>
      </c>
      <c r="E102" s="68" t="s">
        <v>456</v>
      </c>
    </row>
    <row r="103" spans="1:5">
      <c r="A103" s="68">
        <v>0.42509599999999997</v>
      </c>
      <c r="B103" s="68">
        <v>0.37736700000000001</v>
      </c>
      <c r="C103" s="68">
        <v>41.080399999999997</v>
      </c>
      <c r="D103" s="68">
        <v>2</v>
      </c>
      <c r="E103" s="68" t="s">
        <v>457</v>
      </c>
    </row>
    <row r="104" spans="1:5">
      <c r="A104" s="68">
        <v>0.428643</v>
      </c>
      <c r="B104" s="68">
        <v>0.37519200000000003</v>
      </c>
      <c r="C104" s="68">
        <v>41.486800000000002</v>
      </c>
      <c r="D104" s="68">
        <v>2</v>
      </c>
      <c r="E104" s="68" t="s">
        <v>458</v>
      </c>
    </row>
    <row r="105" spans="1:5">
      <c r="A105" s="68">
        <v>0.43218099999999998</v>
      </c>
      <c r="B105" s="68">
        <v>0.37313499999999999</v>
      </c>
      <c r="C105" s="68">
        <v>41.889800000000001</v>
      </c>
      <c r="D105" s="68">
        <v>2</v>
      </c>
      <c r="E105" s="68" t="s">
        <v>459</v>
      </c>
    </row>
    <row r="106" spans="1:5">
      <c r="A106" s="68">
        <v>0.435645</v>
      </c>
      <c r="B106" s="68">
        <v>0.37146800000000002</v>
      </c>
      <c r="C106" s="68">
        <v>42.295099999999998</v>
      </c>
      <c r="D106" s="68">
        <v>2</v>
      </c>
      <c r="E106" s="68" t="s">
        <v>460</v>
      </c>
    </row>
    <row r="107" spans="1:5">
      <c r="A107" s="68">
        <v>0.438753</v>
      </c>
      <c r="B107" s="68">
        <v>0.371004</v>
      </c>
      <c r="C107" s="68">
        <v>42.7044</v>
      </c>
      <c r="D107" s="68">
        <v>2</v>
      </c>
      <c r="E107" s="68" t="s">
        <v>461</v>
      </c>
    </row>
    <row r="108" spans="1:5">
      <c r="A108" s="68">
        <v>0.44164300000000001</v>
      </c>
      <c r="B108" s="68">
        <v>0.371033</v>
      </c>
      <c r="C108" s="68">
        <v>43.110599999999998</v>
      </c>
      <c r="D108" s="68">
        <v>2</v>
      </c>
      <c r="E108" s="68" t="s">
        <v>462</v>
      </c>
    </row>
    <row r="109" spans="1:5">
      <c r="A109" s="68">
        <v>0.44440800000000003</v>
      </c>
      <c r="B109" s="68">
        <v>0.37132300000000001</v>
      </c>
      <c r="C109" s="68">
        <v>43.515799999999999</v>
      </c>
      <c r="D109" s="68">
        <v>2</v>
      </c>
      <c r="E109" s="68" t="s">
        <v>463</v>
      </c>
    </row>
    <row r="110" spans="1:5">
      <c r="A110" s="68">
        <v>0.44705699999999998</v>
      </c>
      <c r="B110" s="68">
        <v>0.37173899999999999</v>
      </c>
      <c r="C110" s="68">
        <v>43.921100000000003</v>
      </c>
      <c r="D110" s="68">
        <v>2</v>
      </c>
      <c r="E110" s="68" t="s">
        <v>464</v>
      </c>
    </row>
    <row r="111" spans="1:5">
      <c r="A111" s="68">
        <v>0.44963900000000001</v>
      </c>
      <c r="B111" s="68">
        <v>0.37280999999999997</v>
      </c>
      <c r="C111" s="68">
        <v>44.3294</v>
      </c>
      <c r="D111" s="68">
        <v>2</v>
      </c>
      <c r="E111" s="68" t="s">
        <v>465</v>
      </c>
    </row>
    <row r="112" spans="1:5">
      <c r="A112" s="68">
        <v>0.45210499999999998</v>
      </c>
      <c r="B112" s="68">
        <v>0.37488700000000003</v>
      </c>
      <c r="C112" s="68">
        <v>44.7361</v>
      </c>
      <c r="D112" s="68">
        <v>2</v>
      </c>
      <c r="E112" s="68" t="s">
        <v>466</v>
      </c>
    </row>
    <row r="113" spans="1:5">
      <c r="A113" s="68">
        <v>0.45453900000000003</v>
      </c>
      <c r="B113" s="68">
        <v>0.376946</v>
      </c>
      <c r="C113" s="68">
        <v>45.143900000000002</v>
      </c>
      <c r="D113" s="68">
        <v>2</v>
      </c>
      <c r="E113" s="68" t="s">
        <v>467</v>
      </c>
    </row>
    <row r="114" spans="1:5">
      <c r="A114" s="68">
        <v>0.45659499999999997</v>
      </c>
      <c r="B114" s="68">
        <v>0.37946200000000002</v>
      </c>
      <c r="C114" s="68">
        <v>45.554200000000002</v>
      </c>
      <c r="D114" s="68">
        <v>2</v>
      </c>
      <c r="E114" s="68" t="s">
        <v>468</v>
      </c>
    </row>
    <row r="115" spans="1:5">
      <c r="A115" s="68">
        <v>0.458453</v>
      </c>
      <c r="B115" s="68">
        <v>0.38183099999999998</v>
      </c>
      <c r="C115" s="68">
        <v>45.953299999999999</v>
      </c>
      <c r="D115" s="68">
        <v>2</v>
      </c>
      <c r="E115" s="68" t="s">
        <v>469</v>
      </c>
    </row>
    <row r="116" spans="1:5">
      <c r="A116" s="68">
        <v>0.45998499999999998</v>
      </c>
      <c r="B116" s="68">
        <v>0.38410100000000003</v>
      </c>
      <c r="C116" s="68">
        <v>46.364100000000001</v>
      </c>
      <c r="D116" s="68">
        <v>2</v>
      </c>
      <c r="E116" s="68" t="s">
        <v>470</v>
      </c>
    </row>
    <row r="117" spans="1:5">
      <c r="A117" s="68">
        <v>0.46119599999999999</v>
      </c>
      <c r="B117" s="68">
        <v>0.386297</v>
      </c>
      <c r="C117" s="68">
        <v>46.769100000000002</v>
      </c>
      <c r="D117" s="68">
        <v>2</v>
      </c>
      <c r="E117" s="68" t="s">
        <v>471</v>
      </c>
    </row>
    <row r="118" spans="1:5">
      <c r="A118" s="68">
        <v>0.46200999999999998</v>
      </c>
      <c r="B118" s="68">
        <v>0.38836300000000001</v>
      </c>
      <c r="C118" s="68">
        <v>47.174199999999999</v>
      </c>
      <c r="D118" s="68">
        <v>2</v>
      </c>
      <c r="E118" s="68" t="s">
        <v>472</v>
      </c>
    </row>
    <row r="119" spans="1:5">
      <c r="A119" s="68">
        <v>0.46243800000000002</v>
      </c>
      <c r="B119" s="68">
        <v>0.39038499999999998</v>
      </c>
      <c r="C119" s="68">
        <v>47.581000000000003</v>
      </c>
      <c r="D119" s="68">
        <v>2</v>
      </c>
      <c r="E119" s="68" t="s">
        <v>473</v>
      </c>
    </row>
    <row r="120" spans="1:5">
      <c r="A120" s="68">
        <v>0.462613</v>
      </c>
      <c r="B120" s="68">
        <v>0.39261499999999999</v>
      </c>
      <c r="C120" s="68">
        <v>47.985399999999998</v>
      </c>
      <c r="D120" s="68">
        <v>2</v>
      </c>
      <c r="E120" s="68" t="s">
        <v>474</v>
      </c>
    </row>
    <row r="121" spans="1:5">
      <c r="A121" s="68">
        <v>0.46275500000000003</v>
      </c>
      <c r="B121" s="68">
        <v>0.395096</v>
      </c>
      <c r="C121" s="68">
        <v>48.389499999999998</v>
      </c>
      <c r="D121" s="68">
        <v>2</v>
      </c>
      <c r="E121" s="68" t="s">
        <v>475</v>
      </c>
    </row>
    <row r="122" spans="1:5">
      <c r="A122" s="68">
        <v>0.46266000000000002</v>
      </c>
      <c r="B122" s="68">
        <v>0.39758100000000002</v>
      </c>
      <c r="C122" s="68">
        <v>48.795499999999997</v>
      </c>
      <c r="D122" s="68">
        <v>2</v>
      </c>
      <c r="E122" s="68" t="s">
        <v>476</v>
      </c>
    </row>
    <row r="123" spans="1:5">
      <c r="A123" s="68">
        <v>0.46252599999999999</v>
      </c>
      <c r="B123" s="68">
        <v>0.39999800000000002</v>
      </c>
      <c r="C123" s="68">
        <v>49.206000000000003</v>
      </c>
      <c r="D123" s="68">
        <v>2</v>
      </c>
      <c r="E123" s="68" t="s">
        <v>477</v>
      </c>
    </row>
    <row r="124" spans="1:5">
      <c r="A124" s="68">
        <v>0.46196300000000001</v>
      </c>
      <c r="B124" s="68">
        <v>0.40192800000000001</v>
      </c>
      <c r="C124" s="68">
        <v>49.610700000000001</v>
      </c>
      <c r="D124" s="68">
        <v>2</v>
      </c>
      <c r="E124" s="68" t="s">
        <v>478</v>
      </c>
    </row>
    <row r="125" spans="1:5">
      <c r="A125" s="68">
        <v>0.46096500000000001</v>
      </c>
      <c r="B125" s="68">
        <v>0.40363300000000002</v>
      </c>
      <c r="C125" s="68">
        <v>50.017899999999997</v>
      </c>
      <c r="D125" s="68">
        <v>2</v>
      </c>
      <c r="E125" s="68" t="s">
        <v>479</v>
      </c>
    </row>
    <row r="126" spans="1:5">
      <c r="A126" s="68">
        <v>0.46104899999999999</v>
      </c>
      <c r="B126" s="68">
        <v>0.403864</v>
      </c>
      <c r="C126" s="68">
        <v>50.419499999999999</v>
      </c>
      <c r="D126" s="68">
        <v>2</v>
      </c>
      <c r="E126" s="68" t="s">
        <v>480</v>
      </c>
    </row>
    <row r="127" spans="1:5">
      <c r="A127" s="68">
        <v>0.460841</v>
      </c>
      <c r="B127" s="68">
        <v>0.40443600000000002</v>
      </c>
      <c r="C127" s="68">
        <v>50.828400000000002</v>
      </c>
      <c r="D127" s="68">
        <v>2</v>
      </c>
      <c r="E127" s="68" t="s">
        <v>481</v>
      </c>
    </row>
    <row r="128" spans="1:5">
      <c r="A128" s="68">
        <v>0.46019500000000002</v>
      </c>
      <c r="B128" s="68">
        <v>0.40571299999999999</v>
      </c>
      <c r="C128" s="68">
        <v>51.2361</v>
      </c>
      <c r="D128" s="68">
        <v>2</v>
      </c>
      <c r="E128" s="68" t="s">
        <v>482</v>
      </c>
    </row>
    <row r="129" spans="1:5">
      <c r="A129" s="68">
        <v>0.45930900000000002</v>
      </c>
      <c r="B129" s="68">
        <v>0.40774500000000002</v>
      </c>
      <c r="C129" s="68">
        <v>51.6434</v>
      </c>
      <c r="D129" s="68">
        <v>2</v>
      </c>
      <c r="E129" s="68" t="s">
        <v>483</v>
      </c>
    </row>
    <row r="130" spans="1:5">
      <c r="A130" s="68">
        <v>0.45816499999999999</v>
      </c>
      <c r="B130" s="68">
        <v>0.41014200000000001</v>
      </c>
      <c r="C130" s="68">
        <v>52.046900000000001</v>
      </c>
      <c r="D130" s="68">
        <v>2</v>
      </c>
      <c r="E130" s="68" t="s">
        <v>484</v>
      </c>
    </row>
    <row r="131" spans="1:5">
      <c r="A131" s="68">
        <v>0.45671</v>
      </c>
      <c r="B131" s="68">
        <v>0.41280299999999998</v>
      </c>
      <c r="C131" s="68">
        <v>52.4514</v>
      </c>
      <c r="D131" s="68">
        <v>2</v>
      </c>
      <c r="E131" s="68" t="s">
        <v>485</v>
      </c>
    </row>
    <row r="132" spans="1:5">
      <c r="A132" s="68">
        <v>0.45536599999999999</v>
      </c>
      <c r="B132" s="68">
        <v>0.41475099999999998</v>
      </c>
      <c r="C132" s="68">
        <v>52.859900000000003</v>
      </c>
      <c r="D132" s="68">
        <v>2</v>
      </c>
      <c r="E132" s="68" t="s">
        <v>486</v>
      </c>
    </row>
    <row r="133" spans="1:5">
      <c r="A133" s="68">
        <v>0.45404899999999998</v>
      </c>
      <c r="B133" s="68">
        <v>0.41654000000000002</v>
      </c>
      <c r="C133" s="68">
        <v>53.265900000000002</v>
      </c>
      <c r="D133" s="68">
        <v>2</v>
      </c>
      <c r="E133" s="68" t="s">
        <v>487</v>
      </c>
    </row>
    <row r="134" spans="1:5">
      <c r="A134" s="68">
        <v>0.45281500000000002</v>
      </c>
      <c r="B134" s="68">
        <v>0.41897099999999998</v>
      </c>
      <c r="C134" s="68">
        <v>53.6736</v>
      </c>
      <c r="D134" s="68">
        <v>2</v>
      </c>
      <c r="E134" s="68" t="s">
        <v>488</v>
      </c>
    </row>
    <row r="135" spans="1:5">
      <c r="A135" s="68">
        <v>0.45150499999999999</v>
      </c>
      <c r="B135" s="68">
        <v>0.42224099999999998</v>
      </c>
      <c r="C135" s="68">
        <v>54.078299999999999</v>
      </c>
      <c r="D135" s="68">
        <v>2</v>
      </c>
      <c r="E135" s="68" t="s">
        <v>489</v>
      </c>
    </row>
    <row r="136" spans="1:5">
      <c r="A136" s="68">
        <v>0.45000099999999998</v>
      </c>
      <c r="B136" s="68">
        <v>0.42578300000000002</v>
      </c>
      <c r="C136" s="68">
        <v>54.480800000000002</v>
      </c>
      <c r="D136" s="68">
        <v>2</v>
      </c>
      <c r="E136" s="68" t="s">
        <v>490</v>
      </c>
    </row>
    <row r="137" spans="1:5">
      <c r="A137" s="68">
        <v>0.44843899999999998</v>
      </c>
      <c r="B137" s="68">
        <v>0.42916700000000002</v>
      </c>
      <c r="C137" s="68">
        <v>54.889099999999999</v>
      </c>
      <c r="D137" s="68">
        <v>2</v>
      </c>
      <c r="E137" s="68" t="s">
        <v>491</v>
      </c>
    </row>
    <row r="138" spans="1:5">
      <c r="A138" s="68">
        <v>0.446629</v>
      </c>
      <c r="B138" s="68">
        <v>0.43278499999999998</v>
      </c>
      <c r="C138" s="68">
        <v>55.294600000000003</v>
      </c>
      <c r="D138" s="68">
        <v>2</v>
      </c>
      <c r="E138" s="68" t="s">
        <v>492</v>
      </c>
    </row>
    <row r="139" spans="1:5">
      <c r="A139" s="68">
        <v>0.44499699999999998</v>
      </c>
      <c r="B139" s="68">
        <v>0.43589899999999998</v>
      </c>
      <c r="C139" s="68">
        <v>55.700800000000001</v>
      </c>
      <c r="D139" s="68">
        <v>2</v>
      </c>
      <c r="E139" s="68" t="s">
        <v>493</v>
      </c>
    </row>
    <row r="140" spans="1:5">
      <c r="A140" s="68">
        <v>0.44335599999999997</v>
      </c>
      <c r="B140" s="68">
        <v>0.43953900000000001</v>
      </c>
      <c r="C140" s="68">
        <v>56.112400000000001</v>
      </c>
      <c r="D140" s="68">
        <v>2</v>
      </c>
      <c r="E140" s="68" t="s">
        <v>494</v>
      </c>
    </row>
    <row r="141" spans="1:5">
      <c r="A141" s="68">
        <v>0.44187300000000002</v>
      </c>
      <c r="B141" s="68">
        <v>0.443749</v>
      </c>
      <c r="C141" s="68">
        <v>56.515700000000002</v>
      </c>
      <c r="D141" s="68">
        <v>2</v>
      </c>
      <c r="E141" s="68" t="s">
        <v>495</v>
      </c>
    </row>
    <row r="142" spans="1:5">
      <c r="A142" s="68">
        <v>0.440166</v>
      </c>
      <c r="B142" s="68">
        <v>0.44830500000000001</v>
      </c>
      <c r="C142" s="68">
        <v>56.922499999999999</v>
      </c>
      <c r="D142" s="68">
        <v>2</v>
      </c>
      <c r="E142" s="68" t="s">
        <v>496</v>
      </c>
    </row>
    <row r="143" spans="1:5">
      <c r="A143" s="68">
        <v>0.43817400000000001</v>
      </c>
      <c r="B143" s="68">
        <v>0.45365800000000001</v>
      </c>
      <c r="C143" s="68">
        <v>57.331400000000002</v>
      </c>
      <c r="D143" s="68">
        <v>2</v>
      </c>
      <c r="E143" s="68" t="s">
        <v>497</v>
      </c>
    </row>
    <row r="144" spans="1:5">
      <c r="A144" s="68">
        <v>0.43618200000000001</v>
      </c>
      <c r="B144" s="68">
        <v>0.45878200000000002</v>
      </c>
      <c r="C144" s="68">
        <v>57.736400000000003</v>
      </c>
      <c r="D144" s="68">
        <v>2</v>
      </c>
      <c r="E144" s="68" t="s">
        <v>498</v>
      </c>
    </row>
    <row r="145" spans="1:5">
      <c r="A145" s="68">
        <v>0.43412899999999999</v>
      </c>
      <c r="B145" s="68">
        <v>0.46362500000000001</v>
      </c>
      <c r="C145" s="68">
        <v>58.144399999999997</v>
      </c>
      <c r="D145" s="68">
        <v>2</v>
      </c>
      <c r="E145" s="68" t="s">
        <v>499</v>
      </c>
    </row>
    <row r="146" spans="1:5">
      <c r="A146" s="68">
        <v>0.43144500000000002</v>
      </c>
      <c r="B146" s="68">
        <v>0.46889900000000001</v>
      </c>
      <c r="C146" s="68">
        <v>58.547699999999999</v>
      </c>
      <c r="D146" s="68">
        <v>2</v>
      </c>
      <c r="E146" s="68" t="s">
        <v>500</v>
      </c>
    </row>
    <row r="147" spans="1:5">
      <c r="A147" s="68">
        <v>0.42903000000000002</v>
      </c>
      <c r="B147" s="68">
        <v>0.47306399999999998</v>
      </c>
      <c r="C147" s="68">
        <v>58.954099999999997</v>
      </c>
      <c r="D147" s="68">
        <v>2</v>
      </c>
      <c r="E147" s="68" t="s">
        <v>501</v>
      </c>
    </row>
    <row r="148" spans="1:5">
      <c r="A148" s="68">
        <v>0.42669000000000001</v>
      </c>
      <c r="B148" s="68">
        <v>0.476213</v>
      </c>
      <c r="C148" s="68">
        <v>59.360900000000001</v>
      </c>
      <c r="D148" s="68">
        <v>2</v>
      </c>
      <c r="E148" s="68" t="s">
        <v>502</v>
      </c>
    </row>
    <row r="149" spans="1:5">
      <c r="A149" s="68">
        <v>0.42382300000000001</v>
      </c>
      <c r="B149" s="68">
        <v>0.47955500000000001</v>
      </c>
      <c r="C149" s="68">
        <v>59.767899999999997</v>
      </c>
      <c r="D149" s="68">
        <v>2</v>
      </c>
      <c r="E149" s="68" t="s">
        <v>503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353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293</v>
      </c>
      <c r="G1" s="66" t="s">
        <v>294</v>
      </c>
      <c r="H1" s="66" t="s">
        <v>509</v>
      </c>
      <c r="I1" s="66" t="s">
        <v>510</v>
      </c>
      <c r="J1" s="66" t="s">
        <v>511</v>
      </c>
      <c r="K1" s="66" t="s">
        <v>512</v>
      </c>
      <c r="L1" s="66" t="s">
        <v>513</v>
      </c>
      <c r="M1" s="66" t="s">
        <v>514</v>
      </c>
      <c r="N1" s="66"/>
    </row>
    <row r="2" spans="1:14">
      <c r="A2" s="75">
        <v>43628.391504629632</v>
      </c>
      <c r="B2" s="66" t="s">
        <v>505</v>
      </c>
      <c r="C2" s="66"/>
      <c r="D2" s="66"/>
      <c r="E2" s="66">
        <v>4.9234099999999996</v>
      </c>
      <c r="F2" s="66">
        <v>2.0780799999999999</v>
      </c>
      <c r="G2" s="66">
        <v>0.61468299999999998</v>
      </c>
      <c r="H2" s="66">
        <v>0</v>
      </c>
      <c r="I2" s="66">
        <v>154101</v>
      </c>
      <c r="J2" s="66">
        <v>109</v>
      </c>
      <c r="K2" s="66">
        <v>109</v>
      </c>
      <c r="L2" s="66">
        <v>0</v>
      </c>
      <c r="M2" s="66" t="s">
        <v>515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2019-06-12T01:24:22Z</cp:lastPrinted>
  <dcterms:created xsi:type="dcterms:W3CDTF">2010-10-29T12:53:05Z</dcterms:created>
  <dcterms:modified xsi:type="dcterms:W3CDTF">2019-06-12T01:25:07Z</dcterms:modified>
</cp:coreProperties>
</file>