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<sst xmlns="http://schemas.openxmlformats.org/spreadsheetml/2006/main" count="702" uniqueCount="518">
  <si>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</si>
  <si>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</si>
  <si>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</si>
  <si>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</si>
  <si>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</si>
  <si>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</si>
  <si>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</si>
  <si>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</si>
  <si>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</si>
  <si>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</si>
  <si>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</si>
  <si>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</si>
  <si>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</si>
  <si>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</si>
  <si>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</si>
  <si>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</si>
  <si>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</si>
  <si>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</si>
  <si>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</si>
  <si>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</si>
  <si>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</si>
  <si>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</si>
  <si>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</si>
  <si>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</si>
  <si>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</si>
  <si>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</si>
  <si>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</si>
  <si>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</si>
  <si>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</si>
  <si>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</si>
  <si>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</si>
  <si>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</si>
  <si>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</si>
  <si>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</si>
  <si>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</si>
  <si>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</si>
  <si>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</si>
  <si>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</si>
  <si>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</si>
  <si>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</si>
  <si>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</si>
  <si>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</si>
  <si>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</si>
  <si>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</si>
  <si>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</si>
  <si>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</si>
  <si>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</si>
  <si>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</si>
  <si>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</si>
  <si>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</si>
  <si>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</si>
  <si>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</si>
  <si>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</si>
  <si>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</si>
  <si>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</si>
  <si>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</si>
  <si>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</si>
  <si>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</si>
  <si>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</si>
  <si>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</si>
  <si>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</si>
  <si>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</si>
  <si>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</si>
  <si>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</si>
  <si>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</si>
  <si>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</si>
  <si>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</si>
  <si>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</si>
  <si>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</si>
  <si>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</si>
  <si>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</si>
  <si>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</si>
  <si>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</si>
  <si>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</si>
  <si>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</si>
  <si>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</si>
  <si>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</si>
  <si>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</si>
  <si>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</si>
  <si>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</si>
  <si>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</si>
  <si>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</si>
  <si>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</si>
  <si>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</si>
  <si>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</si>
  <si>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</si>
  <si>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</si>
  <si>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</si>
  <si>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</si>
  <si>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</si>
  <si>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</si>
  <si>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</si>
  <si>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</si>
  <si>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</si>
  <si>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</si>
  <si>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</si>
  <si>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</si>
  <si>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</si>
  <si>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</si>
  <si>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</si>
  <si>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</si>
  <si>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</si>
  <si>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</si>
  <si>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</si>
  <si>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</si>
  <si>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</si>
  <si>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</si>
  <si>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</si>
  <si>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</si>
  <si>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</si>
  <si>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</si>
  <si>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</si>
  <si>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</si>
  <si>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</si>
  <si>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</si>
  <si>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</si>
  <si>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</si>
  <si>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</si>
  <si>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</si>
  <si>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</si>
  <si>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</si>
  <si>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</si>
  <si>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</si>
  <si>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</si>
  <si>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</si>
  <si>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</si>
  <si>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</si>
  <si>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</si>
  <si>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</si>
  <si>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</si>
  <si>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</si>
  <si>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</si>
  <si>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</si>
  <si>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</si>
  <si>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</si>
  <si>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</si>
  <si>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</si>
  <si>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</si>
  <si>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</si>
  <si>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</si>
  <si>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</si>
  <si>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</si>
  <si>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</si>
  <si>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</si>
  <si>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</si>
  <si>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</si>
  <si>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</si>
  <si>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</si>
  <si>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</si>
  <si>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</si>
  <si>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</si>
  <si>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</si>
  <si>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</si>
  <si>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</si>
  <si>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</si>
  <si>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</si>
  <si>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</si>
  <si>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</si>
  <si>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</si>
  <si>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</si>
  <si>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</si>
  <si>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</si>
  <si>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</si>
  <si>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</si>
  <si>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</si>
  <si>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</si>
  <si>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</si>
  <si>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</si>
  <si>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</si>
  <si>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</si>
  <si>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</si>
  <si>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</si>
  <si>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</si>
  <si>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</si>
  <si>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</si>
  <si>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</si>
  <si>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</si>
  <si>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</si>
  <si>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</si>
  <si>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</si>
  <si>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</si>
  <si>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</si>
  <si>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</si>
  <si>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</si>
  <si>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</si>
  <si>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</si>
  <si>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</si>
  <si>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</si>
  <si>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</si>
  <si>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</si>
  <si>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</si>
  <si>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</si>
  <si>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</si>
  <si>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</si>
  <si>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</si>
  <si>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</si>
  <si>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</si>
  <si>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</si>
  <si>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</si>
  <si>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</si>
  <si>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</si>
  <si>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</si>
  <si>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</si>
  <si>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</si>
  <si>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</si>
  <si>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</si>
  <si>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</si>
  <si>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</si>
  <si>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</si>
  <si>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</si>
  <si>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</si>
  <si>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</si>
  <si>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</si>
  <si>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</si>
  <si>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</si>
  <si>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</si>
  <si>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</si>
  <si>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</si>
  <si>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</si>
  <si>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</si>
  <si>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</si>
  <si>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</si>
  <si>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</si>
  <si>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</si>
  <si>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</si>
  <si>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</si>
  <si>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</si>
  <si>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</si>
  <si>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</si>
  <si>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</si>
  <si>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</si>
  <si>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</si>
  <si>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</si>
  <si>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</si>
  <si>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</si>
  <si>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</si>
  <si>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</si>
  <si>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</si>
  <si>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</si>
  <si>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</si>
  <si>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</si>
  <si>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</si>
  <si>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</si>
  <si>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</si>
  <si>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</si>
  <si>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</si>
  <si>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</si>
  <si>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</si>
  <si>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</si>
  <si>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</si>
  <si>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</si>
  <si>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</si>
  <si>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</si>
  <si>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</si>
  <si>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</si>
  <si>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</si>
  <si>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</si>
  <si>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</si>
  <si>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</si>
  <si>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</si>
  <si>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</si>
  <si>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</si>
  <si>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</si>
  <si>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</si>
  <si>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</si>
  <si>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</si>
  <si>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</si>
  <si>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</si>
  <si>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</si>
  <si>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</si>
  <si>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</si>
  <si>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</si>
  <si>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</si>
  <si>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</si>
  <si>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</si>
  <si>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</si>
  <si>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</si>
  <si>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</si>
  <si>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</si>
  <si>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</si>
  <si>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</si>
  <si>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</si>
  <si>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</si>
  <si>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</si>
  <si>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</si>
  <si>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</si>
  <si>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</si>
  <si>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</si>
  <si>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</si>
  <si>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</si>
  <si>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</si>
  <si>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</si>
  <si>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</si>
  <si>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</si>
  <si>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</si>
  <si>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</si>
  <si>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</si>
  <si>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</si>
  <si>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</si>
  <si>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</si>
  <si>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</si>
  <si>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</si>
  <si>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</si>
  <si>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</si>
  <si>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</si>
  <si>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</si>
  <si>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</si>
  <si>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</si>
  <si>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</si>
  <si>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</si>
  <si>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</si>
  <si>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</si>
  <si>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</si>
  <si>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</si>
  <si>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</si>
  <si>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</si>
  <si>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</si>
  <si>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</si>
  <si>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</si>
  <si>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</si>
  <si>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</si>
  <si>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</si>
  <si>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</si>
  <si>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</si>
  <si>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</si>
  <si>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</si>
  <si>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</si>
  <si>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</si>
  <si>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</si>
  <si>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</si>
  <si>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</si>
  <si>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</si>
  <si>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</si>
  <si>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</si>
  <si>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</si>
  <si>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</si>
  <si>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</si>
  <si>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</si>
  <si>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</si>
  <si>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</si>
  <si>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</si>
  <si>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</si>
  <si>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</si>
  <si>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</si>
  <si>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</si>
  <si>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</si>
  <si>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BMin</t>
    <phoneticPr fontId="29" type="noConversion"/>
  </si>
  <si>
    <t>Vi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</si>
  <si>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</si>
  <si>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</si>
  <si>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</si>
  <si>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</si>
  <si>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</si>
  <si>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</si>
  <si>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</si>
  <si>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</si>
  <si>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[0.386268]</t>
  </si>
  <si>
    <t>1 [0.792109]</t>
  </si>
  <si>
    <t>1 [1.198046]</t>
  </si>
  <si>
    <t>1 [1.608921]</t>
  </si>
  <si>
    <t>1 [2.010850]</t>
  </si>
  <si>
    <t>1 [2.418776]</t>
  </si>
  <si>
    <t>1 [2.824688]</t>
  </si>
  <si>
    <t>1 [3.229684]</t>
  </si>
  <si>
    <t>1 [3.637559]</t>
  </si>
  <si>
    <t>1 [4.046412]</t>
  </si>
  <si>
    <t>1 [4.448295]</t>
  </si>
  <si>
    <t>1 [4.854206]</t>
  </si>
  <si>
    <t>1 [5.260581]</t>
  </si>
  <si>
    <t>1 [5.670055]</t>
  </si>
  <si>
    <t>1 [6.076983]</t>
  </si>
  <si>
    <t>1 [6.482885]</t>
  </si>
  <si>
    <t>1 [6.885820]</t>
  </si>
  <si>
    <t>1 [7.294684]</t>
  </si>
  <si>
    <t>1 [7.699675]</t>
  </si>
  <si>
    <t>1 [8.104472]</t>
  </si>
  <si>
    <t>1 [8.512503]</t>
  </si>
  <si>
    <t>1 [8.919296]</t>
  </si>
  <si>
    <t>1 [9.328228]</t>
  </si>
  <si>
    <t>1 [9.732186]</t>
  </si>
  <si>
    <t>1 [10.137123]</t>
  </si>
  <si>
    <t>1 [10.542987]</t>
  </si>
  <si>
    <t>1 [10.951932]</t>
  </si>
  <si>
    <t>1 [11.358868]</t>
  </si>
  <si>
    <t>1 [11.763781]</t>
  </si>
  <si>
    <t>1 [12.167648]</t>
  </si>
  <si>
    <t>1 [12.573883]</t>
  </si>
  <si>
    <t>1 [12.985717]</t>
  </si>
  <si>
    <t>1 [13.388374]</t>
  </si>
  <si>
    <t>1 [13.797303]</t>
  </si>
  <si>
    <t>1 [14.199210]</t>
  </si>
  <si>
    <t>1 [14.605349]</t>
  </si>
  <si>
    <t>1 [15.014034]</t>
  </si>
  <si>
    <t>1 [15.418021]</t>
  </si>
  <si>
    <t>1 [15.825948]</t>
  </si>
  <si>
    <t>1 [16.229836]</t>
  </si>
  <si>
    <t>1 [16.641442]</t>
  </si>
  <si>
    <t>1 [17.044624]</t>
  </si>
  <si>
    <t>1 [17.451563]</t>
  </si>
  <si>
    <t>1 [17.856683]</t>
  </si>
  <si>
    <t>1 [18.261386]</t>
  </si>
  <si>
    <t>1 [18.666369]</t>
  </si>
  <si>
    <t>1 [19.074193]</t>
  </si>
  <si>
    <t>1 [19.481194]</t>
  </si>
  <si>
    <t>1 [19.889227]</t>
  </si>
  <si>
    <t>1 [20.290988]</t>
  </si>
  <si>
    <t>1 [20.700073]</t>
  </si>
  <si>
    <t>1 [21.104801]</t>
  </si>
  <si>
    <t>1 [21.514675]</t>
  </si>
  <si>
    <t>1 [21.920587]</t>
  </si>
  <si>
    <t>1 [22.323720]</t>
  </si>
  <si>
    <t>1 [22.730434]</t>
  </si>
  <si>
    <t>1 [23.139675]</t>
  </si>
  <si>
    <t>1 [23.543240]</t>
  </si>
  <si>
    <t>1 [23.948616]</t>
  </si>
  <si>
    <t>1 [24.358314]</t>
  </si>
  <si>
    <t>1 [24.764006]</t>
  </si>
  <si>
    <t>1 [25.168882]</t>
  </si>
  <si>
    <t>1 [25.575731]</t>
  </si>
  <si>
    <t>1 [25.979925]</t>
  </si>
  <si>
    <t>1 [26.389890]</t>
  </si>
  <si>
    <t>1 [26.791564]</t>
  </si>
  <si>
    <t>1 [27.200516]</t>
  </si>
  <si>
    <t>1 [27.605435]</t>
  </si>
  <si>
    <t>1 [28.010381]</t>
  </si>
  <si>
    <t>1 [28.418223]</t>
  </si>
  <si>
    <t>1 [28.823319]</t>
  </si>
  <si>
    <t>1 [29.234079]</t>
  </si>
  <si>
    <t>1 [29.636939]</t>
  </si>
  <si>
    <t>1 [30.044617]</t>
  </si>
  <si>
    <t>2 [30.608341]</t>
  </si>
  <si>
    <t>2 [30.984367]</t>
  </si>
  <si>
    <t>2 [31.357395]</t>
  </si>
  <si>
    <t>2 [31.734233]</t>
  </si>
  <si>
    <t>2 [32.125345]</t>
  </si>
  <si>
    <t>2 [32.529169]</t>
  </si>
  <si>
    <t>2 [32.934055]</t>
  </si>
  <si>
    <t>2 [33.343943]</t>
  </si>
  <si>
    <t>2 [33.750863]</t>
  </si>
  <si>
    <t>2 [34.150828]</t>
  </si>
  <si>
    <t>2 [34.562667]</t>
  </si>
  <si>
    <t>2 [34.964655]</t>
  </si>
  <si>
    <t>2 [35.371665]</t>
  </si>
  <si>
    <t>2 [35.782416]</t>
  </si>
  <si>
    <t>2 [36.186346]</t>
  </si>
  <si>
    <t>2 [36.591320]</t>
  </si>
  <si>
    <t>2 [36.994167]</t>
  </si>
  <si>
    <t>2 [37.399741]</t>
  </si>
  <si>
    <t>2 [37.809076]</t>
  </si>
  <si>
    <t>2 [38.216887]</t>
  </si>
  <si>
    <t>2 [38.620830]</t>
  </si>
  <si>
    <t>2 [39.028795]</t>
  </si>
  <si>
    <t>2 [39.437653]</t>
  </si>
  <si>
    <t>2 [39.843557]</t>
  </si>
  <si>
    <t>2 [40.245654]</t>
  </si>
  <si>
    <t>2 [40.653481]</t>
  </si>
  <si>
    <t>2 [41.062346]</t>
  </si>
  <si>
    <t>2 [41.463269]</t>
  </si>
  <si>
    <t>2 [41.873401]</t>
  </si>
  <si>
    <t>2 [42.279904]</t>
  </si>
  <si>
    <t>2 [42.683198]</t>
  </si>
  <si>
    <t>2 [43.090023]</t>
  </si>
  <si>
    <t>2 [43.494805]</t>
  </si>
  <si>
    <t>2 [43.905917]</t>
  </si>
  <si>
    <t>2 [44.307655]</t>
  </si>
  <si>
    <t>2 [44.717640]</t>
  </si>
  <si>
    <t>2 [45.122613]</t>
  </si>
  <si>
    <t>2 [45.526427]</t>
  </si>
  <si>
    <t>2 [45.935453]</t>
  </si>
  <si>
    <t>2 [46.339487]</t>
  </si>
  <si>
    <t>2 [46.747330]</t>
  </si>
  <si>
    <t>2 [47.153044]</t>
  </si>
  <si>
    <t>2 [47.562967]</t>
  </si>
  <si>
    <t>2 [47.965851]</t>
  </si>
  <si>
    <t>2 [48.371730]</t>
  </si>
  <si>
    <t>2 [48.779855]</t>
  </si>
  <si>
    <t>2 [49.182556]</t>
  </si>
  <si>
    <t>2 [49.589270]</t>
  </si>
  <si>
    <t>2 [49.995585]</t>
  </si>
  <si>
    <t>2 [50.403308]</t>
  </si>
  <si>
    <t>2 [50.811440]</t>
  </si>
  <si>
    <t>2 [51.217201]</t>
  </si>
  <si>
    <t>2 [51.625170]</t>
  </si>
  <si>
    <t>2 [52.027992]</t>
  </si>
  <si>
    <t>2 [52.432922]</t>
  </si>
  <si>
    <t>2 [52.839987]</t>
  </si>
  <si>
    <t>2 [53.245989]</t>
  </si>
  <si>
    <t>2 [53.654723]</t>
  </si>
  <si>
    <t>2 [54.061632]</t>
  </si>
  <si>
    <t>2 [54.463520]</t>
  </si>
  <si>
    <t>2 [54.871497]</t>
  </si>
  <si>
    <t>2 [55.278389]</t>
  </si>
  <si>
    <t>2 [55.682371]</t>
  </si>
  <si>
    <t>2 [56.089891]</t>
  </si>
  <si>
    <t>2 [56.495107]</t>
  </si>
  <si>
    <t>2 [56.904075]</t>
  </si>
  <si>
    <t>2 [57.310005]</t>
  </si>
  <si>
    <t>2 [57.719823]</t>
  </si>
  <si>
    <t>2 [58.120826]</t>
  </si>
  <si>
    <t>2 [58.528705]</t>
  </si>
  <si>
    <t>2 [58.933543]</t>
  </si>
  <si>
    <t>2 [59.341529]</t>
  </si>
  <si>
    <t>2 [59.746422]</t>
  </si>
  <si>
    <t>2 [60.152321]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</si>
  <si>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</si>
  <si>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</si>
  <si>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</si>
  <si>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</si>
  <si>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</si>
  <si>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</si>
  <si>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</si>
  <si>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</si>
  <si>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</si>
  <si>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</si>
  <si>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</si>
  <si>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</si>
  <si>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王艳斌</t>
    <phoneticPr fontId="1" type="noConversion"/>
  </si>
  <si>
    <t>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</si>
</sst>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42.051699999999997</c:v>
                </c:pt>
                <c:pt idx="1">
                  <c:v>32.263100000000001</c:v>
                </c:pt>
                <c:pt idx="2">
                  <c:v>23.023</c:v>
                </c:pt>
                <c:pt idx="3">
                  <c:v>31.386800000000001</c:v>
                </c:pt>
                <c:pt idx="4">
                  <c:v>32.361800000000002</c:v>
                </c:pt>
                <c:pt idx="5">
                  <c:v>60.447400000000002</c:v>
                </c:pt>
                <c:pt idx="6">
                  <c:v>10.113200000000001</c:v>
                </c:pt>
                <c:pt idx="7">
                  <c:v>50.275599999999997</c:v>
                </c:pt>
                <c:pt idx="8">
                  <c:v>21.907900000000001</c:v>
                </c:pt>
                <c:pt idx="9">
                  <c:v>24.516300000000001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0.40877762687080915</c:v>
                </c:pt>
                <c:pt idx="1">
                  <c:v>0.34347534894642329</c:v>
                </c:pt>
                <c:pt idx="2">
                  <c:v>0.24774702418276764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12140</c:v>
                </c:pt>
                <c:pt idx="7">
                  <c:v>0</c:v>
                </c:pt>
                <c:pt idx="8">
                  <c:v>19030</c:v>
                </c:pt>
                <c:pt idx="9">
                  <c:v>0</c:v>
                </c:pt>
                <c:pt idx="10">
                  <c:v>0</c:v>
                </c:pt>
                <c:pt idx="11">
                  <c:v>33525</c:v>
                </c:pt>
                <c:pt idx="12">
                  <c:v>0</c:v>
                </c:pt>
                <c:pt idx="13">
                  <c:v>52103</c:v>
                </c:pt>
                <c:pt idx="14">
                  <c:v>0</c:v>
                </c:pt>
                <c:pt idx="15">
                  <c:v>0</c:v>
                </c:pt>
                <c:pt idx="16">
                  <c:v>59410</c:v>
                </c:pt>
                <c:pt idx="17">
                  <c:v>0</c:v>
                </c:pt>
                <c:pt idx="18">
                  <c:v>0</c:v>
                </c:pt>
                <c:pt idx="19">
                  <c:v>69602</c:v>
                </c:pt>
                <c:pt idx="20">
                  <c:v>0</c:v>
                </c:pt>
                <c:pt idx="21">
                  <c:v>89371</c:v>
                </c:pt>
                <c:pt idx="22">
                  <c:v>0</c:v>
                </c:pt>
                <c:pt idx="23">
                  <c:v>0</c:v>
                </c:pt>
                <c:pt idx="24">
                  <c:v>103639</c:v>
                </c:pt>
                <c:pt idx="25">
                  <c:v>0</c:v>
                </c:pt>
                <c:pt idx="26">
                  <c:v>102680</c:v>
                </c:pt>
                <c:pt idx="27">
                  <c:v>0</c:v>
                </c:pt>
                <c:pt idx="28">
                  <c:v>0</c:v>
                </c:pt>
                <c:pt idx="29">
                  <c:v>110445</c:v>
                </c:pt>
                <c:pt idx="30">
                  <c:v>0</c:v>
                </c:pt>
                <c:pt idx="31">
                  <c:v>113341</c:v>
                </c:pt>
                <c:pt idx="32">
                  <c:v>0</c:v>
                </c:pt>
                <c:pt idx="33">
                  <c:v>0</c:v>
                </c:pt>
                <c:pt idx="34">
                  <c:v>122734</c:v>
                </c:pt>
                <c:pt idx="35">
                  <c:v>0</c:v>
                </c:pt>
                <c:pt idx="36">
                  <c:v>0</c:v>
                </c:pt>
                <c:pt idx="37">
                  <c:v>98900</c:v>
                </c:pt>
                <c:pt idx="38">
                  <c:v>0</c:v>
                </c:pt>
                <c:pt idx="39">
                  <c:v>108009</c:v>
                </c:pt>
                <c:pt idx="40">
                  <c:v>0</c:v>
                </c:pt>
                <c:pt idx="41">
                  <c:v>0</c:v>
                </c:pt>
                <c:pt idx="42">
                  <c:v>115891</c:v>
                </c:pt>
                <c:pt idx="43">
                  <c:v>0</c:v>
                </c:pt>
                <c:pt idx="44">
                  <c:v>116703</c:v>
                </c:pt>
                <c:pt idx="45">
                  <c:v>0</c:v>
                </c:pt>
                <c:pt idx="46">
                  <c:v>0</c:v>
                </c:pt>
                <c:pt idx="47">
                  <c:v>109801</c:v>
                </c:pt>
                <c:pt idx="48">
                  <c:v>0</c:v>
                </c:pt>
                <c:pt idx="49">
                  <c:v>107561</c:v>
                </c:pt>
                <c:pt idx="50">
                  <c:v>0</c:v>
                </c:pt>
                <c:pt idx="51">
                  <c:v>0</c:v>
                </c:pt>
                <c:pt idx="52">
                  <c:v>102042</c:v>
                </c:pt>
                <c:pt idx="53">
                  <c:v>0</c:v>
                </c:pt>
                <c:pt idx="54">
                  <c:v>0</c:v>
                </c:pt>
                <c:pt idx="55">
                  <c:v>101145</c:v>
                </c:pt>
                <c:pt idx="56">
                  <c:v>0</c:v>
                </c:pt>
                <c:pt idx="57">
                  <c:v>91871</c:v>
                </c:pt>
                <c:pt idx="58">
                  <c:v>0</c:v>
                </c:pt>
                <c:pt idx="59">
                  <c:v>0</c:v>
                </c:pt>
                <c:pt idx="60">
                  <c:v>81187</c:v>
                </c:pt>
                <c:pt idx="61">
                  <c:v>0</c:v>
                </c:pt>
                <c:pt idx="62">
                  <c:v>75625</c:v>
                </c:pt>
                <c:pt idx="63">
                  <c:v>0</c:v>
                </c:pt>
                <c:pt idx="64">
                  <c:v>0</c:v>
                </c:pt>
                <c:pt idx="65">
                  <c:v>68096</c:v>
                </c:pt>
                <c:pt idx="66">
                  <c:v>0</c:v>
                </c:pt>
                <c:pt idx="67">
                  <c:v>59254</c:v>
                </c:pt>
                <c:pt idx="68">
                  <c:v>0</c:v>
                </c:pt>
                <c:pt idx="69">
                  <c:v>0</c:v>
                </c:pt>
                <c:pt idx="70">
                  <c:v>56628</c:v>
                </c:pt>
                <c:pt idx="71">
                  <c:v>0</c:v>
                </c:pt>
                <c:pt idx="72">
                  <c:v>0</c:v>
                </c:pt>
                <c:pt idx="73">
                  <c:v>49713</c:v>
                </c:pt>
                <c:pt idx="74">
                  <c:v>0</c:v>
                </c:pt>
                <c:pt idx="75">
                  <c:v>48007</c:v>
                </c:pt>
                <c:pt idx="76">
                  <c:v>0</c:v>
                </c:pt>
                <c:pt idx="77">
                  <c:v>0</c:v>
                </c:pt>
                <c:pt idx="78">
                  <c:v>45736</c:v>
                </c:pt>
                <c:pt idx="79">
                  <c:v>0</c:v>
                </c:pt>
                <c:pt idx="80">
                  <c:v>48849</c:v>
                </c:pt>
                <c:pt idx="81">
                  <c:v>0</c:v>
                </c:pt>
                <c:pt idx="82">
                  <c:v>0</c:v>
                </c:pt>
                <c:pt idx="83">
                  <c:v>49981</c:v>
                </c:pt>
                <c:pt idx="84">
                  <c:v>0</c:v>
                </c:pt>
                <c:pt idx="85">
                  <c:v>0</c:v>
                </c:pt>
                <c:pt idx="86">
                  <c:v>47296</c:v>
                </c:pt>
                <c:pt idx="87">
                  <c:v>0</c:v>
                </c:pt>
                <c:pt idx="88">
                  <c:v>44364</c:v>
                </c:pt>
                <c:pt idx="89">
                  <c:v>0</c:v>
                </c:pt>
                <c:pt idx="90">
                  <c:v>0</c:v>
                </c:pt>
                <c:pt idx="91">
                  <c:v>41234</c:v>
                </c:pt>
                <c:pt idx="92">
                  <c:v>0</c:v>
                </c:pt>
                <c:pt idx="93">
                  <c:v>33298</c:v>
                </c:pt>
                <c:pt idx="94">
                  <c:v>0</c:v>
                </c:pt>
                <c:pt idx="95">
                  <c:v>0</c:v>
                </c:pt>
                <c:pt idx="96">
                  <c:v>32923</c:v>
                </c:pt>
                <c:pt idx="97">
                  <c:v>0</c:v>
                </c:pt>
                <c:pt idx="98">
                  <c:v>26766</c:v>
                </c:pt>
                <c:pt idx="99">
                  <c:v>0</c:v>
                </c:pt>
                <c:pt idx="100">
                  <c:v>0</c:v>
                </c:pt>
                <c:pt idx="101">
                  <c:v>28593</c:v>
                </c:pt>
                <c:pt idx="102">
                  <c:v>0</c:v>
                </c:pt>
                <c:pt idx="103">
                  <c:v>0</c:v>
                </c:pt>
                <c:pt idx="104">
                  <c:v>31665</c:v>
                </c:pt>
                <c:pt idx="105">
                  <c:v>0</c:v>
                </c:pt>
                <c:pt idx="106">
                  <c:v>30274</c:v>
                </c:pt>
                <c:pt idx="107">
                  <c:v>0</c:v>
                </c:pt>
                <c:pt idx="108">
                  <c:v>0</c:v>
                </c:pt>
                <c:pt idx="109">
                  <c:v>29966</c:v>
                </c:pt>
                <c:pt idx="110">
                  <c:v>0</c:v>
                </c:pt>
                <c:pt idx="111">
                  <c:v>29621</c:v>
                </c:pt>
                <c:pt idx="112">
                  <c:v>0</c:v>
                </c:pt>
                <c:pt idx="113">
                  <c:v>0</c:v>
                </c:pt>
                <c:pt idx="114">
                  <c:v>29243</c:v>
                </c:pt>
                <c:pt idx="115">
                  <c:v>0</c:v>
                </c:pt>
                <c:pt idx="116">
                  <c:v>25474</c:v>
                </c:pt>
                <c:pt idx="117">
                  <c:v>0</c:v>
                </c:pt>
                <c:pt idx="118">
                  <c:v>0</c:v>
                </c:pt>
                <c:pt idx="119">
                  <c:v>28019</c:v>
                </c:pt>
                <c:pt idx="120">
                  <c:v>0</c:v>
                </c:pt>
                <c:pt idx="121">
                  <c:v>0</c:v>
                </c:pt>
                <c:pt idx="122">
                  <c:v>29660</c:v>
                </c:pt>
                <c:pt idx="123">
                  <c:v>0</c:v>
                </c:pt>
                <c:pt idx="124">
                  <c:v>31024</c:v>
                </c:pt>
                <c:pt idx="125">
                  <c:v>0</c:v>
                </c:pt>
                <c:pt idx="126">
                  <c:v>0</c:v>
                </c:pt>
                <c:pt idx="127">
                  <c:v>29967</c:v>
                </c:pt>
                <c:pt idx="128">
                  <c:v>0</c:v>
                </c:pt>
                <c:pt idx="129">
                  <c:v>33940</c:v>
                </c:pt>
                <c:pt idx="130">
                  <c:v>0</c:v>
                </c:pt>
                <c:pt idx="131">
                  <c:v>0</c:v>
                </c:pt>
                <c:pt idx="132">
                  <c:v>32335</c:v>
                </c:pt>
                <c:pt idx="133">
                  <c:v>0</c:v>
                </c:pt>
                <c:pt idx="134">
                  <c:v>33179</c:v>
                </c:pt>
                <c:pt idx="135">
                  <c:v>0</c:v>
                </c:pt>
                <c:pt idx="136">
                  <c:v>0</c:v>
                </c:pt>
                <c:pt idx="137">
                  <c:v>40436</c:v>
                </c:pt>
                <c:pt idx="138">
                  <c:v>0</c:v>
                </c:pt>
                <c:pt idx="139">
                  <c:v>0</c:v>
                </c:pt>
                <c:pt idx="140">
                  <c:v>39382</c:v>
                </c:pt>
                <c:pt idx="141">
                  <c:v>0</c:v>
                </c:pt>
                <c:pt idx="142">
                  <c:v>43535</c:v>
                </c:pt>
                <c:pt idx="143">
                  <c:v>0</c:v>
                </c:pt>
                <c:pt idx="144">
                  <c:v>0</c:v>
                </c:pt>
                <c:pt idx="145">
                  <c:v>40918</c:v>
                </c:pt>
                <c:pt idx="146">
                  <c:v>0</c:v>
                </c:pt>
                <c:pt idx="147">
                  <c:v>34524</c:v>
                </c:pt>
                <c:pt idx="148">
                  <c:v>0</c:v>
                </c:pt>
                <c:pt idx="149">
                  <c:v>0</c:v>
                </c:pt>
                <c:pt idx="150">
                  <c:v>30977</c:v>
                </c:pt>
                <c:pt idx="151">
                  <c:v>0</c:v>
                </c:pt>
                <c:pt idx="152">
                  <c:v>34036</c:v>
                </c:pt>
                <c:pt idx="153">
                  <c:v>0</c:v>
                </c:pt>
                <c:pt idx="154">
                  <c:v>0</c:v>
                </c:pt>
                <c:pt idx="155">
                  <c:v>36312</c:v>
                </c:pt>
                <c:pt idx="156">
                  <c:v>0</c:v>
                </c:pt>
                <c:pt idx="157">
                  <c:v>0</c:v>
                </c:pt>
                <c:pt idx="158">
                  <c:v>35097</c:v>
                </c:pt>
                <c:pt idx="159">
                  <c:v>0</c:v>
                </c:pt>
                <c:pt idx="160">
                  <c:v>27357</c:v>
                </c:pt>
                <c:pt idx="161">
                  <c:v>0</c:v>
                </c:pt>
                <c:pt idx="162">
                  <c:v>0</c:v>
                </c:pt>
                <c:pt idx="163">
                  <c:v>23390</c:v>
                </c:pt>
                <c:pt idx="164">
                  <c:v>0</c:v>
                </c:pt>
                <c:pt idx="165">
                  <c:v>23104</c:v>
                </c:pt>
                <c:pt idx="166">
                  <c:v>0</c:v>
                </c:pt>
                <c:pt idx="167">
                  <c:v>0</c:v>
                </c:pt>
                <c:pt idx="168">
                  <c:v>21340</c:v>
                </c:pt>
                <c:pt idx="169">
                  <c:v>0</c:v>
                </c:pt>
                <c:pt idx="170">
                  <c:v>0</c:v>
                </c:pt>
                <c:pt idx="171">
                  <c:v>18737</c:v>
                </c:pt>
                <c:pt idx="172">
                  <c:v>0</c:v>
                </c:pt>
                <c:pt idx="173">
                  <c:v>19931</c:v>
                </c:pt>
                <c:pt idx="174">
                  <c:v>0</c:v>
                </c:pt>
                <c:pt idx="175">
                  <c:v>0</c:v>
                </c:pt>
                <c:pt idx="176">
                  <c:v>19025</c:v>
                </c:pt>
                <c:pt idx="177">
                  <c:v>0</c:v>
                </c:pt>
                <c:pt idx="178">
                  <c:v>15680</c:v>
                </c:pt>
                <c:pt idx="179">
                  <c:v>0</c:v>
                </c:pt>
                <c:pt idx="180">
                  <c:v>0</c:v>
                </c:pt>
                <c:pt idx="181">
                  <c:v>14046</c:v>
                </c:pt>
                <c:pt idx="182">
                  <c:v>0</c:v>
                </c:pt>
                <c:pt idx="183">
                  <c:v>12275</c:v>
                </c:pt>
                <c:pt idx="184">
                  <c:v>0</c:v>
                </c:pt>
                <c:pt idx="185">
                  <c:v>0</c:v>
                </c:pt>
                <c:pt idx="186">
                  <c:v>10089</c:v>
                </c:pt>
                <c:pt idx="187">
                  <c:v>0</c:v>
                </c:pt>
                <c:pt idx="188">
                  <c:v>0</c:v>
                </c:pt>
                <c:pt idx="189">
                  <c:v>6208</c:v>
                </c:pt>
                <c:pt idx="190">
                  <c:v>0</c:v>
                </c:pt>
                <c:pt idx="191">
                  <c:v>6049</c:v>
                </c:pt>
                <c:pt idx="192">
                  <c:v>0</c:v>
                </c:pt>
                <c:pt idx="193">
                  <c:v>0</c:v>
                </c:pt>
                <c:pt idx="194">
                  <c:v>3584</c:v>
                </c:pt>
                <c:pt idx="195">
                  <c:v>0</c:v>
                </c:pt>
                <c:pt idx="196">
                  <c:v>4855</c:v>
                </c:pt>
                <c:pt idx="197">
                  <c:v>0</c:v>
                </c:pt>
                <c:pt idx="198">
                  <c:v>0</c:v>
                </c:pt>
                <c:pt idx="199">
                  <c:v>2783</c:v>
                </c:pt>
                <c:pt idx="200">
                  <c:v>0</c:v>
                </c:pt>
                <c:pt idx="201">
                  <c:v>2411</c:v>
                </c:pt>
                <c:pt idx="202">
                  <c:v>0</c:v>
                </c:pt>
                <c:pt idx="203">
                  <c:v>0</c:v>
                </c:pt>
                <c:pt idx="204">
                  <c:v>2413</c:v>
                </c:pt>
                <c:pt idx="205">
                  <c:v>0</c:v>
                </c:pt>
                <c:pt idx="206">
                  <c:v>0</c:v>
                </c:pt>
                <c:pt idx="207">
                  <c:v>1369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  <c:pt idx="75">
                  <c:v>2.9146899999999998</c:v>
                </c:pt>
                <c:pt idx="76">
                  <c:v>2.87859</c:v>
                </c:pt>
                <c:pt idx="77">
                  <c:v>2.8486199999999999</c:v>
                </c:pt>
                <c:pt idx="78">
                  <c:v>2.82355</c:v>
                </c:pt>
                <c:pt idx="79">
                  <c:v>2.8024399999999998</c:v>
                </c:pt>
                <c:pt idx="80">
                  <c:v>2.7815499999999997</c:v>
                </c:pt>
                <c:pt idx="81">
                  <c:v>2.7612199999999998</c:v>
                </c:pt>
                <c:pt idx="82">
                  <c:v>2.7405600000000003</c:v>
                </c:pt>
                <c:pt idx="83">
                  <c:v>2.7212900000000002</c:v>
                </c:pt>
                <c:pt idx="84">
                  <c:v>2.7028300000000001</c:v>
                </c:pt>
                <c:pt idx="85">
                  <c:v>2.6854200000000001</c:v>
                </c:pt>
                <c:pt idx="86">
                  <c:v>2.6674199999999999</c:v>
                </c:pt>
                <c:pt idx="87">
                  <c:v>2.6511400000000003</c:v>
                </c:pt>
                <c:pt idx="88">
                  <c:v>2.6365799999999999</c:v>
                </c:pt>
                <c:pt idx="89">
                  <c:v>2.6220300000000001</c:v>
                </c:pt>
                <c:pt idx="90">
                  <c:v>2.6066799999999999</c:v>
                </c:pt>
                <c:pt idx="91">
                  <c:v>2.5934400000000002</c:v>
                </c:pt>
                <c:pt idx="92">
                  <c:v>2.5804</c:v>
                </c:pt>
                <c:pt idx="93">
                  <c:v>2.5659300000000003</c:v>
                </c:pt>
                <c:pt idx="94">
                  <c:v>2.55145</c:v>
                </c:pt>
                <c:pt idx="95">
                  <c:v>2.5377699999999996</c:v>
                </c:pt>
                <c:pt idx="96">
                  <c:v>2.5252999999999997</c:v>
                </c:pt>
                <c:pt idx="97">
                  <c:v>2.5133299999999998</c:v>
                </c:pt>
                <c:pt idx="98">
                  <c:v>2.5044200000000001</c:v>
                </c:pt>
                <c:pt idx="99">
                  <c:v>2.4963500000000001</c:v>
                </c:pt>
                <c:pt idx="100">
                  <c:v>2.4877500000000001</c:v>
                </c:pt>
                <c:pt idx="101">
                  <c:v>2.48034</c:v>
                </c:pt>
                <c:pt idx="102">
                  <c:v>2.47228</c:v>
                </c:pt>
                <c:pt idx="103">
                  <c:v>2.46698</c:v>
                </c:pt>
                <c:pt idx="104">
                  <c:v>2.4623900000000001</c:v>
                </c:pt>
                <c:pt idx="105">
                  <c:v>2.4607399999999999</c:v>
                </c:pt>
                <c:pt idx="106">
                  <c:v>2.46109</c:v>
                </c:pt>
                <c:pt idx="107">
                  <c:v>2.46244</c:v>
                </c:pt>
                <c:pt idx="108">
                  <c:v>2.4653499999999999</c:v>
                </c:pt>
                <c:pt idx="109">
                  <c:v>2.4698099999999998</c:v>
                </c:pt>
                <c:pt idx="110">
                  <c:v>2.4753600000000002</c:v>
                </c:pt>
                <c:pt idx="111">
                  <c:v>2.4827300000000001</c:v>
                </c:pt>
                <c:pt idx="112">
                  <c:v>2.4887699999999997</c:v>
                </c:pt>
                <c:pt idx="113">
                  <c:v>2.49878</c:v>
                </c:pt>
                <c:pt idx="114">
                  <c:v>2.5113999999999996</c:v>
                </c:pt>
                <c:pt idx="115">
                  <c:v>2.5290499999999998</c:v>
                </c:pt>
                <c:pt idx="116">
                  <c:v>2.5496799999999995</c:v>
                </c:pt>
                <c:pt idx="117">
                  <c:v>2.5728400000000002</c:v>
                </c:pt>
                <c:pt idx="118">
                  <c:v>2.5996000000000001</c:v>
                </c:pt>
                <c:pt idx="119">
                  <c:v>2.6284900000000002</c:v>
                </c:pt>
                <c:pt idx="120">
                  <c:v>2.6593099999999996</c:v>
                </c:pt>
                <c:pt idx="121">
                  <c:v>2.6930999999999998</c:v>
                </c:pt>
                <c:pt idx="122">
                  <c:v>2.7272099999999999</c:v>
                </c:pt>
                <c:pt idx="123">
                  <c:v>2.7628200000000005</c:v>
                </c:pt>
                <c:pt idx="124">
                  <c:v>2.7907599999999997</c:v>
                </c:pt>
                <c:pt idx="125">
                  <c:v>2.8105500000000001</c:v>
                </c:pt>
                <c:pt idx="126">
                  <c:v>2.8311799999999998</c:v>
                </c:pt>
                <c:pt idx="127">
                  <c:v>2.8529200000000001</c:v>
                </c:pt>
                <c:pt idx="128">
                  <c:v>2.8726000000000003</c:v>
                </c:pt>
                <c:pt idx="129">
                  <c:v>2.8918700000000004</c:v>
                </c:pt>
                <c:pt idx="130">
                  <c:v>2.90984</c:v>
                </c:pt>
                <c:pt idx="131">
                  <c:v>2.9267500000000002</c:v>
                </c:pt>
                <c:pt idx="132">
                  <c:v>2.9469499999999997</c:v>
                </c:pt>
                <c:pt idx="133">
                  <c:v>2.9653600000000004</c:v>
                </c:pt>
                <c:pt idx="134">
                  <c:v>2.9816500000000001</c:v>
                </c:pt>
                <c:pt idx="135">
                  <c:v>2.9961799999999998</c:v>
                </c:pt>
                <c:pt idx="136">
                  <c:v>3.0091099999999997</c:v>
                </c:pt>
                <c:pt idx="137">
                  <c:v>3.0245600000000001</c:v>
                </c:pt>
                <c:pt idx="138">
                  <c:v>3.0363199999999999</c:v>
                </c:pt>
                <c:pt idx="139">
                  <c:v>3.0481799999999999</c:v>
                </c:pt>
                <c:pt idx="140">
                  <c:v>3.0586099999999998</c:v>
                </c:pt>
                <c:pt idx="141">
                  <c:v>3.0692999999999997</c:v>
                </c:pt>
                <c:pt idx="142">
                  <c:v>3.0818099999999999</c:v>
                </c:pt>
                <c:pt idx="143">
                  <c:v>3.0955700000000004</c:v>
                </c:pt>
                <c:pt idx="144">
                  <c:v>3.11313</c:v>
                </c:pt>
                <c:pt idx="145">
                  <c:v>3.1324100000000001</c:v>
                </c:pt>
                <c:pt idx="146">
                  <c:v>3.1442399999999999</c:v>
                </c:pt>
                <c:pt idx="147">
                  <c:v>3.1690899999999997</c:v>
                </c:pt>
                <c:pt idx="148">
                  <c:v>3.1849799999999999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  <c:pt idx="75">
                  <c:v>2.8598599999999998</c:v>
                </c:pt>
                <c:pt idx="76">
                  <c:v>4.08866</c:v>
                </c:pt>
                <c:pt idx="77">
                  <c:v>5.4434700000000005</c:v>
                </c:pt>
                <c:pt idx="78">
                  <c:v>6.9027000000000003</c:v>
                </c:pt>
                <c:pt idx="79">
                  <c:v>8.2510300000000001</c:v>
                </c:pt>
                <c:pt idx="80">
                  <c:v>9.5291499999999996</c:v>
                </c:pt>
                <c:pt idx="81">
                  <c:v>10.7379</c:v>
                </c:pt>
                <c:pt idx="82">
                  <c:v>11.812200000000001</c:v>
                </c:pt>
                <c:pt idx="83">
                  <c:v>12.782499999999999</c:v>
                </c:pt>
                <c:pt idx="84">
                  <c:v>13.706399999999999</c:v>
                </c:pt>
                <c:pt idx="85">
                  <c:v>14.577300000000001</c:v>
                </c:pt>
                <c:pt idx="86">
                  <c:v>15.4299</c:v>
                </c:pt>
                <c:pt idx="87">
                  <c:v>16.242999999999999</c:v>
                </c:pt>
                <c:pt idx="88">
                  <c:v>16.945</c:v>
                </c:pt>
                <c:pt idx="89">
                  <c:v>17.4495</c:v>
                </c:pt>
                <c:pt idx="90">
                  <c:v>17.921500000000002</c:v>
                </c:pt>
                <c:pt idx="91">
                  <c:v>18.313099999999999</c:v>
                </c:pt>
                <c:pt idx="92">
                  <c:v>18.697400000000002</c:v>
                </c:pt>
                <c:pt idx="93">
                  <c:v>19.1082</c:v>
                </c:pt>
                <c:pt idx="94">
                  <c:v>19.485399999999998</c:v>
                </c:pt>
                <c:pt idx="95">
                  <c:v>19.795400000000001</c:v>
                </c:pt>
                <c:pt idx="96">
                  <c:v>20.007000000000001</c:v>
                </c:pt>
                <c:pt idx="97">
                  <c:v>20.202400000000001</c:v>
                </c:pt>
                <c:pt idx="98">
                  <c:v>20.240500000000001</c:v>
                </c:pt>
                <c:pt idx="99">
                  <c:v>20.2043</c:v>
                </c:pt>
                <c:pt idx="100">
                  <c:v>20.183</c:v>
                </c:pt>
                <c:pt idx="101">
                  <c:v>20.016000000000002</c:v>
                </c:pt>
                <c:pt idx="102">
                  <c:v>19.851600000000001</c:v>
                </c:pt>
                <c:pt idx="103">
                  <c:v>19.5015</c:v>
                </c:pt>
                <c:pt idx="104">
                  <c:v>19.0977</c:v>
                </c:pt>
                <c:pt idx="105">
                  <c:v>18.619299999999999</c:v>
                </c:pt>
                <c:pt idx="106">
                  <c:v>18.028600000000001</c:v>
                </c:pt>
                <c:pt idx="107">
                  <c:v>17.519100000000002</c:v>
                </c:pt>
                <c:pt idx="108">
                  <c:v>17.083599999999997</c:v>
                </c:pt>
                <c:pt idx="109">
                  <c:v>16.607900000000001</c:v>
                </c:pt>
                <c:pt idx="110">
                  <c:v>16.186700000000002</c:v>
                </c:pt>
                <c:pt idx="111">
                  <c:v>15.732399999999998</c:v>
                </c:pt>
                <c:pt idx="112">
                  <c:v>15.367900000000001</c:v>
                </c:pt>
                <c:pt idx="113">
                  <c:v>14.871300000000002</c:v>
                </c:pt>
                <c:pt idx="114">
                  <c:v>14.5223</c:v>
                </c:pt>
                <c:pt idx="115">
                  <c:v>14.1126</c:v>
                </c:pt>
                <c:pt idx="116">
                  <c:v>13.742699999999999</c:v>
                </c:pt>
                <c:pt idx="117">
                  <c:v>13.3538</c:v>
                </c:pt>
                <c:pt idx="118">
                  <c:v>12.975100000000001</c:v>
                </c:pt>
                <c:pt idx="119">
                  <c:v>12.658099999999999</c:v>
                </c:pt>
                <c:pt idx="120">
                  <c:v>12.4314</c:v>
                </c:pt>
                <c:pt idx="121">
                  <c:v>12.1229</c:v>
                </c:pt>
                <c:pt idx="122">
                  <c:v>11.8142</c:v>
                </c:pt>
                <c:pt idx="123">
                  <c:v>11.4674</c:v>
                </c:pt>
                <c:pt idx="124">
                  <c:v>11.1814</c:v>
                </c:pt>
                <c:pt idx="125">
                  <c:v>10.917300000000001</c:v>
                </c:pt>
                <c:pt idx="126">
                  <c:v>10.7278</c:v>
                </c:pt>
                <c:pt idx="127">
                  <c:v>10.578099999999999</c:v>
                </c:pt>
                <c:pt idx="128">
                  <c:v>10.571</c:v>
                </c:pt>
                <c:pt idx="129">
                  <c:v>10.649100000000001</c:v>
                </c:pt>
                <c:pt idx="130">
                  <c:v>10.739600000000001</c:v>
                </c:pt>
                <c:pt idx="131">
                  <c:v>10.939</c:v>
                </c:pt>
                <c:pt idx="132">
                  <c:v>11.032599999999999</c:v>
                </c:pt>
                <c:pt idx="133">
                  <c:v>11.04</c:v>
                </c:pt>
                <c:pt idx="134">
                  <c:v>11.1008</c:v>
                </c:pt>
                <c:pt idx="135">
                  <c:v>11.130800000000001</c:v>
                </c:pt>
                <c:pt idx="136">
                  <c:v>11.1937</c:v>
                </c:pt>
                <c:pt idx="137">
                  <c:v>11.254799999999999</c:v>
                </c:pt>
                <c:pt idx="138">
                  <c:v>11.5101</c:v>
                </c:pt>
                <c:pt idx="139">
                  <c:v>11.7433</c:v>
                </c:pt>
                <c:pt idx="140">
                  <c:v>12.1313</c:v>
                </c:pt>
                <c:pt idx="141">
                  <c:v>12.361499999999999</c:v>
                </c:pt>
                <c:pt idx="142">
                  <c:v>12.570700000000002</c:v>
                </c:pt>
                <c:pt idx="143">
                  <c:v>12.801100000000002</c:v>
                </c:pt>
                <c:pt idx="144">
                  <c:v>12.723899999999999</c:v>
                </c:pt>
                <c:pt idx="145">
                  <c:v>12.157999999999999</c:v>
                </c:pt>
                <c:pt idx="146">
                  <c:v>11.898200000000001</c:v>
                </c:pt>
                <c:pt idx="147">
                  <c:v>11.234500000000001</c:v>
                </c:pt>
                <c:pt idx="148">
                  <c:v>10.871699999999999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2.9502600000000001</c:v>
                </c:pt>
                <c:pt idx="1">
                  <c:v>2.9146899999999998</c:v>
                </c:pt>
                <c:pt idx="2">
                  <c:v>2.87859</c:v>
                </c:pt>
                <c:pt idx="3">
                  <c:v>2.8486199999999999</c:v>
                </c:pt>
                <c:pt idx="4">
                  <c:v>2.82355</c:v>
                </c:pt>
                <c:pt idx="5">
                  <c:v>2.8024399999999998</c:v>
                </c:pt>
                <c:pt idx="6">
                  <c:v>2.7815499999999997</c:v>
                </c:pt>
                <c:pt idx="7">
                  <c:v>2.7612199999999998</c:v>
                </c:pt>
                <c:pt idx="8">
                  <c:v>2.7405600000000003</c:v>
                </c:pt>
                <c:pt idx="9">
                  <c:v>2.7212900000000002</c:v>
                </c:pt>
                <c:pt idx="10">
                  <c:v>2.7028300000000001</c:v>
                </c:pt>
                <c:pt idx="11">
                  <c:v>2.6854200000000001</c:v>
                </c:pt>
                <c:pt idx="12">
                  <c:v>2.6674199999999999</c:v>
                </c:pt>
                <c:pt idx="13">
                  <c:v>2.6511400000000003</c:v>
                </c:pt>
                <c:pt idx="14">
                  <c:v>2.6365799999999999</c:v>
                </c:pt>
                <c:pt idx="15">
                  <c:v>2.6220300000000001</c:v>
                </c:pt>
                <c:pt idx="16">
                  <c:v>2.6066799999999999</c:v>
                </c:pt>
                <c:pt idx="17">
                  <c:v>2.5934400000000002</c:v>
                </c:pt>
                <c:pt idx="18">
                  <c:v>2.5804</c:v>
                </c:pt>
                <c:pt idx="19">
                  <c:v>2.5659300000000003</c:v>
                </c:pt>
                <c:pt idx="20">
                  <c:v>2.55145</c:v>
                </c:pt>
                <c:pt idx="21">
                  <c:v>2.5377699999999996</c:v>
                </c:pt>
                <c:pt idx="22">
                  <c:v>2.5252999999999997</c:v>
                </c:pt>
                <c:pt idx="23">
                  <c:v>2.5133299999999998</c:v>
                </c:pt>
                <c:pt idx="24">
                  <c:v>2.5044200000000001</c:v>
                </c:pt>
                <c:pt idx="25">
                  <c:v>2.4963500000000001</c:v>
                </c:pt>
                <c:pt idx="26">
                  <c:v>2.4877500000000001</c:v>
                </c:pt>
                <c:pt idx="27">
                  <c:v>2.48034</c:v>
                </c:pt>
                <c:pt idx="28">
                  <c:v>2.47228</c:v>
                </c:pt>
                <c:pt idx="29">
                  <c:v>2.46698</c:v>
                </c:pt>
                <c:pt idx="30">
                  <c:v>2.4623900000000001</c:v>
                </c:pt>
                <c:pt idx="31">
                  <c:v>2.4607399999999999</c:v>
                </c:pt>
                <c:pt idx="32">
                  <c:v>2.46109</c:v>
                </c:pt>
                <c:pt idx="33">
                  <c:v>2.46244</c:v>
                </c:pt>
                <c:pt idx="34">
                  <c:v>2.4653499999999999</c:v>
                </c:pt>
                <c:pt idx="35">
                  <c:v>2.4698099999999998</c:v>
                </c:pt>
                <c:pt idx="36">
                  <c:v>2.4753600000000002</c:v>
                </c:pt>
                <c:pt idx="37">
                  <c:v>2.4827300000000001</c:v>
                </c:pt>
                <c:pt idx="38">
                  <c:v>2.4887699999999997</c:v>
                </c:pt>
                <c:pt idx="39">
                  <c:v>2.49878</c:v>
                </c:pt>
                <c:pt idx="40">
                  <c:v>2.5113999999999996</c:v>
                </c:pt>
                <c:pt idx="41">
                  <c:v>2.5290499999999998</c:v>
                </c:pt>
                <c:pt idx="42">
                  <c:v>2.5496799999999995</c:v>
                </c:pt>
                <c:pt idx="43">
                  <c:v>2.5728400000000002</c:v>
                </c:pt>
                <c:pt idx="44">
                  <c:v>2.5996000000000001</c:v>
                </c:pt>
                <c:pt idx="45">
                  <c:v>2.6284900000000002</c:v>
                </c:pt>
                <c:pt idx="46">
                  <c:v>2.6593099999999996</c:v>
                </c:pt>
                <c:pt idx="47">
                  <c:v>2.6930999999999998</c:v>
                </c:pt>
                <c:pt idx="48">
                  <c:v>2.7272099999999999</c:v>
                </c:pt>
                <c:pt idx="49">
                  <c:v>2.7628200000000005</c:v>
                </c:pt>
                <c:pt idx="50">
                  <c:v>2.7907599999999997</c:v>
                </c:pt>
                <c:pt idx="51">
                  <c:v>2.8105500000000001</c:v>
                </c:pt>
                <c:pt idx="52">
                  <c:v>2.8311799999999998</c:v>
                </c:pt>
                <c:pt idx="53">
                  <c:v>2.8529200000000001</c:v>
                </c:pt>
                <c:pt idx="54">
                  <c:v>2.8726000000000003</c:v>
                </c:pt>
                <c:pt idx="55">
                  <c:v>2.8918700000000004</c:v>
                </c:pt>
                <c:pt idx="56">
                  <c:v>2.90984</c:v>
                </c:pt>
                <c:pt idx="57">
                  <c:v>2.9267500000000002</c:v>
                </c:pt>
                <c:pt idx="58">
                  <c:v>2.9469499999999997</c:v>
                </c:pt>
                <c:pt idx="59">
                  <c:v>2.9653600000000004</c:v>
                </c:pt>
                <c:pt idx="60">
                  <c:v>2.9816500000000001</c:v>
                </c:pt>
                <c:pt idx="61">
                  <c:v>2.9961799999999998</c:v>
                </c:pt>
                <c:pt idx="62">
                  <c:v>3.0091099999999997</c:v>
                </c:pt>
                <c:pt idx="63">
                  <c:v>3.0245600000000001</c:v>
                </c:pt>
                <c:pt idx="64">
                  <c:v>3.0363199999999999</c:v>
                </c:pt>
                <c:pt idx="65">
                  <c:v>3.0481799999999999</c:v>
                </c:pt>
                <c:pt idx="66">
                  <c:v>3.0586099999999998</c:v>
                </c:pt>
                <c:pt idx="67">
                  <c:v>3.0692999999999997</c:v>
                </c:pt>
                <c:pt idx="68">
                  <c:v>3.0818099999999999</c:v>
                </c:pt>
                <c:pt idx="69">
                  <c:v>3.0955700000000004</c:v>
                </c:pt>
                <c:pt idx="70">
                  <c:v>3.11313</c:v>
                </c:pt>
                <c:pt idx="71">
                  <c:v>3.1324100000000001</c:v>
                </c:pt>
                <c:pt idx="72">
                  <c:v>3.1442399999999999</c:v>
                </c:pt>
                <c:pt idx="73">
                  <c:v>3.1690899999999997</c:v>
                </c:pt>
                <c:pt idx="74">
                  <c:v>3.1849799999999999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1.7261499999999999</c:v>
                </c:pt>
                <c:pt idx="1">
                  <c:v>2.8598599999999998</c:v>
                </c:pt>
                <c:pt idx="2">
                  <c:v>4.08866</c:v>
                </c:pt>
                <c:pt idx="3">
                  <c:v>5.4434700000000005</c:v>
                </c:pt>
                <c:pt idx="4">
                  <c:v>6.9027000000000003</c:v>
                </c:pt>
                <c:pt idx="5">
                  <c:v>8.2510300000000001</c:v>
                </c:pt>
                <c:pt idx="6">
                  <c:v>9.5291499999999996</c:v>
                </c:pt>
                <c:pt idx="7">
                  <c:v>10.7379</c:v>
                </c:pt>
                <c:pt idx="8">
                  <c:v>11.812200000000001</c:v>
                </c:pt>
                <c:pt idx="9">
                  <c:v>12.782499999999999</c:v>
                </c:pt>
                <c:pt idx="10">
                  <c:v>13.706399999999999</c:v>
                </c:pt>
                <c:pt idx="11">
                  <c:v>14.577300000000001</c:v>
                </c:pt>
                <c:pt idx="12">
                  <c:v>15.4299</c:v>
                </c:pt>
                <c:pt idx="13">
                  <c:v>16.242999999999999</c:v>
                </c:pt>
                <c:pt idx="14">
                  <c:v>16.945</c:v>
                </c:pt>
                <c:pt idx="15">
                  <c:v>17.4495</c:v>
                </c:pt>
                <c:pt idx="16">
                  <c:v>17.921500000000002</c:v>
                </c:pt>
                <c:pt idx="17">
                  <c:v>18.313099999999999</c:v>
                </c:pt>
                <c:pt idx="18">
                  <c:v>18.697400000000002</c:v>
                </c:pt>
                <c:pt idx="19">
                  <c:v>19.1082</c:v>
                </c:pt>
                <c:pt idx="20">
                  <c:v>19.485399999999998</c:v>
                </c:pt>
                <c:pt idx="21">
                  <c:v>19.795400000000001</c:v>
                </c:pt>
                <c:pt idx="22">
                  <c:v>20.007000000000001</c:v>
                </c:pt>
                <c:pt idx="23">
                  <c:v>20.202400000000001</c:v>
                </c:pt>
                <c:pt idx="24">
                  <c:v>20.240500000000001</c:v>
                </c:pt>
                <c:pt idx="25">
                  <c:v>20.2043</c:v>
                </c:pt>
                <c:pt idx="26">
                  <c:v>20.183</c:v>
                </c:pt>
                <c:pt idx="27">
                  <c:v>20.016000000000002</c:v>
                </c:pt>
                <c:pt idx="28">
                  <c:v>19.851600000000001</c:v>
                </c:pt>
                <c:pt idx="29">
                  <c:v>19.5015</c:v>
                </c:pt>
                <c:pt idx="30">
                  <c:v>19.0977</c:v>
                </c:pt>
                <c:pt idx="31">
                  <c:v>18.619299999999999</c:v>
                </c:pt>
                <c:pt idx="32">
                  <c:v>18.028600000000001</c:v>
                </c:pt>
                <c:pt idx="33">
                  <c:v>17.519100000000002</c:v>
                </c:pt>
                <c:pt idx="34">
                  <c:v>17.083599999999997</c:v>
                </c:pt>
                <c:pt idx="35">
                  <c:v>16.607900000000001</c:v>
                </c:pt>
                <c:pt idx="36">
                  <c:v>16.186700000000002</c:v>
                </c:pt>
                <c:pt idx="37">
                  <c:v>15.732399999999998</c:v>
                </c:pt>
                <c:pt idx="38">
                  <c:v>15.367900000000001</c:v>
                </c:pt>
                <c:pt idx="39">
                  <c:v>14.871300000000002</c:v>
                </c:pt>
                <c:pt idx="40">
                  <c:v>14.5223</c:v>
                </c:pt>
                <c:pt idx="41">
                  <c:v>14.1126</c:v>
                </c:pt>
                <c:pt idx="42">
                  <c:v>13.742699999999999</c:v>
                </c:pt>
                <c:pt idx="43">
                  <c:v>13.3538</c:v>
                </c:pt>
                <c:pt idx="44">
                  <c:v>12.975100000000001</c:v>
                </c:pt>
                <c:pt idx="45">
                  <c:v>12.658099999999999</c:v>
                </c:pt>
                <c:pt idx="46">
                  <c:v>12.4314</c:v>
                </c:pt>
                <c:pt idx="47">
                  <c:v>12.1229</c:v>
                </c:pt>
                <c:pt idx="48">
                  <c:v>11.8142</c:v>
                </c:pt>
                <c:pt idx="49">
                  <c:v>11.4674</c:v>
                </c:pt>
                <c:pt idx="50">
                  <c:v>11.1814</c:v>
                </c:pt>
                <c:pt idx="51">
                  <c:v>10.917300000000001</c:v>
                </c:pt>
                <c:pt idx="52">
                  <c:v>10.7278</c:v>
                </c:pt>
                <c:pt idx="53">
                  <c:v>10.578099999999999</c:v>
                </c:pt>
                <c:pt idx="54">
                  <c:v>10.571</c:v>
                </c:pt>
                <c:pt idx="55">
                  <c:v>10.649100000000001</c:v>
                </c:pt>
                <c:pt idx="56">
                  <c:v>10.739600000000001</c:v>
                </c:pt>
                <c:pt idx="57">
                  <c:v>10.939</c:v>
                </c:pt>
                <c:pt idx="58">
                  <c:v>11.032599999999999</c:v>
                </c:pt>
                <c:pt idx="59">
                  <c:v>11.04</c:v>
                </c:pt>
                <c:pt idx="60">
                  <c:v>11.1008</c:v>
                </c:pt>
                <c:pt idx="61">
                  <c:v>11.130800000000001</c:v>
                </c:pt>
                <c:pt idx="62">
                  <c:v>11.1937</c:v>
                </c:pt>
                <c:pt idx="63">
                  <c:v>11.254799999999999</c:v>
                </c:pt>
                <c:pt idx="64">
                  <c:v>11.5101</c:v>
                </c:pt>
                <c:pt idx="65">
                  <c:v>11.7433</c:v>
                </c:pt>
                <c:pt idx="66">
                  <c:v>12.1313</c:v>
                </c:pt>
                <c:pt idx="67">
                  <c:v>12.361499999999999</c:v>
                </c:pt>
                <c:pt idx="68">
                  <c:v>12.570700000000002</c:v>
                </c:pt>
                <c:pt idx="69">
                  <c:v>12.801100000000002</c:v>
                </c:pt>
                <c:pt idx="70">
                  <c:v>12.723899999999999</c:v>
                </c:pt>
                <c:pt idx="71">
                  <c:v>12.157999999999999</c:v>
                </c:pt>
                <c:pt idx="72">
                  <c:v>11.898200000000001</c:v>
                </c:pt>
                <c:pt idx="73">
                  <c:v>11.234500000000001</c:v>
                </c:pt>
                <c:pt idx="74">
                  <c:v>10.871699999999999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3.0826570270270262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11.821293810810813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2.7336555405405409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13.709670540540536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2.7336555405405409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13.709670540540536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0.36106398526618155</c:v>
                </c:pt>
                <c:pt idx="1">
                  <c:v>0.25501195124464171</c:v>
                </c:pt>
                <c:pt idx="2">
                  <c:v>0.38392406348917679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  <c:pt idx="75">
                  <c:v>30.6083</c:v>
                </c:pt>
                <c:pt idx="76">
                  <c:v>30.984400000000001</c:v>
                </c:pt>
                <c:pt idx="77">
                  <c:v>31.357399999999998</c:v>
                </c:pt>
                <c:pt idx="78">
                  <c:v>31.734200000000001</c:v>
                </c:pt>
                <c:pt idx="79">
                  <c:v>32.125300000000003</c:v>
                </c:pt>
                <c:pt idx="80">
                  <c:v>32.529200000000003</c:v>
                </c:pt>
                <c:pt idx="81">
                  <c:v>32.934100000000001</c:v>
                </c:pt>
                <c:pt idx="82">
                  <c:v>33.343899999999998</c:v>
                </c:pt>
                <c:pt idx="83">
                  <c:v>33.750900000000001</c:v>
                </c:pt>
                <c:pt idx="84">
                  <c:v>34.150799999999997</c:v>
                </c:pt>
                <c:pt idx="85">
                  <c:v>34.5627</c:v>
                </c:pt>
                <c:pt idx="86">
                  <c:v>34.964700000000001</c:v>
                </c:pt>
                <c:pt idx="87">
                  <c:v>35.371699999999997</c:v>
                </c:pt>
                <c:pt idx="88">
                  <c:v>35.782400000000003</c:v>
                </c:pt>
                <c:pt idx="89">
                  <c:v>36.186300000000003</c:v>
                </c:pt>
                <c:pt idx="90">
                  <c:v>36.591299999999997</c:v>
                </c:pt>
                <c:pt idx="91">
                  <c:v>36.994199999999999</c:v>
                </c:pt>
                <c:pt idx="92">
                  <c:v>37.399700000000003</c:v>
                </c:pt>
                <c:pt idx="93">
                  <c:v>37.809100000000001</c:v>
                </c:pt>
                <c:pt idx="94">
                  <c:v>38.216900000000003</c:v>
                </c:pt>
                <c:pt idx="95">
                  <c:v>38.620800000000003</c:v>
                </c:pt>
                <c:pt idx="96">
                  <c:v>39.028799999999997</c:v>
                </c:pt>
                <c:pt idx="97">
                  <c:v>39.4377</c:v>
                </c:pt>
                <c:pt idx="98">
                  <c:v>39.843600000000002</c:v>
                </c:pt>
                <c:pt idx="99">
                  <c:v>40.245699999999999</c:v>
                </c:pt>
                <c:pt idx="100">
                  <c:v>40.653500000000001</c:v>
                </c:pt>
                <c:pt idx="101">
                  <c:v>41.0623</c:v>
                </c:pt>
                <c:pt idx="102">
                  <c:v>41.463299999999997</c:v>
                </c:pt>
                <c:pt idx="103">
                  <c:v>41.873399999999997</c:v>
                </c:pt>
                <c:pt idx="104">
                  <c:v>42.279899999999998</c:v>
                </c:pt>
                <c:pt idx="105">
                  <c:v>42.683199999999999</c:v>
                </c:pt>
                <c:pt idx="106">
                  <c:v>43.09</c:v>
                </c:pt>
                <c:pt idx="107">
                  <c:v>43.494799999999998</c:v>
                </c:pt>
                <c:pt idx="108">
                  <c:v>43.905900000000003</c:v>
                </c:pt>
                <c:pt idx="109">
                  <c:v>44.307699999999997</c:v>
                </c:pt>
                <c:pt idx="110">
                  <c:v>44.717599999999997</c:v>
                </c:pt>
                <c:pt idx="111">
                  <c:v>45.122599999999998</c:v>
                </c:pt>
                <c:pt idx="112">
                  <c:v>45.526400000000002</c:v>
                </c:pt>
                <c:pt idx="113">
                  <c:v>45.935499999999998</c:v>
                </c:pt>
                <c:pt idx="114">
                  <c:v>46.339500000000001</c:v>
                </c:pt>
                <c:pt idx="115">
                  <c:v>46.747300000000003</c:v>
                </c:pt>
                <c:pt idx="116">
                  <c:v>47.152999999999999</c:v>
                </c:pt>
                <c:pt idx="117">
                  <c:v>47.563000000000002</c:v>
                </c:pt>
                <c:pt idx="118">
                  <c:v>47.965899999999998</c:v>
                </c:pt>
                <c:pt idx="119">
                  <c:v>48.371699999999997</c:v>
                </c:pt>
                <c:pt idx="120">
                  <c:v>48.779899999999998</c:v>
                </c:pt>
                <c:pt idx="121">
                  <c:v>49.182600000000001</c:v>
                </c:pt>
                <c:pt idx="122">
                  <c:v>49.589300000000001</c:v>
                </c:pt>
                <c:pt idx="123">
                  <c:v>49.995600000000003</c:v>
                </c:pt>
                <c:pt idx="124">
                  <c:v>50.403300000000002</c:v>
                </c:pt>
                <c:pt idx="125">
                  <c:v>50.811399999999999</c:v>
                </c:pt>
                <c:pt idx="126">
                  <c:v>51.217199999999998</c:v>
                </c:pt>
                <c:pt idx="127">
                  <c:v>51.6252</c:v>
                </c:pt>
                <c:pt idx="128">
                  <c:v>52.027999999999999</c:v>
                </c:pt>
                <c:pt idx="129">
                  <c:v>52.432899999999997</c:v>
                </c:pt>
                <c:pt idx="130">
                  <c:v>52.84</c:v>
                </c:pt>
                <c:pt idx="131">
                  <c:v>53.246000000000002</c:v>
                </c:pt>
                <c:pt idx="132">
                  <c:v>53.654699999999998</c:v>
                </c:pt>
                <c:pt idx="133">
                  <c:v>54.061599999999999</c:v>
                </c:pt>
                <c:pt idx="134">
                  <c:v>54.463500000000003</c:v>
                </c:pt>
                <c:pt idx="135">
                  <c:v>54.871499999999997</c:v>
                </c:pt>
                <c:pt idx="136">
                  <c:v>55.278399999999998</c:v>
                </c:pt>
                <c:pt idx="137">
                  <c:v>55.682400000000001</c:v>
                </c:pt>
                <c:pt idx="138">
                  <c:v>56.0899</c:v>
                </c:pt>
                <c:pt idx="139">
                  <c:v>56.495100000000001</c:v>
                </c:pt>
                <c:pt idx="140">
                  <c:v>56.9041</c:v>
                </c:pt>
                <c:pt idx="141">
                  <c:v>57.31</c:v>
                </c:pt>
                <c:pt idx="142">
                  <c:v>57.719799999999999</c:v>
                </c:pt>
                <c:pt idx="143">
                  <c:v>58.120800000000003</c:v>
                </c:pt>
                <c:pt idx="144">
                  <c:v>58.528700000000001</c:v>
                </c:pt>
                <c:pt idx="145">
                  <c:v>58.933500000000002</c:v>
                </c:pt>
                <c:pt idx="146">
                  <c:v>59.341500000000003</c:v>
                </c:pt>
                <c:pt idx="147">
                  <c:v>59.746400000000001</c:v>
                </c:pt>
                <c:pt idx="148">
                  <c:v>60.152299999999997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  <c:pt idx="75">
                  <c:v>2.9146899999999998</c:v>
                </c:pt>
                <c:pt idx="76">
                  <c:v>2.87859</c:v>
                </c:pt>
                <c:pt idx="77">
                  <c:v>2.8486199999999999</c:v>
                </c:pt>
                <c:pt idx="78">
                  <c:v>2.82355</c:v>
                </c:pt>
                <c:pt idx="79">
                  <c:v>2.8024399999999998</c:v>
                </c:pt>
                <c:pt idx="80">
                  <c:v>2.7815499999999997</c:v>
                </c:pt>
                <c:pt idx="81">
                  <c:v>2.7612199999999998</c:v>
                </c:pt>
                <c:pt idx="82">
                  <c:v>2.7405600000000003</c:v>
                </c:pt>
                <c:pt idx="83">
                  <c:v>2.7212900000000002</c:v>
                </c:pt>
                <c:pt idx="84">
                  <c:v>2.7028300000000001</c:v>
                </c:pt>
                <c:pt idx="85">
                  <c:v>2.6854200000000001</c:v>
                </c:pt>
                <c:pt idx="86">
                  <c:v>2.6674199999999999</c:v>
                </c:pt>
                <c:pt idx="87">
                  <c:v>2.6511400000000003</c:v>
                </c:pt>
                <c:pt idx="88">
                  <c:v>2.6365799999999999</c:v>
                </c:pt>
                <c:pt idx="89">
                  <c:v>2.6220300000000001</c:v>
                </c:pt>
                <c:pt idx="90">
                  <c:v>2.6066799999999999</c:v>
                </c:pt>
                <c:pt idx="91">
                  <c:v>2.5934400000000002</c:v>
                </c:pt>
                <c:pt idx="92">
                  <c:v>2.5804</c:v>
                </c:pt>
                <c:pt idx="93">
                  <c:v>2.5659300000000003</c:v>
                </c:pt>
                <c:pt idx="94">
                  <c:v>2.55145</c:v>
                </c:pt>
                <c:pt idx="95">
                  <c:v>2.5377699999999996</c:v>
                </c:pt>
                <c:pt idx="96">
                  <c:v>2.5252999999999997</c:v>
                </c:pt>
                <c:pt idx="97">
                  <c:v>2.5133299999999998</c:v>
                </c:pt>
                <c:pt idx="98">
                  <c:v>2.5044200000000001</c:v>
                </c:pt>
                <c:pt idx="99">
                  <c:v>2.4963500000000001</c:v>
                </c:pt>
                <c:pt idx="100">
                  <c:v>2.4877500000000001</c:v>
                </c:pt>
                <c:pt idx="101">
                  <c:v>2.48034</c:v>
                </c:pt>
                <c:pt idx="102">
                  <c:v>2.47228</c:v>
                </c:pt>
                <c:pt idx="103">
                  <c:v>2.46698</c:v>
                </c:pt>
                <c:pt idx="104">
                  <c:v>2.4623900000000001</c:v>
                </c:pt>
                <c:pt idx="105">
                  <c:v>2.4607399999999999</c:v>
                </c:pt>
                <c:pt idx="106">
                  <c:v>2.46109</c:v>
                </c:pt>
                <c:pt idx="107">
                  <c:v>2.46244</c:v>
                </c:pt>
                <c:pt idx="108">
                  <c:v>2.4653499999999999</c:v>
                </c:pt>
                <c:pt idx="109">
                  <c:v>2.4698099999999998</c:v>
                </c:pt>
                <c:pt idx="110">
                  <c:v>2.4753600000000002</c:v>
                </c:pt>
                <c:pt idx="111">
                  <c:v>2.4827300000000001</c:v>
                </c:pt>
                <c:pt idx="112">
                  <c:v>2.4887699999999997</c:v>
                </c:pt>
                <c:pt idx="113">
                  <c:v>2.49878</c:v>
                </c:pt>
                <c:pt idx="114">
                  <c:v>2.5113999999999996</c:v>
                </c:pt>
                <c:pt idx="115">
                  <c:v>2.5290499999999998</c:v>
                </c:pt>
                <c:pt idx="116">
                  <c:v>2.5496799999999995</c:v>
                </c:pt>
                <c:pt idx="117">
                  <c:v>2.5728400000000002</c:v>
                </c:pt>
                <c:pt idx="118">
                  <c:v>2.5996000000000001</c:v>
                </c:pt>
                <c:pt idx="119">
                  <c:v>2.6284900000000002</c:v>
                </c:pt>
                <c:pt idx="120">
                  <c:v>2.6593099999999996</c:v>
                </c:pt>
                <c:pt idx="121">
                  <c:v>2.6930999999999998</c:v>
                </c:pt>
                <c:pt idx="122">
                  <c:v>2.7272099999999999</c:v>
                </c:pt>
                <c:pt idx="123">
                  <c:v>2.7628200000000005</c:v>
                </c:pt>
                <c:pt idx="124">
                  <c:v>2.7907599999999997</c:v>
                </c:pt>
                <c:pt idx="125">
                  <c:v>2.8105500000000001</c:v>
                </c:pt>
                <c:pt idx="126">
                  <c:v>2.8311799999999998</c:v>
                </c:pt>
                <c:pt idx="127">
                  <c:v>2.8529200000000001</c:v>
                </c:pt>
                <c:pt idx="128">
                  <c:v>2.8726000000000003</c:v>
                </c:pt>
                <c:pt idx="129">
                  <c:v>2.8918700000000004</c:v>
                </c:pt>
                <c:pt idx="130">
                  <c:v>2.90984</c:v>
                </c:pt>
                <c:pt idx="131">
                  <c:v>2.9267500000000002</c:v>
                </c:pt>
                <c:pt idx="132">
                  <c:v>2.9469499999999997</c:v>
                </c:pt>
                <c:pt idx="133">
                  <c:v>2.9653600000000004</c:v>
                </c:pt>
                <c:pt idx="134">
                  <c:v>2.9816500000000001</c:v>
                </c:pt>
                <c:pt idx="135">
                  <c:v>2.9961799999999998</c:v>
                </c:pt>
                <c:pt idx="136">
                  <c:v>3.0091099999999997</c:v>
                </c:pt>
                <c:pt idx="137">
                  <c:v>3.0245600000000001</c:v>
                </c:pt>
                <c:pt idx="138">
                  <c:v>3.0363199999999999</c:v>
                </c:pt>
                <c:pt idx="139">
                  <c:v>3.0481799999999999</c:v>
                </c:pt>
                <c:pt idx="140">
                  <c:v>3.0586099999999998</c:v>
                </c:pt>
                <c:pt idx="141">
                  <c:v>3.0692999999999997</c:v>
                </c:pt>
                <c:pt idx="142">
                  <c:v>3.0818099999999999</c:v>
                </c:pt>
                <c:pt idx="143">
                  <c:v>3.0955700000000004</c:v>
                </c:pt>
                <c:pt idx="144">
                  <c:v>3.11313</c:v>
                </c:pt>
                <c:pt idx="145">
                  <c:v>3.1324100000000001</c:v>
                </c:pt>
                <c:pt idx="146">
                  <c:v>3.1442399999999999</c:v>
                </c:pt>
                <c:pt idx="147">
                  <c:v>3.1690899999999997</c:v>
                </c:pt>
                <c:pt idx="148">
                  <c:v>3.1849799999999999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30.6083</c:v>
                </c:pt>
                <c:pt idx="2">
                  <c:v>30.984400000000001</c:v>
                </c:pt>
                <c:pt idx="3">
                  <c:v>31.357399999999998</c:v>
                </c:pt>
                <c:pt idx="4">
                  <c:v>31.734200000000001</c:v>
                </c:pt>
                <c:pt idx="5">
                  <c:v>32.125300000000003</c:v>
                </c:pt>
                <c:pt idx="6">
                  <c:v>32.529200000000003</c:v>
                </c:pt>
                <c:pt idx="7">
                  <c:v>32.934100000000001</c:v>
                </c:pt>
                <c:pt idx="8">
                  <c:v>33.343899999999998</c:v>
                </c:pt>
                <c:pt idx="9">
                  <c:v>33.750900000000001</c:v>
                </c:pt>
                <c:pt idx="10">
                  <c:v>34.150799999999997</c:v>
                </c:pt>
                <c:pt idx="11">
                  <c:v>34.5627</c:v>
                </c:pt>
                <c:pt idx="12">
                  <c:v>34.964700000000001</c:v>
                </c:pt>
                <c:pt idx="13">
                  <c:v>35.371699999999997</c:v>
                </c:pt>
                <c:pt idx="14">
                  <c:v>35.782400000000003</c:v>
                </c:pt>
                <c:pt idx="15">
                  <c:v>36.186300000000003</c:v>
                </c:pt>
                <c:pt idx="16">
                  <c:v>36.591299999999997</c:v>
                </c:pt>
                <c:pt idx="17">
                  <c:v>36.994199999999999</c:v>
                </c:pt>
                <c:pt idx="18">
                  <c:v>37.399700000000003</c:v>
                </c:pt>
                <c:pt idx="19">
                  <c:v>37.809100000000001</c:v>
                </c:pt>
                <c:pt idx="20">
                  <c:v>38.216900000000003</c:v>
                </c:pt>
                <c:pt idx="21">
                  <c:v>38.620800000000003</c:v>
                </c:pt>
                <c:pt idx="22">
                  <c:v>39.028799999999997</c:v>
                </c:pt>
                <c:pt idx="23">
                  <c:v>39.4377</c:v>
                </c:pt>
                <c:pt idx="24">
                  <c:v>39.843600000000002</c:v>
                </c:pt>
                <c:pt idx="25">
                  <c:v>40.245699999999999</c:v>
                </c:pt>
                <c:pt idx="26">
                  <c:v>40.653500000000001</c:v>
                </c:pt>
                <c:pt idx="27">
                  <c:v>41.0623</c:v>
                </c:pt>
                <c:pt idx="28">
                  <c:v>41.463299999999997</c:v>
                </c:pt>
                <c:pt idx="29">
                  <c:v>41.873399999999997</c:v>
                </c:pt>
                <c:pt idx="30">
                  <c:v>42.279899999999998</c:v>
                </c:pt>
                <c:pt idx="31">
                  <c:v>42.683199999999999</c:v>
                </c:pt>
                <c:pt idx="32">
                  <c:v>43.09</c:v>
                </c:pt>
                <c:pt idx="33">
                  <c:v>43.494799999999998</c:v>
                </c:pt>
                <c:pt idx="34">
                  <c:v>43.905900000000003</c:v>
                </c:pt>
                <c:pt idx="35">
                  <c:v>44.307699999999997</c:v>
                </c:pt>
                <c:pt idx="36">
                  <c:v>44.717599999999997</c:v>
                </c:pt>
                <c:pt idx="37">
                  <c:v>45.122599999999998</c:v>
                </c:pt>
                <c:pt idx="38">
                  <c:v>45.526400000000002</c:v>
                </c:pt>
                <c:pt idx="39">
                  <c:v>45.935499999999998</c:v>
                </c:pt>
                <c:pt idx="40">
                  <c:v>46.339500000000001</c:v>
                </c:pt>
                <c:pt idx="41">
                  <c:v>46.747300000000003</c:v>
                </c:pt>
                <c:pt idx="42">
                  <c:v>47.152999999999999</c:v>
                </c:pt>
                <c:pt idx="43">
                  <c:v>47.563000000000002</c:v>
                </c:pt>
                <c:pt idx="44">
                  <c:v>47.965899999999998</c:v>
                </c:pt>
                <c:pt idx="45">
                  <c:v>48.371699999999997</c:v>
                </c:pt>
                <c:pt idx="46">
                  <c:v>48.779899999999998</c:v>
                </c:pt>
                <c:pt idx="47">
                  <c:v>49.182600000000001</c:v>
                </c:pt>
                <c:pt idx="48">
                  <c:v>49.589300000000001</c:v>
                </c:pt>
                <c:pt idx="49">
                  <c:v>49.995600000000003</c:v>
                </c:pt>
                <c:pt idx="50">
                  <c:v>50.403300000000002</c:v>
                </c:pt>
                <c:pt idx="51">
                  <c:v>50.811399999999999</c:v>
                </c:pt>
                <c:pt idx="52">
                  <c:v>51.217199999999998</c:v>
                </c:pt>
                <c:pt idx="53">
                  <c:v>51.6252</c:v>
                </c:pt>
                <c:pt idx="54">
                  <c:v>52.027999999999999</c:v>
                </c:pt>
                <c:pt idx="55">
                  <c:v>52.432899999999997</c:v>
                </c:pt>
                <c:pt idx="56">
                  <c:v>52.84</c:v>
                </c:pt>
                <c:pt idx="57">
                  <c:v>53.246000000000002</c:v>
                </c:pt>
                <c:pt idx="58">
                  <c:v>53.654699999999998</c:v>
                </c:pt>
                <c:pt idx="59">
                  <c:v>54.061599999999999</c:v>
                </c:pt>
                <c:pt idx="60">
                  <c:v>54.463500000000003</c:v>
                </c:pt>
                <c:pt idx="61">
                  <c:v>54.871499999999997</c:v>
                </c:pt>
                <c:pt idx="62">
                  <c:v>55.278399999999998</c:v>
                </c:pt>
                <c:pt idx="63">
                  <c:v>55.682400000000001</c:v>
                </c:pt>
                <c:pt idx="64">
                  <c:v>56.0899</c:v>
                </c:pt>
                <c:pt idx="65">
                  <c:v>56.495100000000001</c:v>
                </c:pt>
                <c:pt idx="66">
                  <c:v>56.9041</c:v>
                </c:pt>
                <c:pt idx="67">
                  <c:v>57.31</c:v>
                </c:pt>
                <c:pt idx="68">
                  <c:v>57.719799999999999</c:v>
                </c:pt>
                <c:pt idx="69">
                  <c:v>58.120800000000003</c:v>
                </c:pt>
                <c:pt idx="70">
                  <c:v>58.528700000000001</c:v>
                </c:pt>
                <c:pt idx="71">
                  <c:v>58.933500000000002</c:v>
                </c:pt>
                <c:pt idx="72">
                  <c:v>59.341500000000003</c:v>
                </c:pt>
                <c:pt idx="73">
                  <c:v>59.746400000000001</c:v>
                </c:pt>
                <c:pt idx="74">
                  <c:v>60.152299999999997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2.9502600000000001</c:v>
                </c:pt>
                <c:pt idx="1">
                  <c:v>2.9146899999999998</c:v>
                </c:pt>
                <c:pt idx="2">
                  <c:v>2.87859</c:v>
                </c:pt>
                <c:pt idx="3">
                  <c:v>2.8486199999999999</c:v>
                </c:pt>
                <c:pt idx="4">
                  <c:v>2.82355</c:v>
                </c:pt>
                <c:pt idx="5">
                  <c:v>2.8024399999999998</c:v>
                </c:pt>
                <c:pt idx="6">
                  <c:v>2.7815499999999997</c:v>
                </c:pt>
                <c:pt idx="7">
                  <c:v>2.7612199999999998</c:v>
                </c:pt>
                <c:pt idx="8">
                  <c:v>2.7405600000000003</c:v>
                </c:pt>
                <c:pt idx="9">
                  <c:v>2.7212900000000002</c:v>
                </c:pt>
                <c:pt idx="10">
                  <c:v>2.7028300000000001</c:v>
                </c:pt>
                <c:pt idx="11">
                  <c:v>2.6854200000000001</c:v>
                </c:pt>
                <c:pt idx="12">
                  <c:v>2.6674199999999999</c:v>
                </c:pt>
                <c:pt idx="13">
                  <c:v>2.6511400000000003</c:v>
                </c:pt>
                <c:pt idx="14">
                  <c:v>2.6365799999999999</c:v>
                </c:pt>
                <c:pt idx="15">
                  <c:v>2.6220300000000001</c:v>
                </c:pt>
                <c:pt idx="16">
                  <c:v>2.6066799999999999</c:v>
                </c:pt>
                <c:pt idx="17">
                  <c:v>2.5934400000000002</c:v>
                </c:pt>
                <c:pt idx="18">
                  <c:v>2.5804</c:v>
                </c:pt>
                <c:pt idx="19">
                  <c:v>2.5659300000000003</c:v>
                </c:pt>
                <c:pt idx="20">
                  <c:v>2.55145</c:v>
                </c:pt>
                <c:pt idx="21">
                  <c:v>2.5377699999999996</c:v>
                </c:pt>
                <c:pt idx="22">
                  <c:v>2.5252999999999997</c:v>
                </c:pt>
                <c:pt idx="23">
                  <c:v>2.5133299999999998</c:v>
                </c:pt>
                <c:pt idx="24">
                  <c:v>2.5044200000000001</c:v>
                </c:pt>
                <c:pt idx="25">
                  <c:v>2.4963500000000001</c:v>
                </c:pt>
                <c:pt idx="26">
                  <c:v>2.4877500000000001</c:v>
                </c:pt>
                <c:pt idx="27">
                  <c:v>2.48034</c:v>
                </c:pt>
                <c:pt idx="28">
                  <c:v>2.47228</c:v>
                </c:pt>
                <c:pt idx="29">
                  <c:v>2.46698</c:v>
                </c:pt>
                <c:pt idx="30">
                  <c:v>2.4623900000000001</c:v>
                </c:pt>
                <c:pt idx="31">
                  <c:v>2.4607399999999999</c:v>
                </c:pt>
                <c:pt idx="32">
                  <c:v>2.46109</c:v>
                </c:pt>
                <c:pt idx="33">
                  <c:v>2.46244</c:v>
                </c:pt>
                <c:pt idx="34">
                  <c:v>2.4653499999999999</c:v>
                </c:pt>
                <c:pt idx="35">
                  <c:v>2.4698099999999998</c:v>
                </c:pt>
                <c:pt idx="36">
                  <c:v>2.4753600000000002</c:v>
                </c:pt>
                <c:pt idx="37">
                  <c:v>2.4827300000000001</c:v>
                </c:pt>
                <c:pt idx="38">
                  <c:v>2.4887699999999997</c:v>
                </c:pt>
                <c:pt idx="39">
                  <c:v>2.49878</c:v>
                </c:pt>
                <c:pt idx="40">
                  <c:v>2.5113999999999996</c:v>
                </c:pt>
                <c:pt idx="41">
                  <c:v>2.5290499999999998</c:v>
                </c:pt>
                <c:pt idx="42">
                  <c:v>2.5496799999999995</c:v>
                </c:pt>
                <c:pt idx="43">
                  <c:v>2.5728400000000002</c:v>
                </c:pt>
                <c:pt idx="44">
                  <c:v>2.5996000000000001</c:v>
                </c:pt>
                <c:pt idx="45">
                  <c:v>2.6284900000000002</c:v>
                </c:pt>
                <c:pt idx="46">
                  <c:v>2.6593099999999996</c:v>
                </c:pt>
                <c:pt idx="47">
                  <c:v>2.6930999999999998</c:v>
                </c:pt>
                <c:pt idx="48">
                  <c:v>2.7272099999999999</c:v>
                </c:pt>
                <c:pt idx="49">
                  <c:v>2.7628200000000005</c:v>
                </c:pt>
                <c:pt idx="50">
                  <c:v>2.7907599999999997</c:v>
                </c:pt>
                <c:pt idx="51">
                  <c:v>2.8105500000000001</c:v>
                </c:pt>
                <c:pt idx="52">
                  <c:v>2.8311799999999998</c:v>
                </c:pt>
                <c:pt idx="53">
                  <c:v>2.8529200000000001</c:v>
                </c:pt>
                <c:pt idx="54">
                  <c:v>2.8726000000000003</c:v>
                </c:pt>
                <c:pt idx="55">
                  <c:v>2.8918700000000004</c:v>
                </c:pt>
                <c:pt idx="56">
                  <c:v>2.90984</c:v>
                </c:pt>
                <c:pt idx="57">
                  <c:v>2.9267500000000002</c:v>
                </c:pt>
                <c:pt idx="58">
                  <c:v>2.9469499999999997</c:v>
                </c:pt>
                <c:pt idx="59">
                  <c:v>2.9653600000000004</c:v>
                </c:pt>
                <c:pt idx="60">
                  <c:v>2.9816500000000001</c:v>
                </c:pt>
                <c:pt idx="61">
                  <c:v>2.9961799999999998</c:v>
                </c:pt>
                <c:pt idx="62">
                  <c:v>3.0091099999999997</c:v>
                </c:pt>
                <c:pt idx="63">
                  <c:v>3.0245600000000001</c:v>
                </c:pt>
                <c:pt idx="64">
                  <c:v>3.0363199999999999</c:v>
                </c:pt>
                <c:pt idx="65">
                  <c:v>3.0481799999999999</c:v>
                </c:pt>
                <c:pt idx="66">
                  <c:v>3.0586099999999998</c:v>
                </c:pt>
                <c:pt idx="67">
                  <c:v>3.0692999999999997</c:v>
                </c:pt>
                <c:pt idx="68">
                  <c:v>3.0818099999999999</c:v>
                </c:pt>
                <c:pt idx="69">
                  <c:v>3.0955700000000004</c:v>
                </c:pt>
                <c:pt idx="70">
                  <c:v>3.11313</c:v>
                </c:pt>
                <c:pt idx="71">
                  <c:v>3.1324100000000001</c:v>
                </c:pt>
                <c:pt idx="72">
                  <c:v>3.1442399999999999</c:v>
                </c:pt>
                <c:pt idx="73">
                  <c:v>3.1690899999999997</c:v>
                </c:pt>
                <c:pt idx="74">
                  <c:v>3.1849799999999999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15.038074999999999</c:v>
                </c:pt>
                <c:pt idx="1">
                  <c:v>45.114224999999998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3.0826570270270262</c:v>
                </c:pt>
                <c:pt idx="1">
                  <c:v>2.7336555405405409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  <c:pt idx="75">
                  <c:v>30.6083</c:v>
                </c:pt>
                <c:pt idx="76">
                  <c:v>30.984400000000001</c:v>
                </c:pt>
                <c:pt idx="77">
                  <c:v>31.357399999999998</c:v>
                </c:pt>
                <c:pt idx="78">
                  <c:v>31.734200000000001</c:v>
                </c:pt>
                <c:pt idx="79">
                  <c:v>32.125300000000003</c:v>
                </c:pt>
                <c:pt idx="80">
                  <c:v>32.529200000000003</c:v>
                </c:pt>
                <c:pt idx="81">
                  <c:v>32.934100000000001</c:v>
                </c:pt>
                <c:pt idx="82">
                  <c:v>33.343899999999998</c:v>
                </c:pt>
                <c:pt idx="83">
                  <c:v>33.750900000000001</c:v>
                </c:pt>
                <c:pt idx="84">
                  <c:v>34.150799999999997</c:v>
                </c:pt>
                <c:pt idx="85">
                  <c:v>34.5627</c:v>
                </c:pt>
                <c:pt idx="86">
                  <c:v>34.964700000000001</c:v>
                </c:pt>
                <c:pt idx="87">
                  <c:v>35.371699999999997</c:v>
                </c:pt>
                <c:pt idx="88">
                  <c:v>35.782400000000003</c:v>
                </c:pt>
                <c:pt idx="89">
                  <c:v>36.186300000000003</c:v>
                </c:pt>
                <c:pt idx="90">
                  <c:v>36.591299999999997</c:v>
                </c:pt>
                <c:pt idx="91">
                  <c:v>36.994199999999999</c:v>
                </c:pt>
                <c:pt idx="92">
                  <c:v>37.399700000000003</c:v>
                </c:pt>
                <c:pt idx="93">
                  <c:v>37.809100000000001</c:v>
                </c:pt>
                <c:pt idx="94">
                  <c:v>38.216900000000003</c:v>
                </c:pt>
                <c:pt idx="95">
                  <c:v>38.620800000000003</c:v>
                </c:pt>
                <c:pt idx="96">
                  <c:v>39.028799999999997</c:v>
                </c:pt>
                <c:pt idx="97">
                  <c:v>39.4377</c:v>
                </c:pt>
                <c:pt idx="98">
                  <c:v>39.843600000000002</c:v>
                </c:pt>
                <c:pt idx="99">
                  <c:v>40.245699999999999</c:v>
                </c:pt>
                <c:pt idx="100">
                  <c:v>40.653500000000001</c:v>
                </c:pt>
                <c:pt idx="101">
                  <c:v>41.0623</c:v>
                </c:pt>
                <c:pt idx="102">
                  <c:v>41.463299999999997</c:v>
                </c:pt>
                <c:pt idx="103">
                  <c:v>41.873399999999997</c:v>
                </c:pt>
                <c:pt idx="104">
                  <c:v>42.279899999999998</c:v>
                </c:pt>
                <c:pt idx="105">
                  <c:v>42.683199999999999</c:v>
                </c:pt>
                <c:pt idx="106">
                  <c:v>43.09</c:v>
                </c:pt>
                <c:pt idx="107">
                  <c:v>43.494799999999998</c:v>
                </c:pt>
                <c:pt idx="108">
                  <c:v>43.905900000000003</c:v>
                </c:pt>
                <c:pt idx="109">
                  <c:v>44.307699999999997</c:v>
                </c:pt>
                <c:pt idx="110">
                  <c:v>44.717599999999997</c:v>
                </c:pt>
                <c:pt idx="111">
                  <c:v>45.122599999999998</c:v>
                </c:pt>
                <c:pt idx="112">
                  <c:v>45.526400000000002</c:v>
                </c:pt>
                <c:pt idx="113">
                  <c:v>45.935499999999998</c:v>
                </c:pt>
                <c:pt idx="114">
                  <c:v>46.339500000000001</c:v>
                </c:pt>
                <c:pt idx="115">
                  <c:v>46.747300000000003</c:v>
                </c:pt>
                <c:pt idx="116">
                  <c:v>47.152999999999999</c:v>
                </c:pt>
                <c:pt idx="117">
                  <c:v>47.563000000000002</c:v>
                </c:pt>
                <c:pt idx="118">
                  <c:v>47.965899999999998</c:v>
                </c:pt>
                <c:pt idx="119">
                  <c:v>48.371699999999997</c:v>
                </c:pt>
                <c:pt idx="120">
                  <c:v>48.779899999999998</c:v>
                </c:pt>
                <c:pt idx="121">
                  <c:v>49.182600000000001</c:v>
                </c:pt>
                <c:pt idx="122">
                  <c:v>49.589300000000001</c:v>
                </c:pt>
                <c:pt idx="123">
                  <c:v>49.995600000000003</c:v>
                </c:pt>
                <c:pt idx="124">
                  <c:v>50.403300000000002</c:v>
                </c:pt>
                <c:pt idx="125">
                  <c:v>50.811399999999999</c:v>
                </c:pt>
                <c:pt idx="126">
                  <c:v>51.217199999999998</c:v>
                </c:pt>
                <c:pt idx="127">
                  <c:v>51.6252</c:v>
                </c:pt>
                <c:pt idx="128">
                  <c:v>52.027999999999999</c:v>
                </c:pt>
                <c:pt idx="129">
                  <c:v>52.432899999999997</c:v>
                </c:pt>
                <c:pt idx="130">
                  <c:v>52.84</c:v>
                </c:pt>
                <c:pt idx="131">
                  <c:v>53.246000000000002</c:v>
                </c:pt>
                <c:pt idx="132">
                  <c:v>53.654699999999998</c:v>
                </c:pt>
                <c:pt idx="133">
                  <c:v>54.061599999999999</c:v>
                </c:pt>
                <c:pt idx="134">
                  <c:v>54.463500000000003</c:v>
                </c:pt>
                <c:pt idx="135">
                  <c:v>54.871499999999997</c:v>
                </c:pt>
                <c:pt idx="136">
                  <c:v>55.278399999999998</c:v>
                </c:pt>
                <c:pt idx="137">
                  <c:v>55.682400000000001</c:v>
                </c:pt>
                <c:pt idx="138">
                  <c:v>56.0899</c:v>
                </c:pt>
                <c:pt idx="139">
                  <c:v>56.495100000000001</c:v>
                </c:pt>
                <c:pt idx="140">
                  <c:v>56.9041</c:v>
                </c:pt>
                <c:pt idx="141">
                  <c:v>57.31</c:v>
                </c:pt>
                <c:pt idx="142">
                  <c:v>57.719799999999999</c:v>
                </c:pt>
                <c:pt idx="143">
                  <c:v>58.120800000000003</c:v>
                </c:pt>
                <c:pt idx="144">
                  <c:v>58.528700000000001</c:v>
                </c:pt>
                <c:pt idx="145">
                  <c:v>58.933500000000002</c:v>
                </c:pt>
                <c:pt idx="146">
                  <c:v>59.341500000000003</c:v>
                </c:pt>
                <c:pt idx="147">
                  <c:v>59.746400000000001</c:v>
                </c:pt>
                <c:pt idx="148">
                  <c:v>60.152299999999997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  <c:pt idx="75">
                  <c:v>2.8598599999999998</c:v>
                </c:pt>
                <c:pt idx="76">
                  <c:v>4.08866</c:v>
                </c:pt>
                <c:pt idx="77">
                  <c:v>5.4434700000000005</c:v>
                </c:pt>
                <c:pt idx="78">
                  <c:v>6.9027000000000003</c:v>
                </c:pt>
                <c:pt idx="79">
                  <c:v>8.2510300000000001</c:v>
                </c:pt>
                <c:pt idx="80">
                  <c:v>9.5291499999999996</c:v>
                </c:pt>
                <c:pt idx="81">
                  <c:v>10.7379</c:v>
                </c:pt>
                <c:pt idx="82">
                  <c:v>11.812200000000001</c:v>
                </c:pt>
                <c:pt idx="83">
                  <c:v>12.782499999999999</c:v>
                </c:pt>
                <c:pt idx="84">
                  <c:v>13.706399999999999</c:v>
                </c:pt>
                <c:pt idx="85">
                  <c:v>14.577300000000001</c:v>
                </c:pt>
                <c:pt idx="86">
                  <c:v>15.4299</c:v>
                </c:pt>
                <c:pt idx="87">
                  <c:v>16.242999999999999</c:v>
                </c:pt>
                <c:pt idx="88">
                  <c:v>16.945</c:v>
                </c:pt>
                <c:pt idx="89">
                  <c:v>17.4495</c:v>
                </c:pt>
                <c:pt idx="90">
                  <c:v>17.921500000000002</c:v>
                </c:pt>
                <c:pt idx="91">
                  <c:v>18.313099999999999</c:v>
                </c:pt>
                <c:pt idx="92">
                  <c:v>18.697400000000002</c:v>
                </c:pt>
                <c:pt idx="93">
                  <c:v>19.1082</c:v>
                </c:pt>
                <c:pt idx="94">
                  <c:v>19.485399999999998</c:v>
                </c:pt>
                <c:pt idx="95">
                  <c:v>19.795400000000001</c:v>
                </c:pt>
                <c:pt idx="96">
                  <c:v>20.007000000000001</c:v>
                </c:pt>
                <c:pt idx="97">
                  <c:v>20.202400000000001</c:v>
                </c:pt>
                <c:pt idx="98">
                  <c:v>20.240500000000001</c:v>
                </c:pt>
                <c:pt idx="99">
                  <c:v>20.2043</c:v>
                </c:pt>
                <c:pt idx="100">
                  <c:v>20.183</c:v>
                </c:pt>
                <c:pt idx="101">
                  <c:v>20.016000000000002</c:v>
                </c:pt>
                <c:pt idx="102">
                  <c:v>19.851600000000001</c:v>
                </c:pt>
                <c:pt idx="103">
                  <c:v>19.5015</c:v>
                </c:pt>
                <c:pt idx="104">
                  <c:v>19.0977</c:v>
                </c:pt>
                <c:pt idx="105">
                  <c:v>18.619299999999999</c:v>
                </c:pt>
                <c:pt idx="106">
                  <c:v>18.028600000000001</c:v>
                </c:pt>
                <c:pt idx="107">
                  <c:v>17.519100000000002</c:v>
                </c:pt>
                <c:pt idx="108">
                  <c:v>17.083599999999997</c:v>
                </c:pt>
                <c:pt idx="109">
                  <c:v>16.607900000000001</c:v>
                </c:pt>
                <c:pt idx="110">
                  <c:v>16.186700000000002</c:v>
                </c:pt>
                <c:pt idx="111">
                  <c:v>15.732399999999998</c:v>
                </c:pt>
                <c:pt idx="112">
                  <c:v>15.367900000000001</c:v>
                </c:pt>
                <c:pt idx="113">
                  <c:v>14.871300000000002</c:v>
                </c:pt>
                <c:pt idx="114">
                  <c:v>14.5223</c:v>
                </c:pt>
                <c:pt idx="115">
                  <c:v>14.1126</c:v>
                </c:pt>
                <c:pt idx="116">
                  <c:v>13.742699999999999</c:v>
                </c:pt>
                <c:pt idx="117">
                  <c:v>13.3538</c:v>
                </c:pt>
                <c:pt idx="118">
                  <c:v>12.975100000000001</c:v>
                </c:pt>
                <c:pt idx="119">
                  <c:v>12.658099999999999</c:v>
                </c:pt>
                <c:pt idx="120">
                  <c:v>12.4314</c:v>
                </c:pt>
                <c:pt idx="121">
                  <c:v>12.1229</c:v>
                </c:pt>
                <c:pt idx="122">
                  <c:v>11.8142</c:v>
                </c:pt>
                <c:pt idx="123">
                  <c:v>11.4674</c:v>
                </c:pt>
                <c:pt idx="124">
                  <c:v>11.1814</c:v>
                </c:pt>
                <c:pt idx="125">
                  <c:v>10.917300000000001</c:v>
                </c:pt>
                <c:pt idx="126">
                  <c:v>10.7278</c:v>
                </c:pt>
                <c:pt idx="127">
                  <c:v>10.578099999999999</c:v>
                </c:pt>
                <c:pt idx="128">
                  <c:v>10.571</c:v>
                </c:pt>
                <c:pt idx="129">
                  <c:v>10.649100000000001</c:v>
                </c:pt>
                <c:pt idx="130">
                  <c:v>10.739600000000001</c:v>
                </c:pt>
                <c:pt idx="131">
                  <c:v>10.939</c:v>
                </c:pt>
                <c:pt idx="132">
                  <c:v>11.032599999999999</c:v>
                </c:pt>
                <c:pt idx="133">
                  <c:v>11.04</c:v>
                </c:pt>
                <c:pt idx="134">
                  <c:v>11.1008</c:v>
                </c:pt>
                <c:pt idx="135">
                  <c:v>11.130800000000001</c:v>
                </c:pt>
                <c:pt idx="136">
                  <c:v>11.1937</c:v>
                </c:pt>
                <c:pt idx="137">
                  <c:v>11.254799999999999</c:v>
                </c:pt>
                <c:pt idx="138">
                  <c:v>11.5101</c:v>
                </c:pt>
                <c:pt idx="139">
                  <c:v>11.7433</c:v>
                </c:pt>
                <c:pt idx="140">
                  <c:v>12.1313</c:v>
                </c:pt>
                <c:pt idx="141">
                  <c:v>12.361499999999999</c:v>
                </c:pt>
                <c:pt idx="142">
                  <c:v>12.570700000000002</c:v>
                </c:pt>
                <c:pt idx="143">
                  <c:v>12.801100000000002</c:v>
                </c:pt>
                <c:pt idx="144">
                  <c:v>12.723899999999999</c:v>
                </c:pt>
                <c:pt idx="145">
                  <c:v>12.157999999999999</c:v>
                </c:pt>
                <c:pt idx="146">
                  <c:v>11.898200000000001</c:v>
                </c:pt>
                <c:pt idx="147">
                  <c:v>11.234500000000001</c:v>
                </c:pt>
                <c:pt idx="148">
                  <c:v>10.871699999999999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30.6083</c:v>
                </c:pt>
                <c:pt idx="2">
                  <c:v>30.984400000000001</c:v>
                </c:pt>
                <c:pt idx="3">
                  <c:v>31.357399999999998</c:v>
                </c:pt>
                <c:pt idx="4">
                  <c:v>31.734200000000001</c:v>
                </c:pt>
                <c:pt idx="5">
                  <c:v>32.125300000000003</c:v>
                </c:pt>
                <c:pt idx="6">
                  <c:v>32.529200000000003</c:v>
                </c:pt>
                <c:pt idx="7">
                  <c:v>32.934100000000001</c:v>
                </c:pt>
                <c:pt idx="8">
                  <c:v>33.343899999999998</c:v>
                </c:pt>
                <c:pt idx="9">
                  <c:v>33.750900000000001</c:v>
                </c:pt>
                <c:pt idx="10">
                  <c:v>34.150799999999997</c:v>
                </c:pt>
                <c:pt idx="11">
                  <c:v>34.5627</c:v>
                </c:pt>
                <c:pt idx="12">
                  <c:v>34.964700000000001</c:v>
                </c:pt>
                <c:pt idx="13">
                  <c:v>35.371699999999997</c:v>
                </c:pt>
                <c:pt idx="14">
                  <c:v>35.782400000000003</c:v>
                </c:pt>
                <c:pt idx="15">
                  <c:v>36.186300000000003</c:v>
                </c:pt>
                <c:pt idx="16">
                  <c:v>36.591299999999997</c:v>
                </c:pt>
                <c:pt idx="17">
                  <c:v>36.994199999999999</c:v>
                </c:pt>
                <c:pt idx="18">
                  <c:v>37.399700000000003</c:v>
                </c:pt>
                <c:pt idx="19">
                  <c:v>37.809100000000001</c:v>
                </c:pt>
                <c:pt idx="20">
                  <c:v>38.216900000000003</c:v>
                </c:pt>
                <c:pt idx="21">
                  <c:v>38.620800000000003</c:v>
                </c:pt>
                <c:pt idx="22">
                  <c:v>39.028799999999997</c:v>
                </c:pt>
                <c:pt idx="23">
                  <c:v>39.4377</c:v>
                </c:pt>
                <c:pt idx="24">
                  <c:v>39.843600000000002</c:v>
                </c:pt>
                <c:pt idx="25">
                  <c:v>40.245699999999999</c:v>
                </c:pt>
                <c:pt idx="26">
                  <c:v>40.653500000000001</c:v>
                </c:pt>
                <c:pt idx="27">
                  <c:v>41.0623</c:v>
                </c:pt>
                <c:pt idx="28">
                  <c:v>41.463299999999997</c:v>
                </c:pt>
                <c:pt idx="29">
                  <c:v>41.873399999999997</c:v>
                </c:pt>
                <c:pt idx="30">
                  <c:v>42.279899999999998</c:v>
                </c:pt>
                <c:pt idx="31">
                  <c:v>42.683199999999999</c:v>
                </c:pt>
                <c:pt idx="32">
                  <c:v>43.09</c:v>
                </c:pt>
                <c:pt idx="33">
                  <c:v>43.494799999999998</c:v>
                </c:pt>
                <c:pt idx="34">
                  <c:v>43.905900000000003</c:v>
                </c:pt>
                <c:pt idx="35">
                  <c:v>44.307699999999997</c:v>
                </c:pt>
                <c:pt idx="36">
                  <c:v>44.717599999999997</c:v>
                </c:pt>
                <c:pt idx="37">
                  <c:v>45.122599999999998</c:v>
                </c:pt>
                <c:pt idx="38">
                  <c:v>45.526400000000002</c:v>
                </c:pt>
                <c:pt idx="39">
                  <c:v>45.935499999999998</c:v>
                </c:pt>
                <c:pt idx="40">
                  <c:v>46.339500000000001</c:v>
                </c:pt>
                <c:pt idx="41">
                  <c:v>46.747300000000003</c:v>
                </c:pt>
                <c:pt idx="42">
                  <c:v>47.152999999999999</c:v>
                </c:pt>
                <c:pt idx="43">
                  <c:v>47.563000000000002</c:v>
                </c:pt>
                <c:pt idx="44">
                  <c:v>47.965899999999998</c:v>
                </c:pt>
                <c:pt idx="45">
                  <c:v>48.371699999999997</c:v>
                </c:pt>
                <c:pt idx="46">
                  <c:v>48.779899999999998</c:v>
                </c:pt>
                <c:pt idx="47">
                  <c:v>49.182600000000001</c:v>
                </c:pt>
                <c:pt idx="48">
                  <c:v>49.589300000000001</c:v>
                </c:pt>
                <c:pt idx="49">
                  <c:v>49.995600000000003</c:v>
                </c:pt>
                <c:pt idx="50">
                  <c:v>50.403300000000002</c:v>
                </c:pt>
                <c:pt idx="51">
                  <c:v>50.811399999999999</c:v>
                </c:pt>
                <c:pt idx="52">
                  <c:v>51.217199999999998</c:v>
                </c:pt>
                <c:pt idx="53">
                  <c:v>51.6252</c:v>
                </c:pt>
                <c:pt idx="54">
                  <c:v>52.027999999999999</c:v>
                </c:pt>
                <c:pt idx="55">
                  <c:v>52.432899999999997</c:v>
                </c:pt>
                <c:pt idx="56">
                  <c:v>52.84</c:v>
                </c:pt>
                <c:pt idx="57">
                  <c:v>53.246000000000002</c:v>
                </c:pt>
                <c:pt idx="58">
                  <c:v>53.654699999999998</c:v>
                </c:pt>
                <c:pt idx="59">
                  <c:v>54.061599999999999</c:v>
                </c:pt>
                <c:pt idx="60">
                  <c:v>54.463500000000003</c:v>
                </c:pt>
                <c:pt idx="61">
                  <c:v>54.871499999999997</c:v>
                </c:pt>
                <c:pt idx="62">
                  <c:v>55.278399999999998</c:v>
                </c:pt>
                <c:pt idx="63">
                  <c:v>55.682400000000001</c:v>
                </c:pt>
                <c:pt idx="64">
                  <c:v>56.0899</c:v>
                </c:pt>
                <c:pt idx="65">
                  <c:v>56.495100000000001</c:v>
                </c:pt>
                <c:pt idx="66">
                  <c:v>56.9041</c:v>
                </c:pt>
                <c:pt idx="67">
                  <c:v>57.31</c:v>
                </c:pt>
                <c:pt idx="68">
                  <c:v>57.719799999999999</c:v>
                </c:pt>
                <c:pt idx="69">
                  <c:v>58.120800000000003</c:v>
                </c:pt>
                <c:pt idx="70">
                  <c:v>58.528700000000001</c:v>
                </c:pt>
                <c:pt idx="71">
                  <c:v>58.933500000000002</c:v>
                </c:pt>
                <c:pt idx="72">
                  <c:v>59.341500000000003</c:v>
                </c:pt>
                <c:pt idx="73">
                  <c:v>59.746400000000001</c:v>
                </c:pt>
                <c:pt idx="74">
                  <c:v>60.152299999999997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1.7261499999999999</c:v>
                </c:pt>
                <c:pt idx="1">
                  <c:v>2.8598599999999998</c:v>
                </c:pt>
                <c:pt idx="2">
                  <c:v>4.08866</c:v>
                </c:pt>
                <c:pt idx="3">
                  <c:v>5.4434700000000005</c:v>
                </c:pt>
                <c:pt idx="4">
                  <c:v>6.9027000000000003</c:v>
                </c:pt>
                <c:pt idx="5">
                  <c:v>8.2510300000000001</c:v>
                </c:pt>
                <c:pt idx="6">
                  <c:v>9.5291499999999996</c:v>
                </c:pt>
                <c:pt idx="7">
                  <c:v>10.7379</c:v>
                </c:pt>
                <c:pt idx="8">
                  <c:v>11.812200000000001</c:v>
                </c:pt>
                <c:pt idx="9">
                  <c:v>12.782499999999999</c:v>
                </c:pt>
                <c:pt idx="10">
                  <c:v>13.706399999999999</c:v>
                </c:pt>
                <c:pt idx="11">
                  <c:v>14.577300000000001</c:v>
                </c:pt>
                <c:pt idx="12">
                  <c:v>15.4299</c:v>
                </c:pt>
                <c:pt idx="13">
                  <c:v>16.242999999999999</c:v>
                </c:pt>
                <c:pt idx="14">
                  <c:v>16.945</c:v>
                </c:pt>
                <c:pt idx="15">
                  <c:v>17.4495</c:v>
                </c:pt>
                <c:pt idx="16">
                  <c:v>17.921500000000002</c:v>
                </c:pt>
                <c:pt idx="17">
                  <c:v>18.313099999999999</c:v>
                </c:pt>
                <c:pt idx="18">
                  <c:v>18.697400000000002</c:v>
                </c:pt>
                <c:pt idx="19">
                  <c:v>19.1082</c:v>
                </c:pt>
                <c:pt idx="20">
                  <c:v>19.485399999999998</c:v>
                </c:pt>
                <c:pt idx="21">
                  <c:v>19.795400000000001</c:v>
                </c:pt>
                <c:pt idx="22">
                  <c:v>20.007000000000001</c:v>
                </c:pt>
                <c:pt idx="23">
                  <c:v>20.202400000000001</c:v>
                </c:pt>
                <c:pt idx="24">
                  <c:v>20.240500000000001</c:v>
                </c:pt>
                <c:pt idx="25">
                  <c:v>20.2043</c:v>
                </c:pt>
                <c:pt idx="26">
                  <c:v>20.183</c:v>
                </c:pt>
                <c:pt idx="27">
                  <c:v>20.016000000000002</c:v>
                </c:pt>
                <c:pt idx="28">
                  <c:v>19.851600000000001</c:v>
                </c:pt>
                <c:pt idx="29">
                  <c:v>19.5015</c:v>
                </c:pt>
                <c:pt idx="30">
                  <c:v>19.0977</c:v>
                </c:pt>
                <c:pt idx="31">
                  <c:v>18.619299999999999</c:v>
                </c:pt>
                <c:pt idx="32">
                  <c:v>18.028600000000001</c:v>
                </c:pt>
                <c:pt idx="33">
                  <c:v>17.519100000000002</c:v>
                </c:pt>
                <c:pt idx="34">
                  <c:v>17.083599999999997</c:v>
                </c:pt>
                <c:pt idx="35">
                  <c:v>16.607900000000001</c:v>
                </c:pt>
                <c:pt idx="36">
                  <c:v>16.186700000000002</c:v>
                </c:pt>
                <c:pt idx="37">
                  <c:v>15.732399999999998</c:v>
                </c:pt>
                <c:pt idx="38">
                  <c:v>15.367900000000001</c:v>
                </c:pt>
                <c:pt idx="39">
                  <c:v>14.871300000000002</c:v>
                </c:pt>
                <c:pt idx="40">
                  <c:v>14.5223</c:v>
                </c:pt>
                <c:pt idx="41">
                  <c:v>14.1126</c:v>
                </c:pt>
                <c:pt idx="42">
                  <c:v>13.742699999999999</c:v>
                </c:pt>
                <c:pt idx="43">
                  <c:v>13.3538</c:v>
                </c:pt>
                <c:pt idx="44">
                  <c:v>12.975100000000001</c:v>
                </c:pt>
                <c:pt idx="45">
                  <c:v>12.658099999999999</c:v>
                </c:pt>
                <c:pt idx="46">
                  <c:v>12.4314</c:v>
                </c:pt>
                <c:pt idx="47">
                  <c:v>12.1229</c:v>
                </c:pt>
                <c:pt idx="48">
                  <c:v>11.8142</c:v>
                </c:pt>
                <c:pt idx="49">
                  <c:v>11.4674</c:v>
                </c:pt>
                <c:pt idx="50">
                  <c:v>11.1814</c:v>
                </c:pt>
                <c:pt idx="51">
                  <c:v>10.917300000000001</c:v>
                </c:pt>
                <c:pt idx="52">
                  <c:v>10.7278</c:v>
                </c:pt>
                <c:pt idx="53">
                  <c:v>10.578099999999999</c:v>
                </c:pt>
                <c:pt idx="54">
                  <c:v>10.571</c:v>
                </c:pt>
                <c:pt idx="55">
                  <c:v>10.649100000000001</c:v>
                </c:pt>
                <c:pt idx="56">
                  <c:v>10.739600000000001</c:v>
                </c:pt>
                <c:pt idx="57">
                  <c:v>10.939</c:v>
                </c:pt>
                <c:pt idx="58">
                  <c:v>11.032599999999999</c:v>
                </c:pt>
                <c:pt idx="59">
                  <c:v>11.04</c:v>
                </c:pt>
                <c:pt idx="60">
                  <c:v>11.1008</c:v>
                </c:pt>
                <c:pt idx="61">
                  <c:v>11.130800000000001</c:v>
                </c:pt>
                <c:pt idx="62">
                  <c:v>11.1937</c:v>
                </c:pt>
                <c:pt idx="63">
                  <c:v>11.254799999999999</c:v>
                </c:pt>
                <c:pt idx="64">
                  <c:v>11.5101</c:v>
                </c:pt>
                <c:pt idx="65">
                  <c:v>11.7433</c:v>
                </c:pt>
                <c:pt idx="66">
                  <c:v>12.1313</c:v>
                </c:pt>
                <c:pt idx="67">
                  <c:v>12.361499999999999</c:v>
                </c:pt>
                <c:pt idx="68">
                  <c:v>12.570700000000002</c:v>
                </c:pt>
                <c:pt idx="69">
                  <c:v>12.801100000000002</c:v>
                </c:pt>
                <c:pt idx="70">
                  <c:v>12.723899999999999</c:v>
                </c:pt>
                <c:pt idx="71">
                  <c:v>12.157999999999999</c:v>
                </c:pt>
                <c:pt idx="72">
                  <c:v>11.898200000000001</c:v>
                </c:pt>
                <c:pt idx="73">
                  <c:v>11.234500000000001</c:v>
                </c:pt>
                <c:pt idx="74">
                  <c:v>10.871699999999999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15.038074999999999</c:v>
                </c:pt>
                <c:pt idx="1">
                  <c:v>45.114224999999998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11.821293810810813</c:v>
                </c:pt>
                <c:pt idx="1">
                  <c:v>13.709670540540536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45.516800000000003</c:v>
                </c:pt>
                <c:pt idx="1">
                  <c:v>33.19</c:v>
                </c:pt>
                <c:pt idx="2">
                  <c:v>23.029800000000002</c:v>
                </c:pt>
                <c:pt idx="3">
                  <c:v>32.966299999999997</c:v>
                </c:pt>
                <c:pt idx="4">
                  <c:v>32.272100000000002</c:v>
                </c:pt>
                <c:pt idx="5">
                  <c:v>58.706299999999999</c:v>
                </c:pt>
                <c:pt idx="6">
                  <c:v>14.3203</c:v>
                </c:pt>
                <c:pt idx="7">
                  <c:v>46.456499999999998</c:v>
                </c:pt>
                <c:pt idx="8">
                  <c:v>23.144500000000001</c:v>
                </c:pt>
                <c:pt idx="9">
                  <c:v>29.2349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41.275199999999998</c:v>
                </c:pt>
                <c:pt idx="1">
                  <c:v>26.313600000000001</c:v>
                </c:pt>
                <c:pt idx="2">
                  <c:v>23.012499999999999</c:v>
                </c:pt>
                <c:pt idx="3">
                  <c:v>30.938700000000001</c:v>
                </c:pt>
                <c:pt idx="4">
                  <c:v>32.167499999999997</c:v>
                </c:pt>
                <c:pt idx="5">
                  <c:v>81.906400000000005</c:v>
                </c:pt>
                <c:pt idx="6">
                  <c:v>9.74803</c:v>
                </c:pt>
                <c:pt idx="7">
                  <c:v>54.085299999999997</c:v>
                </c:pt>
                <c:pt idx="8">
                  <c:v>21.523299999999999</c:v>
                </c:pt>
                <c:pt idx="9">
                  <c:v>17.224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0.38790553271088235</c:v>
                </c:pt>
                <c:pt idx="1">
                  <c:v>0.34431769179705679</c:v>
                </c:pt>
                <c:pt idx="2">
                  <c:v>0.2677767754920608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8008</c:v>
                </c:pt>
                <c:pt idx="7">
                  <c:v>0</c:v>
                </c:pt>
                <c:pt idx="8">
                  <c:v>12743</c:v>
                </c:pt>
                <c:pt idx="9">
                  <c:v>0</c:v>
                </c:pt>
                <c:pt idx="10">
                  <c:v>0</c:v>
                </c:pt>
                <c:pt idx="11">
                  <c:v>19385</c:v>
                </c:pt>
                <c:pt idx="12">
                  <c:v>0</c:v>
                </c:pt>
                <c:pt idx="13">
                  <c:v>27044</c:v>
                </c:pt>
                <c:pt idx="14">
                  <c:v>0</c:v>
                </c:pt>
                <c:pt idx="15">
                  <c:v>0</c:v>
                </c:pt>
                <c:pt idx="16">
                  <c:v>30499</c:v>
                </c:pt>
                <c:pt idx="17">
                  <c:v>0</c:v>
                </c:pt>
                <c:pt idx="18">
                  <c:v>0</c:v>
                </c:pt>
                <c:pt idx="19">
                  <c:v>31665</c:v>
                </c:pt>
                <c:pt idx="20">
                  <c:v>0</c:v>
                </c:pt>
                <c:pt idx="21">
                  <c:v>36031</c:v>
                </c:pt>
                <c:pt idx="22">
                  <c:v>0</c:v>
                </c:pt>
                <c:pt idx="23">
                  <c:v>0</c:v>
                </c:pt>
                <c:pt idx="24">
                  <c:v>35509</c:v>
                </c:pt>
                <c:pt idx="25">
                  <c:v>0</c:v>
                </c:pt>
                <c:pt idx="26">
                  <c:v>35781</c:v>
                </c:pt>
                <c:pt idx="27">
                  <c:v>0</c:v>
                </c:pt>
                <c:pt idx="28">
                  <c:v>0</c:v>
                </c:pt>
                <c:pt idx="29">
                  <c:v>36883</c:v>
                </c:pt>
                <c:pt idx="30">
                  <c:v>0</c:v>
                </c:pt>
                <c:pt idx="31">
                  <c:v>38504</c:v>
                </c:pt>
                <c:pt idx="32">
                  <c:v>0</c:v>
                </c:pt>
                <c:pt idx="33">
                  <c:v>0</c:v>
                </c:pt>
                <c:pt idx="34">
                  <c:v>41489</c:v>
                </c:pt>
                <c:pt idx="35">
                  <c:v>0</c:v>
                </c:pt>
                <c:pt idx="36">
                  <c:v>0</c:v>
                </c:pt>
                <c:pt idx="37">
                  <c:v>42254</c:v>
                </c:pt>
                <c:pt idx="38">
                  <c:v>0</c:v>
                </c:pt>
                <c:pt idx="39">
                  <c:v>44724</c:v>
                </c:pt>
                <c:pt idx="40">
                  <c:v>0</c:v>
                </c:pt>
                <c:pt idx="41">
                  <c:v>0</c:v>
                </c:pt>
                <c:pt idx="42">
                  <c:v>50738</c:v>
                </c:pt>
                <c:pt idx="43">
                  <c:v>0</c:v>
                </c:pt>
                <c:pt idx="44">
                  <c:v>51479</c:v>
                </c:pt>
                <c:pt idx="45">
                  <c:v>0</c:v>
                </c:pt>
                <c:pt idx="46">
                  <c:v>0</c:v>
                </c:pt>
                <c:pt idx="47">
                  <c:v>58519</c:v>
                </c:pt>
                <c:pt idx="48">
                  <c:v>0</c:v>
                </c:pt>
                <c:pt idx="49">
                  <c:v>56750</c:v>
                </c:pt>
                <c:pt idx="50">
                  <c:v>0</c:v>
                </c:pt>
                <c:pt idx="51">
                  <c:v>0</c:v>
                </c:pt>
                <c:pt idx="52">
                  <c:v>59877</c:v>
                </c:pt>
                <c:pt idx="53">
                  <c:v>0</c:v>
                </c:pt>
                <c:pt idx="54">
                  <c:v>0</c:v>
                </c:pt>
                <c:pt idx="55">
                  <c:v>59427</c:v>
                </c:pt>
                <c:pt idx="56">
                  <c:v>0</c:v>
                </c:pt>
                <c:pt idx="57">
                  <c:v>57383</c:v>
                </c:pt>
                <c:pt idx="58">
                  <c:v>0</c:v>
                </c:pt>
                <c:pt idx="59">
                  <c:v>0</c:v>
                </c:pt>
                <c:pt idx="60">
                  <c:v>46320</c:v>
                </c:pt>
                <c:pt idx="61">
                  <c:v>0</c:v>
                </c:pt>
                <c:pt idx="62">
                  <c:v>44310</c:v>
                </c:pt>
                <c:pt idx="63">
                  <c:v>0</c:v>
                </c:pt>
                <c:pt idx="64">
                  <c:v>0</c:v>
                </c:pt>
                <c:pt idx="65">
                  <c:v>39670</c:v>
                </c:pt>
                <c:pt idx="66">
                  <c:v>0</c:v>
                </c:pt>
                <c:pt idx="67">
                  <c:v>31996</c:v>
                </c:pt>
                <c:pt idx="68">
                  <c:v>0</c:v>
                </c:pt>
                <c:pt idx="69">
                  <c:v>0</c:v>
                </c:pt>
                <c:pt idx="70">
                  <c:v>30103</c:v>
                </c:pt>
                <c:pt idx="71">
                  <c:v>0</c:v>
                </c:pt>
                <c:pt idx="72">
                  <c:v>0</c:v>
                </c:pt>
                <c:pt idx="73">
                  <c:v>25129</c:v>
                </c:pt>
                <c:pt idx="74">
                  <c:v>0</c:v>
                </c:pt>
                <c:pt idx="75">
                  <c:v>23010</c:v>
                </c:pt>
                <c:pt idx="76">
                  <c:v>0</c:v>
                </c:pt>
                <c:pt idx="77">
                  <c:v>0</c:v>
                </c:pt>
                <c:pt idx="78">
                  <c:v>21050</c:v>
                </c:pt>
                <c:pt idx="79">
                  <c:v>0</c:v>
                </c:pt>
                <c:pt idx="80">
                  <c:v>20230</c:v>
                </c:pt>
                <c:pt idx="81">
                  <c:v>0</c:v>
                </c:pt>
                <c:pt idx="82">
                  <c:v>0</c:v>
                </c:pt>
                <c:pt idx="83">
                  <c:v>18394</c:v>
                </c:pt>
                <c:pt idx="84">
                  <c:v>0</c:v>
                </c:pt>
                <c:pt idx="85">
                  <c:v>0</c:v>
                </c:pt>
                <c:pt idx="86">
                  <c:v>18783</c:v>
                </c:pt>
                <c:pt idx="87">
                  <c:v>0</c:v>
                </c:pt>
                <c:pt idx="88">
                  <c:v>16093</c:v>
                </c:pt>
                <c:pt idx="89">
                  <c:v>0</c:v>
                </c:pt>
                <c:pt idx="90">
                  <c:v>0</c:v>
                </c:pt>
                <c:pt idx="91">
                  <c:v>14560</c:v>
                </c:pt>
                <c:pt idx="92">
                  <c:v>0</c:v>
                </c:pt>
                <c:pt idx="93">
                  <c:v>12344</c:v>
                </c:pt>
                <c:pt idx="94">
                  <c:v>0</c:v>
                </c:pt>
                <c:pt idx="95">
                  <c:v>0</c:v>
                </c:pt>
                <c:pt idx="96">
                  <c:v>12232</c:v>
                </c:pt>
                <c:pt idx="97">
                  <c:v>0</c:v>
                </c:pt>
                <c:pt idx="98">
                  <c:v>12176</c:v>
                </c:pt>
                <c:pt idx="99">
                  <c:v>0</c:v>
                </c:pt>
                <c:pt idx="100">
                  <c:v>0</c:v>
                </c:pt>
                <c:pt idx="101">
                  <c:v>15651</c:v>
                </c:pt>
                <c:pt idx="102">
                  <c:v>0</c:v>
                </c:pt>
                <c:pt idx="103">
                  <c:v>0</c:v>
                </c:pt>
                <c:pt idx="104">
                  <c:v>15218</c:v>
                </c:pt>
                <c:pt idx="105">
                  <c:v>0</c:v>
                </c:pt>
                <c:pt idx="106">
                  <c:v>12478</c:v>
                </c:pt>
                <c:pt idx="107">
                  <c:v>0</c:v>
                </c:pt>
                <c:pt idx="108">
                  <c:v>0</c:v>
                </c:pt>
                <c:pt idx="109">
                  <c:v>12878</c:v>
                </c:pt>
                <c:pt idx="110">
                  <c:v>0</c:v>
                </c:pt>
                <c:pt idx="111">
                  <c:v>12938</c:v>
                </c:pt>
                <c:pt idx="112">
                  <c:v>0</c:v>
                </c:pt>
                <c:pt idx="113">
                  <c:v>0</c:v>
                </c:pt>
                <c:pt idx="114">
                  <c:v>12696</c:v>
                </c:pt>
                <c:pt idx="115">
                  <c:v>0</c:v>
                </c:pt>
                <c:pt idx="116">
                  <c:v>10529</c:v>
                </c:pt>
                <c:pt idx="117">
                  <c:v>0</c:v>
                </c:pt>
                <c:pt idx="118">
                  <c:v>0</c:v>
                </c:pt>
                <c:pt idx="119">
                  <c:v>13353</c:v>
                </c:pt>
                <c:pt idx="120">
                  <c:v>0</c:v>
                </c:pt>
                <c:pt idx="121">
                  <c:v>0</c:v>
                </c:pt>
                <c:pt idx="122">
                  <c:v>14160</c:v>
                </c:pt>
                <c:pt idx="123">
                  <c:v>0</c:v>
                </c:pt>
                <c:pt idx="124">
                  <c:v>17585</c:v>
                </c:pt>
                <c:pt idx="125">
                  <c:v>0</c:v>
                </c:pt>
                <c:pt idx="126">
                  <c:v>0</c:v>
                </c:pt>
                <c:pt idx="127">
                  <c:v>16981</c:v>
                </c:pt>
                <c:pt idx="128">
                  <c:v>0</c:v>
                </c:pt>
                <c:pt idx="129">
                  <c:v>20327</c:v>
                </c:pt>
                <c:pt idx="130">
                  <c:v>0</c:v>
                </c:pt>
                <c:pt idx="131">
                  <c:v>0</c:v>
                </c:pt>
                <c:pt idx="132">
                  <c:v>17786</c:v>
                </c:pt>
                <c:pt idx="133">
                  <c:v>0</c:v>
                </c:pt>
                <c:pt idx="134">
                  <c:v>18150</c:v>
                </c:pt>
                <c:pt idx="135">
                  <c:v>0</c:v>
                </c:pt>
                <c:pt idx="136">
                  <c:v>0</c:v>
                </c:pt>
                <c:pt idx="137">
                  <c:v>21823</c:v>
                </c:pt>
                <c:pt idx="138">
                  <c:v>0</c:v>
                </c:pt>
                <c:pt idx="139">
                  <c:v>0</c:v>
                </c:pt>
                <c:pt idx="140">
                  <c:v>21563</c:v>
                </c:pt>
                <c:pt idx="141">
                  <c:v>0</c:v>
                </c:pt>
                <c:pt idx="142">
                  <c:v>25204</c:v>
                </c:pt>
                <c:pt idx="143">
                  <c:v>0</c:v>
                </c:pt>
                <c:pt idx="144">
                  <c:v>0</c:v>
                </c:pt>
                <c:pt idx="145">
                  <c:v>24256</c:v>
                </c:pt>
                <c:pt idx="146">
                  <c:v>0</c:v>
                </c:pt>
                <c:pt idx="147">
                  <c:v>18493</c:v>
                </c:pt>
                <c:pt idx="148">
                  <c:v>0</c:v>
                </c:pt>
                <c:pt idx="149">
                  <c:v>0</c:v>
                </c:pt>
                <c:pt idx="150">
                  <c:v>17943</c:v>
                </c:pt>
                <c:pt idx="151">
                  <c:v>0</c:v>
                </c:pt>
                <c:pt idx="152">
                  <c:v>18640</c:v>
                </c:pt>
                <c:pt idx="153">
                  <c:v>0</c:v>
                </c:pt>
                <c:pt idx="154">
                  <c:v>0</c:v>
                </c:pt>
                <c:pt idx="155">
                  <c:v>21290</c:v>
                </c:pt>
                <c:pt idx="156">
                  <c:v>0</c:v>
                </c:pt>
                <c:pt idx="157">
                  <c:v>0</c:v>
                </c:pt>
                <c:pt idx="158">
                  <c:v>18669</c:v>
                </c:pt>
                <c:pt idx="159">
                  <c:v>0</c:v>
                </c:pt>
                <c:pt idx="160">
                  <c:v>16184</c:v>
                </c:pt>
                <c:pt idx="161">
                  <c:v>0</c:v>
                </c:pt>
                <c:pt idx="162">
                  <c:v>0</c:v>
                </c:pt>
                <c:pt idx="163">
                  <c:v>12374</c:v>
                </c:pt>
                <c:pt idx="164">
                  <c:v>0</c:v>
                </c:pt>
                <c:pt idx="165">
                  <c:v>11023</c:v>
                </c:pt>
                <c:pt idx="166">
                  <c:v>0</c:v>
                </c:pt>
                <c:pt idx="167">
                  <c:v>0</c:v>
                </c:pt>
                <c:pt idx="168">
                  <c:v>9884</c:v>
                </c:pt>
                <c:pt idx="169">
                  <c:v>0</c:v>
                </c:pt>
                <c:pt idx="170">
                  <c:v>0</c:v>
                </c:pt>
                <c:pt idx="171">
                  <c:v>8643</c:v>
                </c:pt>
                <c:pt idx="172">
                  <c:v>0</c:v>
                </c:pt>
                <c:pt idx="173">
                  <c:v>11312</c:v>
                </c:pt>
                <c:pt idx="174">
                  <c:v>0</c:v>
                </c:pt>
                <c:pt idx="175">
                  <c:v>0</c:v>
                </c:pt>
                <c:pt idx="176">
                  <c:v>10204</c:v>
                </c:pt>
                <c:pt idx="177">
                  <c:v>0</c:v>
                </c:pt>
                <c:pt idx="178">
                  <c:v>8368</c:v>
                </c:pt>
                <c:pt idx="179">
                  <c:v>0</c:v>
                </c:pt>
                <c:pt idx="180">
                  <c:v>0</c:v>
                </c:pt>
                <c:pt idx="181">
                  <c:v>9179</c:v>
                </c:pt>
                <c:pt idx="182">
                  <c:v>0</c:v>
                </c:pt>
                <c:pt idx="183">
                  <c:v>8943</c:v>
                </c:pt>
                <c:pt idx="184">
                  <c:v>0</c:v>
                </c:pt>
                <c:pt idx="185">
                  <c:v>0</c:v>
                </c:pt>
                <c:pt idx="186">
                  <c:v>6057</c:v>
                </c:pt>
                <c:pt idx="187">
                  <c:v>0</c:v>
                </c:pt>
                <c:pt idx="188">
                  <c:v>0</c:v>
                </c:pt>
                <c:pt idx="189">
                  <c:v>4351</c:v>
                </c:pt>
                <c:pt idx="190">
                  <c:v>0</c:v>
                </c:pt>
                <c:pt idx="191">
                  <c:v>4698</c:v>
                </c:pt>
                <c:pt idx="192">
                  <c:v>0</c:v>
                </c:pt>
                <c:pt idx="193">
                  <c:v>0</c:v>
                </c:pt>
                <c:pt idx="194">
                  <c:v>2083</c:v>
                </c:pt>
                <c:pt idx="195">
                  <c:v>0</c:v>
                </c:pt>
                <c:pt idx="196">
                  <c:v>3649</c:v>
                </c:pt>
                <c:pt idx="197">
                  <c:v>0</c:v>
                </c:pt>
                <c:pt idx="198">
                  <c:v>0</c:v>
                </c:pt>
                <c:pt idx="199">
                  <c:v>1850</c:v>
                </c:pt>
                <c:pt idx="200">
                  <c:v>0</c:v>
                </c:pt>
                <c:pt idx="201">
                  <c:v>1963</c:v>
                </c:pt>
                <c:pt idx="202">
                  <c:v>0</c:v>
                </c:pt>
                <c:pt idx="203">
                  <c:v>0</c:v>
                </c:pt>
                <c:pt idx="204">
                  <c:v>1413</c:v>
                </c:pt>
                <c:pt idx="205">
                  <c:v>0</c:v>
                </c:pt>
                <c:pt idx="206">
                  <c:v>0</c:v>
                </c:pt>
                <c:pt idx="207">
                  <c:v>521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4371</c:v>
                </c:pt>
                <c:pt idx="7">
                  <c:v>0</c:v>
                </c:pt>
                <c:pt idx="8">
                  <c:v>6569</c:v>
                </c:pt>
                <c:pt idx="9">
                  <c:v>0</c:v>
                </c:pt>
                <c:pt idx="10">
                  <c:v>0</c:v>
                </c:pt>
                <c:pt idx="11">
                  <c:v>14578</c:v>
                </c:pt>
                <c:pt idx="12">
                  <c:v>0</c:v>
                </c:pt>
                <c:pt idx="13">
                  <c:v>25796</c:v>
                </c:pt>
                <c:pt idx="14">
                  <c:v>0</c:v>
                </c:pt>
                <c:pt idx="15">
                  <c:v>0</c:v>
                </c:pt>
                <c:pt idx="16">
                  <c:v>29650</c:v>
                </c:pt>
                <c:pt idx="17">
                  <c:v>0</c:v>
                </c:pt>
                <c:pt idx="18">
                  <c:v>0</c:v>
                </c:pt>
                <c:pt idx="19">
                  <c:v>38842</c:v>
                </c:pt>
                <c:pt idx="20">
                  <c:v>0</c:v>
                </c:pt>
                <c:pt idx="21">
                  <c:v>54854</c:v>
                </c:pt>
                <c:pt idx="22">
                  <c:v>0</c:v>
                </c:pt>
                <c:pt idx="23">
                  <c:v>0</c:v>
                </c:pt>
                <c:pt idx="24">
                  <c:v>69561</c:v>
                </c:pt>
                <c:pt idx="25">
                  <c:v>0</c:v>
                </c:pt>
                <c:pt idx="26">
                  <c:v>68085</c:v>
                </c:pt>
                <c:pt idx="27">
                  <c:v>0</c:v>
                </c:pt>
                <c:pt idx="28">
                  <c:v>0</c:v>
                </c:pt>
                <c:pt idx="29">
                  <c:v>75129</c:v>
                </c:pt>
                <c:pt idx="30">
                  <c:v>0</c:v>
                </c:pt>
                <c:pt idx="31">
                  <c:v>76940</c:v>
                </c:pt>
                <c:pt idx="32">
                  <c:v>0</c:v>
                </c:pt>
                <c:pt idx="33">
                  <c:v>0</c:v>
                </c:pt>
                <c:pt idx="34">
                  <c:v>83683</c:v>
                </c:pt>
                <c:pt idx="35">
                  <c:v>0</c:v>
                </c:pt>
                <c:pt idx="36">
                  <c:v>0</c:v>
                </c:pt>
                <c:pt idx="37">
                  <c:v>58629</c:v>
                </c:pt>
                <c:pt idx="38">
                  <c:v>0</c:v>
                </c:pt>
                <c:pt idx="39">
                  <c:v>65381</c:v>
                </c:pt>
                <c:pt idx="40">
                  <c:v>0</c:v>
                </c:pt>
                <c:pt idx="41">
                  <c:v>0</c:v>
                </c:pt>
                <c:pt idx="42">
                  <c:v>67965</c:v>
                </c:pt>
                <c:pt idx="43">
                  <c:v>0</c:v>
                </c:pt>
                <c:pt idx="44">
                  <c:v>68492</c:v>
                </c:pt>
                <c:pt idx="45">
                  <c:v>0</c:v>
                </c:pt>
                <c:pt idx="46">
                  <c:v>0</c:v>
                </c:pt>
                <c:pt idx="47">
                  <c:v>53456</c:v>
                </c:pt>
                <c:pt idx="48">
                  <c:v>0</c:v>
                </c:pt>
                <c:pt idx="49">
                  <c:v>52993</c:v>
                </c:pt>
                <c:pt idx="50">
                  <c:v>0</c:v>
                </c:pt>
                <c:pt idx="51">
                  <c:v>0</c:v>
                </c:pt>
                <c:pt idx="52">
                  <c:v>43520</c:v>
                </c:pt>
                <c:pt idx="53">
                  <c:v>0</c:v>
                </c:pt>
                <c:pt idx="54">
                  <c:v>0</c:v>
                </c:pt>
                <c:pt idx="55">
                  <c:v>43637</c:v>
                </c:pt>
                <c:pt idx="56">
                  <c:v>0</c:v>
                </c:pt>
                <c:pt idx="57">
                  <c:v>35615</c:v>
                </c:pt>
                <c:pt idx="58">
                  <c:v>0</c:v>
                </c:pt>
                <c:pt idx="59">
                  <c:v>0</c:v>
                </c:pt>
                <c:pt idx="60">
                  <c:v>36138</c:v>
                </c:pt>
                <c:pt idx="61">
                  <c:v>0</c:v>
                </c:pt>
                <c:pt idx="62">
                  <c:v>32615</c:v>
                </c:pt>
                <c:pt idx="63">
                  <c:v>0</c:v>
                </c:pt>
                <c:pt idx="64">
                  <c:v>0</c:v>
                </c:pt>
                <c:pt idx="65">
                  <c:v>29193</c:v>
                </c:pt>
                <c:pt idx="66">
                  <c:v>0</c:v>
                </c:pt>
                <c:pt idx="67">
                  <c:v>28231</c:v>
                </c:pt>
                <c:pt idx="68">
                  <c:v>0</c:v>
                </c:pt>
                <c:pt idx="69">
                  <c:v>0</c:v>
                </c:pt>
                <c:pt idx="70">
                  <c:v>27202</c:v>
                </c:pt>
                <c:pt idx="71">
                  <c:v>0</c:v>
                </c:pt>
                <c:pt idx="72">
                  <c:v>0</c:v>
                </c:pt>
                <c:pt idx="73">
                  <c:v>25700</c:v>
                </c:pt>
                <c:pt idx="74">
                  <c:v>0</c:v>
                </c:pt>
                <c:pt idx="75">
                  <c:v>25535</c:v>
                </c:pt>
                <c:pt idx="76">
                  <c:v>0</c:v>
                </c:pt>
                <c:pt idx="77">
                  <c:v>0</c:v>
                </c:pt>
                <c:pt idx="78">
                  <c:v>25231</c:v>
                </c:pt>
                <c:pt idx="79">
                  <c:v>0</c:v>
                </c:pt>
                <c:pt idx="80">
                  <c:v>29391</c:v>
                </c:pt>
                <c:pt idx="81">
                  <c:v>0</c:v>
                </c:pt>
                <c:pt idx="82">
                  <c:v>0</c:v>
                </c:pt>
                <c:pt idx="83">
                  <c:v>32037</c:v>
                </c:pt>
                <c:pt idx="84">
                  <c:v>0</c:v>
                </c:pt>
                <c:pt idx="85">
                  <c:v>0</c:v>
                </c:pt>
                <c:pt idx="86">
                  <c:v>29068</c:v>
                </c:pt>
                <c:pt idx="87">
                  <c:v>0</c:v>
                </c:pt>
                <c:pt idx="88">
                  <c:v>28943</c:v>
                </c:pt>
                <c:pt idx="89">
                  <c:v>0</c:v>
                </c:pt>
                <c:pt idx="90">
                  <c:v>0</c:v>
                </c:pt>
                <c:pt idx="91">
                  <c:v>26836</c:v>
                </c:pt>
                <c:pt idx="92">
                  <c:v>0</c:v>
                </c:pt>
                <c:pt idx="93">
                  <c:v>21251</c:v>
                </c:pt>
                <c:pt idx="94">
                  <c:v>0</c:v>
                </c:pt>
                <c:pt idx="95">
                  <c:v>0</c:v>
                </c:pt>
                <c:pt idx="96">
                  <c:v>21144</c:v>
                </c:pt>
                <c:pt idx="97">
                  <c:v>0</c:v>
                </c:pt>
                <c:pt idx="98">
                  <c:v>15045</c:v>
                </c:pt>
                <c:pt idx="99">
                  <c:v>0</c:v>
                </c:pt>
                <c:pt idx="100">
                  <c:v>0</c:v>
                </c:pt>
                <c:pt idx="101">
                  <c:v>13478</c:v>
                </c:pt>
                <c:pt idx="102">
                  <c:v>0</c:v>
                </c:pt>
                <c:pt idx="103">
                  <c:v>0</c:v>
                </c:pt>
                <c:pt idx="104">
                  <c:v>17262</c:v>
                </c:pt>
                <c:pt idx="105">
                  <c:v>0</c:v>
                </c:pt>
                <c:pt idx="106">
                  <c:v>18297</c:v>
                </c:pt>
                <c:pt idx="107">
                  <c:v>0</c:v>
                </c:pt>
                <c:pt idx="108">
                  <c:v>0</c:v>
                </c:pt>
                <c:pt idx="109">
                  <c:v>17863</c:v>
                </c:pt>
                <c:pt idx="110">
                  <c:v>0</c:v>
                </c:pt>
                <c:pt idx="111">
                  <c:v>17367</c:v>
                </c:pt>
                <c:pt idx="112">
                  <c:v>0</c:v>
                </c:pt>
                <c:pt idx="113">
                  <c:v>0</c:v>
                </c:pt>
                <c:pt idx="114">
                  <c:v>16708</c:v>
                </c:pt>
                <c:pt idx="115">
                  <c:v>0</c:v>
                </c:pt>
                <c:pt idx="116">
                  <c:v>15286</c:v>
                </c:pt>
                <c:pt idx="117">
                  <c:v>0</c:v>
                </c:pt>
                <c:pt idx="118">
                  <c:v>0</c:v>
                </c:pt>
                <c:pt idx="119">
                  <c:v>15119</c:v>
                </c:pt>
                <c:pt idx="120">
                  <c:v>0</c:v>
                </c:pt>
                <c:pt idx="121">
                  <c:v>0</c:v>
                </c:pt>
                <c:pt idx="122">
                  <c:v>16334</c:v>
                </c:pt>
                <c:pt idx="123">
                  <c:v>0</c:v>
                </c:pt>
                <c:pt idx="124">
                  <c:v>14479</c:v>
                </c:pt>
                <c:pt idx="125">
                  <c:v>0</c:v>
                </c:pt>
                <c:pt idx="126">
                  <c:v>0</c:v>
                </c:pt>
                <c:pt idx="127">
                  <c:v>14552</c:v>
                </c:pt>
                <c:pt idx="128">
                  <c:v>0</c:v>
                </c:pt>
                <c:pt idx="129">
                  <c:v>15576</c:v>
                </c:pt>
                <c:pt idx="130">
                  <c:v>0</c:v>
                </c:pt>
                <c:pt idx="131">
                  <c:v>0</c:v>
                </c:pt>
                <c:pt idx="132">
                  <c:v>16839</c:v>
                </c:pt>
                <c:pt idx="133">
                  <c:v>0</c:v>
                </c:pt>
                <c:pt idx="134">
                  <c:v>16681</c:v>
                </c:pt>
                <c:pt idx="135">
                  <c:v>0</c:v>
                </c:pt>
                <c:pt idx="136">
                  <c:v>0</c:v>
                </c:pt>
                <c:pt idx="137">
                  <c:v>20182</c:v>
                </c:pt>
                <c:pt idx="138">
                  <c:v>0</c:v>
                </c:pt>
                <c:pt idx="139">
                  <c:v>0</c:v>
                </c:pt>
                <c:pt idx="140">
                  <c:v>19293</c:v>
                </c:pt>
                <c:pt idx="141">
                  <c:v>0</c:v>
                </c:pt>
                <c:pt idx="142">
                  <c:v>19321</c:v>
                </c:pt>
                <c:pt idx="143">
                  <c:v>0</c:v>
                </c:pt>
                <c:pt idx="144">
                  <c:v>0</c:v>
                </c:pt>
                <c:pt idx="145">
                  <c:v>17636</c:v>
                </c:pt>
                <c:pt idx="146">
                  <c:v>0</c:v>
                </c:pt>
                <c:pt idx="147">
                  <c:v>16624</c:v>
                </c:pt>
                <c:pt idx="148">
                  <c:v>0</c:v>
                </c:pt>
                <c:pt idx="149">
                  <c:v>0</c:v>
                </c:pt>
                <c:pt idx="150">
                  <c:v>13325</c:v>
                </c:pt>
                <c:pt idx="151">
                  <c:v>0</c:v>
                </c:pt>
                <c:pt idx="152">
                  <c:v>15962</c:v>
                </c:pt>
                <c:pt idx="153">
                  <c:v>0</c:v>
                </c:pt>
                <c:pt idx="154">
                  <c:v>0</c:v>
                </c:pt>
                <c:pt idx="155">
                  <c:v>15742</c:v>
                </c:pt>
                <c:pt idx="156">
                  <c:v>0</c:v>
                </c:pt>
                <c:pt idx="157">
                  <c:v>0</c:v>
                </c:pt>
                <c:pt idx="158">
                  <c:v>16914</c:v>
                </c:pt>
                <c:pt idx="159">
                  <c:v>0</c:v>
                </c:pt>
                <c:pt idx="160">
                  <c:v>11581</c:v>
                </c:pt>
                <c:pt idx="161">
                  <c:v>0</c:v>
                </c:pt>
                <c:pt idx="162">
                  <c:v>0</c:v>
                </c:pt>
                <c:pt idx="163">
                  <c:v>11424</c:v>
                </c:pt>
                <c:pt idx="164">
                  <c:v>0</c:v>
                </c:pt>
                <c:pt idx="165">
                  <c:v>13014</c:v>
                </c:pt>
                <c:pt idx="166">
                  <c:v>0</c:v>
                </c:pt>
                <c:pt idx="167">
                  <c:v>0</c:v>
                </c:pt>
                <c:pt idx="168">
                  <c:v>12839</c:v>
                </c:pt>
                <c:pt idx="169">
                  <c:v>0</c:v>
                </c:pt>
                <c:pt idx="170">
                  <c:v>0</c:v>
                </c:pt>
                <c:pt idx="171">
                  <c:v>11114</c:v>
                </c:pt>
                <c:pt idx="172">
                  <c:v>0</c:v>
                </c:pt>
                <c:pt idx="173">
                  <c:v>9063</c:v>
                </c:pt>
                <c:pt idx="174">
                  <c:v>0</c:v>
                </c:pt>
                <c:pt idx="175">
                  <c:v>0</c:v>
                </c:pt>
                <c:pt idx="176">
                  <c:v>9593</c:v>
                </c:pt>
                <c:pt idx="177">
                  <c:v>0</c:v>
                </c:pt>
                <c:pt idx="178">
                  <c:v>7964</c:v>
                </c:pt>
                <c:pt idx="179">
                  <c:v>0</c:v>
                </c:pt>
                <c:pt idx="180">
                  <c:v>0</c:v>
                </c:pt>
                <c:pt idx="181">
                  <c:v>5731</c:v>
                </c:pt>
                <c:pt idx="182">
                  <c:v>0</c:v>
                </c:pt>
                <c:pt idx="183">
                  <c:v>5097</c:v>
                </c:pt>
                <c:pt idx="184">
                  <c:v>0</c:v>
                </c:pt>
                <c:pt idx="185">
                  <c:v>0</c:v>
                </c:pt>
                <c:pt idx="186">
                  <c:v>4290</c:v>
                </c:pt>
                <c:pt idx="187">
                  <c:v>0</c:v>
                </c:pt>
                <c:pt idx="188">
                  <c:v>0</c:v>
                </c:pt>
                <c:pt idx="189">
                  <c:v>1921</c:v>
                </c:pt>
                <c:pt idx="190">
                  <c:v>0</c:v>
                </c:pt>
                <c:pt idx="191">
                  <c:v>1618</c:v>
                </c:pt>
                <c:pt idx="192">
                  <c:v>0</c:v>
                </c:pt>
                <c:pt idx="193">
                  <c:v>0</c:v>
                </c:pt>
                <c:pt idx="194">
                  <c:v>1501</c:v>
                </c:pt>
                <c:pt idx="195">
                  <c:v>0</c:v>
                </c:pt>
                <c:pt idx="196">
                  <c:v>1206</c:v>
                </c:pt>
                <c:pt idx="197">
                  <c:v>0</c:v>
                </c:pt>
                <c:pt idx="198">
                  <c:v>0</c:v>
                </c:pt>
                <c:pt idx="199">
                  <c:v>1115</c:v>
                </c:pt>
                <c:pt idx="200">
                  <c:v>0</c:v>
                </c:pt>
                <c:pt idx="201">
                  <c:v>816</c:v>
                </c:pt>
                <c:pt idx="202">
                  <c:v>0</c:v>
                </c:pt>
                <c:pt idx="203">
                  <c:v>0</c:v>
                </c:pt>
                <c:pt idx="204">
                  <c:v>1580</c:v>
                </c:pt>
                <c:pt idx="205">
                  <c:v>0</c:v>
                </c:pt>
                <c:pt idx="206">
                  <c:v>0</c:v>
                </c:pt>
                <c:pt idx="207">
                  <c:v>848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0.31534946671072578</c:v>
                </c:pt>
                <c:pt idx="1">
                  <c:v>0.28728981920842067</c:v>
                </c:pt>
                <c:pt idx="2">
                  <c:v>0.39736071408085361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0.47197529125382559</c:v>
                </c:pt>
                <c:pt idx="1">
                  <c:v>0.32243701899574267</c:v>
                </c:pt>
                <c:pt idx="2">
                  <c:v>0.20558768975043176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17.763892500000001</c:v>
                </c:pt>
                <c:pt idx="1">
                  <c:v>12.9299675</c:v>
                </c:pt>
                <c:pt idx="2">
                  <c:v>31.552205000000001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  <c:pt idx="75">
                  <c:v>30.6083</c:v>
                </c:pt>
                <c:pt idx="76">
                  <c:v>30.984400000000001</c:v>
                </c:pt>
                <c:pt idx="77">
                  <c:v>31.357399999999998</c:v>
                </c:pt>
                <c:pt idx="78">
                  <c:v>31.734200000000001</c:v>
                </c:pt>
                <c:pt idx="79">
                  <c:v>32.125300000000003</c:v>
                </c:pt>
                <c:pt idx="80">
                  <c:v>32.529200000000003</c:v>
                </c:pt>
                <c:pt idx="81">
                  <c:v>32.934100000000001</c:v>
                </c:pt>
                <c:pt idx="82">
                  <c:v>33.343899999999998</c:v>
                </c:pt>
                <c:pt idx="83">
                  <c:v>33.750900000000001</c:v>
                </c:pt>
                <c:pt idx="84">
                  <c:v>34.150799999999997</c:v>
                </c:pt>
                <c:pt idx="85">
                  <c:v>34.5627</c:v>
                </c:pt>
                <c:pt idx="86">
                  <c:v>34.964700000000001</c:v>
                </c:pt>
                <c:pt idx="87">
                  <c:v>35.371699999999997</c:v>
                </c:pt>
                <c:pt idx="88">
                  <c:v>35.782400000000003</c:v>
                </c:pt>
                <c:pt idx="89">
                  <c:v>36.186300000000003</c:v>
                </c:pt>
                <c:pt idx="90">
                  <c:v>36.591299999999997</c:v>
                </c:pt>
                <c:pt idx="91">
                  <c:v>36.994199999999999</c:v>
                </c:pt>
                <c:pt idx="92">
                  <c:v>37.399700000000003</c:v>
                </c:pt>
                <c:pt idx="93">
                  <c:v>37.809100000000001</c:v>
                </c:pt>
                <c:pt idx="94">
                  <c:v>38.216900000000003</c:v>
                </c:pt>
                <c:pt idx="95">
                  <c:v>38.620800000000003</c:v>
                </c:pt>
                <c:pt idx="96">
                  <c:v>39.028799999999997</c:v>
                </c:pt>
                <c:pt idx="97">
                  <c:v>39.4377</c:v>
                </c:pt>
                <c:pt idx="98">
                  <c:v>39.843600000000002</c:v>
                </c:pt>
                <c:pt idx="99">
                  <c:v>40.245699999999999</c:v>
                </c:pt>
                <c:pt idx="100">
                  <c:v>40.653500000000001</c:v>
                </c:pt>
                <c:pt idx="101">
                  <c:v>41.0623</c:v>
                </c:pt>
                <c:pt idx="102">
                  <c:v>41.463299999999997</c:v>
                </c:pt>
                <c:pt idx="103">
                  <c:v>41.873399999999997</c:v>
                </c:pt>
                <c:pt idx="104">
                  <c:v>42.279899999999998</c:v>
                </c:pt>
                <c:pt idx="105">
                  <c:v>42.683199999999999</c:v>
                </c:pt>
                <c:pt idx="106">
                  <c:v>43.09</c:v>
                </c:pt>
                <c:pt idx="107">
                  <c:v>43.494799999999998</c:v>
                </c:pt>
                <c:pt idx="108">
                  <c:v>43.905900000000003</c:v>
                </c:pt>
                <c:pt idx="109">
                  <c:v>44.307699999999997</c:v>
                </c:pt>
                <c:pt idx="110">
                  <c:v>44.717599999999997</c:v>
                </c:pt>
                <c:pt idx="111">
                  <c:v>45.122599999999998</c:v>
                </c:pt>
                <c:pt idx="112">
                  <c:v>45.526400000000002</c:v>
                </c:pt>
                <c:pt idx="113">
                  <c:v>45.935499999999998</c:v>
                </c:pt>
                <c:pt idx="114">
                  <c:v>46.339500000000001</c:v>
                </c:pt>
                <c:pt idx="115">
                  <c:v>46.747300000000003</c:v>
                </c:pt>
                <c:pt idx="116">
                  <c:v>47.152999999999999</c:v>
                </c:pt>
                <c:pt idx="117">
                  <c:v>47.563000000000002</c:v>
                </c:pt>
                <c:pt idx="118">
                  <c:v>47.965899999999998</c:v>
                </c:pt>
                <c:pt idx="119">
                  <c:v>48.371699999999997</c:v>
                </c:pt>
                <c:pt idx="120">
                  <c:v>48.779899999999998</c:v>
                </c:pt>
                <c:pt idx="121">
                  <c:v>49.182600000000001</c:v>
                </c:pt>
                <c:pt idx="122">
                  <c:v>49.589300000000001</c:v>
                </c:pt>
                <c:pt idx="123">
                  <c:v>49.995600000000003</c:v>
                </c:pt>
                <c:pt idx="124">
                  <c:v>50.403300000000002</c:v>
                </c:pt>
                <c:pt idx="125">
                  <c:v>50.811399999999999</c:v>
                </c:pt>
                <c:pt idx="126">
                  <c:v>51.217199999999998</c:v>
                </c:pt>
                <c:pt idx="127">
                  <c:v>51.6252</c:v>
                </c:pt>
                <c:pt idx="128">
                  <c:v>52.027999999999999</c:v>
                </c:pt>
                <c:pt idx="129">
                  <c:v>52.432899999999997</c:v>
                </c:pt>
                <c:pt idx="130">
                  <c:v>52.84</c:v>
                </c:pt>
                <c:pt idx="131">
                  <c:v>53.246000000000002</c:v>
                </c:pt>
                <c:pt idx="132">
                  <c:v>53.654699999999998</c:v>
                </c:pt>
                <c:pt idx="133">
                  <c:v>54.061599999999999</c:v>
                </c:pt>
                <c:pt idx="134">
                  <c:v>54.463500000000003</c:v>
                </c:pt>
                <c:pt idx="135">
                  <c:v>54.871499999999997</c:v>
                </c:pt>
                <c:pt idx="136">
                  <c:v>55.278399999999998</c:v>
                </c:pt>
                <c:pt idx="137">
                  <c:v>55.682400000000001</c:v>
                </c:pt>
                <c:pt idx="138">
                  <c:v>56.0899</c:v>
                </c:pt>
                <c:pt idx="139">
                  <c:v>56.495100000000001</c:v>
                </c:pt>
                <c:pt idx="140">
                  <c:v>56.9041</c:v>
                </c:pt>
                <c:pt idx="141">
                  <c:v>57.31</c:v>
                </c:pt>
                <c:pt idx="142">
                  <c:v>57.719799999999999</c:v>
                </c:pt>
                <c:pt idx="143">
                  <c:v>58.120800000000003</c:v>
                </c:pt>
                <c:pt idx="144">
                  <c:v>58.528700000000001</c:v>
                </c:pt>
                <c:pt idx="145">
                  <c:v>58.933500000000002</c:v>
                </c:pt>
                <c:pt idx="146">
                  <c:v>59.341500000000003</c:v>
                </c:pt>
                <c:pt idx="147">
                  <c:v>59.746400000000001</c:v>
                </c:pt>
                <c:pt idx="148">
                  <c:v>60.152299999999997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  <c:pt idx="75">
                  <c:v>2.9146899999999998</c:v>
                </c:pt>
                <c:pt idx="76">
                  <c:v>2.87859</c:v>
                </c:pt>
                <c:pt idx="77">
                  <c:v>2.8486199999999999</c:v>
                </c:pt>
                <c:pt idx="78">
                  <c:v>2.82355</c:v>
                </c:pt>
                <c:pt idx="79">
                  <c:v>2.8024399999999998</c:v>
                </c:pt>
                <c:pt idx="80">
                  <c:v>2.7815499999999997</c:v>
                </c:pt>
                <c:pt idx="81">
                  <c:v>2.7612199999999998</c:v>
                </c:pt>
                <c:pt idx="82">
                  <c:v>2.7405600000000003</c:v>
                </c:pt>
                <c:pt idx="83">
                  <c:v>2.7212900000000002</c:v>
                </c:pt>
                <c:pt idx="84">
                  <c:v>2.7028300000000001</c:v>
                </c:pt>
                <c:pt idx="85">
                  <c:v>2.6854200000000001</c:v>
                </c:pt>
                <c:pt idx="86">
                  <c:v>2.6674199999999999</c:v>
                </c:pt>
                <c:pt idx="87">
                  <c:v>2.6511400000000003</c:v>
                </c:pt>
                <c:pt idx="88">
                  <c:v>2.6365799999999999</c:v>
                </c:pt>
                <c:pt idx="89">
                  <c:v>2.6220300000000001</c:v>
                </c:pt>
                <c:pt idx="90">
                  <c:v>2.6066799999999999</c:v>
                </c:pt>
                <c:pt idx="91">
                  <c:v>2.5934400000000002</c:v>
                </c:pt>
                <c:pt idx="92">
                  <c:v>2.5804</c:v>
                </c:pt>
                <c:pt idx="93">
                  <c:v>2.5659300000000003</c:v>
                </c:pt>
                <c:pt idx="94">
                  <c:v>2.55145</c:v>
                </c:pt>
                <c:pt idx="95">
                  <c:v>2.5377699999999996</c:v>
                </c:pt>
                <c:pt idx="96">
                  <c:v>2.5252999999999997</c:v>
                </c:pt>
                <c:pt idx="97">
                  <c:v>2.5133299999999998</c:v>
                </c:pt>
                <c:pt idx="98">
                  <c:v>2.5044200000000001</c:v>
                </c:pt>
                <c:pt idx="99">
                  <c:v>2.4963500000000001</c:v>
                </c:pt>
                <c:pt idx="100">
                  <c:v>2.4877500000000001</c:v>
                </c:pt>
                <c:pt idx="101">
                  <c:v>2.48034</c:v>
                </c:pt>
                <c:pt idx="102">
                  <c:v>2.47228</c:v>
                </c:pt>
                <c:pt idx="103">
                  <c:v>2.46698</c:v>
                </c:pt>
                <c:pt idx="104">
                  <c:v>2.4623900000000001</c:v>
                </c:pt>
                <c:pt idx="105">
                  <c:v>2.4607399999999999</c:v>
                </c:pt>
                <c:pt idx="106">
                  <c:v>2.46109</c:v>
                </c:pt>
                <c:pt idx="107">
                  <c:v>2.46244</c:v>
                </c:pt>
                <c:pt idx="108">
                  <c:v>2.4653499999999999</c:v>
                </c:pt>
                <c:pt idx="109">
                  <c:v>2.4698099999999998</c:v>
                </c:pt>
                <c:pt idx="110">
                  <c:v>2.4753600000000002</c:v>
                </c:pt>
                <c:pt idx="111">
                  <c:v>2.4827300000000001</c:v>
                </c:pt>
                <c:pt idx="112">
                  <c:v>2.4887699999999997</c:v>
                </c:pt>
                <c:pt idx="113">
                  <c:v>2.49878</c:v>
                </c:pt>
                <c:pt idx="114">
                  <c:v>2.5113999999999996</c:v>
                </c:pt>
                <c:pt idx="115">
                  <c:v>2.5290499999999998</c:v>
                </c:pt>
                <c:pt idx="116">
                  <c:v>2.5496799999999995</c:v>
                </c:pt>
                <c:pt idx="117">
                  <c:v>2.5728400000000002</c:v>
                </c:pt>
                <c:pt idx="118">
                  <c:v>2.5996000000000001</c:v>
                </c:pt>
                <c:pt idx="119">
                  <c:v>2.6284900000000002</c:v>
                </c:pt>
                <c:pt idx="120">
                  <c:v>2.6593099999999996</c:v>
                </c:pt>
                <c:pt idx="121">
                  <c:v>2.6930999999999998</c:v>
                </c:pt>
                <c:pt idx="122">
                  <c:v>2.7272099999999999</c:v>
                </c:pt>
                <c:pt idx="123">
                  <c:v>2.7628200000000005</c:v>
                </c:pt>
                <c:pt idx="124">
                  <c:v>2.7907599999999997</c:v>
                </c:pt>
                <c:pt idx="125">
                  <c:v>2.8105500000000001</c:v>
                </c:pt>
                <c:pt idx="126">
                  <c:v>2.8311799999999998</c:v>
                </c:pt>
                <c:pt idx="127">
                  <c:v>2.8529200000000001</c:v>
                </c:pt>
                <c:pt idx="128">
                  <c:v>2.8726000000000003</c:v>
                </c:pt>
                <c:pt idx="129">
                  <c:v>2.8918700000000004</c:v>
                </c:pt>
                <c:pt idx="130">
                  <c:v>2.90984</c:v>
                </c:pt>
                <c:pt idx="131">
                  <c:v>2.9267500000000002</c:v>
                </c:pt>
                <c:pt idx="132">
                  <c:v>2.9469499999999997</c:v>
                </c:pt>
                <c:pt idx="133">
                  <c:v>2.9653600000000004</c:v>
                </c:pt>
                <c:pt idx="134">
                  <c:v>2.9816500000000001</c:v>
                </c:pt>
                <c:pt idx="135">
                  <c:v>2.9961799999999998</c:v>
                </c:pt>
                <c:pt idx="136">
                  <c:v>3.0091099999999997</c:v>
                </c:pt>
                <c:pt idx="137">
                  <c:v>3.0245600000000001</c:v>
                </c:pt>
                <c:pt idx="138">
                  <c:v>3.0363199999999999</c:v>
                </c:pt>
                <c:pt idx="139">
                  <c:v>3.0481799999999999</c:v>
                </c:pt>
                <c:pt idx="140">
                  <c:v>3.0586099999999998</c:v>
                </c:pt>
                <c:pt idx="141">
                  <c:v>3.0692999999999997</c:v>
                </c:pt>
                <c:pt idx="142">
                  <c:v>3.0818099999999999</c:v>
                </c:pt>
                <c:pt idx="143">
                  <c:v>3.0955700000000004</c:v>
                </c:pt>
                <c:pt idx="144">
                  <c:v>3.11313</c:v>
                </c:pt>
                <c:pt idx="145">
                  <c:v>3.1324100000000001</c:v>
                </c:pt>
                <c:pt idx="146">
                  <c:v>3.1442399999999999</c:v>
                </c:pt>
                <c:pt idx="147">
                  <c:v>3.1690899999999997</c:v>
                </c:pt>
                <c:pt idx="148">
                  <c:v>3.1849799999999999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30.6083</c:v>
                </c:pt>
                <c:pt idx="2">
                  <c:v>30.984400000000001</c:v>
                </c:pt>
                <c:pt idx="3">
                  <c:v>31.357399999999998</c:v>
                </c:pt>
                <c:pt idx="4">
                  <c:v>31.734200000000001</c:v>
                </c:pt>
                <c:pt idx="5">
                  <c:v>32.125300000000003</c:v>
                </c:pt>
                <c:pt idx="6">
                  <c:v>32.529200000000003</c:v>
                </c:pt>
                <c:pt idx="7">
                  <c:v>32.934100000000001</c:v>
                </c:pt>
                <c:pt idx="8">
                  <c:v>33.343899999999998</c:v>
                </c:pt>
                <c:pt idx="9">
                  <c:v>33.750900000000001</c:v>
                </c:pt>
                <c:pt idx="10">
                  <c:v>34.150799999999997</c:v>
                </c:pt>
                <c:pt idx="11">
                  <c:v>34.5627</c:v>
                </c:pt>
                <c:pt idx="12">
                  <c:v>34.964700000000001</c:v>
                </c:pt>
                <c:pt idx="13">
                  <c:v>35.371699999999997</c:v>
                </c:pt>
                <c:pt idx="14">
                  <c:v>35.782400000000003</c:v>
                </c:pt>
                <c:pt idx="15">
                  <c:v>36.186300000000003</c:v>
                </c:pt>
                <c:pt idx="16">
                  <c:v>36.591299999999997</c:v>
                </c:pt>
                <c:pt idx="17">
                  <c:v>36.994199999999999</c:v>
                </c:pt>
                <c:pt idx="18">
                  <c:v>37.399700000000003</c:v>
                </c:pt>
                <c:pt idx="19">
                  <c:v>37.809100000000001</c:v>
                </c:pt>
                <c:pt idx="20">
                  <c:v>38.216900000000003</c:v>
                </c:pt>
                <c:pt idx="21">
                  <c:v>38.620800000000003</c:v>
                </c:pt>
                <c:pt idx="22">
                  <c:v>39.028799999999997</c:v>
                </c:pt>
                <c:pt idx="23">
                  <c:v>39.4377</c:v>
                </c:pt>
                <c:pt idx="24">
                  <c:v>39.843600000000002</c:v>
                </c:pt>
                <c:pt idx="25">
                  <c:v>40.245699999999999</c:v>
                </c:pt>
                <c:pt idx="26">
                  <c:v>40.653500000000001</c:v>
                </c:pt>
                <c:pt idx="27">
                  <c:v>41.0623</c:v>
                </c:pt>
                <c:pt idx="28">
                  <c:v>41.463299999999997</c:v>
                </c:pt>
                <c:pt idx="29">
                  <c:v>41.873399999999997</c:v>
                </c:pt>
                <c:pt idx="30">
                  <c:v>42.279899999999998</c:v>
                </c:pt>
                <c:pt idx="31">
                  <c:v>42.683199999999999</c:v>
                </c:pt>
                <c:pt idx="32">
                  <c:v>43.09</c:v>
                </c:pt>
                <c:pt idx="33">
                  <c:v>43.494799999999998</c:v>
                </c:pt>
                <c:pt idx="34">
                  <c:v>43.905900000000003</c:v>
                </c:pt>
                <c:pt idx="35">
                  <c:v>44.307699999999997</c:v>
                </c:pt>
                <c:pt idx="36">
                  <c:v>44.717599999999997</c:v>
                </c:pt>
                <c:pt idx="37">
                  <c:v>45.122599999999998</c:v>
                </c:pt>
                <c:pt idx="38">
                  <c:v>45.526400000000002</c:v>
                </c:pt>
                <c:pt idx="39">
                  <c:v>45.935499999999998</c:v>
                </c:pt>
                <c:pt idx="40">
                  <c:v>46.339500000000001</c:v>
                </c:pt>
                <c:pt idx="41">
                  <c:v>46.747300000000003</c:v>
                </c:pt>
                <c:pt idx="42">
                  <c:v>47.152999999999999</c:v>
                </c:pt>
                <c:pt idx="43">
                  <c:v>47.563000000000002</c:v>
                </c:pt>
                <c:pt idx="44">
                  <c:v>47.965899999999998</c:v>
                </c:pt>
                <c:pt idx="45">
                  <c:v>48.371699999999997</c:v>
                </c:pt>
                <c:pt idx="46">
                  <c:v>48.779899999999998</c:v>
                </c:pt>
                <c:pt idx="47">
                  <c:v>49.182600000000001</c:v>
                </c:pt>
                <c:pt idx="48">
                  <c:v>49.589300000000001</c:v>
                </c:pt>
                <c:pt idx="49">
                  <c:v>49.995600000000003</c:v>
                </c:pt>
                <c:pt idx="50">
                  <c:v>50.403300000000002</c:v>
                </c:pt>
                <c:pt idx="51">
                  <c:v>50.811399999999999</c:v>
                </c:pt>
                <c:pt idx="52">
                  <c:v>51.217199999999998</c:v>
                </c:pt>
                <c:pt idx="53">
                  <c:v>51.6252</c:v>
                </c:pt>
                <c:pt idx="54">
                  <c:v>52.027999999999999</c:v>
                </c:pt>
                <c:pt idx="55">
                  <c:v>52.432899999999997</c:v>
                </c:pt>
                <c:pt idx="56">
                  <c:v>52.84</c:v>
                </c:pt>
                <c:pt idx="57">
                  <c:v>53.246000000000002</c:v>
                </c:pt>
                <c:pt idx="58">
                  <c:v>53.654699999999998</c:v>
                </c:pt>
                <c:pt idx="59">
                  <c:v>54.061599999999999</c:v>
                </c:pt>
                <c:pt idx="60">
                  <c:v>54.463500000000003</c:v>
                </c:pt>
                <c:pt idx="61">
                  <c:v>54.871499999999997</c:v>
                </c:pt>
                <c:pt idx="62">
                  <c:v>55.278399999999998</c:v>
                </c:pt>
                <c:pt idx="63">
                  <c:v>55.682400000000001</c:v>
                </c:pt>
                <c:pt idx="64">
                  <c:v>56.0899</c:v>
                </c:pt>
                <c:pt idx="65">
                  <c:v>56.495100000000001</c:v>
                </c:pt>
                <c:pt idx="66">
                  <c:v>56.9041</c:v>
                </c:pt>
                <c:pt idx="67">
                  <c:v>57.31</c:v>
                </c:pt>
                <c:pt idx="68">
                  <c:v>57.719799999999999</c:v>
                </c:pt>
                <c:pt idx="69">
                  <c:v>58.120800000000003</c:v>
                </c:pt>
                <c:pt idx="70">
                  <c:v>58.528700000000001</c:v>
                </c:pt>
                <c:pt idx="71">
                  <c:v>58.933500000000002</c:v>
                </c:pt>
                <c:pt idx="72">
                  <c:v>59.341500000000003</c:v>
                </c:pt>
                <c:pt idx="73">
                  <c:v>59.746400000000001</c:v>
                </c:pt>
                <c:pt idx="74">
                  <c:v>60.152299999999997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2.9502600000000001</c:v>
                </c:pt>
                <c:pt idx="1">
                  <c:v>2.9146899999999998</c:v>
                </c:pt>
                <c:pt idx="2">
                  <c:v>2.87859</c:v>
                </c:pt>
                <c:pt idx="3">
                  <c:v>2.8486199999999999</c:v>
                </c:pt>
                <c:pt idx="4">
                  <c:v>2.82355</c:v>
                </c:pt>
                <c:pt idx="5">
                  <c:v>2.8024399999999998</c:v>
                </c:pt>
                <c:pt idx="6">
                  <c:v>2.7815499999999997</c:v>
                </c:pt>
                <c:pt idx="7">
                  <c:v>2.7612199999999998</c:v>
                </c:pt>
                <c:pt idx="8">
                  <c:v>2.7405600000000003</c:v>
                </c:pt>
                <c:pt idx="9">
                  <c:v>2.7212900000000002</c:v>
                </c:pt>
                <c:pt idx="10">
                  <c:v>2.7028300000000001</c:v>
                </c:pt>
                <c:pt idx="11">
                  <c:v>2.6854200000000001</c:v>
                </c:pt>
                <c:pt idx="12">
                  <c:v>2.6674199999999999</c:v>
                </c:pt>
                <c:pt idx="13">
                  <c:v>2.6511400000000003</c:v>
                </c:pt>
                <c:pt idx="14">
                  <c:v>2.6365799999999999</c:v>
                </c:pt>
                <c:pt idx="15">
                  <c:v>2.6220300000000001</c:v>
                </c:pt>
                <c:pt idx="16">
                  <c:v>2.6066799999999999</c:v>
                </c:pt>
                <c:pt idx="17">
                  <c:v>2.5934400000000002</c:v>
                </c:pt>
                <c:pt idx="18">
                  <c:v>2.5804</c:v>
                </c:pt>
                <c:pt idx="19">
                  <c:v>2.5659300000000003</c:v>
                </c:pt>
                <c:pt idx="20">
                  <c:v>2.55145</c:v>
                </c:pt>
                <c:pt idx="21">
                  <c:v>2.5377699999999996</c:v>
                </c:pt>
                <c:pt idx="22">
                  <c:v>2.5252999999999997</c:v>
                </c:pt>
                <c:pt idx="23">
                  <c:v>2.5133299999999998</c:v>
                </c:pt>
                <c:pt idx="24">
                  <c:v>2.5044200000000001</c:v>
                </c:pt>
                <c:pt idx="25">
                  <c:v>2.4963500000000001</c:v>
                </c:pt>
                <c:pt idx="26">
                  <c:v>2.4877500000000001</c:v>
                </c:pt>
                <c:pt idx="27">
                  <c:v>2.48034</c:v>
                </c:pt>
                <c:pt idx="28">
                  <c:v>2.47228</c:v>
                </c:pt>
                <c:pt idx="29">
                  <c:v>2.46698</c:v>
                </c:pt>
                <c:pt idx="30">
                  <c:v>2.4623900000000001</c:v>
                </c:pt>
                <c:pt idx="31">
                  <c:v>2.4607399999999999</c:v>
                </c:pt>
                <c:pt idx="32">
                  <c:v>2.46109</c:v>
                </c:pt>
                <c:pt idx="33">
                  <c:v>2.46244</c:v>
                </c:pt>
                <c:pt idx="34">
                  <c:v>2.4653499999999999</c:v>
                </c:pt>
                <c:pt idx="35">
                  <c:v>2.4698099999999998</c:v>
                </c:pt>
                <c:pt idx="36">
                  <c:v>2.4753600000000002</c:v>
                </c:pt>
                <c:pt idx="37">
                  <c:v>2.4827300000000001</c:v>
                </c:pt>
                <c:pt idx="38">
                  <c:v>2.4887699999999997</c:v>
                </c:pt>
                <c:pt idx="39">
                  <c:v>2.49878</c:v>
                </c:pt>
                <c:pt idx="40">
                  <c:v>2.5113999999999996</c:v>
                </c:pt>
                <c:pt idx="41">
                  <c:v>2.5290499999999998</c:v>
                </c:pt>
                <c:pt idx="42">
                  <c:v>2.5496799999999995</c:v>
                </c:pt>
                <c:pt idx="43">
                  <c:v>2.5728400000000002</c:v>
                </c:pt>
                <c:pt idx="44">
                  <c:v>2.5996000000000001</c:v>
                </c:pt>
                <c:pt idx="45">
                  <c:v>2.6284900000000002</c:v>
                </c:pt>
                <c:pt idx="46">
                  <c:v>2.6593099999999996</c:v>
                </c:pt>
                <c:pt idx="47">
                  <c:v>2.6930999999999998</c:v>
                </c:pt>
                <c:pt idx="48">
                  <c:v>2.7272099999999999</c:v>
                </c:pt>
                <c:pt idx="49">
                  <c:v>2.7628200000000005</c:v>
                </c:pt>
                <c:pt idx="50">
                  <c:v>2.7907599999999997</c:v>
                </c:pt>
                <c:pt idx="51">
                  <c:v>2.8105500000000001</c:v>
                </c:pt>
                <c:pt idx="52">
                  <c:v>2.8311799999999998</c:v>
                </c:pt>
                <c:pt idx="53">
                  <c:v>2.8529200000000001</c:v>
                </c:pt>
                <c:pt idx="54">
                  <c:v>2.8726000000000003</c:v>
                </c:pt>
                <c:pt idx="55">
                  <c:v>2.8918700000000004</c:v>
                </c:pt>
                <c:pt idx="56">
                  <c:v>2.90984</c:v>
                </c:pt>
                <c:pt idx="57">
                  <c:v>2.9267500000000002</c:v>
                </c:pt>
                <c:pt idx="58">
                  <c:v>2.9469499999999997</c:v>
                </c:pt>
                <c:pt idx="59">
                  <c:v>2.9653600000000004</c:v>
                </c:pt>
                <c:pt idx="60">
                  <c:v>2.9816500000000001</c:v>
                </c:pt>
                <c:pt idx="61">
                  <c:v>2.9961799999999998</c:v>
                </c:pt>
                <c:pt idx="62">
                  <c:v>3.0091099999999997</c:v>
                </c:pt>
                <c:pt idx="63">
                  <c:v>3.0245600000000001</c:v>
                </c:pt>
                <c:pt idx="64">
                  <c:v>3.0363199999999999</c:v>
                </c:pt>
                <c:pt idx="65">
                  <c:v>3.0481799999999999</c:v>
                </c:pt>
                <c:pt idx="66">
                  <c:v>3.0586099999999998</c:v>
                </c:pt>
                <c:pt idx="67">
                  <c:v>3.0692999999999997</c:v>
                </c:pt>
                <c:pt idx="68">
                  <c:v>3.0818099999999999</c:v>
                </c:pt>
                <c:pt idx="69">
                  <c:v>3.0955700000000004</c:v>
                </c:pt>
                <c:pt idx="70">
                  <c:v>3.11313</c:v>
                </c:pt>
                <c:pt idx="71">
                  <c:v>3.1324100000000001</c:v>
                </c:pt>
                <c:pt idx="72">
                  <c:v>3.1442399999999999</c:v>
                </c:pt>
                <c:pt idx="73">
                  <c:v>3.1690899999999997</c:v>
                </c:pt>
                <c:pt idx="74">
                  <c:v>3.1849799999999999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15.038074999999999</c:v>
                </c:pt>
                <c:pt idx="1">
                  <c:v>45.114224999999998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3.0826570270270262</c:v>
                </c:pt>
                <c:pt idx="1">
                  <c:v>2.7336555405405409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  <c:pt idx="75">
                  <c:v>30.6083</c:v>
                </c:pt>
                <c:pt idx="76">
                  <c:v>30.984400000000001</c:v>
                </c:pt>
                <c:pt idx="77">
                  <c:v>31.357399999999998</c:v>
                </c:pt>
                <c:pt idx="78">
                  <c:v>31.734200000000001</c:v>
                </c:pt>
                <c:pt idx="79">
                  <c:v>32.125300000000003</c:v>
                </c:pt>
                <c:pt idx="80">
                  <c:v>32.529200000000003</c:v>
                </c:pt>
                <c:pt idx="81">
                  <c:v>32.934100000000001</c:v>
                </c:pt>
                <c:pt idx="82">
                  <c:v>33.343899999999998</c:v>
                </c:pt>
                <c:pt idx="83">
                  <c:v>33.750900000000001</c:v>
                </c:pt>
                <c:pt idx="84">
                  <c:v>34.150799999999997</c:v>
                </c:pt>
                <c:pt idx="85">
                  <c:v>34.5627</c:v>
                </c:pt>
                <c:pt idx="86">
                  <c:v>34.964700000000001</c:v>
                </c:pt>
                <c:pt idx="87">
                  <c:v>35.371699999999997</c:v>
                </c:pt>
                <c:pt idx="88">
                  <c:v>35.782400000000003</c:v>
                </c:pt>
                <c:pt idx="89">
                  <c:v>36.186300000000003</c:v>
                </c:pt>
                <c:pt idx="90">
                  <c:v>36.591299999999997</c:v>
                </c:pt>
                <c:pt idx="91">
                  <c:v>36.994199999999999</c:v>
                </c:pt>
                <c:pt idx="92">
                  <c:v>37.399700000000003</c:v>
                </c:pt>
                <c:pt idx="93">
                  <c:v>37.809100000000001</c:v>
                </c:pt>
                <c:pt idx="94">
                  <c:v>38.216900000000003</c:v>
                </c:pt>
                <c:pt idx="95">
                  <c:v>38.620800000000003</c:v>
                </c:pt>
                <c:pt idx="96">
                  <c:v>39.028799999999997</c:v>
                </c:pt>
                <c:pt idx="97">
                  <c:v>39.4377</c:v>
                </c:pt>
                <c:pt idx="98">
                  <c:v>39.843600000000002</c:v>
                </c:pt>
                <c:pt idx="99">
                  <c:v>40.245699999999999</c:v>
                </c:pt>
                <c:pt idx="100">
                  <c:v>40.653500000000001</c:v>
                </c:pt>
                <c:pt idx="101">
                  <c:v>41.0623</c:v>
                </c:pt>
                <c:pt idx="102">
                  <c:v>41.463299999999997</c:v>
                </c:pt>
                <c:pt idx="103">
                  <c:v>41.873399999999997</c:v>
                </c:pt>
                <c:pt idx="104">
                  <c:v>42.279899999999998</c:v>
                </c:pt>
                <c:pt idx="105">
                  <c:v>42.683199999999999</c:v>
                </c:pt>
                <c:pt idx="106">
                  <c:v>43.09</c:v>
                </c:pt>
                <c:pt idx="107">
                  <c:v>43.494799999999998</c:v>
                </c:pt>
                <c:pt idx="108">
                  <c:v>43.905900000000003</c:v>
                </c:pt>
                <c:pt idx="109">
                  <c:v>44.307699999999997</c:v>
                </c:pt>
                <c:pt idx="110">
                  <c:v>44.717599999999997</c:v>
                </c:pt>
                <c:pt idx="111">
                  <c:v>45.122599999999998</c:v>
                </c:pt>
                <c:pt idx="112">
                  <c:v>45.526400000000002</c:v>
                </c:pt>
                <c:pt idx="113">
                  <c:v>45.935499999999998</c:v>
                </c:pt>
                <c:pt idx="114">
                  <c:v>46.339500000000001</c:v>
                </c:pt>
                <c:pt idx="115">
                  <c:v>46.747300000000003</c:v>
                </c:pt>
                <c:pt idx="116">
                  <c:v>47.152999999999999</c:v>
                </c:pt>
                <c:pt idx="117">
                  <c:v>47.563000000000002</c:v>
                </c:pt>
                <c:pt idx="118">
                  <c:v>47.965899999999998</c:v>
                </c:pt>
                <c:pt idx="119">
                  <c:v>48.371699999999997</c:v>
                </c:pt>
                <c:pt idx="120">
                  <c:v>48.779899999999998</c:v>
                </c:pt>
                <c:pt idx="121">
                  <c:v>49.182600000000001</c:v>
                </c:pt>
                <c:pt idx="122">
                  <c:v>49.589300000000001</c:v>
                </c:pt>
                <c:pt idx="123">
                  <c:v>49.995600000000003</c:v>
                </c:pt>
                <c:pt idx="124">
                  <c:v>50.403300000000002</c:v>
                </c:pt>
                <c:pt idx="125">
                  <c:v>50.811399999999999</c:v>
                </c:pt>
                <c:pt idx="126">
                  <c:v>51.217199999999998</c:v>
                </c:pt>
                <c:pt idx="127">
                  <c:v>51.6252</c:v>
                </c:pt>
                <c:pt idx="128">
                  <c:v>52.027999999999999</c:v>
                </c:pt>
                <c:pt idx="129">
                  <c:v>52.432899999999997</c:v>
                </c:pt>
                <c:pt idx="130">
                  <c:v>52.84</c:v>
                </c:pt>
                <c:pt idx="131">
                  <c:v>53.246000000000002</c:v>
                </c:pt>
                <c:pt idx="132">
                  <c:v>53.654699999999998</c:v>
                </c:pt>
                <c:pt idx="133">
                  <c:v>54.061599999999999</c:v>
                </c:pt>
                <c:pt idx="134">
                  <c:v>54.463500000000003</c:v>
                </c:pt>
                <c:pt idx="135">
                  <c:v>54.871499999999997</c:v>
                </c:pt>
                <c:pt idx="136">
                  <c:v>55.278399999999998</c:v>
                </c:pt>
                <c:pt idx="137">
                  <c:v>55.682400000000001</c:v>
                </c:pt>
                <c:pt idx="138">
                  <c:v>56.0899</c:v>
                </c:pt>
                <c:pt idx="139">
                  <c:v>56.495100000000001</c:v>
                </c:pt>
                <c:pt idx="140">
                  <c:v>56.9041</c:v>
                </c:pt>
                <c:pt idx="141">
                  <c:v>57.31</c:v>
                </c:pt>
                <c:pt idx="142">
                  <c:v>57.719799999999999</c:v>
                </c:pt>
                <c:pt idx="143">
                  <c:v>58.120800000000003</c:v>
                </c:pt>
                <c:pt idx="144">
                  <c:v>58.528700000000001</c:v>
                </c:pt>
                <c:pt idx="145">
                  <c:v>58.933500000000002</c:v>
                </c:pt>
                <c:pt idx="146">
                  <c:v>59.341500000000003</c:v>
                </c:pt>
                <c:pt idx="147">
                  <c:v>59.746400000000001</c:v>
                </c:pt>
                <c:pt idx="148">
                  <c:v>60.152299999999997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  <c:pt idx="75">
                  <c:v>2.8598599999999998</c:v>
                </c:pt>
                <c:pt idx="76">
                  <c:v>4.08866</c:v>
                </c:pt>
                <c:pt idx="77">
                  <c:v>5.4434700000000005</c:v>
                </c:pt>
                <c:pt idx="78">
                  <c:v>6.9027000000000003</c:v>
                </c:pt>
                <c:pt idx="79">
                  <c:v>8.2510300000000001</c:v>
                </c:pt>
                <c:pt idx="80">
                  <c:v>9.5291499999999996</c:v>
                </c:pt>
                <c:pt idx="81">
                  <c:v>10.7379</c:v>
                </c:pt>
                <c:pt idx="82">
                  <c:v>11.812200000000001</c:v>
                </c:pt>
                <c:pt idx="83">
                  <c:v>12.782499999999999</c:v>
                </c:pt>
                <c:pt idx="84">
                  <c:v>13.706399999999999</c:v>
                </c:pt>
                <c:pt idx="85">
                  <c:v>14.577300000000001</c:v>
                </c:pt>
                <c:pt idx="86">
                  <c:v>15.4299</c:v>
                </c:pt>
                <c:pt idx="87">
                  <c:v>16.242999999999999</c:v>
                </c:pt>
                <c:pt idx="88">
                  <c:v>16.945</c:v>
                </c:pt>
                <c:pt idx="89">
                  <c:v>17.4495</c:v>
                </c:pt>
                <c:pt idx="90">
                  <c:v>17.921500000000002</c:v>
                </c:pt>
                <c:pt idx="91">
                  <c:v>18.313099999999999</c:v>
                </c:pt>
                <c:pt idx="92">
                  <c:v>18.697400000000002</c:v>
                </c:pt>
                <c:pt idx="93">
                  <c:v>19.1082</c:v>
                </c:pt>
                <c:pt idx="94">
                  <c:v>19.485399999999998</c:v>
                </c:pt>
                <c:pt idx="95">
                  <c:v>19.795400000000001</c:v>
                </c:pt>
                <c:pt idx="96">
                  <c:v>20.007000000000001</c:v>
                </c:pt>
                <c:pt idx="97">
                  <c:v>20.202400000000001</c:v>
                </c:pt>
                <c:pt idx="98">
                  <c:v>20.240500000000001</c:v>
                </c:pt>
                <c:pt idx="99">
                  <c:v>20.2043</c:v>
                </c:pt>
                <c:pt idx="100">
                  <c:v>20.183</c:v>
                </c:pt>
                <c:pt idx="101">
                  <c:v>20.016000000000002</c:v>
                </c:pt>
                <c:pt idx="102">
                  <c:v>19.851600000000001</c:v>
                </c:pt>
                <c:pt idx="103">
                  <c:v>19.5015</c:v>
                </c:pt>
                <c:pt idx="104">
                  <c:v>19.0977</c:v>
                </c:pt>
                <c:pt idx="105">
                  <c:v>18.619299999999999</c:v>
                </c:pt>
                <c:pt idx="106">
                  <c:v>18.028600000000001</c:v>
                </c:pt>
                <c:pt idx="107">
                  <c:v>17.519100000000002</c:v>
                </c:pt>
                <c:pt idx="108">
                  <c:v>17.083599999999997</c:v>
                </c:pt>
                <c:pt idx="109">
                  <c:v>16.607900000000001</c:v>
                </c:pt>
                <c:pt idx="110">
                  <c:v>16.186700000000002</c:v>
                </c:pt>
                <c:pt idx="111">
                  <c:v>15.732399999999998</c:v>
                </c:pt>
                <c:pt idx="112">
                  <c:v>15.367900000000001</c:v>
                </c:pt>
                <c:pt idx="113">
                  <c:v>14.871300000000002</c:v>
                </c:pt>
                <c:pt idx="114">
                  <c:v>14.5223</c:v>
                </c:pt>
                <c:pt idx="115">
                  <c:v>14.1126</c:v>
                </c:pt>
                <c:pt idx="116">
                  <c:v>13.742699999999999</c:v>
                </c:pt>
                <c:pt idx="117">
                  <c:v>13.3538</c:v>
                </c:pt>
                <c:pt idx="118">
                  <c:v>12.975100000000001</c:v>
                </c:pt>
                <c:pt idx="119">
                  <c:v>12.658099999999999</c:v>
                </c:pt>
                <c:pt idx="120">
                  <c:v>12.4314</c:v>
                </c:pt>
                <c:pt idx="121">
                  <c:v>12.1229</c:v>
                </c:pt>
                <c:pt idx="122">
                  <c:v>11.8142</c:v>
                </c:pt>
                <c:pt idx="123">
                  <c:v>11.4674</c:v>
                </c:pt>
                <c:pt idx="124">
                  <c:v>11.1814</c:v>
                </c:pt>
                <c:pt idx="125">
                  <c:v>10.917300000000001</c:v>
                </c:pt>
                <c:pt idx="126">
                  <c:v>10.7278</c:v>
                </c:pt>
                <c:pt idx="127">
                  <c:v>10.578099999999999</c:v>
                </c:pt>
                <c:pt idx="128">
                  <c:v>10.571</c:v>
                </c:pt>
                <c:pt idx="129">
                  <c:v>10.649100000000001</c:v>
                </c:pt>
                <c:pt idx="130">
                  <c:v>10.739600000000001</c:v>
                </c:pt>
                <c:pt idx="131">
                  <c:v>10.939</c:v>
                </c:pt>
                <c:pt idx="132">
                  <c:v>11.032599999999999</c:v>
                </c:pt>
                <c:pt idx="133">
                  <c:v>11.04</c:v>
                </c:pt>
                <c:pt idx="134">
                  <c:v>11.1008</c:v>
                </c:pt>
                <c:pt idx="135">
                  <c:v>11.130800000000001</c:v>
                </c:pt>
                <c:pt idx="136">
                  <c:v>11.1937</c:v>
                </c:pt>
                <c:pt idx="137">
                  <c:v>11.254799999999999</c:v>
                </c:pt>
                <c:pt idx="138">
                  <c:v>11.5101</c:v>
                </c:pt>
                <c:pt idx="139">
                  <c:v>11.7433</c:v>
                </c:pt>
                <c:pt idx="140">
                  <c:v>12.1313</c:v>
                </c:pt>
                <c:pt idx="141">
                  <c:v>12.361499999999999</c:v>
                </c:pt>
                <c:pt idx="142">
                  <c:v>12.570700000000002</c:v>
                </c:pt>
                <c:pt idx="143">
                  <c:v>12.801100000000002</c:v>
                </c:pt>
                <c:pt idx="144">
                  <c:v>12.723899999999999</c:v>
                </c:pt>
                <c:pt idx="145">
                  <c:v>12.157999999999999</c:v>
                </c:pt>
                <c:pt idx="146">
                  <c:v>11.898200000000001</c:v>
                </c:pt>
                <c:pt idx="147">
                  <c:v>11.234500000000001</c:v>
                </c:pt>
                <c:pt idx="148">
                  <c:v>10.871699999999999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0.386268</c:v>
                </c:pt>
                <c:pt idx="2">
                  <c:v>0.79210899999999995</c:v>
                </c:pt>
                <c:pt idx="3">
                  <c:v>1.1980500000000001</c:v>
                </c:pt>
                <c:pt idx="4">
                  <c:v>1.6089199999999999</c:v>
                </c:pt>
                <c:pt idx="5">
                  <c:v>2.01085</c:v>
                </c:pt>
                <c:pt idx="6">
                  <c:v>2.4187799999999999</c:v>
                </c:pt>
                <c:pt idx="7">
                  <c:v>2.8246899999999999</c:v>
                </c:pt>
                <c:pt idx="8">
                  <c:v>3.2296800000000001</c:v>
                </c:pt>
                <c:pt idx="9">
                  <c:v>3.6375600000000001</c:v>
                </c:pt>
                <c:pt idx="10">
                  <c:v>4.0464099999999998</c:v>
                </c:pt>
                <c:pt idx="11">
                  <c:v>4.4482900000000001</c:v>
                </c:pt>
                <c:pt idx="12">
                  <c:v>4.8542100000000001</c:v>
                </c:pt>
                <c:pt idx="13">
                  <c:v>5.26058</c:v>
                </c:pt>
                <c:pt idx="14">
                  <c:v>5.6700600000000003</c:v>
                </c:pt>
                <c:pt idx="15">
                  <c:v>6.0769799999999998</c:v>
                </c:pt>
                <c:pt idx="16">
                  <c:v>6.4828900000000003</c:v>
                </c:pt>
                <c:pt idx="17">
                  <c:v>6.8858199999999998</c:v>
                </c:pt>
                <c:pt idx="18">
                  <c:v>7.2946799999999996</c:v>
                </c:pt>
                <c:pt idx="19">
                  <c:v>7.6996799999999999</c:v>
                </c:pt>
                <c:pt idx="20">
                  <c:v>8.1044699999999992</c:v>
                </c:pt>
                <c:pt idx="21">
                  <c:v>8.5124999999999993</c:v>
                </c:pt>
                <c:pt idx="22">
                  <c:v>8.9192999999999998</c:v>
                </c:pt>
                <c:pt idx="23">
                  <c:v>9.3282299999999996</c:v>
                </c:pt>
                <c:pt idx="24">
                  <c:v>9.7321899999999992</c:v>
                </c:pt>
                <c:pt idx="25">
                  <c:v>10.1371</c:v>
                </c:pt>
                <c:pt idx="26">
                  <c:v>10.542999999999999</c:v>
                </c:pt>
                <c:pt idx="27">
                  <c:v>10.9519</c:v>
                </c:pt>
                <c:pt idx="28">
                  <c:v>11.3589</c:v>
                </c:pt>
                <c:pt idx="29">
                  <c:v>11.7638</c:v>
                </c:pt>
                <c:pt idx="30">
                  <c:v>12.1676</c:v>
                </c:pt>
                <c:pt idx="31">
                  <c:v>12.5739</c:v>
                </c:pt>
                <c:pt idx="32">
                  <c:v>12.9857</c:v>
                </c:pt>
                <c:pt idx="33">
                  <c:v>13.388400000000001</c:v>
                </c:pt>
                <c:pt idx="34">
                  <c:v>13.7973</c:v>
                </c:pt>
                <c:pt idx="35">
                  <c:v>14.199199999999999</c:v>
                </c:pt>
                <c:pt idx="36">
                  <c:v>14.6053</c:v>
                </c:pt>
                <c:pt idx="37">
                  <c:v>15.013999999999999</c:v>
                </c:pt>
                <c:pt idx="38">
                  <c:v>15.417999999999999</c:v>
                </c:pt>
                <c:pt idx="39">
                  <c:v>15.825900000000001</c:v>
                </c:pt>
                <c:pt idx="40">
                  <c:v>16.229800000000001</c:v>
                </c:pt>
                <c:pt idx="41">
                  <c:v>16.641400000000001</c:v>
                </c:pt>
                <c:pt idx="42">
                  <c:v>17.044599999999999</c:v>
                </c:pt>
                <c:pt idx="43">
                  <c:v>17.451599999999999</c:v>
                </c:pt>
                <c:pt idx="44">
                  <c:v>17.8567</c:v>
                </c:pt>
                <c:pt idx="45">
                  <c:v>18.261399999999998</c:v>
                </c:pt>
                <c:pt idx="46">
                  <c:v>18.666399999999999</c:v>
                </c:pt>
                <c:pt idx="47">
                  <c:v>19.074200000000001</c:v>
                </c:pt>
                <c:pt idx="48">
                  <c:v>19.481200000000001</c:v>
                </c:pt>
                <c:pt idx="49">
                  <c:v>19.889199999999999</c:v>
                </c:pt>
                <c:pt idx="50">
                  <c:v>20.291</c:v>
                </c:pt>
                <c:pt idx="51">
                  <c:v>20.700099999999999</c:v>
                </c:pt>
                <c:pt idx="52">
                  <c:v>21.104800000000001</c:v>
                </c:pt>
                <c:pt idx="53">
                  <c:v>21.514700000000001</c:v>
                </c:pt>
                <c:pt idx="54">
                  <c:v>21.9206</c:v>
                </c:pt>
                <c:pt idx="55">
                  <c:v>22.323699999999999</c:v>
                </c:pt>
                <c:pt idx="56">
                  <c:v>22.730399999999999</c:v>
                </c:pt>
                <c:pt idx="57">
                  <c:v>23.139700000000001</c:v>
                </c:pt>
                <c:pt idx="58">
                  <c:v>23.543199999999999</c:v>
                </c:pt>
                <c:pt idx="59">
                  <c:v>23.948599999999999</c:v>
                </c:pt>
                <c:pt idx="60">
                  <c:v>24.3583</c:v>
                </c:pt>
                <c:pt idx="61">
                  <c:v>24.763999999999999</c:v>
                </c:pt>
                <c:pt idx="62">
                  <c:v>25.168900000000001</c:v>
                </c:pt>
                <c:pt idx="63">
                  <c:v>25.575700000000001</c:v>
                </c:pt>
                <c:pt idx="64">
                  <c:v>25.979900000000001</c:v>
                </c:pt>
                <c:pt idx="65">
                  <c:v>26.389900000000001</c:v>
                </c:pt>
                <c:pt idx="66">
                  <c:v>26.791599999999999</c:v>
                </c:pt>
                <c:pt idx="67">
                  <c:v>27.200500000000002</c:v>
                </c:pt>
                <c:pt idx="68">
                  <c:v>27.605399999999999</c:v>
                </c:pt>
                <c:pt idx="69">
                  <c:v>28.010400000000001</c:v>
                </c:pt>
                <c:pt idx="70">
                  <c:v>28.418199999999999</c:v>
                </c:pt>
                <c:pt idx="71">
                  <c:v>28.8233</c:v>
                </c:pt>
                <c:pt idx="72">
                  <c:v>29.234100000000002</c:v>
                </c:pt>
                <c:pt idx="73">
                  <c:v>29.636900000000001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30.6083</c:v>
                </c:pt>
                <c:pt idx="2">
                  <c:v>30.984400000000001</c:v>
                </c:pt>
                <c:pt idx="3">
                  <c:v>31.357399999999998</c:v>
                </c:pt>
                <c:pt idx="4">
                  <c:v>31.734200000000001</c:v>
                </c:pt>
                <c:pt idx="5">
                  <c:v>32.125300000000003</c:v>
                </c:pt>
                <c:pt idx="6">
                  <c:v>32.529200000000003</c:v>
                </c:pt>
                <c:pt idx="7">
                  <c:v>32.934100000000001</c:v>
                </c:pt>
                <c:pt idx="8">
                  <c:v>33.343899999999998</c:v>
                </c:pt>
                <c:pt idx="9">
                  <c:v>33.750900000000001</c:v>
                </c:pt>
                <c:pt idx="10">
                  <c:v>34.150799999999997</c:v>
                </c:pt>
                <c:pt idx="11">
                  <c:v>34.5627</c:v>
                </c:pt>
                <c:pt idx="12">
                  <c:v>34.964700000000001</c:v>
                </c:pt>
                <c:pt idx="13">
                  <c:v>35.371699999999997</c:v>
                </c:pt>
                <c:pt idx="14">
                  <c:v>35.782400000000003</c:v>
                </c:pt>
                <c:pt idx="15">
                  <c:v>36.186300000000003</c:v>
                </c:pt>
                <c:pt idx="16">
                  <c:v>36.591299999999997</c:v>
                </c:pt>
                <c:pt idx="17">
                  <c:v>36.994199999999999</c:v>
                </c:pt>
                <c:pt idx="18">
                  <c:v>37.399700000000003</c:v>
                </c:pt>
                <c:pt idx="19">
                  <c:v>37.809100000000001</c:v>
                </c:pt>
                <c:pt idx="20">
                  <c:v>38.216900000000003</c:v>
                </c:pt>
                <c:pt idx="21">
                  <c:v>38.620800000000003</c:v>
                </c:pt>
                <c:pt idx="22">
                  <c:v>39.028799999999997</c:v>
                </c:pt>
                <c:pt idx="23">
                  <c:v>39.4377</c:v>
                </c:pt>
                <c:pt idx="24">
                  <c:v>39.843600000000002</c:v>
                </c:pt>
                <c:pt idx="25">
                  <c:v>40.245699999999999</c:v>
                </c:pt>
                <c:pt idx="26">
                  <c:v>40.653500000000001</c:v>
                </c:pt>
                <c:pt idx="27">
                  <c:v>41.0623</c:v>
                </c:pt>
                <c:pt idx="28">
                  <c:v>41.463299999999997</c:v>
                </c:pt>
                <c:pt idx="29">
                  <c:v>41.873399999999997</c:v>
                </c:pt>
                <c:pt idx="30">
                  <c:v>42.279899999999998</c:v>
                </c:pt>
                <c:pt idx="31">
                  <c:v>42.683199999999999</c:v>
                </c:pt>
                <c:pt idx="32">
                  <c:v>43.09</c:v>
                </c:pt>
                <c:pt idx="33">
                  <c:v>43.494799999999998</c:v>
                </c:pt>
                <c:pt idx="34">
                  <c:v>43.905900000000003</c:v>
                </c:pt>
                <c:pt idx="35">
                  <c:v>44.307699999999997</c:v>
                </c:pt>
                <c:pt idx="36">
                  <c:v>44.717599999999997</c:v>
                </c:pt>
                <c:pt idx="37">
                  <c:v>45.122599999999998</c:v>
                </c:pt>
                <c:pt idx="38">
                  <c:v>45.526400000000002</c:v>
                </c:pt>
                <c:pt idx="39">
                  <c:v>45.935499999999998</c:v>
                </c:pt>
                <c:pt idx="40">
                  <c:v>46.339500000000001</c:v>
                </c:pt>
                <c:pt idx="41">
                  <c:v>46.747300000000003</c:v>
                </c:pt>
                <c:pt idx="42">
                  <c:v>47.152999999999999</c:v>
                </c:pt>
                <c:pt idx="43">
                  <c:v>47.563000000000002</c:v>
                </c:pt>
                <c:pt idx="44">
                  <c:v>47.965899999999998</c:v>
                </c:pt>
                <c:pt idx="45">
                  <c:v>48.371699999999997</c:v>
                </c:pt>
                <c:pt idx="46">
                  <c:v>48.779899999999998</c:v>
                </c:pt>
                <c:pt idx="47">
                  <c:v>49.182600000000001</c:v>
                </c:pt>
                <c:pt idx="48">
                  <c:v>49.589300000000001</c:v>
                </c:pt>
                <c:pt idx="49">
                  <c:v>49.995600000000003</c:v>
                </c:pt>
                <c:pt idx="50">
                  <c:v>50.403300000000002</c:v>
                </c:pt>
                <c:pt idx="51">
                  <c:v>50.811399999999999</c:v>
                </c:pt>
                <c:pt idx="52">
                  <c:v>51.217199999999998</c:v>
                </c:pt>
                <c:pt idx="53">
                  <c:v>51.6252</c:v>
                </c:pt>
                <c:pt idx="54">
                  <c:v>52.027999999999999</c:v>
                </c:pt>
                <c:pt idx="55">
                  <c:v>52.432899999999997</c:v>
                </c:pt>
                <c:pt idx="56">
                  <c:v>52.84</c:v>
                </c:pt>
                <c:pt idx="57">
                  <c:v>53.246000000000002</c:v>
                </c:pt>
                <c:pt idx="58">
                  <c:v>53.654699999999998</c:v>
                </c:pt>
                <c:pt idx="59">
                  <c:v>54.061599999999999</c:v>
                </c:pt>
                <c:pt idx="60">
                  <c:v>54.463500000000003</c:v>
                </c:pt>
                <c:pt idx="61">
                  <c:v>54.871499999999997</c:v>
                </c:pt>
                <c:pt idx="62">
                  <c:v>55.278399999999998</c:v>
                </c:pt>
                <c:pt idx="63">
                  <c:v>55.682400000000001</c:v>
                </c:pt>
                <c:pt idx="64">
                  <c:v>56.0899</c:v>
                </c:pt>
                <c:pt idx="65">
                  <c:v>56.495100000000001</c:v>
                </c:pt>
                <c:pt idx="66">
                  <c:v>56.9041</c:v>
                </c:pt>
                <c:pt idx="67">
                  <c:v>57.31</c:v>
                </c:pt>
                <c:pt idx="68">
                  <c:v>57.719799999999999</c:v>
                </c:pt>
                <c:pt idx="69">
                  <c:v>58.120800000000003</c:v>
                </c:pt>
                <c:pt idx="70">
                  <c:v>58.528700000000001</c:v>
                </c:pt>
                <c:pt idx="71">
                  <c:v>58.933500000000002</c:v>
                </c:pt>
                <c:pt idx="72">
                  <c:v>59.341500000000003</c:v>
                </c:pt>
                <c:pt idx="73">
                  <c:v>59.746400000000001</c:v>
                </c:pt>
                <c:pt idx="74">
                  <c:v>60.152299999999997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1.7261499999999999</c:v>
                </c:pt>
                <c:pt idx="1">
                  <c:v>2.8598599999999998</c:v>
                </c:pt>
                <c:pt idx="2">
                  <c:v>4.08866</c:v>
                </c:pt>
                <c:pt idx="3">
                  <c:v>5.4434700000000005</c:v>
                </c:pt>
                <c:pt idx="4">
                  <c:v>6.9027000000000003</c:v>
                </c:pt>
                <c:pt idx="5">
                  <c:v>8.2510300000000001</c:v>
                </c:pt>
                <c:pt idx="6">
                  <c:v>9.5291499999999996</c:v>
                </c:pt>
                <c:pt idx="7">
                  <c:v>10.7379</c:v>
                </c:pt>
                <c:pt idx="8">
                  <c:v>11.812200000000001</c:v>
                </c:pt>
                <c:pt idx="9">
                  <c:v>12.782499999999999</c:v>
                </c:pt>
                <c:pt idx="10">
                  <c:v>13.706399999999999</c:v>
                </c:pt>
                <c:pt idx="11">
                  <c:v>14.577300000000001</c:v>
                </c:pt>
                <c:pt idx="12">
                  <c:v>15.4299</c:v>
                </c:pt>
                <c:pt idx="13">
                  <c:v>16.242999999999999</c:v>
                </c:pt>
                <c:pt idx="14">
                  <c:v>16.945</c:v>
                </c:pt>
                <c:pt idx="15">
                  <c:v>17.4495</c:v>
                </c:pt>
                <c:pt idx="16">
                  <c:v>17.921500000000002</c:v>
                </c:pt>
                <c:pt idx="17">
                  <c:v>18.313099999999999</c:v>
                </c:pt>
                <c:pt idx="18">
                  <c:v>18.697400000000002</c:v>
                </c:pt>
                <c:pt idx="19">
                  <c:v>19.1082</c:v>
                </c:pt>
                <c:pt idx="20">
                  <c:v>19.485399999999998</c:v>
                </c:pt>
                <c:pt idx="21">
                  <c:v>19.795400000000001</c:v>
                </c:pt>
                <c:pt idx="22">
                  <c:v>20.007000000000001</c:v>
                </c:pt>
                <c:pt idx="23">
                  <c:v>20.202400000000001</c:v>
                </c:pt>
                <c:pt idx="24">
                  <c:v>20.240500000000001</c:v>
                </c:pt>
                <c:pt idx="25">
                  <c:v>20.2043</c:v>
                </c:pt>
                <c:pt idx="26">
                  <c:v>20.183</c:v>
                </c:pt>
                <c:pt idx="27">
                  <c:v>20.016000000000002</c:v>
                </c:pt>
                <c:pt idx="28">
                  <c:v>19.851600000000001</c:v>
                </c:pt>
                <c:pt idx="29">
                  <c:v>19.5015</c:v>
                </c:pt>
                <c:pt idx="30">
                  <c:v>19.0977</c:v>
                </c:pt>
                <c:pt idx="31">
                  <c:v>18.619299999999999</c:v>
                </c:pt>
                <c:pt idx="32">
                  <c:v>18.028600000000001</c:v>
                </c:pt>
                <c:pt idx="33">
                  <c:v>17.519100000000002</c:v>
                </c:pt>
                <c:pt idx="34">
                  <c:v>17.083599999999997</c:v>
                </c:pt>
                <c:pt idx="35">
                  <c:v>16.607900000000001</c:v>
                </c:pt>
                <c:pt idx="36">
                  <c:v>16.186700000000002</c:v>
                </c:pt>
                <c:pt idx="37">
                  <c:v>15.732399999999998</c:v>
                </c:pt>
                <c:pt idx="38">
                  <c:v>15.367900000000001</c:v>
                </c:pt>
                <c:pt idx="39">
                  <c:v>14.871300000000002</c:v>
                </c:pt>
                <c:pt idx="40">
                  <c:v>14.5223</c:v>
                </c:pt>
                <c:pt idx="41">
                  <c:v>14.1126</c:v>
                </c:pt>
                <c:pt idx="42">
                  <c:v>13.742699999999999</c:v>
                </c:pt>
                <c:pt idx="43">
                  <c:v>13.3538</c:v>
                </c:pt>
                <c:pt idx="44">
                  <c:v>12.975100000000001</c:v>
                </c:pt>
                <c:pt idx="45">
                  <c:v>12.658099999999999</c:v>
                </c:pt>
                <c:pt idx="46">
                  <c:v>12.4314</c:v>
                </c:pt>
                <c:pt idx="47">
                  <c:v>12.1229</c:v>
                </c:pt>
                <c:pt idx="48">
                  <c:v>11.8142</c:v>
                </c:pt>
                <c:pt idx="49">
                  <c:v>11.4674</c:v>
                </c:pt>
                <c:pt idx="50">
                  <c:v>11.1814</c:v>
                </c:pt>
                <c:pt idx="51">
                  <c:v>10.917300000000001</c:v>
                </c:pt>
                <c:pt idx="52">
                  <c:v>10.7278</c:v>
                </c:pt>
                <c:pt idx="53">
                  <c:v>10.578099999999999</c:v>
                </c:pt>
                <c:pt idx="54">
                  <c:v>10.571</c:v>
                </c:pt>
                <c:pt idx="55">
                  <c:v>10.649100000000001</c:v>
                </c:pt>
                <c:pt idx="56">
                  <c:v>10.739600000000001</c:v>
                </c:pt>
                <c:pt idx="57">
                  <c:v>10.939</c:v>
                </c:pt>
                <c:pt idx="58">
                  <c:v>11.032599999999999</c:v>
                </c:pt>
                <c:pt idx="59">
                  <c:v>11.04</c:v>
                </c:pt>
                <c:pt idx="60">
                  <c:v>11.1008</c:v>
                </c:pt>
                <c:pt idx="61">
                  <c:v>11.130800000000001</c:v>
                </c:pt>
                <c:pt idx="62">
                  <c:v>11.1937</c:v>
                </c:pt>
                <c:pt idx="63">
                  <c:v>11.254799999999999</c:v>
                </c:pt>
                <c:pt idx="64">
                  <c:v>11.5101</c:v>
                </c:pt>
                <c:pt idx="65">
                  <c:v>11.7433</c:v>
                </c:pt>
                <c:pt idx="66">
                  <c:v>12.1313</c:v>
                </c:pt>
                <c:pt idx="67">
                  <c:v>12.361499999999999</c:v>
                </c:pt>
                <c:pt idx="68">
                  <c:v>12.570700000000002</c:v>
                </c:pt>
                <c:pt idx="69">
                  <c:v>12.801100000000002</c:v>
                </c:pt>
                <c:pt idx="70">
                  <c:v>12.723899999999999</c:v>
                </c:pt>
                <c:pt idx="71">
                  <c:v>12.157999999999999</c:v>
                </c:pt>
                <c:pt idx="72">
                  <c:v>11.898200000000001</c:v>
                </c:pt>
                <c:pt idx="73">
                  <c:v>11.234500000000001</c:v>
                </c:pt>
                <c:pt idx="74">
                  <c:v>10.871699999999999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15.038074999999999</c:v>
                </c:pt>
                <c:pt idx="1">
                  <c:v>45.114224999999998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11.821293810810813</c:v>
                </c:pt>
                <c:pt idx="1">
                  <c:v>13.709670540540536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  <c:pt idx="75">
                  <c:v>2.9146899999999998</c:v>
                </c:pt>
                <c:pt idx="76">
                  <c:v>2.87859</c:v>
                </c:pt>
                <c:pt idx="77">
                  <c:v>2.8486199999999999</c:v>
                </c:pt>
                <c:pt idx="78">
                  <c:v>2.82355</c:v>
                </c:pt>
                <c:pt idx="79">
                  <c:v>2.8024399999999998</c:v>
                </c:pt>
                <c:pt idx="80">
                  <c:v>2.7815499999999997</c:v>
                </c:pt>
                <c:pt idx="81">
                  <c:v>2.7612199999999998</c:v>
                </c:pt>
                <c:pt idx="82">
                  <c:v>2.7405600000000003</c:v>
                </c:pt>
                <c:pt idx="83">
                  <c:v>2.7212900000000002</c:v>
                </c:pt>
                <c:pt idx="84">
                  <c:v>2.7028300000000001</c:v>
                </c:pt>
                <c:pt idx="85">
                  <c:v>2.6854200000000001</c:v>
                </c:pt>
                <c:pt idx="86">
                  <c:v>2.6674199999999999</c:v>
                </c:pt>
                <c:pt idx="87">
                  <c:v>2.6511400000000003</c:v>
                </c:pt>
                <c:pt idx="88">
                  <c:v>2.6365799999999999</c:v>
                </c:pt>
                <c:pt idx="89">
                  <c:v>2.6220300000000001</c:v>
                </c:pt>
                <c:pt idx="90">
                  <c:v>2.6066799999999999</c:v>
                </c:pt>
                <c:pt idx="91">
                  <c:v>2.5934400000000002</c:v>
                </c:pt>
                <c:pt idx="92">
                  <c:v>2.5804</c:v>
                </c:pt>
                <c:pt idx="93">
                  <c:v>2.5659300000000003</c:v>
                </c:pt>
                <c:pt idx="94">
                  <c:v>2.55145</c:v>
                </c:pt>
                <c:pt idx="95">
                  <c:v>2.5377699999999996</c:v>
                </c:pt>
                <c:pt idx="96">
                  <c:v>2.5252999999999997</c:v>
                </c:pt>
                <c:pt idx="97">
                  <c:v>2.5133299999999998</c:v>
                </c:pt>
                <c:pt idx="98">
                  <c:v>2.5044200000000001</c:v>
                </c:pt>
                <c:pt idx="99">
                  <c:v>2.4963500000000001</c:v>
                </c:pt>
                <c:pt idx="100">
                  <c:v>2.4877500000000001</c:v>
                </c:pt>
                <c:pt idx="101">
                  <c:v>2.48034</c:v>
                </c:pt>
                <c:pt idx="102">
                  <c:v>2.47228</c:v>
                </c:pt>
                <c:pt idx="103">
                  <c:v>2.46698</c:v>
                </c:pt>
                <c:pt idx="104">
                  <c:v>2.4623900000000001</c:v>
                </c:pt>
                <c:pt idx="105">
                  <c:v>2.4607399999999999</c:v>
                </c:pt>
                <c:pt idx="106">
                  <c:v>2.46109</c:v>
                </c:pt>
                <c:pt idx="107">
                  <c:v>2.46244</c:v>
                </c:pt>
                <c:pt idx="108">
                  <c:v>2.4653499999999999</c:v>
                </c:pt>
                <c:pt idx="109">
                  <c:v>2.4698099999999998</c:v>
                </c:pt>
                <c:pt idx="110">
                  <c:v>2.4753600000000002</c:v>
                </c:pt>
                <c:pt idx="111">
                  <c:v>2.4827300000000001</c:v>
                </c:pt>
                <c:pt idx="112">
                  <c:v>2.4887699999999997</c:v>
                </c:pt>
                <c:pt idx="113">
                  <c:v>2.49878</c:v>
                </c:pt>
                <c:pt idx="114">
                  <c:v>2.5113999999999996</c:v>
                </c:pt>
                <c:pt idx="115">
                  <c:v>2.5290499999999998</c:v>
                </c:pt>
                <c:pt idx="116">
                  <c:v>2.5496799999999995</c:v>
                </c:pt>
                <c:pt idx="117">
                  <c:v>2.5728400000000002</c:v>
                </c:pt>
                <c:pt idx="118">
                  <c:v>2.5996000000000001</c:v>
                </c:pt>
                <c:pt idx="119">
                  <c:v>2.6284900000000002</c:v>
                </c:pt>
                <c:pt idx="120">
                  <c:v>2.6593099999999996</c:v>
                </c:pt>
                <c:pt idx="121">
                  <c:v>2.6930999999999998</c:v>
                </c:pt>
                <c:pt idx="122">
                  <c:v>2.7272099999999999</c:v>
                </c:pt>
                <c:pt idx="123">
                  <c:v>2.7628200000000005</c:v>
                </c:pt>
                <c:pt idx="124">
                  <c:v>2.7907599999999997</c:v>
                </c:pt>
                <c:pt idx="125">
                  <c:v>2.8105500000000001</c:v>
                </c:pt>
                <c:pt idx="126">
                  <c:v>2.8311799999999998</c:v>
                </c:pt>
                <c:pt idx="127">
                  <c:v>2.8529200000000001</c:v>
                </c:pt>
                <c:pt idx="128">
                  <c:v>2.8726000000000003</c:v>
                </c:pt>
                <c:pt idx="129">
                  <c:v>2.8918700000000004</c:v>
                </c:pt>
                <c:pt idx="130">
                  <c:v>2.90984</c:v>
                </c:pt>
                <c:pt idx="131">
                  <c:v>2.9267500000000002</c:v>
                </c:pt>
                <c:pt idx="132">
                  <c:v>2.9469499999999997</c:v>
                </c:pt>
                <c:pt idx="133">
                  <c:v>2.9653600000000004</c:v>
                </c:pt>
                <c:pt idx="134">
                  <c:v>2.9816500000000001</c:v>
                </c:pt>
                <c:pt idx="135">
                  <c:v>2.9961799999999998</c:v>
                </c:pt>
                <c:pt idx="136">
                  <c:v>3.0091099999999997</c:v>
                </c:pt>
                <c:pt idx="137">
                  <c:v>3.0245600000000001</c:v>
                </c:pt>
                <c:pt idx="138">
                  <c:v>3.0363199999999999</c:v>
                </c:pt>
                <c:pt idx="139">
                  <c:v>3.0481799999999999</c:v>
                </c:pt>
                <c:pt idx="140">
                  <c:v>3.0586099999999998</c:v>
                </c:pt>
                <c:pt idx="141">
                  <c:v>3.0692999999999997</c:v>
                </c:pt>
                <c:pt idx="142">
                  <c:v>3.0818099999999999</c:v>
                </c:pt>
                <c:pt idx="143">
                  <c:v>3.0955700000000004</c:v>
                </c:pt>
                <c:pt idx="144">
                  <c:v>3.11313</c:v>
                </c:pt>
                <c:pt idx="145">
                  <c:v>3.1324100000000001</c:v>
                </c:pt>
                <c:pt idx="146">
                  <c:v>3.1442399999999999</c:v>
                </c:pt>
                <c:pt idx="147">
                  <c:v>3.1690899999999997</c:v>
                </c:pt>
                <c:pt idx="148">
                  <c:v>3.1849799999999999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  <c:pt idx="75">
                  <c:v>2.8598599999999998</c:v>
                </c:pt>
                <c:pt idx="76">
                  <c:v>4.08866</c:v>
                </c:pt>
                <c:pt idx="77">
                  <c:v>5.4434700000000005</c:v>
                </c:pt>
                <c:pt idx="78">
                  <c:v>6.9027000000000003</c:v>
                </c:pt>
                <c:pt idx="79">
                  <c:v>8.2510300000000001</c:v>
                </c:pt>
                <c:pt idx="80">
                  <c:v>9.5291499999999996</c:v>
                </c:pt>
                <c:pt idx="81">
                  <c:v>10.7379</c:v>
                </c:pt>
                <c:pt idx="82">
                  <c:v>11.812200000000001</c:v>
                </c:pt>
                <c:pt idx="83">
                  <c:v>12.782499999999999</c:v>
                </c:pt>
                <c:pt idx="84">
                  <c:v>13.706399999999999</c:v>
                </c:pt>
                <c:pt idx="85">
                  <c:v>14.577300000000001</c:v>
                </c:pt>
                <c:pt idx="86">
                  <c:v>15.4299</c:v>
                </c:pt>
                <c:pt idx="87">
                  <c:v>16.242999999999999</c:v>
                </c:pt>
                <c:pt idx="88">
                  <c:v>16.945</c:v>
                </c:pt>
                <c:pt idx="89">
                  <c:v>17.4495</c:v>
                </c:pt>
                <c:pt idx="90">
                  <c:v>17.921500000000002</c:v>
                </c:pt>
                <c:pt idx="91">
                  <c:v>18.313099999999999</c:v>
                </c:pt>
                <c:pt idx="92">
                  <c:v>18.697400000000002</c:v>
                </c:pt>
                <c:pt idx="93">
                  <c:v>19.1082</c:v>
                </c:pt>
                <c:pt idx="94">
                  <c:v>19.485399999999998</c:v>
                </c:pt>
                <c:pt idx="95">
                  <c:v>19.795400000000001</c:v>
                </c:pt>
                <c:pt idx="96">
                  <c:v>20.007000000000001</c:v>
                </c:pt>
                <c:pt idx="97">
                  <c:v>20.202400000000001</c:v>
                </c:pt>
                <c:pt idx="98">
                  <c:v>20.240500000000001</c:v>
                </c:pt>
                <c:pt idx="99">
                  <c:v>20.2043</c:v>
                </c:pt>
                <c:pt idx="100">
                  <c:v>20.183</c:v>
                </c:pt>
                <c:pt idx="101">
                  <c:v>20.016000000000002</c:v>
                </c:pt>
                <c:pt idx="102">
                  <c:v>19.851600000000001</c:v>
                </c:pt>
                <c:pt idx="103">
                  <c:v>19.5015</c:v>
                </c:pt>
                <c:pt idx="104">
                  <c:v>19.0977</c:v>
                </c:pt>
                <c:pt idx="105">
                  <c:v>18.619299999999999</c:v>
                </c:pt>
                <c:pt idx="106">
                  <c:v>18.028600000000001</c:v>
                </c:pt>
                <c:pt idx="107">
                  <c:v>17.519100000000002</c:v>
                </c:pt>
                <c:pt idx="108">
                  <c:v>17.083599999999997</c:v>
                </c:pt>
                <c:pt idx="109">
                  <c:v>16.607900000000001</c:v>
                </c:pt>
                <c:pt idx="110">
                  <c:v>16.186700000000002</c:v>
                </c:pt>
                <c:pt idx="111">
                  <c:v>15.732399999999998</c:v>
                </c:pt>
                <c:pt idx="112">
                  <c:v>15.367900000000001</c:v>
                </c:pt>
                <c:pt idx="113">
                  <c:v>14.871300000000002</c:v>
                </c:pt>
                <c:pt idx="114">
                  <c:v>14.5223</c:v>
                </c:pt>
                <c:pt idx="115">
                  <c:v>14.1126</c:v>
                </c:pt>
                <c:pt idx="116">
                  <c:v>13.742699999999999</c:v>
                </c:pt>
                <c:pt idx="117">
                  <c:v>13.3538</c:v>
                </c:pt>
                <c:pt idx="118">
                  <c:v>12.975100000000001</c:v>
                </c:pt>
                <c:pt idx="119">
                  <c:v>12.658099999999999</c:v>
                </c:pt>
                <c:pt idx="120">
                  <c:v>12.4314</c:v>
                </c:pt>
                <c:pt idx="121">
                  <c:v>12.1229</c:v>
                </c:pt>
                <c:pt idx="122">
                  <c:v>11.8142</c:v>
                </c:pt>
                <c:pt idx="123">
                  <c:v>11.4674</c:v>
                </c:pt>
                <c:pt idx="124">
                  <c:v>11.1814</c:v>
                </c:pt>
                <c:pt idx="125">
                  <c:v>10.917300000000001</c:v>
                </c:pt>
                <c:pt idx="126">
                  <c:v>10.7278</c:v>
                </c:pt>
                <c:pt idx="127">
                  <c:v>10.578099999999999</c:v>
                </c:pt>
                <c:pt idx="128">
                  <c:v>10.571</c:v>
                </c:pt>
                <c:pt idx="129">
                  <c:v>10.649100000000001</c:v>
                </c:pt>
                <c:pt idx="130">
                  <c:v>10.739600000000001</c:v>
                </c:pt>
                <c:pt idx="131">
                  <c:v>10.939</c:v>
                </c:pt>
                <c:pt idx="132">
                  <c:v>11.032599999999999</c:v>
                </c:pt>
                <c:pt idx="133">
                  <c:v>11.04</c:v>
                </c:pt>
                <c:pt idx="134">
                  <c:v>11.1008</c:v>
                </c:pt>
                <c:pt idx="135">
                  <c:v>11.130800000000001</c:v>
                </c:pt>
                <c:pt idx="136">
                  <c:v>11.1937</c:v>
                </c:pt>
                <c:pt idx="137">
                  <c:v>11.254799999999999</c:v>
                </c:pt>
                <c:pt idx="138">
                  <c:v>11.5101</c:v>
                </c:pt>
                <c:pt idx="139">
                  <c:v>11.7433</c:v>
                </c:pt>
                <c:pt idx="140">
                  <c:v>12.1313</c:v>
                </c:pt>
                <c:pt idx="141">
                  <c:v>12.361499999999999</c:v>
                </c:pt>
                <c:pt idx="142">
                  <c:v>12.570700000000002</c:v>
                </c:pt>
                <c:pt idx="143">
                  <c:v>12.801100000000002</c:v>
                </c:pt>
                <c:pt idx="144">
                  <c:v>12.723899999999999</c:v>
                </c:pt>
                <c:pt idx="145">
                  <c:v>12.157999999999999</c:v>
                </c:pt>
                <c:pt idx="146">
                  <c:v>11.898200000000001</c:v>
                </c:pt>
                <c:pt idx="147">
                  <c:v>11.234500000000001</c:v>
                </c:pt>
                <c:pt idx="148">
                  <c:v>10.871699999999999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1.5637300000000001</c:v>
                </c:pt>
                <c:pt idx="1">
                  <c:v>1.6269200000000001</c:v>
                </c:pt>
                <c:pt idx="2">
                  <c:v>1.6908999999999998</c:v>
                </c:pt>
                <c:pt idx="3">
                  <c:v>1.7557700000000001</c:v>
                </c:pt>
                <c:pt idx="4">
                  <c:v>1.82098</c:v>
                </c:pt>
                <c:pt idx="5">
                  <c:v>1.8879899999999998</c:v>
                </c:pt>
                <c:pt idx="6">
                  <c:v>1.9567399999999999</c:v>
                </c:pt>
                <c:pt idx="7">
                  <c:v>2.0268100000000002</c:v>
                </c:pt>
                <c:pt idx="8">
                  <c:v>2.0998200000000002</c:v>
                </c:pt>
                <c:pt idx="9">
                  <c:v>2.17428</c:v>
                </c:pt>
                <c:pt idx="10">
                  <c:v>2.2473199999999998</c:v>
                </c:pt>
                <c:pt idx="11">
                  <c:v>2.3203499999999999</c:v>
                </c:pt>
                <c:pt idx="12">
                  <c:v>2.3927300000000002</c:v>
                </c:pt>
                <c:pt idx="13">
                  <c:v>2.46583</c:v>
                </c:pt>
                <c:pt idx="14">
                  <c:v>2.5374000000000003</c:v>
                </c:pt>
                <c:pt idx="15">
                  <c:v>2.60825</c:v>
                </c:pt>
                <c:pt idx="16">
                  <c:v>2.6776</c:v>
                </c:pt>
                <c:pt idx="17">
                  <c:v>2.7473700000000001</c:v>
                </c:pt>
                <c:pt idx="18">
                  <c:v>2.81447</c:v>
                </c:pt>
                <c:pt idx="19">
                  <c:v>2.8787500000000001</c:v>
                </c:pt>
                <c:pt idx="20">
                  <c:v>2.9450399999999997</c:v>
                </c:pt>
                <c:pt idx="21">
                  <c:v>3.0074800000000002</c:v>
                </c:pt>
                <c:pt idx="22">
                  <c:v>3.06392</c:v>
                </c:pt>
                <c:pt idx="23">
                  <c:v>3.1156600000000001</c:v>
                </c:pt>
                <c:pt idx="24">
                  <c:v>3.1673099999999996</c:v>
                </c:pt>
                <c:pt idx="25">
                  <c:v>3.2176399999999998</c:v>
                </c:pt>
                <c:pt idx="26">
                  <c:v>3.2664399999999998</c:v>
                </c:pt>
                <c:pt idx="27">
                  <c:v>3.3134999999999999</c:v>
                </c:pt>
                <c:pt idx="28">
                  <c:v>3.35663</c:v>
                </c:pt>
                <c:pt idx="29">
                  <c:v>3.3970400000000001</c:v>
                </c:pt>
                <c:pt idx="30">
                  <c:v>3.4331800000000001</c:v>
                </c:pt>
                <c:pt idx="31">
                  <c:v>3.4670299999999998</c:v>
                </c:pt>
                <c:pt idx="32">
                  <c:v>3.4981200000000001</c:v>
                </c:pt>
                <c:pt idx="33">
                  <c:v>3.5251300000000003</c:v>
                </c:pt>
                <c:pt idx="34">
                  <c:v>3.5490699999999995</c:v>
                </c:pt>
                <c:pt idx="35">
                  <c:v>3.5695700000000001</c:v>
                </c:pt>
                <c:pt idx="36">
                  <c:v>3.5859100000000002</c:v>
                </c:pt>
                <c:pt idx="37">
                  <c:v>3.6021700000000001</c:v>
                </c:pt>
                <c:pt idx="38">
                  <c:v>3.6148000000000002</c:v>
                </c:pt>
                <c:pt idx="39">
                  <c:v>3.6257200000000003</c:v>
                </c:pt>
                <c:pt idx="40">
                  <c:v>3.6324200000000002</c:v>
                </c:pt>
                <c:pt idx="41">
                  <c:v>3.63747</c:v>
                </c:pt>
                <c:pt idx="42">
                  <c:v>3.64011</c:v>
                </c:pt>
                <c:pt idx="43">
                  <c:v>3.64045</c:v>
                </c:pt>
                <c:pt idx="44">
                  <c:v>3.63992</c:v>
                </c:pt>
                <c:pt idx="45">
                  <c:v>3.6328800000000001</c:v>
                </c:pt>
                <c:pt idx="46">
                  <c:v>3.6253700000000002</c:v>
                </c:pt>
                <c:pt idx="47">
                  <c:v>3.6174400000000002</c:v>
                </c:pt>
                <c:pt idx="48">
                  <c:v>3.6134300000000001</c:v>
                </c:pt>
                <c:pt idx="49">
                  <c:v>3.6088900000000002</c:v>
                </c:pt>
                <c:pt idx="50">
                  <c:v>3.6057699999999997</c:v>
                </c:pt>
                <c:pt idx="51">
                  <c:v>3.6002000000000001</c:v>
                </c:pt>
                <c:pt idx="52">
                  <c:v>3.5886400000000003</c:v>
                </c:pt>
                <c:pt idx="53">
                  <c:v>3.5752199999999998</c:v>
                </c:pt>
                <c:pt idx="54">
                  <c:v>3.5590300000000004</c:v>
                </c:pt>
                <c:pt idx="55">
                  <c:v>3.5412500000000002</c:v>
                </c:pt>
                <c:pt idx="56">
                  <c:v>3.5192899999999998</c:v>
                </c:pt>
                <c:pt idx="57">
                  <c:v>3.4943400000000002</c:v>
                </c:pt>
                <c:pt idx="58">
                  <c:v>3.4670099999999997</c:v>
                </c:pt>
                <c:pt idx="59">
                  <c:v>3.4375</c:v>
                </c:pt>
                <c:pt idx="60">
                  <c:v>3.4084199999999996</c:v>
                </c:pt>
                <c:pt idx="61">
                  <c:v>3.3739000000000003</c:v>
                </c:pt>
                <c:pt idx="62">
                  <c:v>3.3522600000000002</c:v>
                </c:pt>
                <c:pt idx="63">
                  <c:v>3.3116400000000001</c:v>
                </c:pt>
                <c:pt idx="64">
                  <c:v>3.2864300000000002</c:v>
                </c:pt>
                <c:pt idx="65">
                  <c:v>3.2544499999999998</c:v>
                </c:pt>
                <c:pt idx="66">
                  <c:v>3.2214499999999999</c:v>
                </c:pt>
                <c:pt idx="67">
                  <c:v>3.1863200000000003</c:v>
                </c:pt>
                <c:pt idx="68">
                  <c:v>3.1529099999999999</c:v>
                </c:pt>
                <c:pt idx="69">
                  <c:v>3.12012</c:v>
                </c:pt>
                <c:pt idx="70">
                  <c:v>3.08846</c:v>
                </c:pt>
                <c:pt idx="71">
                  <c:v>3.0565100000000003</c:v>
                </c:pt>
                <c:pt idx="72">
                  <c:v>3.0262199999999999</c:v>
                </c:pt>
                <c:pt idx="73">
                  <c:v>2.9855300000000002</c:v>
                </c:pt>
                <c:pt idx="74">
                  <c:v>2.9502600000000001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52.036899999999996</c:v>
                </c:pt>
                <c:pt idx="1">
                  <c:v>50.613600000000005</c:v>
                </c:pt>
                <c:pt idx="2">
                  <c:v>49.122300000000003</c:v>
                </c:pt>
                <c:pt idx="3">
                  <c:v>47.556100000000001</c:v>
                </c:pt>
                <c:pt idx="4">
                  <c:v>45.989699999999999</c:v>
                </c:pt>
                <c:pt idx="5">
                  <c:v>44.369900000000001</c:v>
                </c:pt>
                <c:pt idx="6">
                  <c:v>42.6023</c:v>
                </c:pt>
                <c:pt idx="7">
                  <c:v>40.747799999999998</c:v>
                </c:pt>
                <c:pt idx="8">
                  <c:v>38.8322</c:v>
                </c:pt>
                <c:pt idx="9">
                  <c:v>36.868099999999998</c:v>
                </c:pt>
                <c:pt idx="10">
                  <c:v>34.914499999999997</c:v>
                </c:pt>
                <c:pt idx="11">
                  <c:v>32.927199999999999</c:v>
                </c:pt>
                <c:pt idx="12">
                  <c:v>30.988800000000001</c:v>
                </c:pt>
                <c:pt idx="13">
                  <c:v>29.103400000000001</c:v>
                </c:pt>
                <c:pt idx="14">
                  <c:v>27.237200000000001</c:v>
                </c:pt>
                <c:pt idx="15">
                  <c:v>25.385899999999999</c:v>
                </c:pt>
                <c:pt idx="16">
                  <c:v>23.653299999999998</c:v>
                </c:pt>
                <c:pt idx="17">
                  <c:v>21.915699999999998</c:v>
                </c:pt>
                <c:pt idx="18">
                  <c:v>20.323900000000002</c:v>
                </c:pt>
                <c:pt idx="19">
                  <c:v>18.831700000000001</c:v>
                </c:pt>
                <c:pt idx="20">
                  <c:v>17.296500000000002</c:v>
                </c:pt>
                <c:pt idx="21">
                  <c:v>15.865599999999999</c:v>
                </c:pt>
                <c:pt idx="22">
                  <c:v>14.579400000000001</c:v>
                </c:pt>
                <c:pt idx="23">
                  <c:v>13.394600000000001</c:v>
                </c:pt>
                <c:pt idx="24">
                  <c:v>12.302399999999999</c:v>
                </c:pt>
                <c:pt idx="25">
                  <c:v>11.3515</c:v>
                </c:pt>
                <c:pt idx="26">
                  <c:v>10.3973</c:v>
                </c:pt>
                <c:pt idx="27">
                  <c:v>9.4203299999999999</c:v>
                </c:pt>
                <c:pt idx="28">
                  <c:v>8.5309999999999988</c:v>
                </c:pt>
                <c:pt idx="29">
                  <c:v>7.6195599999999999</c:v>
                </c:pt>
                <c:pt idx="30">
                  <c:v>6.7900799999999997</c:v>
                </c:pt>
                <c:pt idx="31">
                  <c:v>6.0042999999999997</c:v>
                </c:pt>
                <c:pt idx="32">
                  <c:v>5.3013200000000005</c:v>
                </c:pt>
                <c:pt idx="33">
                  <c:v>4.61226</c:v>
                </c:pt>
                <c:pt idx="34">
                  <c:v>3.9546699999999997</c:v>
                </c:pt>
                <c:pt idx="35">
                  <c:v>3.3677899999999998</c:v>
                </c:pt>
                <c:pt idx="36">
                  <c:v>2.81508</c:v>
                </c:pt>
                <c:pt idx="37">
                  <c:v>2.21814</c:v>
                </c:pt>
                <c:pt idx="38">
                  <c:v>1.68011</c:v>
                </c:pt>
                <c:pt idx="39">
                  <c:v>1.2367700000000001</c:v>
                </c:pt>
                <c:pt idx="40">
                  <c:v>0.80814300000000006</c:v>
                </c:pt>
                <c:pt idx="41">
                  <c:v>0.427616</c:v>
                </c:pt>
                <c:pt idx="42">
                  <c:v>0.13070999999999999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0.65006300000000006</c:v>
                </c:pt>
                <c:pt idx="74">
                  <c:v>1.7261499999999999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2.9502600000000001</c:v>
                </c:pt>
                <c:pt idx="1">
                  <c:v>2.9146899999999998</c:v>
                </c:pt>
                <c:pt idx="2">
                  <c:v>2.87859</c:v>
                </c:pt>
                <c:pt idx="3">
                  <c:v>2.8486199999999999</c:v>
                </c:pt>
                <c:pt idx="4">
                  <c:v>2.82355</c:v>
                </c:pt>
                <c:pt idx="5">
                  <c:v>2.8024399999999998</c:v>
                </c:pt>
                <c:pt idx="6">
                  <c:v>2.7815499999999997</c:v>
                </c:pt>
                <c:pt idx="7">
                  <c:v>2.7612199999999998</c:v>
                </c:pt>
                <c:pt idx="8">
                  <c:v>2.7405600000000003</c:v>
                </c:pt>
                <c:pt idx="9">
                  <c:v>2.7212900000000002</c:v>
                </c:pt>
                <c:pt idx="10">
                  <c:v>2.7028300000000001</c:v>
                </c:pt>
                <c:pt idx="11">
                  <c:v>2.6854200000000001</c:v>
                </c:pt>
                <c:pt idx="12">
                  <c:v>2.6674199999999999</c:v>
                </c:pt>
                <c:pt idx="13">
                  <c:v>2.6511400000000003</c:v>
                </c:pt>
                <c:pt idx="14">
                  <c:v>2.6365799999999999</c:v>
                </c:pt>
                <c:pt idx="15">
                  <c:v>2.6220300000000001</c:v>
                </c:pt>
                <c:pt idx="16">
                  <c:v>2.6066799999999999</c:v>
                </c:pt>
                <c:pt idx="17">
                  <c:v>2.5934400000000002</c:v>
                </c:pt>
                <c:pt idx="18">
                  <c:v>2.5804</c:v>
                </c:pt>
                <c:pt idx="19">
                  <c:v>2.5659300000000003</c:v>
                </c:pt>
                <c:pt idx="20">
                  <c:v>2.55145</c:v>
                </c:pt>
                <c:pt idx="21">
                  <c:v>2.5377699999999996</c:v>
                </c:pt>
                <c:pt idx="22">
                  <c:v>2.5252999999999997</c:v>
                </c:pt>
                <c:pt idx="23">
                  <c:v>2.5133299999999998</c:v>
                </c:pt>
                <c:pt idx="24">
                  <c:v>2.5044200000000001</c:v>
                </c:pt>
                <c:pt idx="25">
                  <c:v>2.4963500000000001</c:v>
                </c:pt>
                <c:pt idx="26">
                  <c:v>2.4877500000000001</c:v>
                </c:pt>
                <c:pt idx="27">
                  <c:v>2.48034</c:v>
                </c:pt>
                <c:pt idx="28">
                  <c:v>2.47228</c:v>
                </c:pt>
                <c:pt idx="29">
                  <c:v>2.46698</c:v>
                </c:pt>
                <c:pt idx="30">
                  <c:v>2.4623900000000001</c:v>
                </c:pt>
                <c:pt idx="31">
                  <c:v>2.4607399999999999</c:v>
                </c:pt>
                <c:pt idx="32">
                  <c:v>2.46109</c:v>
                </c:pt>
                <c:pt idx="33">
                  <c:v>2.46244</c:v>
                </c:pt>
                <c:pt idx="34">
                  <c:v>2.4653499999999999</c:v>
                </c:pt>
                <c:pt idx="35">
                  <c:v>2.4698099999999998</c:v>
                </c:pt>
                <c:pt idx="36">
                  <c:v>2.4753600000000002</c:v>
                </c:pt>
                <c:pt idx="37">
                  <c:v>2.4827300000000001</c:v>
                </c:pt>
                <c:pt idx="38">
                  <c:v>2.4887699999999997</c:v>
                </c:pt>
                <c:pt idx="39">
                  <c:v>2.49878</c:v>
                </c:pt>
                <c:pt idx="40">
                  <c:v>2.5113999999999996</c:v>
                </c:pt>
                <c:pt idx="41">
                  <c:v>2.5290499999999998</c:v>
                </c:pt>
                <c:pt idx="42">
                  <c:v>2.5496799999999995</c:v>
                </c:pt>
                <c:pt idx="43">
                  <c:v>2.5728400000000002</c:v>
                </c:pt>
                <c:pt idx="44">
                  <c:v>2.5996000000000001</c:v>
                </c:pt>
                <c:pt idx="45">
                  <c:v>2.6284900000000002</c:v>
                </c:pt>
                <c:pt idx="46">
                  <c:v>2.6593099999999996</c:v>
                </c:pt>
                <c:pt idx="47">
                  <c:v>2.6930999999999998</c:v>
                </c:pt>
                <c:pt idx="48">
                  <c:v>2.7272099999999999</c:v>
                </c:pt>
                <c:pt idx="49">
                  <c:v>2.7628200000000005</c:v>
                </c:pt>
                <c:pt idx="50">
                  <c:v>2.7907599999999997</c:v>
                </c:pt>
                <c:pt idx="51">
                  <c:v>2.8105500000000001</c:v>
                </c:pt>
                <c:pt idx="52">
                  <c:v>2.8311799999999998</c:v>
                </c:pt>
                <c:pt idx="53">
                  <c:v>2.8529200000000001</c:v>
                </c:pt>
                <c:pt idx="54">
                  <c:v>2.8726000000000003</c:v>
                </c:pt>
                <c:pt idx="55">
                  <c:v>2.8918700000000004</c:v>
                </c:pt>
                <c:pt idx="56">
                  <c:v>2.90984</c:v>
                </c:pt>
                <c:pt idx="57">
                  <c:v>2.9267500000000002</c:v>
                </c:pt>
                <c:pt idx="58">
                  <c:v>2.9469499999999997</c:v>
                </c:pt>
                <c:pt idx="59">
                  <c:v>2.9653600000000004</c:v>
                </c:pt>
                <c:pt idx="60">
                  <c:v>2.9816500000000001</c:v>
                </c:pt>
                <c:pt idx="61">
                  <c:v>2.9961799999999998</c:v>
                </c:pt>
                <c:pt idx="62">
                  <c:v>3.0091099999999997</c:v>
                </c:pt>
                <c:pt idx="63">
                  <c:v>3.0245600000000001</c:v>
                </c:pt>
                <c:pt idx="64">
                  <c:v>3.0363199999999999</c:v>
                </c:pt>
                <c:pt idx="65">
                  <c:v>3.0481799999999999</c:v>
                </c:pt>
                <c:pt idx="66">
                  <c:v>3.0586099999999998</c:v>
                </c:pt>
                <c:pt idx="67">
                  <c:v>3.0692999999999997</c:v>
                </c:pt>
                <c:pt idx="68">
                  <c:v>3.0818099999999999</c:v>
                </c:pt>
                <c:pt idx="69">
                  <c:v>3.0955700000000004</c:v>
                </c:pt>
                <c:pt idx="70">
                  <c:v>3.11313</c:v>
                </c:pt>
                <c:pt idx="71">
                  <c:v>3.1324100000000001</c:v>
                </c:pt>
                <c:pt idx="72">
                  <c:v>3.1442399999999999</c:v>
                </c:pt>
                <c:pt idx="73">
                  <c:v>3.1690899999999997</c:v>
                </c:pt>
                <c:pt idx="74">
                  <c:v>3.1849799999999999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1.7261499999999999</c:v>
                </c:pt>
                <c:pt idx="1">
                  <c:v>2.8598599999999998</c:v>
                </c:pt>
                <c:pt idx="2">
                  <c:v>4.08866</c:v>
                </c:pt>
                <c:pt idx="3">
                  <c:v>5.4434700000000005</c:v>
                </c:pt>
                <c:pt idx="4">
                  <c:v>6.9027000000000003</c:v>
                </c:pt>
                <c:pt idx="5">
                  <c:v>8.2510300000000001</c:v>
                </c:pt>
                <c:pt idx="6">
                  <c:v>9.5291499999999996</c:v>
                </c:pt>
                <c:pt idx="7">
                  <c:v>10.7379</c:v>
                </c:pt>
                <c:pt idx="8">
                  <c:v>11.812200000000001</c:v>
                </c:pt>
                <c:pt idx="9">
                  <c:v>12.782499999999999</c:v>
                </c:pt>
                <c:pt idx="10">
                  <c:v>13.706399999999999</c:v>
                </c:pt>
                <c:pt idx="11">
                  <c:v>14.577300000000001</c:v>
                </c:pt>
                <c:pt idx="12">
                  <c:v>15.4299</c:v>
                </c:pt>
                <c:pt idx="13">
                  <c:v>16.242999999999999</c:v>
                </c:pt>
                <c:pt idx="14">
                  <c:v>16.945</c:v>
                </c:pt>
                <c:pt idx="15">
                  <c:v>17.4495</c:v>
                </c:pt>
                <c:pt idx="16">
                  <c:v>17.921500000000002</c:v>
                </c:pt>
                <c:pt idx="17">
                  <c:v>18.313099999999999</c:v>
                </c:pt>
                <c:pt idx="18">
                  <c:v>18.697400000000002</c:v>
                </c:pt>
                <c:pt idx="19">
                  <c:v>19.1082</c:v>
                </c:pt>
                <c:pt idx="20">
                  <c:v>19.485399999999998</c:v>
                </c:pt>
                <c:pt idx="21">
                  <c:v>19.795400000000001</c:v>
                </c:pt>
                <c:pt idx="22">
                  <c:v>20.007000000000001</c:v>
                </c:pt>
                <c:pt idx="23">
                  <c:v>20.202400000000001</c:v>
                </c:pt>
                <c:pt idx="24">
                  <c:v>20.240500000000001</c:v>
                </c:pt>
                <c:pt idx="25">
                  <c:v>20.2043</c:v>
                </c:pt>
                <c:pt idx="26">
                  <c:v>20.183</c:v>
                </c:pt>
                <c:pt idx="27">
                  <c:v>20.016000000000002</c:v>
                </c:pt>
                <c:pt idx="28">
                  <c:v>19.851600000000001</c:v>
                </c:pt>
                <c:pt idx="29">
                  <c:v>19.5015</c:v>
                </c:pt>
                <c:pt idx="30">
                  <c:v>19.0977</c:v>
                </c:pt>
                <c:pt idx="31">
                  <c:v>18.619299999999999</c:v>
                </c:pt>
                <c:pt idx="32">
                  <c:v>18.028600000000001</c:v>
                </c:pt>
                <c:pt idx="33">
                  <c:v>17.519100000000002</c:v>
                </c:pt>
                <c:pt idx="34">
                  <c:v>17.083599999999997</c:v>
                </c:pt>
                <c:pt idx="35">
                  <c:v>16.607900000000001</c:v>
                </c:pt>
                <c:pt idx="36">
                  <c:v>16.186700000000002</c:v>
                </c:pt>
                <c:pt idx="37">
                  <c:v>15.732399999999998</c:v>
                </c:pt>
                <c:pt idx="38">
                  <c:v>15.367900000000001</c:v>
                </c:pt>
                <c:pt idx="39">
                  <c:v>14.871300000000002</c:v>
                </c:pt>
                <c:pt idx="40">
                  <c:v>14.5223</c:v>
                </c:pt>
                <c:pt idx="41">
                  <c:v>14.1126</c:v>
                </c:pt>
                <c:pt idx="42">
                  <c:v>13.742699999999999</c:v>
                </c:pt>
                <c:pt idx="43">
                  <c:v>13.3538</c:v>
                </c:pt>
                <c:pt idx="44">
                  <c:v>12.975100000000001</c:v>
                </c:pt>
                <c:pt idx="45">
                  <c:v>12.658099999999999</c:v>
                </c:pt>
                <c:pt idx="46">
                  <c:v>12.4314</c:v>
                </c:pt>
                <c:pt idx="47">
                  <c:v>12.1229</c:v>
                </c:pt>
                <c:pt idx="48">
                  <c:v>11.8142</c:v>
                </c:pt>
                <c:pt idx="49">
                  <c:v>11.4674</c:v>
                </c:pt>
                <c:pt idx="50">
                  <c:v>11.1814</c:v>
                </c:pt>
                <c:pt idx="51">
                  <c:v>10.917300000000001</c:v>
                </c:pt>
                <c:pt idx="52">
                  <c:v>10.7278</c:v>
                </c:pt>
                <c:pt idx="53">
                  <c:v>10.578099999999999</c:v>
                </c:pt>
                <c:pt idx="54">
                  <c:v>10.571</c:v>
                </c:pt>
                <c:pt idx="55">
                  <c:v>10.649100000000001</c:v>
                </c:pt>
                <c:pt idx="56">
                  <c:v>10.739600000000001</c:v>
                </c:pt>
                <c:pt idx="57">
                  <c:v>10.939</c:v>
                </c:pt>
                <c:pt idx="58">
                  <c:v>11.032599999999999</c:v>
                </c:pt>
                <c:pt idx="59">
                  <c:v>11.04</c:v>
                </c:pt>
                <c:pt idx="60">
                  <c:v>11.1008</c:v>
                </c:pt>
                <c:pt idx="61">
                  <c:v>11.130800000000001</c:v>
                </c:pt>
                <c:pt idx="62">
                  <c:v>11.1937</c:v>
                </c:pt>
                <c:pt idx="63">
                  <c:v>11.254799999999999</c:v>
                </c:pt>
                <c:pt idx="64">
                  <c:v>11.5101</c:v>
                </c:pt>
                <c:pt idx="65">
                  <c:v>11.7433</c:v>
                </c:pt>
                <c:pt idx="66">
                  <c:v>12.1313</c:v>
                </c:pt>
                <c:pt idx="67">
                  <c:v>12.361499999999999</c:v>
                </c:pt>
                <c:pt idx="68">
                  <c:v>12.570700000000002</c:v>
                </c:pt>
                <c:pt idx="69">
                  <c:v>12.801100000000002</c:v>
                </c:pt>
                <c:pt idx="70">
                  <c:v>12.723899999999999</c:v>
                </c:pt>
                <c:pt idx="71">
                  <c:v>12.157999999999999</c:v>
                </c:pt>
                <c:pt idx="72">
                  <c:v>11.898200000000001</c:v>
                </c:pt>
                <c:pt idx="73">
                  <c:v>11.234500000000001</c:v>
                </c:pt>
                <c:pt idx="74">
                  <c:v>10.871699999999999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1.5637300000000001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52.036899999999996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3.0826570270270262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11.821293810810813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2.7336555405405409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13.709670540540536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2.7336555405405409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13.709670540540536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7" sqref="C7:F7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516</v>
      </c>
      <c r="D5" s="151"/>
      <c r="E5" s="151"/>
      <c r="F5" s="152"/>
      <c r="G5" s="48" t="str">
        <f>lang!B27</f>
        <v>编号</v>
      </c>
      <c r="H5" s="150">
        <v>23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517</v>
      </c>
      <c r="D6" s="188"/>
      <c r="E6" s="188"/>
      <c r="F6" s="189"/>
      <c r="G6" s="49" t="str">
        <f>lang!B28</f>
        <v xml:space="preserve"> 日期</v>
      </c>
      <c r="H6" s="172">
        <f>FH_info!A2</f>
        <v>43607.436851851853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28</v>
      </c>
      <c r="D7" s="191"/>
      <c r="E7" s="191"/>
      <c r="F7" s="192"/>
      <c r="G7" s="50" t="str">
        <f>lang!B29</f>
        <v>误差率（%）</v>
      </c>
      <c r="H7" s="175">
        <f>M!B17*1</f>
        <v>22.0379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42.051699999999997</v>
      </c>
      <c r="O8" s="59">
        <f>M!C5*1</f>
        <v>11.214399999999999</v>
      </c>
      <c r="P8" s="59">
        <f>M!D5*1</f>
        <v>26.668099999999999</v>
      </c>
      <c r="Q8" s="59">
        <f>M!E5*1</f>
        <v>20</v>
      </c>
      <c r="R8" s="59">
        <f>M!F5*1</f>
        <v>7.1600299999999999</v>
      </c>
      <c r="S8" s="59">
        <f>M!G5*1</f>
        <v>50</v>
      </c>
      <c r="T8" s="59">
        <f>M!H5*1</f>
        <v>68.354200000000006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32.263100000000001</v>
      </c>
      <c r="O9" s="59">
        <f>M!C6*1</f>
        <v>4.1360700000000001</v>
      </c>
      <c r="P9" s="59">
        <f>M!D6*1</f>
        <v>12.819800000000001</v>
      </c>
      <c r="Q9" s="59">
        <f>M!E6*1</f>
        <v>20</v>
      </c>
      <c r="R9" s="59">
        <f>M!F6*1</f>
        <v>24.143899999999999</v>
      </c>
      <c r="S9" s="59">
        <f>M!G6*1</f>
        <v>40</v>
      </c>
      <c r="T9" s="59">
        <f>M!H6*1</f>
        <v>45.458799999999997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7.1600299999999999</v>
      </c>
      <c r="D10" s="99">
        <f>N8</f>
        <v>42.051699999999997</v>
      </c>
      <c r="E10" s="100">
        <f>T8</f>
        <v>68.354200000000006</v>
      </c>
      <c r="F10" s="91">
        <f>P8</f>
        <v>26.668099999999999</v>
      </c>
      <c r="G10" s="81" t="str">
        <f>CONCATENATE(M9,"
(20 ~ 40)")</f>
        <v>压力
(20 ~ 40)</v>
      </c>
      <c r="H10" s="98">
        <f>R9</f>
        <v>24.143899999999999</v>
      </c>
      <c r="I10" s="108">
        <f>N9</f>
        <v>32.263100000000001</v>
      </c>
      <c r="J10" s="98">
        <f>T9</f>
        <v>45.458799999999997</v>
      </c>
      <c r="K10" s="92">
        <f>P9</f>
        <v>12.819800000000001</v>
      </c>
      <c r="L10" s="6"/>
      <c r="M10" s="27" t="str">
        <f>lang!B16</f>
        <v>焦虑</v>
      </c>
      <c r="N10" s="59">
        <f>M!B7*1</f>
        <v>23.023</v>
      </c>
      <c r="O10" s="59">
        <f>M!C7*1</f>
        <v>3.6551900000000002</v>
      </c>
      <c r="P10" s="59">
        <f>M!D7*1</f>
        <v>15.876300000000001</v>
      </c>
      <c r="Q10" s="59">
        <f>M!E7*1</f>
        <v>15</v>
      </c>
      <c r="R10" s="59">
        <f>M!F7*1</f>
        <v>9.5369600000000005</v>
      </c>
      <c r="S10" s="59">
        <f>M!G7*1</f>
        <v>40</v>
      </c>
      <c r="T10" s="59">
        <f>M!H7*1</f>
        <v>34.870199999999997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9.5369600000000005</v>
      </c>
      <c r="D11" s="102">
        <f>N10</f>
        <v>23.023</v>
      </c>
      <c r="E11" s="103">
        <f>T10</f>
        <v>34.870199999999997</v>
      </c>
      <c r="F11" s="94">
        <f>P10</f>
        <v>15.876300000000001</v>
      </c>
      <c r="G11" s="52" t="str">
        <f>CONCATENATE(M11,"
(20 ~ 50)")</f>
        <v>可疑
(20 ~ 50)</v>
      </c>
      <c r="H11" s="101">
        <f>R11</f>
        <v>18.418299999999999</v>
      </c>
      <c r="I11" s="104">
        <f>N11</f>
        <v>31.386800000000001</v>
      </c>
      <c r="J11" s="101">
        <f>T11</f>
        <v>38.388599999999997</v>
      </c>
      <c r="K11" s="95">
        <f>P11</f>
        <v>14.186</v>
      </c>
      <c r="L11" s="4"/>
      <c r="M11" s="27" t="str">
        <f>lang!B17</f>
        <v>可疑</v>
      </c>
      <c r="N11" s="59">
        <f>M!B8*1</f>
        <v>31.386800000000001</v>
      </c>
      <c r="O11" s="59">
        <f>M!C8*1</f>
        <v>4.4525300000000003</v>
      </c>
      <c r="P11" s="59">
        <f>M!D8*1</f>
        <v>14.186</v>
      </c>
      <c r="Q11" s="59">
        <f>M!E8*1</f>
        <v>20</v>
      </c>
      <c r="R11" s="59">
        <f>M!F8*1</f>
        <v>18.418299999999999</v>
      </c>
      <c r="S11" s="59">
        <f>M!G8*1</f>
        <v>50</v>
      </c>
      <c r="T11" s="59">
        <f>M!H8*1</f>
        <v>38.388599999999997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19.107399999999998</v>
      </c>
      <c r="D12" s="104">
        <f>N12</f>
        <v>32.361800000000002</v>
      </c>
      <c r="E12" s="101">
        <f>T12</f>
        <v>68.545400000000001</v>
      </c>
      <c r="F12" s="93">
        <f>P12</f>
        <v>29.825600000000001</v>
      </c>
      <c r="G12" s="52" t="str">
        <f>CONCATENATE(M13,"
(40 ~ 100)")</f>
        <v>自信
(40 ~ 100)</v>
      </c>
      <c r="H12" s="101">
        <f>R13</f>
        <v>48.789299999999997</v>
      </c>
      <c r="I12" s="104">
        <f>N13</f>
        <v>60.447400000000002</v>
      </c>
      <c r="J12" s="101">
        <f>T13</f>
        <v>83.261399999999995</v>
      </c>
      <c r="K12" s="95">
        <f>P13</f>
        <v>20.8947</v>
      </c>
      <c r="L12" s="4"/>
      <c r="M12" s="27" t="str">
        <f>lang!B18</f>
        <v>平衡</v>
      </c>
      <c r="N12" s="59">
        <f>M!B9*1</f>
        <v>32.361800000000002</v>
      </c>
      <c r="O12" s="59">
        <f>M!C9*1</f>
        <v>9.6521000000000008</v>
      </c>
      <c r="P12" s="59">
        <f>M!D9*1</f>
        <v>29.825600000000001</v>
      </c>
      <c r="Q12" s="59">
        <f>M!E9*1</f>
        <v>50</v>
      </c>
      <c r="R12" s="59">
        <f>M!F9*1</f>
        <v>19.107399999999998</v>
      </c>
      <c r="S12" s="59">
        <f>M!G9*1</f>
        <v>100</v>
      </c>
      <c r="T12" s="59">
        <f>M!H9*1</f>
        <v>68.545400000000001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3.4965799999999998</v>
      </c>
      <c r="D13" s="102">
        <f>N14</f>
        <v>10.113200000000001</v>
      </c>
      <c r="E13" s="103">
        <f>T14</f>
        <v>17.3813</v>
      </c>
      <c r="F13" s="94">
        <f>P14</f>
        <v>35.3003</v>
      </c>
      <c r="G13" s="52" t="str">
        <f>CONCATENATE(M15,"
(50 ~ 100)")</f>
        <v>自我调节
(50 ~ 100)</v>
      </c>
      <c r="H13" s="101">
        <f>R15</f>
        <v>37.5717</v>
      </c>
      <c r="I13" s="104">
        <f>N15</f>
        <v>50.275599999999997</v>
      </c>
      <c r="J13" s="101">
        <f>T15</f>
        <v>61.648600000000002</v>
      </c>
      <c r="K13" s="95">
        <f>P15</f>
        <v>12.4535</v>
      </c>
      <c r="L13" s="4"/>
      <c r="M13" s="27" t="str">
        <f>lang!B19</f>
        <v>自信</v>
      </c>
      <c r="N13" s="59">
        <f>M!B10*1</f>
        <v>60.447400000000002</v>
      </c>
      <c r="O13" s="59">
        <f>M!C10*1</f>
        <v>12.6303</v>
      </c>
      <c r="P13" s="59">
        <f>M!D10*1</f>
        <v>20.8947</v>
      </c>
      <c r="Q13" s="59">
        <f>M!E10*1</f>
        <v>40</v>
      </c>
      <c r="R13" s="59">
        <f>M!F10*1</f>
        <v>48.789299999999997</v>
      </c>
      <c r="S13" s="59">
        <f>M!G10*1</f>
        <v>100</v>
      </c>
      <c r="T13" s="59">
        <f>M!H10*1</f>
        <v>83.261399999999995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15.5823</v>
      </c>
      <c r="D14" s="106">
        <f>N16</f>
        <v>21.907900000000001</v>
      </c>
      <c r="E14" s="107">
        <f>T16</f>
        <v>28.081900000000001</v>
      </c>
      <c r="F14" s="96">
        <f>P16</f>
        <v>11.1906</v>
      </c>
      <c r="G14" s="112" t="str">
        <f>CONCATENATE(M17,"
(10 ~ 50)")</f>
        <v>神经质
(10 ~ 50)</v>
      </c>
      <c r="H14" s="105">
        <f>R17</f>
        <v>2.30627</v>
      </c>
      <c r="I14" s="106">
        <f>N17</f>
        <v>24.516300000000001</v>
      </c>
      <c r="J14" s="107">
        <f>T17</f>
        <v>35.276800000000001</v>
      </c>
      <c r="K14" s="97">
        <f>P17</f>
        <v>41.163800000000002</v>
      </c>
      <c r="M14" s="27" t="str">
        <f>lang!B20</f>
        <v>活力</v>
      </c>
      <c r="N14" s="59">
        <f>M!B11*1</f>
        <v>10.113200000000001</v>
      </c>
      <c r="O14" s="59">
        <f>M!C11*1</f>
        <v>3.5700099999999999</v>
      </c>
      <c r="P14" s="59">
        <f>M!D11*1</f>
        <v>35.3003</v>
      </c>
      <c r="Q14" s="59">
        <f>M!E11*1</f>
        <v>10</v>
      </c>
      <c r="R14" s="59">
        <f>M!F11*1</f>
        <v>3.4965799999999998</v>
      </c>
      <c r="S14" s="59">
        <f>M!G11*1</f>
        <v>50</v>
      </c>
      <c r="T14" s="59">
        <f>M!H11*1</f>
        <v>17.3813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50.275599999999997</v>
      </c>
      <c r="O15" s="59">
        <f>M!C12*1</f>
        <v>6.2610799999999998</v>
      </c>
      <c r="P15" s="59">
        <f>M!D12*1</f>
        <v>12.4535</v>
      </c>
      <c r="Q15" s="59">
        <f>M!E12*1</f>
        <v>50</v>
      </c>
      <c r="R15" s="59">
        <f>M!F12*1</f>
        <v>37.5717</v>
      </c>
      <c r="S15" s="59">
        <f>M!G12*1</f>
        <v>100</v>
      </c>
      <c r="T15" s="59">
        <f>M!H12*1</f>
        <v>61.648600000000002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21.907900000000001</v>
      </c>
      <c r="O16" s="59">
        <f>M!C13*1</f>
        <v>2.4516300000000002</v>
      </c>
      <c r="P16" s="59">
        <f>M!D13*1</f>
        <v>11.1906</v>
      </c>
      <c r="Q16" s="59">
        <f>M!E13*1</f>
        <v>10</v>
      </c>
      <c r="R16" s="59">
        <f>M!F13*1</f>
        <v>15.5823</v>
      </c>
      <c r="S16" s="59">
        <f>M!G13*1</f>
        <v>25</v>
      </c>
      <c r="T16" s="59">
        <f>M!H13*1</f>
        <v>28.081900000000001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24.516300000000001</v>
      </c>
      <c r="O17" s="59">
        <f>M!C14*1</f>
        <v>10.091799999999999</v>
      </c>
      <c r="P17" s="59">
        <f>M!D14*1</f>
        <v>41.163800000000002</v>
      </c>
      <c r="Q17" s="59">
        <f>M!E14*1</f>
        <v>10</v>
      </c>
      <c r="R17" s="59">
        <f>M!F14*1</f>
        <v>2.30627</v>
      </c>
      <c r="S17" s="59">
        <f>M!G14*1</f>
        <v>50</v>
      </c>
      <c r="T17" s="59">
        <f>M!H14*1</f>
        <v>35.276800000000001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38.299500000000002</v>
      </c>
      <c r="O18" s="22">
        <f>N18/(N18+N19+N20)</f>
        <v>0.40877762687080915</v>
      </c>
      <c r="P18" s="65">
        <f>SUM(P12:P15)/4</f>
        <v>24.618525000000002</v>
      </c>
      <c r="Q18" s="22">
        <f>P18/(P18+P19+P20)</f>
        <v>0.36106398526618155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32.181149999999995</v>
      </c>
      <c r="O19" s="22">
        <f>N19/(N18+N19+N20)</f>
        <v>0.34347534894642329</v>
      </c>
      <c r="P19" s="18">
        <f>SUM(P8:P11)/4</f>
        <v>17.387549999999997</v>
      </c>
      <c r="Q19" s="22">
        <f>P19/(P18+P19+P20)</f>
        <v>0.25501195124464171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23.2121</v>
      </c>
      <c r="O20" s="22">
        <f>N20/(N18+N19+N20)</f>
        <v>0.24774702418276764</v>
      </c>
      <c r="P20" s="18">
        <f>(P16+P17)/2</f>
        <v>26.177199999999999</v>
      </c>
      <c r="Q20" s="22">
        <f>P20/(P18+P19+P20)</f>
        <v>0.38392406348917679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5.3783915945945726E-2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1.4169310841252776</v>
      </c>
      <c r="D25" s="44" t="str">
        <f>lang!B11</f>
        <v>频率方差</v>
      </c>
      <c r="E25" s="142">
        <f ca="1">FH!L3</f>
        <v>0.91363254608576649</v>
      </c>
      <c r="F25" s="143"/>
      <c r="G25" s="134" t="str">
        <f>lang!B12</f>
        <v>生理变化率</v>
      </c>
      <c r="H25" s="135"/>
      <c r="I25" s="62" t="str">
        <f ca="1">CONCATENATE(info!M7,"-",info!M8)</f>
        <v>0-52</v>
      </c>
      <c r="J25" s="42" t="str">
        <f>lang!B13</f>
        <v>千卡l/分钟</v>
      </c>
      <c r="K25" s="41" t="str">
        <f ca="1">CONCATENATE(info!M5,"-",info!M6)</f>
        <v>1.6-3.6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9.9229399999999988</v>
      </c>
      <c r="F28" s="164"/>
      <c r="G28" s="178" t="str">
        <f>lang!B33</f>
        <v>稳定性</v>
      </c>
      <c r="H28" s="179"/>
      <c r="I28" s="180"/>
      <c r="J28" s="181">
        <f>M!B19*100</f>
        <v>67.551500000000004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43607.436851851853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-4.2416000000000054</v>
      </c>
      <c r="O7" s="59">
        <f t="shared" ref="O7:T7" si="2">AG7-X7</f>
        <v>-10.813480000000002</v>
      </c>
      <c r="P7" s="59">
        <f t="shared" si="2"/>
        <v>-22.803999999999998</v>
      </c>
      <c r="Q7" s="59">
        <f t="shared" si="2"/>
        <v>0</v>
      </c>
      <c r="R7" s="59">
        <f t="shared" si="2"/>
        <v>28.287170000000003</v>
      </c>
      <c r="S7" s="59">
        <f t="shared" si="2"/>
        <v>0</v>
      </c>
      <c r="T7" s="59">
        <f t="shared" si="2"/>
        <v>0.50980000000001269</v>
      </c>
      <c r="U7" s="14"/>
      <c r="V7" s="27" t="str">
        <f>M7</f>
        <v>攻击性</v>
      </c>
      <c r="W7" s="59">
        <f>'M1'!B5*1</f>
        <v>45.516800000000003</v>
      </c>
      <c r="X7" s="59">
        <f>'M1'!C5*1</f>
        <v>15.034700000000001</v>
      </c>
      <c r="Y7" s="59">
        <f>'M1'!D5*1</f>
        <v>33.030999999999999</v>
      </c>
      <c r="Z7" s="59">
        <f>'M1'!E5*1</f>
        <v>20</v>
      </c>
      <c r="AA7" s="59">
        <f>'M1'!F5*1</f>
        <v>7.1600299999999999</v>
      </c>
      <c r="AB7" s="59">
        <f>'M1'!G5*1</f>
        <v>50</v>
      </c>
      <c r="AC7" s="59">
        <f>'M1'!H5*1</f>
        <v>67.844399999999993</v>
      </c>
      <c r="AE7" s="27" t="str">
        <f>V7</f>
        <v>攻击性</v>
      </c>
      <c r="AF7" s="59">
        <f>'M2'!B5*1</f>
        <v>41.275199999999998</v>
      </c>
      <c r="AG7" s="59">
        <f>'M2'!C5*1</f>
        <v>4.2212199999999998</v>
      </c>
      <c r="AH7" s="59">
        <f>'M2'!D5*1</f>
        <v>10.227</v>
      </c>
      <c r="AI7" s="59">
        <f>'M2'!E5*1</f>
        <v>20</v>
      </c>
      <c r="AJ7" s="59">
        <f>'M2'!F5*1</f>
        <v>35.447200000000002</v>
      </c>
      <c r="AK7" s="59">
        <f>'M2'!G5*1</f>
        <v>50</v>
      </c>
      <c r="AL7" s="59">
        <f>'M2'!H5*1</f>
        <v>68.354200000000006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-6.8763999999999967</v>
      </c>
      <c r="O8" s="59">
        <f t="shared" ref="O8:O16" si="5">AG8-X8</f>
        <v>2.8345900000000004</v>
      </c>
      <c r="P8" s="59">
        <f t="shared" ref="P8:P16" si="6">AH8-Y8</f>
        <v>12.130329999999999</v>
      </c>
      <c r="Q8" s="59">
        <f t="shared" ref="Q8:Q16" si="7">AI8-Z8</f>
        <v>0</v>
      </c>
      <c r="R8" s="59">
        <f t="shared" ref="R8:R16" si="8">AJ8-AA8</f>
        <v>-3.7649000000000008</v>
      </c>
      <c r="S8" s="59">
        <f t="shared" ref="S8:S16" si="9">AK8-AB8</f>
        <v>0</v>
      </c>
      <c r="T8" s="59">
        <f t="shared" ref="T8:T16" si="10">AL8-AC8</f>
        <v>8.2327999999999975</v>
      </c>
      <c r="U8" s="15"/>
      <c r="V8" s="27" t="str">
        <f t="shared" ref="V8:V16" si="11">M8</f>
        <v>压力</v>
      </c>
      <c r="W8" s="59">
        <f>'M1'!B6*1</f>
        <v>33.19</v>
      </c>
      <c r="X8" s="59">
        <f>'M1'!C6*1</f>
        <v>1.72464</v>
      </c>
      <c r="Y8" s="59">
        <f>'M1'!D6*1</f>
        <v>5.1962700000000002</v>
      </c>
      <c r="Z8" s="59">
        <f>'M1'!E6*1</f>
        <v>20</v>
      </c>
      <c r="AA8" s="59">
        <f>'M1'!F6*1</f>
        <v>27.908799999999999</v>
      </c>
      <c r="AB8" s="59">
        <f>'M1'!G6*1</f>
        <v>40</v>
      </c>
      <c r="AC8" s="59">
        <f>'M1'!H6*1</f>
        <v>37.225999999999999</v>
      </c>
      <c r="AE8" s="27" t="str">
        <f t="shared" ref="AE8:AE16" si="12">V8</f>
        <v>压力</v>
      </c>
      <c r="AF8" s="59">
        <f>'M2'!B6*1</f>
        <v>26.313600000000001</v>
      </c>
      <c r="AG8" s="59">
        <f>'M2'!C6*1</f>
        <v>4.5592300000000003</v>
      </c>
      <c r="AH8" s="59">
        <f>'M2'!D6*1</f>
        <v>17.326599999999999</v>
      </c>
      <c r="AI8" s="59">
        <f>'M2'!E6*1</f>
        <v>20</v>
      </c>
      <c r="AJ8" s="59">
        <f>'M2'!F6*1</f>
        <v>24.143899999999999</v>
      </c>
      <c r="AK8" s="59">
        <f>'M2'!G6*1</f>
        <v>40</v>
      </c>
      <c r="AL8" s="59">
        <f>'M2'!H6*1</f>
        <v>45.458799999999997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28.287170000000003</v>
      </c>
      <c r="D9" s="78">
        <f>N7</f>
        <v>-4.2416000000000054</v>
      </c>
      <c r="E9" s="79">
        <f>T7</f>
        <v>0.50980000000001269</v>
      </c>
      <c r="F9" s="79">
        <f>P7</f>
        <v>-22.803999999999998</v>
      </c>
      <c r="G9" s="80" t="str">
        <f>CONCATENATE(M8,"
(20 ~ 40)")</f>
        <v>压力
(20 ~ 40)</v>
      </c>
      <c r="H9" s="77">
        <f>R8</f>
        <v>-3.7649000000000008</v>
      </c>
      <c r="I9" s="81">
        <f>N8</f>
        <v>-6.8763999999999967</v>
      </c>
      <c r="J9" s="77">
        <f>T8</f>
        <v>8.2327999999999975</v>
      </c>
      <c r="K9" s="82">
        <f>P8</f>
        <v>12.130329999999999</v>
      </c>
      <c r="L9" s="6"/>
      <c r="M9" s="27" t="str">
        <f>lang!B16</f>
        <v>焦虑</v>
      </c>
      <c r="N9" s="59">
        <f t="shared" si="4"/>
        <v>-1.7300000000002314E-2</v>
      </c>
      <c r="O9" s="59">
        <f t="shared" si="5"/>
        <v>0.25107999999999997</v>
      </c>
      <c r="P9" s="59">
        <f t="shared" si="6"/>
        <v>1.1025000000000009</v>
      </c>
      <c r="Q9" s="59">
        <f t="shared" si="7"/>
        <v>0</v>
      </c>
      <c r="R9" s="59">
        <f t="shared" si="8"/>
        <v>-7.1180400000000006</v>
      </c>
      <c r="S9" s="59">
        <f t="shared" si="9"/>
        <v>0</v>
      </c>
      <c r="T9" s="59">
        <f t="shared" si="10"/>
        <v>-1.1962999999999937</v>
      </c>
      <c r="U9" s="14"/>
      <c r="V9" s="27" t="str">
        <f t="shared" si="11"/>
        <v>焦虑</v>
      </c>
      <c r="W9" s="59">
        <f>'M1'!B7*1</f>
        <v>23.029800000000002</v>
      </c>
      <c r="X9" s="59">
        <f>'M1'!C7*1</f>
        <v>3.4858199999999999</v>
      </c>
      <c r="Y9" s="59">
        <f>'M1'!D7*1</f>
        <v>15.136100000000001</v>
      </c>
      <c r="Z9" s="59">
        <f>'M1'!E7*1</f>
        <v>15</v>
      </c>
      <c r="AA9" s="59">
        <f>'M1'!F7*1</f>
        <v>16.655000000000001</v>
      </c>
      <c r="AB9" s="59">
        <f>'M1'!G7*1</f>
        <v>40</v>
      </c>
      <c r="AC9" s="59">
        <f>'M1'!H7*1</f>
        <v>34.870199999999997</v>
      </c>
      <c r="AE9" s="27" t="str">
        <f t="shared" si="12"/>
        <v>焦虑</v>
      </c>
      <c r="AF9" s="59">
        <f>'M2'!B7*1</f>
        <v>23.012499999999999</v>
      </c>
      <c r="AG9" s="59">
        <f>'M2'!C7*1</f>
        <v>3.7368999999999999</v>
      </c>
      <c r="AH9" s="59">
        <f>'M2'!D7*1</f>
        <v>16.238600000000002</v>
      </c>
      <c r="AI9" s="59">
        <f>'M2'!E7*1</f>
        <v>15</v>
      </c>
      <c r="AJ9" s="59">
        <f>'M2'!F7*1</f>
        <v>9.5369600000000005</v>
      </c>
      <c r="AK9" s="59">
        <f>'M2'!G7*1</f>
        <v>40</v>
      </c>
      <c r="AL9" s="59">
        <f>'M2'!H7*1</f>
        <v>33.673900000000003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-7.1180400000000006</v>
      </c>
      <c r="D10" s="51">
        <f>N9</f>
        <v>-1.7300000000002314E-2</v>
      </c>
      <c r="E10" s="53">
        <f>T9</f>
        <v>-1.1962999999999937</v>
      </c>
      <c r="F10" s="53">
        <f>P9</f>
        <v>1.1025000000000009</v>
      </c>
      <c r="G10" s="73" t="str">
        <f>CONCATENATE(M10,"
(20 ~ 50)")</f>
        <v>可疑
(20 ~ 50)</v>
      </c>
      <c r="H10" s="24">
        <f>R10</f>
        <v>9.0512000000000015</v>
      </c>
      <c r="I10" s="52">
        <f>N10</f>
        <v>-2.0275999999999961</v>
      </c>
      <c r="J10" s="24">
        <f>T10</f>
        <v>-0.63009999999999877</v>
      </c>
      <c r="K10" s="25">
        <f>P10</f>
        <v>-9.6787300000000016</v>
      </c>
      <c r="L10" s="4"/>
      <c r="M10" s="27" t="str">
        <f>lang!B17</f>
        <v>可疑</v>
      </c>
      <c r="N10" s="59">
        <f t="shared" si="4"/>
        <v>-2.0275999999999961</v>
      </c>
      <c r="O10" s="59">
        <f t="shared" si="5"/>
        <v>-3.3514400000000006</v>
      </c>
      <c r="P10" s="59">
        <f t="shared" si="6"/>
        <v>-9.6787300000000016</v>
      </c>
      <c r="Q10" s="59">
        <f t="shared" si="7"/>
        <v>0</v>
      </c>
      <c r="R10" s="59">
        <f t="shared" si="8"/>
        <v>9.0512000000000015</v>
      </c>
      <c r="S10" s="59">
        <f t="shared" si="9"/>
        <v>0</v>
      </c>
      <c r="T10" s="59">
        <f t="shared" si="10"/>
        <v>-0.63009999999999877</v>
      </c>
      <c r="U10" s="14"/>
      <c r="V10" s="27" t="str">
        <f t="shared" si="11"/>
        <v>可疑</v>
      </c>
      <c r="W10" s="59">
        <f>'M1'!B8*1</f>
        <v>32.966299999999997</v>
      </c>
      <c r="X10" s="59">
        <f>'M1'!C8*1</f>
        <v>5.8041600000000004</v>
      </c>
      <c r="Y10" s="59">
        <f>'M1'!D8*1</f>
        <v>17.606400000000001</v>
      </c>
      <c r="Z10" s="59">
        <f>'M1'!E8*1</f>
        <v>20</v>
      </c>
      <c r="AA10" s="59">
        <f>'M1'!F8*1</f>
        <v>18.418299999999999</v>
      </c>
      <c r="AB10" s="59">
        <f>'M1'!G8*1</f>
        <v>50</v>
      </c>
      <c r="AC10" s="59">
        <f>'M1'!H8*1</f>
        <v>38.388599999999997</v>
      </c>
      <c r="AE10" s="27" t="str">
        <f t="shared" si="12"/>
        <v>可疑</v>
      </c>
      <c r="AF10" s="59">
        <f>'M2'!B8*1</f>
        <v>30.938700000000001</v>
      </c>
      <c r="AG10" s="59">
        <f>'M2'!C8*1</f>
        <v>2.4527199999999998</v>
      </c>
      <c r="AH10" s="59">
        <f>'M2'!D8*1</f>
        <v>7.92767</v>
      </c>
      <c r="AI10" s="59">
        <f>'M2'!E8*1</f>
        <v>20</v>
      </c>
      <c r="AJ10" s="59">
        <f>'M2'!F8*1</f>
        <v>27.4695</v>
      </c>
      <c r="AK10" s="59">
        <f>'M2'!G8*1</f>
        <v>50</v>
      </c>
      <c r="AL10" s="59">
        <f>'M2'!H8*1</f>
        <v>37.758499999999998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1.3871000000000002</v>
      </c>
      <c r="D11" s="52">
        <f>N11</f>
        <v>-0.10460000000000491</v>
      </c>
      <c r="E11" s="24">
        <f>T11</f>
        <v>-9.6904000000000039</v>
      </c>
      <c r="F11" s="24">
        <f>P11</f>
        <v>0.34860000000000113</v>
      </c>
      <c r="G11" s="73" t="str">
        <f>CONCATENATE(M12,"
(40 ~ 100)")</f>
        <v>自信
(40 ~ 100)</v>
      </c>
      <c r="H11" s="24">
        <f>R12</f>
        <v>0.99640000000000128</v>
      </c>
      <c r="I11" s="52">
        <f>N12</f>
        <v>23.200100000000006</v>
      </c>
      <c r="J11" s="24">
        <f>T12</f>
        <v>17.83959999999999</v>
      </c>
      <c r="K11" s="25">
        <f>P12</f>
        <v>7.3389999999999986</v>
      </c>
      <c r="L11" s="4"/>
      <c r="M11" s="27" t="str">
        <f>lang!B18</f>
        <v>平衡</v>
      </c>
      <c r="N11" s="59">
        <f t="shared" si="4"/>
        <v>-0.10460000000000491</v>
      </c>
      <c r="O11" s="59">
        <f t="shared" si="5"/>
        <v>8.1310000000000215E-2</v>
      </c>
      <c r="P11" s="59">
        <f t="shared" si="6"/>
        <v>0.34860000000000113</v>
      </c>
      <c r="Q11" s="59">
        <f t="shared" si="7"/>
        <v>0</v>
      </c>
      <c r="R11" s="59">
        <f t="shared" si="8"/>
        <v>1.3871000000000002</v>
      </c>
      <c r="S11" s="59">
        <f t="shared" si="9"/>
        <v>0</v>
      </c>
      <c r="T11" s="59">
        <f t="shared" si="10"/>
        <v>-9.6904000000000039</v>
      </c>
      <c r="U11" s="14"/>
      <c r="V11" s="27" t="str">
        <f t="shared" si="11"/>
        <v>平衡</v>
      </c>
      <c r="W11" s="59">
        <f>'M1'!B9*1</f>
        <v>32.272100000000002</v>
      </c>
      <c r="X11" s="59">
        <f>'M1'!C9*1</f>
        <v>9.5231300000000001</v>
      </c>
      <c r="Y11" s="59">
        <f>'M1'!D9*1</f>
        <v>29.508900000000001</v>
      </c>
      <c r="Z11" s="59">
        <f>'M1'!E9*1</f>
        <v>50</v>
      </c>
      <c r="AA11" s="59">
        <f>'M1'!F9*1</f>
        <v>19.107399999999998</v>
      </c>
      <c r="AB11" s="59">
        <f>'M1'!G9*1</f>
        <v>100</v>
      </c>
      <c r="AC11" s="59">
        <f>'M1'!H9*1</f>
        <v>68.545400000000001</v>
      </c>
      <c r="AE11" s="27" t="str">
        <f t="shared" si="12"/>
        <v>平衡</v>
      </c>
      <c r="AF11" s="59">
        <f>'M2'!B9*1</f>
        <v>32.167499999999997</v>
      </c>
      <c r="AG11" s="59">
        <f>'M2'!C9*1</f>
        <v>9.6044400000000003</v>
      </c>
      <c r="AH11" s="59">
        <f>'M2'!D9*1</f>
        <v>29.857500000000002</v>
      </c>
      <c r="AI11" s="59">
        <f>'M2'!E9*1</f>
        <v>50</v>
      </c>
      <c r="AJ11" s="59">
        <f>'M2'!F9*1</f>
        <v>20.494499999999999</v>
      </c>
      <c r="AK11" s="59">
        <f>'M2'!G9*1</f>
        <v>100</v>
      </c>
      <c r="AL11" s="59">
        <f>'M2'!H9*1</f>
        <v>58.854999999999997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3.0071900000000005</v>
      </c>
      <c r="D12" s="51">
        <f>N13</f>
        <v>-4.5722699999999996</v>
      </c>
      <c r="E12" s="53">
        <f>T13</f>
        <v>-3.2849000000000004</v>
      </c>
      <c r="F12" s="53">
        <f>P13</f>
        <v>-12.459399999999999</v>
      </c>
      <c r="G12" s="73" t="str">
        <f>CONCATENATE(M14,"
(50 ~ 100)")</f>
        <v>自我调节
(50 ~ 100)</v>
      </c>
      <c r="H12" s="24">
        <f>R14</f>
        <v>0.53869999999999862</v>
      </c>
      <c r="I12" s="52">
        <f>N14</f>
        <v>7.6287999999999982</v>
      </c>
      <c r="J12" s="24">
        <f>T14</f>
        <v>0.62270000000000181</v>
      </c>
      <c r="K12" s="25">
        <f>P14</f>
        <v>-2.0740300000000005</v>
      </c>
      <c r="L12" s="4"/>
      <c r="M12" s="27" t="str">
        <f>lang!B19</f>
        <v>自信</v>
      </c>
      <c r="N12" s="59">
        <f t="shared" si="4"/>
        <v>23.200100000000006</v>
      </c>
      <c r="O12" s="59">
        <f t="shared" si="5"/>
        <v>7.8927000000000005</v>
      </c>
      <c r="P12" s="59">
        <f t="shared" si="6"/>
        <v>7.3389999999999986</v>
      </c>
      <c r="Q12" s="59">
        <f t="shared" si="7"/>
        <v>0</v>
      </c>
      <c r="R12" s="59">
        <f t="shared" si="8"/>
        <v>0.99640000000000128</v>
      </c>
      <c r="S12" s="59">
        <f t="shared" si="9"/>
        <v>0</v>
      </c>
      <c r="T12" s="59">
        <f t="shared" si="10"/>
        <v>17.83959999999999</v>
      </c>
      <c r="U12" s="15"/>
      <c r="V12" s="27" t="str">
        <f t="shared" si="11"/>
        <v>自信</v>
      </c>
      <c r="W12" s="59">
        <f>'M1'!B10*1</f>
        <v>58.706299999999999</v>
      </c>
      <c r="X12" s="59">
        <f>'M1'!C10*1</f>
        <v>4.7611999999999997</v>
      </c>
      <c r="Y12" s="59">
        <f>'M1'!D10*1</f>
        <v>8.1102000000000007</v>
      </c>
      <c r="Z12" s="59">
        <f>'M1'!E10*1</f>
        <v>40</v>
      </c>
      <c r="AA12" s="59">
        <f>'M1'!F10*1</f>
        <v>48.789299999999997</v>
      </c>
      <c r="AB12" s="59">
        <f>'M1'!G10*1</f>
        <v>100</v>
      </c>
      <c r="AC12" s="59">
        <f>'M1'!H10*1</f>
        <v>65.421800000000005</v>
      </c>
      <c r="AE12" s="27" t="str">
        <f t="shared" si="12"/>
        <v>自信</v>
      </c>
      <c r="AF12" s="59">
        <f>'M2'!B10*1</f>
        <v>81.906400000000005</v>
      </c>
      <c r="AG12" s="59">
        <f>'M2'!C10*1</f>
        <v>12.6539</v>
      </c>
      <c r="AH12" s="59">
        <f>'M2'!D10*1</f>
        <v>15.449199999999999</v>
      </c>
      <c r="AI12" s="59">
        <f>'M2'!E10*1</f>
        <v>40</v>
      </c>
      <c r="AJ12" s="59">
        <f>'M2'!F10*1</f>
        <v>49.785699999999999</v>
      </c>
      <c r="AK12" s="59">
        <f>'M2'!G10*1</f>
        <v>100</v>
      </c>
      <c r="AL12" s="59">
        <f>'M2'!H10*1</f>
        <v>83.261399999999995</v>
      </c>
    </row>
    <row r="13" spans="2:38" ht="25.5" customHeight="1" thickBot="1">
      <c r="B13" s="72" t="str">
        <f>CONCATENATE(M15,"
(10 ~ 25)")</f>
        <v>抑郁
(10 ~ 25)</v>
      </c>
      <c r="C13" s="54">
        <f>R15</f>
        <v>1.9345999999999997</v>
      </c>
      <c r="D13" s="55">
        <f>N15</f>
        <v>-1.6212000000000018</v>
      </c>
      <c r="E13" s="56">
        <f>T15</f>
        <v>-1.9944000000000024</v>
      </c>
      <c r="F13" s="56">
        <f>P15</f>
        <v>-4.6289900000000017</v>
      </c>
      <c r="G13" s="74" t="str">
        <f>CONCATENATE(M16,"
(10 ~ 50)")</f>
        <v>神经质
(10 ~ 50)</v>
      </c>
      <c r="H13" s="54">
        <f>R16</f>
        <v>-1.8472899999999997</v>
      </c>
      <c r="I13" s="55">
        <f>N16</f>
        <v>-12.010899999999999</v>
      </c>
      <c r="J13" s="56">
        <f>T16</f>
        <v>-6.1462000000000003</v>
      </c>
      <c r="K13" s="57">
        <f>P16</f>
        <v>18.652999999999999</v>
      </c>
      <c r="M13" s="27" t="str">
        <f>lang!B20</f>
        <v>活力</v>
      </c>
      <c r="N13" s="59">
        <f t="shared" si="4"/>
        <v>-4.5722699999999996</v>
      </c>
      <c r="O13" s="59">
        <f t="shared" si="5"/>
        <v>-2.5901899999999998</v>
      </c>
      <c r="P13" s="59">
        <f t="shared" si="6"/>
        <v>-12.459399999999999</v>
      </c>
      <c r="Q13" s="59">
        <f t="shared" si="7"/>
        <v>0</v>
      </c>
      <c r="R13" s="59">
        <f t="shared" si="8"/>
        <v>3.0071900000000005</v>
      </c>
      <c r="S13" s="59">
        <f t="shared" si="9"/>
        <v>0</v>
      </c>
      <c r="T13" s="59">
        <f t="shared" si="10"/>
        <v>-3.2849000000000004</v>
      </c>
      <c r="U13" s="14"/>
      <c r="V13" s="27" t="str">
        <f t="shared" si="11"/>
        <v>活力</v>
      </c>
      <c r="W13" s="59">
        <f>'M1'!B11*1</f>
        <v>14.3203</v>
      </c>
      <c r="X13" s="59">
        <f>'M1'!C11*1</f>
        <v>4.3085100000000001</v>
      </c>
      <c r="Y13" s="59">
        <f>'M1'!D11*1</f>
        <v>30.0867</v>
      </c>
      <c r="Z13" s="59">
        <f>'M1'!E11*1</f>
        <v>10</v>
      </c>
      <c r="AA13" s="59">
        <f>'M1'!F11*1</f>
        <v>3.4965799999999998</v>
      </c>
      <c r="AB13" s="59">
        <f>'M1'!G11*1</f>
        <v>50</v>
      </c>
      <c r="AC13" s="59">
        <f>'M1'!H11*1</f>
        <v>17.3813</v>
      </c>
      <c r="AE13" s="27" t="str">
        <f t="shared" si="12"/>
        <v>活力</v>
      </c>
      <c r="AF13" s="59">
        <f>'M2'!B11*1</f>
        <v>9.74803</v>
      </c>
      <c r="AG13" s="59">
        <f>'M2'!C11*1</f>
        <v>1.7183200000000001</v>
      </c>
      <c r="AH13" s="59">
        <f>'M2'!D11*1</f>
        <v>17.627300000000002</v>
      </c>
      <c r="AI13" s="59">
        <f>'M2'!E11*1</f>
        <v>10</v>
      </c>
      <c r="AJ13" s="59">
        <f>'M2'!F11*1</f>
        <v>6.5037700000000003</v>
      </c>
      <c r="AK13" s="59">
        <f>'M2'!G11*1</f>
        <v>50</v>
      </c>
      <c r="AL13" s="59">
        <f>'M2'!H11*1</f>
        <v>14.096399999999999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7.6287999999999982</v>
      </c>
      <c r="O14" s="59">
        <f t="shared" si="5"/>
        <v>-0.34395000000000042</v>
      </c>
      <c r="P14" s="59">
        <f t="shared" si="6"/>
        <v>-2.0740300000000005</v>
      </c>
      <c r="Q14" s="59">
        <f t="shared" si="7"/>
        <v>0</v>
      </c>
      <c r="R14" s="59">
        <f t="shared" si="8"/>
        <v>0.53869999999999862</v>
      </c>
      <c r="S14" s="59">
        <f t="shared" si="9"/>
        <v>0</v>
      </c>
      <c r="T14" s="59">
        <f t="shared" si="10"/>
        <v>0.62270000000000181</v>
      </c>
      <c r="U14" s="14"/>
      <c r="V14" s="27" t="str">
        <f t="shared" si="11"/>
        <v>自我调节</v>
      </c>
      <c r="W14" s="59">
        <f>'M1'!B12*1</f>
        <v>46.456499999999998</v>
      </c>
      <c r="X14" s="59">
        <f>'M1'!C12*1</f>
        <v>4.7365300000000001</v>
      </c>
      <c r="Y14" s="59">
        <f>'M1'!D12*1</f>
        <v>10.195600000000001</v>
      </c>
      <c r="Z14" s="59">
        <f>'M1'!E12*1</f>
        <v>50</v>
      </c>
      <c r="AA14" s="59">
        <f>'M1'!F12*1</f>
        <v>37.5717</v>
      </c>
      <c r="AB14" s="59">
        <f>'M1'!G12*1</f>
        <v>100</v>
      </c>
      <c r="AC14" s="59">
        <f>'M1'!H12*1</f>
        <v>61.0259</v>
      </c>
      <c r="AE14" s="27" t="str">
        <f t="shared" si="12"/>
        <v>自我调节</v>
      </c>
      <c r="AF14" s="59">
        <f>'M2'!B12*1</f>
        <v>54.085299999999997</v>
      </c>
      <c r="AG14" s="59">
        <f>'M2'!C12*1</f>
        <v>4.3925799999999997</v>
      </c>
      <c r="AH14" s="59">
        <f>'M2'!D12*1</f>
        <v>8.1215700000000002</v>
      </c>
      <c r="AI14" s="59">
        <f>'M2'!E12*1</f>
        <v>50</v>
      </c>
      <c r="AJ14" s="59">
        <f>'M2'!F12*1</f>
        <v>38.110399999999998</v>
      </c>
      <c r="AK14" s="59">
        <f>'M2'!G12*1</f>
        <v>100</v>
      </c>
      <c r="AL14" s="59">
        <f>'M2'!H12*1</f>
        <v>61.648600000000002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-1.6212000000000018</v>
      </c>
      <c r="O15" s="59">
        <f t="shared" si="5"/>
        <v>-1.2010900000000002</v>
      </c>
      <c r="P15" s="59">
        <f t="shared" si="6"/>
        <v>-4.6289900000000017</v>
      </c>
      <c r="Q15" s="59">
        <f t="shared" si="7"/>
        <v>0</v>
      </c>
      <c r="R15" s="59">
        <f t="shared" si="8"/>
        <v>1.9345999999999997</v>
      </c>
      <c r="S15" s="59">
        <f t="shared" si="9"/>
        <v>0</v>
      </c>
      <c r="T15" s="59">
        <f t="shared" si="10"/>
        <v>-1.9944000000000024</v>
      </c>
      <c r="U15" s="14"/>
      <c r="V15" s="27" t="str">
        <f t="shared" si="11"/>
        <v>抑郁</v>
      </c>
      <c r="W15" s="59">
        <f>'M1'!B13*1</f>
        <v>23.144500000000001</v>
      </c>
      <c r="X15" s="59">
        <f>'M1'!C13*1</f>
        <v>2.9234900000000001</v>
      </c>
      <c r="Y15" s="59">
        <f>'M1'!D13*1</f>
        <v>12.631500000000001</v>
      </c>
      <c r="Z15" s="59">
        <f>'M1'!E13*1</f>
        <v>10</v>
      </c>
      <c r="AA15" s="59">
        <f>'M1'!F13*1</f>
        <v>15.5823</v>
      </c>
      <c r="AB15" s="59">
        <f>'M1'!G13*1</f>
        <v>25</v>
      </c>
      <c r="AC15" s="59">
        <f>'M1'!H13*1</f>
        <v>28.081900000000001</v>
      </c>
      <c r="AE15" s="27" t="str">
        <f t="shared" si="12"/>
        <v>抑郁</v>
      </c>
      <c r="AF15" s="59">
        <f>'M2'!B13*1</f>
        <v>21.523299999999999</v>
      </c>
      <c r="AG15" s="59">
        <f>'M2'!C13*1</f>
        <v>1.7223999999999999</v>
      </c>
      <c r="AH15" s="59">
        <f>'M2'!D13*1</f>
        <v>8.0025099999999991</v>
      </c>
      <c r="AI15" s="59">
        <f>'M2'!E13*1</f>
        <v>10</v>
      </c>
      <c r="AJ15" s="59">
        <f>'M2'!F13*1</f>
        <v>17.5169</v>
      </c>
      <c r="AK15" s="59">
        <f>'M2'!G13*1</f>
        <v>25</v>
      </c>
      <c r="AL15" s="59">
        <f>'M2'!H13*1</f>
        <v>26.087499999999999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-12.010899999999999</v>
      </c>
      <c r="O16" s="59">
        <f t="shared" si="5"/>
        <v>-1.1650299999999998</v>
      </c>
      <c r="P16" s="59">
        <f t="shared" si="6"/>
        <v>18.652999999999999</v>
      </c>
      <c r="Q16" s="59">
        <f t="shared" si="7"/>
        <v>0</v>
      </c>
      <c r="R16" s="59">
        <f t="shared" si="8"/>
        <v>-1.8472899999999997</v>
      </c>
      <c r="S16" s="59">
        <f t="shared" si="9"/>
        <v>0</v>
      </c>
      <c r="T16" s="59">
        <f t="shared" si="10"/>
        <v>-6.1462000000000003</v>
      </c>
      <c r="U16" s="15"/>
      <c r="V16" s="27" t="str">
        <f t="shared" si="11"/>
        <v>神经质</v>
      </c>
      <c r="W16" s="59">
        <f>'M1'!B14*1</f>
        <v>29.2349</v>
      </c>
      <c r="X16" s="59">
        <f>'M1'!C14*1</f>
        <v>10.655799999999999</v>
      </c>
      <c r="Y16" s="59">
        <f>'M1'!D14*1</f>
        <v>36.448900000000002</v>
      </c>
      <c r="Z16" s="59">
        <f>'M1'!E14*1</f>
        <v>10</v>
      </c>
      <c r="AA16" s="59">
        <f>'M1'!F14*1</f>
        <v>4.1535599999999997</v>
      </c>
      <c r="AB16" s="59">
        <f>'M1'!G14*1</f>
        <v>50</v>
      </c>
      <c r="AC16" s="59">
        <f>'M1'!H14*1</f>
        <v>35.276800000000001</v>
      </c>
      <c r="AE16" s="27" t="str">
        <f t="shared" si="12"/>
        <v>神经质</v>
      </c>
      <c r="AF16" s="59">
        <f>'M2'!B14*1</f>
        <v>17.224</v>
      </c>
      <c r="AG16" s="59">
        <f>'M2'!C14*1</f>
        <v>9.4907699999999995</v>
      </c>
      <c r="AH16" s="59">
        <f>'M2'!D14*1</f>
        <v>55.101900000000001</v>
      </c>
      <c r="AI16" s="59">
        <f>'M2'!E14*1</f>
        <v>10</v>
      </c>
      <c r="AJ16" s="59">
        <f>'M2'!F14*1</f>
        <v>2.30627</v>
      </c>
      <c r="AK16" s="59">
        <f>'M2'!G14*1</f>
        <v>50</v>
      </c>
      <c r="AL16" s="59">
        <f>'M2'!H14*1</f>
        <v>29.130600000000001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6.5380075</v>
      </c>
      <c r="O17" s="22">
        <f>N17/(N17+N18+N19)</f>
        <v>-1.8320071285114534</v>
      </c>
      <c r="P17" s="65">
        <f>SUM(P11:P14)/4</f>
        <v>-1.7114574999999999</v>
      </c>
      <c r="Q17" s="22">
        <f>P17/(P17+P18+P19)</f>
        <v>-3.5065640862781757</v>
      </c>
      <c r="R17" s="14"/>
      <c r="S17" s="14"/>
      <c r="T17" s="14"/>
      <c r="U17" s="14"/>
      <c r="V17" s="21" t="str">
        <f>M17</f>
        <v>Positive</v>
      </c>
      <c r="W17" s="65">
        <f>SUM(W11:W14)/4</f>
        <v>37.938800000000001</v>
      </c>
      <c r="X17" s="22">
        <f>W17/(W17+W18+W19)</f>
        <v>0.38790553271088235</v>
      </c>
      <c r="Y17" s="65">
        <f>SUM(Y11:Y14)/4</f>
        <v>19.475350000000002</v>
      </c>
      <c r="Z17" s="22">
        <f>Y17/(Y17+Y18+Y19)</f>
        <v>0.31534946671072578</v>
      </c>
      <c r="AA17" s="14"/>
      <c r="AB17" s="14"/>
      <c r="AC17" s="14"/>
      <c r="AE17" s="21" t="str">
        <f>V17</f>
        <v>Positive</v>
      </c>
      <c r="AF17" s="65">
        <f>SUM(AF11:AF14)/4</f>
        <v>44.4768075</v>
      </c>
      <c r="AG17" s="22">
        <f>AF17/(AF17+AF18+AF19)</f>
        <v>0.47197529125382559</v>
      </c>
      <c r="AH17" s="65">
        <f>SUM(AH11:AH14)/4</f>
        <v>17.763892500000001</v>
      </c>
      <c r="AI17" s="22">
        <f>AH17/(AH17+AH18+AH19)</f>
        <v>0.28538177473547927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-3.2907250000000001</v>
      </c>
      <c r="O18" s="22">
        <f>N18/(N17+N18+N19)</f>
        <v>0.92209004929573013</v>
      </c>
      <c r="P18" s="18">
        <f>SUM(P7:P10)/4</f>
        <v>-4.8124750000000001</v>
      </c>
      <c r="Q18" s="22">
        <f>P18/(P17+P18+P19)</f>
        <v>-9.860164217406254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33.675725</v>
      </c>
      <c r="X18" s="22">
        <f>W18/(W17+W18+W19)</f>
        <v>0.34431769179705679</v>
      </c>
      <c r="Y18" s="18">
        <f>SUM(Y7:Y10)/4</f>
        <v>17.742442499999999</v>
      </c>
      <c r="Z18" s="22">
        <f>Y18/(Y17+Y18+Y19)</f>
        <v>0.28728981920842067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30.384999999999998</v>
      </c>
      <c r="AG18" s="22">
        <f>AF18/(AF17+AF18+AF19)</f>
        <v>0.32243701899574267</v>
      </c>
      <c r="AH18" s="18">
        <f>SUM(AH7:AH10)/4</f>
        <v>12.9299675</v>
      </c>
      <c r="AI18" s="22">
        <f>AH18/(AH17+AH18+AH19)</f>
        <v>0.20772345207685017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-6.8160500000000006</v>
      </c>
      <c r="O19" s="22">
        <f>N19/(N17+N18+N19)</f>
        <v>1.9099170792157234</v>
      </c>
      <c r="P19" s="18">
        <f>(P15+P16)/2</f>
        <v>7.0120049999999985</v>
      </c>
      <c r="Q19" s="22">
        <f>P19/(P17+P18+P19)</f>
        <v>14.366728303684431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26.189700000000002</v>
      </c>
      <c r="X19" s="22">
        <f>W19/(W17+W18+W19)</f>
        <v>0.2677767754920608</v>
      </c>
      <c r="Y19" s="18">
        <f>(Y15+Y16)/2</f>
        <v>24.540200000000002</v>
      </c>
      <c r="Z19" s="22">
        <f>Y19/(Y17+Y18+Y19)</f>
        <v>0.39736071408085361</v>
      </c>
      <c r="AA19" s="14"/>
      <c r="AB19" s="14"/>
      <c r="AC19" s="14"/>
      <c r="AE19" s="21" t="str">
        <f t="shared" si="14"/>
        <v>Physiological</v>
      </c>
      <c r="AF19" s="18">
        <f>(AF15+AF16)/2</f>
        <v>19.373649999999998</v>
      </c>
      <c r="AG19" s="22">
        <f>AF19/(AF17+AF18+AF19)</f>
        <v>0.20558768975043176</v>
      </c>
      <c r="AH19" s="18">
        <f>(AH15+AH16)/2</f>
        <v>31.552205000000001</v>
      </c>
      <c r="AI19" s="22">
        <f>AH19/(AH17+AH18+AH19)</f>
        <v>0.50689477318767062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1.49/1.36</v>
      </c>
      <c r="D24" s="44" t="str">
        <f>lang!B11</f>
        <v>频率方差</v>
      </c>
      <c r="E24" s="142" t="str">
        <f ca="1">CONCATENATE(ROUND('FH1'!L3,2),"/",ROUND('FH2'!L3,2))</f>
        <v>0.94/0.89</v>
      </c>
      <c r="F24" s="143"/>
      <c r="G24" s="134" t="str">
        <f>lang!B12</f>
        <v>生理变化率</v>
      </c>
      <c r="H24" s="135"/>
      <c r="I24" s="62" t="str">
        <f ca="1">CONCATENATE(info!M7,"-",info!M8)</f>
        <v>0-52</v>
      </c>
      <c r="J24" s="42" t="str">
        <f>lang!B13</f>
        <v>千卡l/分钟</v>
      </c>
      <c r="K24" s="41" t="str">
        <f ca="1">CONCATENATE(info!M5,"-",info!M6)</f>
        <v>1.6-3.6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-6.6418599999999994</v>
      </c>
      <c r="F27" s="164"/>
      <c r="G27" s="178" t="str">
        <f>lang!B33</f>
        <v>稳定性</v>
      </c>
      <c r="H27" s="179"/>
      <c r="I27" s="180"/>
      <c r="J27" s="181">
        <f>dM!B19*100</f>
        <v>1.8733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-0.95290792755058851</v>
      </c>
      <c r="C2">
        <f t="array" aca="1" ref="C2" ca="1">CORREL(FT_E02,FT_PH02)</f>
        <v>-0.69557869424845553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1.5637300000000001</v>
      </c>
      <c r="G2" s="61">
        <f>IF(FT!B2&lt;&gt;"",FT!B2*100,"")</f>
        <v>52.036899999999996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1.6269200000000001</v>
      </c>
      <c r="G3" s="61">
        <f>IF(FT!B3&lt;&gt;"",FT!B3*100,"")</f>
        <v>50.613600000000005</v>
      </c>
      <c r="H3" s="61">
        <f t="shared" ref="H3:H66" si="1">(IF(F3&lt;&gt;"",1,""))</f>
        <v>1</v>
      </c>
      <c r="I3" t="str">
        <f>IF(FT!B3&lt;&gt;"",FT!E3,"")</f>
        <v>1 [0.386268]</v>
      </c>
      <c r="J3">
        <f>IF(FT!B3&lt;&gt;"",FT!C3,"")</f>
        <v>0.386268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0.11821293810810812</v>
      </c>
      <c r="V3">
        <f ca="1">AVERAGE(OFFSET(FT!B2,info!$L$3/2,0,info!$L$3/2,1))</f>
        <v>0.13709670540540536</v>
      </c>
      <c r="W3">
        <f ca="1">AVERAGE(OFFSET(FT!A2,0,0,info!$L$3/2,1))</f>
        <v>0.30826570270270259</v>
      </c>
      <c r="X3">
        <f ca="1">AVERAGE(OFFSET(FT!A2,info!$L$3/2,0,info!$L$3/2,1))</f>
        <v>0.27336555405405411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1.6908999999999998</v>
      </c>
      <c r="G4" s="61">
        <f>IF(FT!B4&lt;&gt;"",FT!B4*100,"")</f>
        <v>49.122300000000003</v>
      </c>
      <c r="H4" s="61">
        <f t="shared" si="1"/>
        <v>1</v>
      </c>
      <c r="I4" t="str">
        <f>IF(FT!B4&lt;&gt;"",FT!E4,"")</f>
        <v>1 [0.792109]</v>
      </c>
      <c r="J4">
        <f>IF(FT!B4&lt;&gt;"",FT!C4,"")</f>
        <v>0.79210899999999995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15.038074999999999</v>
      </c>
      <c r="V4">
        <f>U4*3</f>
        <v>45.114224999999998</v>
      </c>
      <c r="W4">
        <f>U4</f>
        <v>15.038074999999999</v>
      </c>
      <c r="X4">
        <f>V4</f>
        <v>45.114224999999998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1.7557700000000001</v>
      </c>
      <c r="G5" s="61">
        <f>IF(FT!B5&lt;&gt;"",FT!B5*100,"")</f>
        <v>47.556100000000001</v>
      </c>
      <c r="H5" s="61">
        <f t="shared" si="1"/>
        <v>1</v>
      </c>
      <c r="I5" t="str">
        <f>IF(FT!B5&lt;&gt;"",FT!E5,"")</f>
        <v>1 [1.198046]</v>
      </c>
      <c r="J5">
        <f>IF(FT!B5&lt;&gt;"",FT!C5,"")</f>
        <v>1.1980500000000001</v>
      </c>
      <c r="K5" t="s">
        <v>53</v>
      </c>
      <c r="L5" s="63">
        <f ca="1">MIN(FT_E)</f>
        <v>1.5637300000000001</v>
      </c>
      <c r="M5" s="63">
        <f ca="1">ROUND(L5,1)</f>
        <v>1.6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11.821293810810813</v>
      </c>
      <c r="V5">
        <f ca="1">V3*100</f>
        <v>13.709670540540536</v>
      </c>
      <c r="W5">
        <f ca="1">W3*10</f>
        <v>3.0826570270270262</v>
      </c>
      <c r="X5">
        <f ca="1">X3*10</f>
        <v>2.7336555405405409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1.82098</v>
      </c>
      <c r="G6" s="61">
        <f>IF(FT!B6&lt;&gt;"",FT!B6*100,"")</f>
        <v>45.989699999999999</v>
      </c>
      <c r="H6" s="61">
        <f t="shared" si="1"/>
        <v>1</v>
      </c>
      <c r="I6" t="str">
        <f>IF(FT!B6&lt;&gt;"",FT!E6,"")</f>
        <v>1 [1.608921]</v>
      </c>
      <c r="J6">
        <f>IF(FT!B6&lt;&gt;"",FT!C6,"")</f>
        <v>1.6089199999999999</v>
      </c>
      <c r="K6" t="s">
        <v>54</v>
      </c>
      <c r="L6" s="63">
        <f ca="1">MAX(FT_E)</f>
        <v>3.64045</v>
      </c>
      <c r="M6" s="63">
        <f ca="1">ROUND(L6,1)</f>
        <v>3.6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1.8879899999999998</v>
      </c>
      <c r="G7" s="61">
        <f>IF(FT!B7&lt;&gt;"",FT!B7*100,"")</f>
        <v>44.369900000000001</v>
      </c>
      <c r="H7" s="61">
        <f t="shared" si="1"/>
        <v>1</v>
      </c>
      <c r="I7" t="str">
        <f>IF(FT!B7&lt;&gt;"",FT!E7,"")</f>
        <v>1 [2.010850]</v>
      </c>
      <c r="J7">
        <f>IF(FT!B7&lt;&gt;"",FT!C7,"")</f>
        <v>2.01085</v>
      </c>
      <c r="K7" t="s">
        <v>55</v>
      </c>
      <c r="L7" s="63">
        <f ca="1">MIN(FT_PH)</f>
        <v>0</v>
      </c>
      <c r="M7" s="63">
        <f ca="1">ROUND(L7,1)</f>
        <v>0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12140</v>
      </c>
      <c r="D8" s="61">
        <f>FH!B8*1</f>
        <v>12140</v>
      </c>
      <c r="E8">
        <f t="shared" si="3"/>
        <v>6</v>
      </c>
      <c r="F8" s="61">
        <f>IF(FT!A8&lt;&gt;"",FT!A8*10,"")</f>
        <v>1.9567399999999999</v>
      </c>
      <c r="G8" s="61">
        <f>IF(FT!B8&lt;&gt;"",FT!B8*100,"")</f>
        <v>42.6023</v>
      </c>
      <c r="H8" s="61">
        <f t="shared" si="1"/>
        <v>1</v>
      </c>
      <c r="I8" t="str">
        <f>IF(FT!B8&lt;&gt;"",FT!E8,"")</f>
        <v>1 [2.418776]</v>
      </c>
      <c r="J8">
        <f>IF(FT!B8&lt;&gt;"",FT!C8,"")</f>
        <v>2.4187799999999999</v>
      </c>
      <c r="K8" t="s">
        <v>56</v>
      </c>
      <c r="L8" s="63">
        <f ca="1">MAX(FT_PH)</f>
        <v>52.036899999999996</v>
      </c>
      <c r="M8" s="63">
        <f ca="1">ROUND(L8,1)</f>
        <v>52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2.0268100000000002</v>
      </c>
      <c r="G9" s="61">
        <f>IF(FT!B9&lt;&gt;"",FT!B9*100,"")</f>
        <v>40.747799999999998</v>
      </c>
      <c r="H9" s="61">
        <f t="shared" si="1"/>
        <v>1</v>
      </c>
      <c r="I9" t="str">
        <f>IF(FT!B9&lt;&gt;"",FT!E9,"")</f>
        <v>1 [2.824688]</v>
      </c>
      <c r="J9">
        <f>IF(FT!B9&lt;&gt;"",FT!C9,"")</f>
        <v>2.8246899999999999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19030</v>
      </c>
      <c r="D10" s="61">
        <f>FH!B10*1</f>
        <v>19030</v>
      </c>
      <c r="E10">
        <f t="shared" si="3"/>
        <v>8</v>
      </c>
      <c r="F10" s="61">
        <f>IF(FT!A10&lt;&gt;"",FT!A10*10,"")</f>
        <v>2.0998200000000002</v>
      </c>
      <c r="G10" s="61">
        <f>IF(FT!B10&lt;&gt;"",FT!B10*100,"")</f>
        <v>38.8322</v>
      </c>
      <c r="H10" s="61">
        <f t="shared" si="1"/>
        <v>1</v>
      </c>
      <c r="I10" t="str">
        <f>IF(FT!B10&lt;&gt;"",FT!E10,"")</f>
        <v>1 [3.229684]</v>
      </c>
      <c r="J10">
        <f>IF(FT!B10&lt;&gt;"",FT!C10,"")</f>
        <v>3.2296800000000001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2.17428</v>
      </c>
      <c r="G11" s="61">
        <f>IF(FT!B11&lt;&gt;"",FT!B11*100,"")</f>
        <v>36.868099999999998</v>
      </c>
      <c r="H11" s="61">
        <f t="shared" si="1"/>
        <v>1</v>
      </c>
      <c r="I11" t="str">
        <f>IF(FT!B11&lt;&gt;"",FT!E11,"")</f>
        <v>1 [3.637559]</v>
      </c>
      <c r="J11">
        <f>IF(FT!B11&lt;&gt;"",FT!C11,"")</f>
        <v>3.6375600000000001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2.2473199999999998</v>
      </c>
      <c r="G12" s="61">
        <f>IF(FT!B12&lt;&gt;"",FT!B12*100,"")</f>
        <v>34.914499999999997</v>
      </c>
      <c r="H12" s="61">
        <f t="shared" si="1"/>
        <v>1</v>
      </c>
      <c r="I12" t="str">
        <f>IF(FT!B12&lt;&gt;"",FT!E12,"")</f>
        <v>1 [4.046412]</v>
      </c>
      <c r="J12">
        <f>IF(FT!B12&lt;&gt;"",FT!C12,"")</f>
        <v>4.0464099999999998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33525</v>
      </c>
      <c r="D13" s="61">
        <f>FH!B13*1</f>
        <v>33525</v>
      </c>
      <c r="E13">
        <f t="shared" si="3"/>
        <v>11</v>
      </c>
      <c r="F13" s="61">
        <f>IF(FT!A13&lt;&gt;"",FT!A13*10,"")</f>
        <v>2.3203499999999999</v>
      </c>
      <c r="G13" s="61">
        <f>IF(FT!B13&lt;&gt;"",FT!B13*100,"")</f>
        <v>32.927199999999999</v>
      </c>
      <c r="H13" s="61">
        <f t="shared" si="1"/>
        <v>1</v>
      </c>
      <c r="I13" t="str">
        <f>IF(FT!B13&lt;&gt;"",FT!E13,"")</f>
        <v>1 [4.448295]</v>
      </c>
      <c r="J13">
        <f>IF(FT!B13&lt;&gt;"",FT!C13,"")</f>
        <v>4.4482900000000001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2.3927300000000002</v>
      </c>
      <c r="G14" s="61">
        <f>IF(FT!B14&lt;&gt;"",FT!B14*100,"")</f>
        <v>30.988800000000001</v>
      </c>
      <c r="H14" s="61">
        <f t="shared" si="1"/>
        <v>1</v>
      </c>
      <c r="I14" t="str">
        <f>IF(FT!B14&lt;&gt;"",FT!E14,"")</f>
        <v>1 [4.854206]</v>
      </c>
      <c r="J14">
        <f>IF(FT!B14&lt;&gt;"",FT!C14,"")</f>
        <v>4.8542100000000001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52103</v>
      </c>
      <c r="D15" s="61">
        <f>FH!B15*1</f>
        <v>52103</v>
      </c>
      <c r="E15">
        <f t="shared" si="3"/>
        <v>13</v>
      </c>
      <c r="F15" s="61">
        <f>IF(FT!A15&lt;&gt;"",FT!A15*10,"")</f>
        <v>2.46583</v>
      </c>
      <c r="G15" s="61">
        <f>IF(FT!B15&lt;&gt;"",FT!B15*100,"")</f>
        <v>29.103400000000001</v>
      </c>
      <c r="H15" s="61">
        <f t="shared" si="1"/>
        <v>1</v>
      </c>
      <c r="I15" t="str">
        <f>IF(FT!B15&lt;&gt;"",FT!E15,"")</f>
        <v>1 [5.260581]</v>
      </c>
      <c r="J15">
        <f>IF(FT!B15&lt;&gt;"",FT!C15,"")</f>
        <v>5.26058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2.5374000000000003</v>
      </c>
      <c r="G16" s="61">
        <f>IF(FT!B16&lt;&gt;"",FT!B16*100,"")</f>
        <v>27.237200000000001</v>
      </c>
      <c r="H16" s="61">
        <f t="shared" si="1"/>
        <v>1</v>
      </c>
      <c r="I16" t="str">
        <f>IF(FT!B16&lt;&gt;"",FT!E16,"")</f>
        <v>1 [5.670055]</v>
      </c>
      <c r="J16">
        <f>IF(FT!B16&lt;&gt;"",FT!C16,"")</f>
        <v>5.6700600000000003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2.60825</v>
      </c>
      <c r="G17" s="61">
        <f>IF(FT!B17&lt;&gt;"",FT!B17*100,"")</f>
        <v>25.385899999999999</v>
      </c>
      <c r="H17" s="61">
        <f t="shared" si="1"/>
        <v>1</v>
      </c>
      <c r="I17" t="str">
        <f>IF(FT!B17&lt;&gt;"",FT!E17,"")</f>
        <v>1 [6.076983]</v>
      </c>
      <c r="J17">
        <f>IF(FT!B17&lt;&gt;"",FT!C17,"")</f>
        <v>6.0769799999999998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59410</v>
      </c>
      <c r="D18" s="61">
        <f>FH!B18*1</f>
        <v>59410</v>
      </c>
      <c r="E18">
        <f t="shared" si="3"/>
        <v>16</v>
      </c>
      <c r="F18" s="61">
        <f>IF(FT!A18&lt;&gt;"",FT!A18*10,"")</f>
        <v>2.6776</v>
      </c>
      <c r="G18" s="61">
        <f>IF(FT!B18&lt;&gt;"",FT!B18*100,"")</f>
        <v>23.653299999999998</v>
      </c>
      <c r="H18" s="61">
        <f t="shared" si="1"/>
        <v>1</v>
      </c>
      <c r="I18" t="str">
        <f>IF(FT!B18&lt;&gt;"",FT!E18,"")</f>
        <v>1 [6.482885]</v>
      </c>
      <c r="J18">
        <f>IF(FT!B18&lt;&gt;"",FT!C18,"")</f>
        <v>6.4828900000000003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2.7473700000000001</v>
      </c>
      <c r="G19" s="61">
        <f>IF(FT!B19&lt;&gt;"",FT!B19*100,"")</f>
        <v>21.915699999999998</v>
      </c>
      <c r="H19" s="61">
        <f t="shared" si="1"/>
        <v>1</v>
      </c>
      <c r="I19" t="str">
        <f>IF(FT!B19&lt;&gt;"",FT!E19,"")</f>
        <v>1 [6.885820]</v>
      </c>
      <c r="J19">
        <f>IF(FT!B19&lt;&gt;"",FT!C19,"")</f>
        <v>6.8858199999999998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2.81447</v>
      </c>
      <c r="G20" s="61">
        <f>IF(FT!B20&lt;&gt;"",FT!B20*100,"")</f>
        <v>20.323900000000002</v>
      </c>
      <c r="H20" s="61">
        <f t="shared" si="1"/>
        <v>1</v>
      </c>
      <c r="I20" t="str">
        <f>IF(FT!B20&lt;&gt;"",FT!E20,"")</f>
        <v>1 [7.294684]</v>
      </c>
      <c r="J20">
        <f>IF(FT!B20&lt;&gt;"",FT!C20,"")</f>
        <v>7.2946799999999996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69602</v>
      </c>
      <c r="D21" s="61">
        <f>FH!B21*1</f>
        <v>69602</v>
      </c>
      <c r="E21">
        <f t="shared" si="3"/>
        <v>19</v>
      </c>
      <c r="F21" s="61">
        <f>IF(FT!A21&lt;&gt;"",FT!A21*10,"")</f>
        <v>2.8787500000000001</v>
      </c>
      <c r="G21" s="61">
        <f>IF(FT!B21&lt;&gt;"",FT!B21*100,"")</f>
        <v>18.831700000000001</v>
      </c>
      <c r="H21" s="61">
        <f t="shared" si="1"/>
        <v>1</v>
      </c>
      <c r="I21" t="str">
        <f>IF(FT!B21&lt;&gt;"",FT!E21,"")</f>
        <v>1 [7.699675]</v>
      </c>
      <c r="J21">
        <f>IF(FT!B21&lt;&gt;"",FT!C21,"")</f>
        <v>7.6996799999999999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2.9450399999999997</v>
      </c>
      <c r="G22" s="61">
        <f>IF(FT!B22&lt;&gt;"",FT!B22*100,"")</f>
        <v>17.296500000000002</v>
      </c>
      <c r="H22" s="61">
        <f t="shared" si="1"/>
        <v>1</v>
      </c>
      <c r="I22" t="str">
        <f>IF(FT!B22&lt;&gt;"",FT!E22,"")</f>
        <v>1 [8.104472]</v>
      </c>
      <c r="J22">
        <f>IF(FT!B22&lt;&gt;"",FT!C22,"")</f>
        <v>8.1044699999999992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89371</v>
      </c>
      <c r="D23" s="61">
        <f>FH!B23*1</f>
        <v>89371</v>
      </c>
      <c r="E23">
        <f t="shared" si="3"/>
        <v>21</v>
      </c>
      <c r="F23" s="61">
        <f>IF(FT!A23&lt;&gt;"",FT!A23*10,"")</f>
        <v>3.0074800000000002</v>
      </c>
      <c r="G23" s="61">
        <f>IF(FT!B23&lt;&gt;"",FT!B23*100,"")</f>
        <v>15.865599999999999</v>
      </c>
      <c r="H23" s="61">
        <f t="shared" si="1"/>
        <v>1</v>
      </c>
      <c r="I23" t="str">
        <f>IF(FT!B23&lt;&gt;"",FT!E23,"")</f>
        <v>1 [8.512503]</v>
      </c>
      <c r="J23">
        <f>IF(FT!B23&lt;&gt;"",FT!C23,"")</f>
        <v>8.5124999999999993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3.06392</v>
      </c>
      <c r="G24" s="61">
        <f>IF(FT!B24&lt;&gt;"",FT!B24*100,"")</f>
        <v>14.579400000000001</v>
      </c>
      <c r="H24" s="61">
        <f t="shared" si="1"/>
        <v>1</v>
      </c>
      <c r="I24" t="str">
        <f>IF(FT!B24&lt;&gt;"",FT!E24,"")</f>
        <v>1 [8.919296]</v>
      </c>
      <c r="J24">
        <f>IF(FT!B24&lt;&gt;"",FT!C24,"")</f>
        <v>8.9192999999999998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3.1156600000000001</v>
      </c>
      <c r="G25" s="61">
        <f>IF(FT!B25&lt;&gt;"",FT!B25*100,"")</f>
        <v>13.394600000000001</v>
      </c>
      <c r="H25" s="61">
        <f t="shared" si="1"/>
        <v>1</v>
      </c>
      <c r="I25" t="str">
        <f>IF(FT!B25&lt;&gt;"",FT!E25,"")</f>
        <v>1 [9.328228]</v>
      </c>
      <c r="J25">
        <f>IF(FT!B25&lt;&gt;"",FT!C25,"")</f>
        <v>9.3282299999999996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103639</v>
      </c>
      <c r="D26" s="61">
        <f>FH!B26*1</f>
        <v>103639</v>
      </c>
      <c r="E26">
        <f t="shared" si="3"/>
        <v>24</v>
      </c>
      <c r="F26" s="61">
        <f>IF(FT!A26&lt;&gt;"",FT!A26*10,"")</f>
        <v>3.1673099999999996</v>
      </c>
      <c r="G26" s="61">
        <f>IF(FT!B26&lt;&gt;"",FT!B26*100,"")</f>
        <v>12.302399999999999</v>
      </c>
      <c r="H26" s="61">
        <f t="shared" si="1"/>
        <v>1</v>
      </c>
      <c r="I26" t="str">
        <f>IF(FT!B26&lt;&gt;"",FT!E26,"")</f>
        <v>1 [9.732186]</v>
      </c>
      <c r="J26">
        <f>IF(FT!B26&lt;&gt;"",FT!C26,"")</f>
        <v>9.7321899999999992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3.2176399999999998</v>
      </c>
      <c r="G27" s="61">
        <f>IF(FT!B27&lt;&gt;"",FT!B27*100,"")</f>
        <v>11.3515</v>
      </c>
      <c r="H27" s="61">
        <f t="shared" si="1"/>
        <v>1</v>
      </c>
      <c r="I27" t="str">
        <f>IF(FT!B27&lt;&gt;"",FT!E27,"")</f>
        <v>1 [10.137123]</v>
      </c>
      <c r="J27">
        <f>IF(FT!B27&lt;&gt;"",FT!C27,"")</f>
        <v>10.1371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102680</v>
      </c>
      <c r="D28" s="61">
        <f>FH!B28*1</f>
        <v>102680</v>
      </c>
      <c r="E28">
        <f t="shared" si="3"/>
        <v>26</v>
      </c>
      <c r="F28" s="61">
        <f>IF(FT!A28&lt;&gt;"",FT!A28*10,"")</f>
        <v>3.2664399999999998</v>
      </c>
      <c r="G28" s="61">
        <f>IF(FT!B28&lt;&gt;"",FT!B28*100,"")</f>
        <v>10.3973</v>
      </c>
      <c r="H28" s="61">
        <f t="shared" si="1"/>
        <v>1</v>
      </c>
      <c r="I28" t="str">
        <f>IF(FT!B28&lt;&gt;"",FT!E28,"")</f>
        <v>1 [10.542987]</v>
      </c>
      <c r="J28">
        <f>IF(FT!B28&lt;&gt;"",FT!C28,"")</f>
        <v>10.542999999999999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3.3134999999999999</v>
      </c>
      <c r="G29" s="61">
        <f>IF(FT!B29&lt;&gt;"",FT!B29*100,"")</f>
        <v>9.4203299999999999</v>
      </c>
      <c r="H29" s="61">
        <f t="shared" si="1"/>
        <v>1</v>
      </c>
      <c r="I29" t="str">
        <f>IF(FT!B29&lt;&gt;"",FT!E29,"")</f>
        <v>1 [10.951932]</v>
      </c>
      <c r="J29">
        <f>IF(FT!B29&lt;&gt;"",FT!C29,"")</f>
        <v>10.9519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3.35663</v>
      </c>
      <c r="G30" s="61">
        <f>IF(FT!B30&lt;&gt;"",FT!B30*100,"")</f>
        <v>8.5309999999999988</v>
      </c>
      <c r="H30" s="61">
        <f t="shared" si="1"/>
        <v>1</v>
      </c>
      <c r="I30" t="str">
        <f>IF(FT!B30&lt;&gt;"",FT!E30,"")</f>
        <v>1 [11.358868]</v>
      </c>
      <c r="J30">
        <f>IF(FT!B30&lt;&gt;"",FT!C30,"")</f>
        <v>11.3589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110445</v>
      </c>
      <c r="D31" s="61">
        <f>FH!B31*1</f>
        <v>110445</v>
      </c>
      <c r="E31">
        <f t="shared" si="3"/>
        <v>29</v>
      </c>
      <c r="F31" s="61">
        <f>IF(FT!A31&lt;&gt;"",FT!A31*10,"")</f>
        <v>3.3970400000000001</v>
      </c>
      <c r="G31" s="61">
        <f>IF(FT!B31&lt;&gt;"",FT!B31*100,"")</f>
        <v>7.6195599999999999</v>
      </c>
      <c r="H31" s="61">
        <f t="shared" si="1"/>
        <v>1</v>
      </c>
      <c r="I31" t="str">
        <f>IF(FT!B31&lt;&gt;"",FT!E31,"")</f>
        <v>1 [11.763781]</v>
      </c>
      <c r="J31">
        <f>IF(FT!B31&lt;&gt;"",FT!C31,"")</f>
        <v>11.7638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3.4331800000000001</v>
      </c>
      <c r="G32" s="61">
        <f>IF(FT!B32&lt;&gt;"",FT!B32*100,"")</f>
        <v>6.7900799999999997</v>
      </c>
      <c r="H32" s="61">
        <f t="shared" si="1"/>
        <v>1</v>
      </c>
      <c r="I32" t="str">
        <f>IF(FT!B32&lt;&gt;"",FT!E32,"")</f>
        <v>1 [12.167648]</v>
      </c>
      <c r="J32">
        <f>IF(FT!B32&lt;&gt;"",FT!C32,"")</f>
        <v>12.1676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113341</v>
      </c>
      <c r="D33" s="61">
        <f>FH!B33*1</f>
        <v>113341</v>
      </c>
      <c r="E33">
        <f t="shared" si="3"/>
        <v>31</v>
      </c>
      <c r="F33" s="61">
        <f>IF(FT!A33&lt;&gt;"",FT!A33*10,"")</f>
        <v>3.4670299999999998</v>
      </c>
      <c r="G33" s="61">
        <f>IF(FT!B33&lt;&gt;"",FT!B33*100,"")</f>
        <v>6.0042999999999997</v>
      </c>
      <c r="H33" s="61">
        <f t="shared" si="1"/>
        <v>1</v>
      </c>
      <c r="I33" t="str">
        <f>IF(FT!B33&lt;&gt;"",FT!E33,"")</f>
        <v>1 [12.573883]</v>
      </c>
      <c r="J33">
        <f>IF(FT!B33&lt;&gt;"",FT!C33,"")</f>
        <v>12.5739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3.4981200000000001</v>
      </c>
      <c r="G34" s="61">
        <f>IF(FT!B34&lt;&gt;"",FT!B34*100,"")</f>
        <v>5.3013200000000005</v>
      </c>
      <c r="H34" s="61">
        <f t="shared" si="1"/>
        <v>1</v>
      </c>
      <c r="I34" t="str">
        <f>IF(FT!B34&lt;&gt;"",FT!E34,"")</f>
        <v>1 [12.985717]</v>
      </c>
      <c r="J34">
        <f>IF(FT!B34&lt;&gt;"",FT!C34,"")</f>
        <v>12.9857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3.5251300000000003</v>
      </c>
      <c r="G35" s="61">
        <f>IF(FT!B35&lt;&gt;"",FT!B35*100,"")</f>
        <v>4.61226</v>
      </c>
      <c r="H35" s="61">
        <f t="shared" si="1"/>
        <v>1</v>
      </c>
      <c r="I35" t="str">
        <f>IF(FT!B35&lt;&gt;"",FT!E35,"")</f>
        <v>1 [13.388374]</v>
      </c>
      <c r="J35">
        <f>IF(FT!B35&lt;&gt;"",FT!C35,"")</f>
        <v>13.388400000000001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122734</v>
      </c>
      <c r="D36" s="61">
        <f>FH!B36*1</f>
        <v>122734</v>
      </c>
      <c r="E36">
        <f t="shared" si="3"/>
        <v>34</v>
      </c>
      <c r="F36" s="61">
        <f>IF(FT!A36&lt;&gt;"",FT!A36*10,"")</f>
        <v>3.5490699999999995</v>
      </c>
      <c r="G36" s="61">
        <f>IF(FT!B36&lt;&gt;"",FT!B36*100,"")</f>
        <v>3.9546699999999997</v>
      </c>
      <c r="H36" s="61">
        <f t="shared" si="1"/>
        <v>1</v>
      </c>
      <c r="I36" t="str">
        <f>IF(FT!B36&lt;&gt;"",FT!E36,"")</f>
        <v>1 [13.797303]</v>
      </c>
      <c r="J36">
        <f>IF(FT!B36&lt;&gt;"",FT!C36,"")</f>
        <v>13.7973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3.5695700000000001</v>
      </c>
      <c r="G37" s="61">
        <f>IF(FT!B37&lt;&gt;"",FT!B37*100,"")</f>
        <v>3.3677899999999998</v>
      </c>
      <c r="H37" s="61">
        <f t="shared" si="1"/>
        <v>1</v>
      </c>
      <c r="I37" t="str">
        <f>IF(FT!B37&lt;&gt;"",FT!E37,"")</f>
        <v>1 [14.199210]</v>
      </c>
      <c r="J37">
        <f>IF(FT!B37&lt;&gt;"",FT!C37,"")</f>
        <v>14.199199999999999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3.5859100000000002</v>
      </c>
      <c r="G38" s="61">
        <f>IF(FT!B38&lt;&gt;"",FT!B38*100,"")</f>
        <v>2.81508</v>
      </c>
      <c r="H38" s="61">
        <f t="shared" si="1"/>
        <v>1</v>
      </c>
      <c r="I38" t="str">
        <f>IF(FT!B38&lt;&gt;"",FT!E38,"")</f>
        <v>1 [14.605349]</v>
      </c>
      <c r="J38">
        <f>IF(FT!B38&lt;&gt;"",FT!C38,"")</f>
        <v>14.6053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98900</v>
      </c>
      <c r="D39" s="61">
        <f>FH!B39*1</f>
        <v>98900</v>
      </c>
      <c r="E39">
        <f t="shared" si="3"/>
        <v>37</v>
      </c>
      <c r="F39" s="61">
        <f>IF(FT!A39&lt;&gt;"",FT!A39*10,"")</f>
        <v>3.6021700000000001</v>
      </c>
      <c r="G39" s="61">
        <f>IF(FT!B39&lt;&gt;"",FT!B39*100,"")</f>
        <v>2.21814</v>
      </c>
      <c r="H39" s="61">
        <f t="shared" si="1"/>
        <v>1</v>
      </c>
      <c r="I39" t="str">
        <f>IF(FT!B39&lt;&gt;"",FT!E39,"")</f>
        <v>1 [15.014034]</v>
      </c>
      <c r="J39">
        <f>IF(FT!B39&lt;&gt;"",FT!C39,"")</f>
        <v>15.013999999999999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3.6148000000000002</v>
      </c>
      <c r="G40" s="61">
        <f>IF(FT!B40&lt;&gt;"",FT!B40*100,"")</f>
        <v>1.68011</v>
      </c>
      <c r="H40" s="61">
        <f t="shared" si="1"/>
        <v>1</v>
      </c>
      <c r="I40" t="str">
        <f>IF(FT!B40&lt;&gt;"",FT!E40,"")</f>
        <v>1 [15.418021]</v>
      </c>
      <c r="J40">
        <f>IF(FT!B40&lt;&gt;"",FT!C40,"")</f>
        <v>15.417999999999999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108009</v>
      </c>
      <c r="D41" s="61">
        <f>FH!B41*1</f>
        <v>108009</v>
      </c>
      <c r="E41">
        <f t="shared" si="3"/>
        <v>39</v>
      </c>
      <c r="F41" s="61">
        <f>IF(FT!A41&lt;&gt;"",FT!A41*10,"")</f>
        <v>3.6257200000000003</v>
      </c>
      <c r="G41" s="61">
        <f>IF(FT!B41&lt;&gt;"",FT!B41*100,"")</f>
        <v>1.2367700000000001</v>
      </c>
      <c r="H41" s="61">
        <f t="shared" si="1"/>
        <v>1</v>
      </c>
      <c r="I41" t="str">
        <f>IF(FT!B41&lt;&gt;"",FT!E41,"")</f>
        <v>1 [15.825948]</v>
      </c>
      <c r="J41">
        <f>IF(FT!B41&lt;&gt;"",FT!C41,"")</f>
        <v>15.825900000000001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3.6324200000000002</v>
      </c>
      <c r="G42" s="61">
        <f>IF(FT!B42&lt;&gt;"",FT!B42*100,"")</f>
        <v>0.80814300000000006</v>
      </c>
      <c r="H42" s="61">
        <f t="shared" si="1"/>
        <v>1</v>
      </c>
      <c r="I42" t="str">
        <f>IF(FT!B42&lt;&gt;"",FT!E42,"")</f>
        <v>1 [16.229836]</v>
      </c>
      <c r="J42">
        <f>IF(FT!B42&lt;&gt;"",FT!C42,"")</f>
        <v>16.229800000000001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3.63747</v>
      </c>
      <c r="G43" s="61">
        <f>IF(FT!B43&lt;&gt;"",FT!B43*100,"")</f>
        <v>0.427616</v>
      </c>
      <c r="H43" s="61">
        <f t="shared" si="1"/>
        <v>1</v>
      </c>
      <c r="I43" t="str">
        <f>IF(FT!B43&lt;&gt;"",FT!E43,"")</f>
        <v>1 [16.641442]</v>
      </c>
      <c r="J43">
        <f>IF(FT!B43&lt;&gt;"",FT!C43,"")</f>
        <v>16.641400000000001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115891</v>
      </c>
      <c r="D44" s="61">
        <f>FH!B44*1</f>
        <v>115891</v>
      </c>
      <c r="E44">
        <f t="shared" si="3"/>
        <v>42</v>
      </c>
      <c r="F44" s="61">
        <f>IF(FT!A44&lt;&gt;"",FT!A44*10,"")</f>
        <v>3.64011</v>
      </c>
      <c r="G44" s="61">
        <f>IF(FT!B44&lt;&gt;"",FT!B44*100,"")</f>
        <v>0.13070999999999999</v>
      </c>
      <c r="H44" s="61">
        <f t="shared" si="1"/>
        <v>1</v>
      </c>
      <c r="I44" t="str">
        <f>IF(FT!B44&lt;&gt;"",FT!E44,"")</f>
        <v>1 [17.044624]</v>
      </c>
      <c r="J44">
        <f>IF(FT!B44&lt;&gt;"",FT!C44,"")</f>
        <v>17.044599999999999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3.64045</v>
      </c>
      <c r="G45" s="61">
        <f>IF(FT!B45&lt;&gt;"",FT!B45*100,"")</f>
        <v>0</v>
      </c>
      <c r="H45" s="61">
        <f t="shared" si="1"/>
        <v>1</v>
      </c>
      <c r="I45" t="str">
        <f>IF(FT!B45&lt;&gt;"",FT!E45,"")</f>
        <v>1 [17.451563]</v>
      </c>
      <c r="J45">
        <f>IF(FT!B45&lt;&gt;"",FT!C45,"")</f>
        <v>17.451599999999999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116703</v>
      </c>
      <c r="D46" s="61">
        <f>FH!B46*1</f>
        <v>116703</v>
      </c>
      <c r="E46">
        <f t="shared" si="3"/>
        <v>44</v>
      </c>
      <c r="F46" s="61">
        <f>IF(FT!A46&lt;&gt;"",FT!A46*10,"")</f>
        <v>3.63992</v>
      </c>
      <c r="G46" s="61">
        <f>IF(FT!B46&lt;&gt;"",FT!B46*100,"")</f>
        <v>0</v>
      </c>
      <c r="H46" s="61">
        <f t="shared" si="1"/>
        <v>1</v>
      </c>
      <c r="I46" t="str">
        <f>IF(FT!B46&lt;&gt;"",FT!E46,"")</f>
        <v>1 [17.856683]</v>
      </c>
      <c r="J46">
        <f>IF(FT!B46&lt;&gt;"",FT!C46,"")</f>
        <v>17.8567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3.6328800000000001</v>
      </c>
      <c r="G47" s="61">
        <f>IF(FT!B47&lt;&gt;"",FT!B47*100,"")</f>
        <v>0</v>
      </c>
      <c r="H47" s="61">
        <f t="shared" si="1"/>
        <v>1</v>
      </c>
      <c r="I47" t="str">
        <f>IF(FT!B47&lt;&gt;"",FT!E47,"")</f>
        <v>1 [18.261386]</v>
      </c>
      <c r="J47">
        <f>IF(FT!B47&lt;&gt;"",FT!C47,"")</f>
        <v>18.261399999999998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3.6253700000000002</v>
      </c>
      <c r="G48" s="61">
        <f>IF(FT!B48&lt;&gt;"",FT!B48*100,"")</f>
        <v>0</v>
      </c>
      <c r="H48" s="61">
        <f t="shared" si="1"/>
        <v>1</v>
      </c>
      <c r="I48" t="str">
        <f>IF(FT!B48&lt;&gt;"",FT!E48,"")</f>
        <v>1 [18.666369]</v>
      </c>
      <c r="J48">
        <f>IF(FT!B48&lt;&gt;"",FT!C48,"")</f>
        <v>18.666399999999999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109801</v>
      </c>
      <c r="D49" s="61">
        <f>FH!B49*1</f>
        <v>109801</v>
      </c>
      <c r="E49">
        <f t="shared" si="3"/>
        <v>47</v>
      </c>
      <c r="F49" s="61">
        <f>IF(FT!A49&lt;&gt;"",FT!A49*10,"")</f>
        <v>3.6174400000000002</v>
      </c>
      <c r="G49" s="61">
        <f>IF(FT!B49&lt;&gt;"",FT!B49*100,"")</f>
        <v>0</v>
      </c>
      <c r="H49" s="61">
        <f t="shared" si="1"/>
        <v>1</v>
      </c>
      <c r="I49" t="str">
        <f>IF(FT!B49&lt;&gt;"",FT!E49,"")</f>
        <v>1 [19.074193]</v>
      </c>
      <c r="J49">
        <f>IF(FT!B49&lt;&gt;"",FT!C49,"")</f>
        <v>19.074200000000001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3.6134300000000001</v>
      </c>
      <c r="G50" s="61">
        <f>IF(FT!B50&lt;&gt;"",FT!B50*100,"")</f>
        <v>0</v>
      </c>
      <c r="H50" s="61">
        <f t="shared" si="1"/>
        <v>1</v>
      </c>
      <c r="I50" t="str">
        <f>IF(FT!B50&lt;&gt;"",FT!E50,"")</f>
        <v>1 [19.481194]</v>
      </c>
      <c r="J50">
        <f>IF(FT!B50&lt;&gt;"",FT!C50,"")</f>
        <v>19.481200000000001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107561</v>
      </c>
      <c r="D51" s="61">
        <f>FH!B51*1</f>
        <v>107561</v>
      </c>
      <c r="E51">
        <f t="shared" si="3"/>
        <v>49</v>
      </c>
      <c r="F51" s="61">
        <f>IF(FT!A51&lt;&gt;"",FT!A51*10,"")</f>
        <v>3.6088900000000002</v>
      </c>
      <c r="G51" s="61">
        <f>IF(FT!B51&lt;&gt;"",FT!B51*100,"")</f>
        <v>0</v>
      </c>
      <c r="H51" s="61">
        <f t="shared" si="1"/>
        <v>1</v>
      </c>
      <c r="I51" t="str">
        <f>IF(FT!B51&lt;&gt;"",FT!E51,"")</f>
        <v>1 [19.889227]</v>
      </c>
      <c r="J51">
        <f>IF(FT!B51&lt;&gt;"",FT!C51,"")</f>
        <v>19.889199999999999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3.6057699999999997</v>
      </c>
      <c r="G52" s="61">
        <f>IF(FT!B52&lt;&gt;"",FT!B52*100,"")</f>
        <v>0</v>
      </c>
      <c r="H52" s="61">
        <f t="shared" si="1"/>
        <v>1</v>
      </c>
      <c r="I52" t="str">
        <f>IF(FT!B52&lt;&gt;"",FT!E52,"")</f>
        <v>1 [20.290988]</v>
      </c>
      <c r="J52">
        <f>IF(FT!B52&lt;&gt;"",FT!C52,"")</f>
        <v>20.291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3.6002000000000001</v>
      </c>
      <c r="G53" s="61">
        <f>IF(FT!B53&lt;&gt;"",FT!B53*100,"")</f>
        <v>0</v>
      </c>
      <c r="H53" s="61">
        <f t="shared" si="1"/>
        <v>1</v>
      </c>
      <c r="I53" t="str">
        <f>IF(FT!B53&lt;&gt;"",FT!E53,"")</f>
        <v>1 [20.700073]</v>
      </c>
      <c r="J53">
        <f>IF(FT!B53&lt;&gt;"",FT!C53,"")</f>
        <v>20.700099999999999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102042</v>
      </c>
      <c r="D54" s="61">
        <f>FH!B54*1</f>
        <v>102042</v>
      </c>
      <c r="E54">
        <f t="shared" si="3"/>
        <v>52</v>
      </c>
      <c r="F54" s="61">
        <f>IF(FT!A54&lt;&gt;"",FT!A54*10,"")</f>
        <v>3.5886400000000003</v>
      </c>
      <c r="G54" s="61">
        <f>IF(FT!B54&lt;&gt;"",FT!B54*100,"")</f>
        <v>0</v>
      </c>
      <c r="H54" s="61">
        <f t="shared" si="1"/>
        <v>1</v>
      </c>
      <c r="I54" t="str">
        <f>IF(FT!B54&lt;&gt;"",FT!E54,"")</f>
        <v>1 [21.104801]</v>
      </c>
      <c r="J54">
        <f>IF(FT!B54&lt;&gt;"",FT!C54,"")</f>
        <v>21.104800000000001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3.5752199999999998</v>
      </c>
      <c r="G55" s="61">
        <f>IF(FT!B55&lt;&gt;"",FT!B55*100,"")</f>
        <v>0</v>
      </c>
      <c r="H55" s="61">
        <f t="shared" si="1"/>
        <v>1</v>
      </c>
      <c r="I55" t="str">
        <f>IF(FT!B55&lt;&gt;"",FT!E55,"")</f>
        <v>1 [21.514675]</v>
      </c>
      <c r="J55">
        <f>IF(FT!B55&lt;&gt;"",FT!C55,"")</f>
        <v>21.514700000000001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3.5590300000000004</v>
      </c>
      <c r="G56" s="61">
        <f>IF(FT!B56&lt;&gt;"",FT!B56*100,"")</f>
        <v>0</v>
      </c>
      <c r="H56" s="61">
        <f t="shared" si="1"/>
        <v>1</v>
      </c>
      <c r="I56" t="str">
        <f>IF(FT!B56&lt;&gt;"",FT!E56,"")</f>
        <v>1 [21.920587]</v>
      </c>
      <c r="J56">
        <f>IF(FT!B56&lt;&gt;"",FT!C56,"")</f>
        <v>21.9206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101145</v>
      </c>
      <c r="D57" s="61">
        <f>FH!B57*1</f>
        <v>101145</v>
      </c>
      <c r="E57">
        <f t="shared" si="3"/>
        <v>55</v>
      </c>
      <c r="F57" s="61">
        <f>IF(FT!A57&lt;&gt;"",FT!A57*10,"")</f>
        <v>3.5412500000000002</v>
      </c>
      <c r="G57" s="61">
        <f>IF(FT!B57&lt;&gt;"",FT!B57*100,"")</f>
        <v>0</v>
      </c>
      <c r="H57" s="61">
        <f t="shared" si="1"/>
        <v>1</v>
      </c>
      <c r="I57" t="str">
        <f>IF(FT!B57&lt;&gt;"",FT!E57,"")</f>
        <v>1 [22.323720]</v>
      </c>
      <c r="J57">
        <f>IF(FT!B57&lt;&gt;"",FT!C57,"")</f>
        <v>22.323699999999999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3.5192899999999998</v>
      </c>
      <c r="G58" s="61">
        <f>IF(FT!B58&lt;&gt;"",FT!B58*100,"")</f>
        <v>0</v>
      </c>
      <c r="H58" s="61">
        <f t="shared" si="1"/>
        <v>1</v>
      </c>
      <c r="I58" t="str">
        <f>IF(FT!B58&lt;&gt;"",FT!E58,"")</f>
        <v>1 [22.730434]</v>
      </c>
      <c r="J58">
        <f>IF(FT!B58&lt;&gt;"",FT!C58,"")</f>
        <v>22.730399999999999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91871</v>
      </c>
      <c r="D59" s="61">
        <f>FH!B59*1</f>
        <v>91871</v>
      </c>
      <c r="E59">
        <f t="shared" si="3"/>
        <v>57</v>
      </c>
      <c r="F59" s="61">
        <f>IF(FT!A59&lt;&gt;"",FT!A59*10,"")</f>
        <v>3.4943400000000002</v>
      </c>
      <c r="G59" s="61">
        <f>IF(FT!B59&lt;&gt;"",FT!B59*100,"")</f>
        <v>0</v>
      </c>
      <c r="H59" s="61">
        <f t="shared" si="1"/>
        <v>1</v>
      </c>
      <c r="I59" t="str">
        <f>IF(FT!B59&lt;&gt;"",FT!E59,"")</f>
        <v>1 [23.139675]</v>
      </c>
      <c r="J59">
        <f>IF(FT!B59&lt;&gt;"",FT!C59,"")</f>
        <v>23.139700000000001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3.4670099999999997</v>
      </c>
      <c r="G60" s="61">
        <f>IF(FT!B60&lt;&gt;"",FT!B60*100,"")</f>
        <v>0</v>
      </c>
      <c r="H60" s="61">
        <f t="shared" si="1"/>
        <v>1</v>
      </c>
      <c r="I60" t="str">
        <f>IF(FT!B60&lt;&gt;"",FT!E60,"")</f>
        <v>1 [23.543240]</v>
      </c>
      <c r="J60">
        <f>IF(FT!B60&lt;&gt;"",FT!C60,"")</f>
        <v>23.543199999999999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3.4375</v>
      </c>
      <c r="G61" s="61">
        <f>IF(FT!B61&lt;&gt;"",FT!B61*100,"")</f>
        <v>0</v>
      </c>
      <c r="H61" s="61">
        <f t="shared" si="1"/>
        <v>1</v>
      </c>
      <c r="I61" t="str">
        <f>IF(FT!B61&lt;&gt;"",FT!E61,"")</f>
        <v>1 [23.948616]</v>
      </c>
      <c r="J61">
        <f>IF(FT!B61&lt;&gt;"",FT!C61,"")</f>
        <v>23.948599999999999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81187</v>
      </c>
      <c r="D62" s="61">
        <f>FH!B62*1</f>
        <v>81187</v>
      </c>
      <c r="E62">
        <f t="shared" si="3"/>
        <v>60</v>
      </c>
      <c r="F62" s="61">
        <f>IF(FT!A62&lt;&gt;"",FT!A62*10,"")</f>
        <v>3.4084199999999996</v>
      </c>
      <c r="G62" s="61">
        <f>IF(FT!B62&lt;&gt;"",FT!B62*100,"")</f>
        <v>0</v>
      </c>
      <c r="H62" s="61">
        <f t="shared" si="1"/>
        <v>1</v>
      </c>
      <c r="I62" t="str">
        <f>IF(FT!B62&lt;&gt;"",FT!E62,"")</f>
        <v>1 [24.358314]</v>
      </c>
      <c r="J62">
        <f>IF(FT!B62&lt;&gt;"",FT!C62,"")</f>
        <v>24.3583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3.3739000000000003</v>
      </c>
      <c r="G63" s="61">
        <f>IF(FT!B63&lt;&gt;"",FT!B63*100,"")</f>
        <v>0</v>
      </c>
      <c r="H63" s="61">
        <f t="shared" si="1"/>
        <v>1</v>
      </c>
      <c r="I63" t="str">
        <f>IF(FT!B63&lt;&gt;"",FT!E63,"")</f>
        <v>1 [24.764006]</v>
      </c>
      <c r="J63">
        <f>IF(FT!B63&lt;&gt;"",FT!C63,"")</f>
        <v>24.763999999999999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75625</v>
      </c>
      <c r="D64" s="61">
        <f>FH!B64*1</f>
        <v>75625</v>
      </c>
      <c r="E64">
        <f t="shared" si="3"/>
        <v>62</v>
      </c>
      <c r="F64" s="61">
        <f>IF(FT!A64&lt;&gt;"",FT!A64*10,"")</f>
        <v>3.3522600000000002</v>
      </c>
      <c r="G64" s="61">
        <f>IF(FT!B64&lt;&gt;"",FT!B64*100,"")</f>
        <v>0</v>
      </c>
      <c r="H64" s="61">
        <f t="shared" si="1"/>
        <v>1</v>
      </c>
      <c r="I64" t="str">
        <f>IF(FT!B64&lt;&gt;"",FT!E64,"")</f>
        <v>1 [25.168882]</v>
      </c>
      <c r="J64">
        <f>IF(FT!B64&lt;&gt;"",FT!C64,"")</f>
        <v>25.168900000000001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3.3116400000000001</v>
      </c>
      <c r="G65" s="61">
        <f>IF(FT!B65&lt;&gt;"",FT!B65*100,"")</f>
        <v>0</v>
      </c>
      <c r="H65" s="61">
        <f t="shared" si="1"/>
        <v>1</v>
      </c>
      <c r="I65" t="str">
        <f>IF(FT!B65&lt;&gt;"",FT!E65,"")</f>
        <v>1 [25.575731]</v>
      </c>
      <c r="J65">
        <f>IF(FT!B65&lt;&gt;"",FT!C65,"")</f>
        <v>25.575700000000001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3.2864300000000002</v>
      </c>
      <c r="G66" s="61">
        <f>IF(FT!B66&lt;&gt;"",FT!B66*100,"")</f>
        <v>0</v>
      </c>
      <c r="H66" s="61">
        <f t="shared" si="1"/>
        <v>1</v>
      </c>
      <c r="I66" t="str">
        <f>IF(FT!B66&lt;&gt;"",FT!E66,"")</f>
        <v>1 [25.979925]</v>
      </c>
      <c r="J66">
        <f>IF(FT!B66&lt;&gt;"",FT!C66,"")</f>
        <v>25.979900000000001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68096</v>
      </c>
      <c r="D67" s="61">
        <f>FH!B67*1</f>
        <v>68096</v>
      </c>
      <c r="E67">
        <f t="shared" si="3"/>
        <v>65</v>
      </c>
      <c r="F67" s="61">
        <f>IF(FT!A67&lt;&gt;"",FT!A67*10,"")</f>
        <v>3.2544499999999998</v>
      </c>
      <c r="G67" s="61">
        <f>IF(FT!B67&lt;&gt;"",FT!B67*100,"")</f>
        <v>0</v>
      </c>
      <c r="H67" s="61">
        <f t="shared" ref="H67:H130" si="9">(IF(F67&lt;&gt;"",1,""))</f>
        <v>1</v>
      </c>
      <c r="I67" t="str">
        <f>IF(FT!B67&lt;&gt;"",FT!E67,"")</f>
        <v>1 [26.389890]</v>
      </c>
      <c r="J67">
        <f>IF(FT!B67&lt;&gt;"",FT!C67,"")</f>
        <v>26.389900000000001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3.2214499999999999</v>
      </c>
      <c r="G68" s="61">
        <f>IF(FT!B68&lt;&gt;"",FT!B68*100,"")</f>
        <v>0</v>
      </c>
      <c r="H68" s="61">
        <f t="shared" si="9"/>
        <v>1</v>
      </c>
      <c r="I68" t="str">
        <f>IF(FT!B68&lt;&gt;"",FT!E68,"")</f>
        <v>1 [26.791564]</v>
      </c>
      <c r="J68">
        <f>IF(FT!B68&lt;&gt;"",FT!C68,"")</f>
        <v>26.791599999999999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59254</v>
      </c>
      <c r="D69" s="61">
        <f>FH!B69*1</f>
        <v>59254</v>
      </c>
      <c r="E69">
        <f t="shared" si="11"/>
        <v>67</v>
      </c>
      <c r="F69" s="61">
        <f>IF(FT!A69&lt;&gt;"",FT!A69*10,"")</f>
        <v>3.1863200000000003</v>
      </c>
      <c r="G69" s="61">
        <f>IF(FT!B69&lt;&gt;"",FT!B69*100,"")</f>
        <v>0</v>
      </c>
      <c r="H69" s="61">
        <f t="shared" si="9"/>
        <v>1</v>
      </c>
      <c r="I69" t="str">
        <f>IF(FT!B69&lt;&gt;"",FT!E69,"")</f>
        <v>1 [27.200516]</v>
      </c>
      <c r="J69">
        <f>IF(FT!B69&lt;&gt;"",FT!C69,"")</f>
        <v>27.200500000000002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3.1529099999999999</v>
      </c>
      <c r="G70" s="61">
        <f>IF(FT!B70&lt;&gt;"",FT!B70*100,"")</f>
        <v>0</v>
      </c>
      <c r="H70" s="61">
        <f t="shared" si="9"/>
        <v>1</v>
      </c>
      <c r="I70" t="str">
        <f>IF(FT!B70&lt;&gt;"",FT!E70,"")</f>
        <v>1 [27.605435]</v>
      </c>
      <c r="J70">
        <f>IF(FT!B70&lt;&gt;"",FT!C70,"")</f>
        <v>27.605399999999999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3.12012</v>
      </c>
      <c r="G71" s="61">
        <f>IF(FT!B71&lt;&gt;"",FT!B71*100,"")</f>
        <v>0</v>
      </c>
      <c r="H71" s="61">
        <f t="shared" si="9"/>
        <v>1</v>
      </c>
      <c r="I71" t="str">
        <f>IF(FT!B71&lt;&gt;"",FT!E71,"")</f>
        <v>1 [28.010381]</v>
      </c>
      <c r="J71">
        <f>IF(FT!B71&lt;&gt;"",FT!C71,"")</f>
        <v>28.010400000000001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56628</v>
      </c>
      <c r="D72" s="61">
        <f>FH!B72*1</f>
        <v>56628</v>
      </c>
      <c r="E72">
        <f t="shared" si="11"/>
        <v>70</v>
      </c>
      <c r="F72" s="61">
        <f>IF(FT!A72&lt;&gt;"",FT!A72*10,"")</f>
        <v>3.08846</v>
      </c>
      <c r="G72" s="61">
        <f>IF(FT!B72&lt;&gt;"",FT!B72*100,"")</f>
        <v>0</v>
      </c>
      <c r="H72" s="61">
        <f t="shared" si="9"/>
        <v>1</v>
      </c>
      <c r="I72" t="str">
        <f>IF(FT!B72&lt;&gt;"",FT!E72,"")</f>
        <v>1 [28.418223]</v>
      </c>
      <c r="J72">
        <f>IF(FT!B72&lt;&gt;"",FT!C72,"")</f>
        <v>28.418199999999999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3.0565100000000003</v>
      </c>
      <c r="G73" s="61">
        <f>IF(FT!B73&lt;&gt;"",FT!B73*100,"")</f>
        <v>0</v>
      </c>
      <c r="H73" s="61">
        <f t="shared" si="9"/>
        <v>1</v>
      </c>
      <c r="I73" t="str">
        <f>IF(FT!B73&lt;&gt;"",FT!E73,"")</f>
        <v>1 [28.823319]</v>
      </c>
      <c r="J73">
        <f>IF(FT!B73&lt;&gt;"",FT!C73,"")</f>
        <v>28.8233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3.0262199999999999</v>
      </c>
      <c r="G74" s="61">
        <f>IF(FT!B74&lt;&gt;"",FT!B74*100,"")</f>
        <v>0</v>
      </c>
      <c r="H74" s="61">
        <f t="shared" si="9"/>
        <v>1</v>
      </c>
      <c r="I74" t="str">
        <f>IF(FT!B74&lt;&gt;"",FT!E74,"")</f>
        <v>1 [29.234079]</v>
      </c>
      <c r="J74">
        <f>IF(FT!B74&lt;&gt;"",FT!C74,"")</f>
        <v>29.234100000000002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49713</v>
      </c>
      <c r="D75" s="61">
        <f>FH!B75*1</f>
        <v>49713</v>
      </c>
      <c r="E75">
        <f t="shared" si="11"/>
        <v>73</v>
      </c>
      <c r="F75" s="61">
        <f>IF(FT!A75&lt;&gt;"",FT!A75*10,"")</f>
        <v>2.9855300000000002</v>
      </c>
      <c r="G75" s="61">
        <f>IF(FT!B75&lt;&gt;"",FT!B75*100,"")</f>
        <v>0.65006300000000006</v>
      </c>
      <c r="H75" s="61">
        <f t="shared" si="9"/>
        <v>1</v>
      </c>
      <c r="I75" t="str">
        <f>IF(FT!B75&lt;&gt;"",FT!E75,"")</f>
        <v>1 [29.636939]</v>
      </c>
      <c r="J75">
        <f>IF(FT!B75&lt;&gt;"",FT!C75,"")</f>
        <v>29.636900000000001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2.9502600000000001</v>
      </c>
      <c r="G76" s="61">
        <f>IF(FT!B76&lt;&gt;"",FT!B76*100,"")</f>
        <v>1.7261499999999999</v>
      </c>
      <c r="H76" s="61">
        <f t="shared" si="9"/>
        <v>1</v>
      </c>
      <c r="I76" t="str">
        <f>IF(FT!B76&lt;&gt;"",FT!E76,"")</f>
        <v>1 [30.044617]</v>
      </c>
      <c r="J76">
        <f>IF(FT!B76&lt;&gt;"",FT!C76,"")</f>
        <v>30.044599999999999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48007</v>
      </c>
      <c r="D77" s="61">
        <f>FH!B77*1</f>
        <v>48007</v>
      </c>
      <c r="E77">
        <f t="shared" si="11"/>
        <v>75</v>
      </c>
      <c r="F77" s="61">
        <f>IF(FT!A77&lt;&gt;"",FT!A77*10,"")</f>
        <v>2.9146899999999998</v>
      </c>
      <c r="G77" s="61">
        <f>IF(FT!B77&lt;&gt;"",FT!B77*100,"")</f>
        <v>2.8598599999999998</v>
      </c>
      <c r="H77" s="61">
        <f t="shared" si="9"/>
        <v>1</v>
      </c>
      <c r="I77" t="str">
        <f>IF(FT!B77&lt;&gt;"",FT!E77,"")</f>
        <v>2 [30.608341]</v>
      </c>
      <c r="J77">
        <f>IF(FT!B77&lt;&gt;"",FT!C77,"")</f>
        <v>30.6083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2.87859</v>
      </c>
      <c r="G78" s="61">
        <f>IF(FT!B78&lt;&gt;"",FT!B78*100,"")</f>
        <v>4.08866</v>
      </c>
      <c r="H78" s="61">
        <f t="shared" si="9"/>
        <v>1</v>
      </c>
      <c r="I78" t="str">
        <f>IF(FT!B78&lt;&gt;"",FT!E78,"")</f>
        <v>2 [30.984367]</v>
      </c>
      <c r="J78">
        <f>IF(FT!B78&lt;&gt;"",FT!C78,"")</f>
        <v>30.984400000000001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2.8486199999999999</v>
      </c>
      <c r="G79" s="61">
        <f>IF(FT!B79&lt;&gt;"",FT!B79*100,"")</f>
        <v>5.4434700000000005</v>
      </c>
      <c r="H79" s="61">
        <f t="shared" si="9"/>
        <v>1</v>
      </c>
      <c r="I79" t="str">
        <f>IF(FT!B79&lt;&gt;"",FT!E79,"")</f>
        <v>2 [31.357395]</v>
      </c>
      <c r="J79">
        <f>IF(FT!B79&lt;&gt;"",FT!C79,"")</f>
        <v>31.357399999999998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45736</v>
      </c>
      <c r="D80" s="61">
        <f>FH!B80*1</f>
        <v>45736</v>
      </c>
      <c r="E80">
        <f t="shared" si="11"/>
        <v>78</v>
      </c>
      <c r="F80" s="61">
        <f>IF(FT!A80&lt;&gt;"",FT!A80*10,"")</f>
        <v>2.82355</v>
      </c>
      <c r="G80" s="61">
        <f>IF(FT!B80&lt;&gt;"",FT!B80*100,"")</f>
        <v>6.9027000000000003</v>
      </c>
      <c r="H80" s="61">
        <f t="shared" si="9"/>
        <v>1</v>
      </c>
      <c r="I80" t="str">
        <f>IF(FT!B80&lt;&gt;"",FT!E80,"")</f>
        <v>2 [31.734233]</v>
      </c>
      <c r="J80">
        <f>IF(FT!B80&lt;&gt;"",FT!C80,"")</f>
        <v>31.734200000000001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2.8024399999999998</v>
      </c>
      <c r="G81" s="61">
        <f>IF(FT!B81&lt;&gt;"",FT!B81*100,"")</f>
        <v>8.2510300000000001</v>
      </c>
      <c r="H81" s="61">
        <f t="shared" si="9"/>
        <v>1</v>
      </c>
      <c r="I81" t="str">
        <f>IF(FT!B81&lt;&gt;"",FT!E81,"")</f>
        <v>2 [32.125345]</v>
      </c>
      <c r="J81">
        <f>IF(FT!B81&lt;&gt;"",FT!C81,"")</f>
        <v>32.125300000000003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48849</v>
      </c>
      <c r="D82" s="61">
        <f>FH!B82*1</f>
        <v>48849</v>
      </c>
      <c r="E82">
        <f t="shared" si="11"/>
        <v>80</v>
      </c>
      <c r="F82" s="61">
        <f>IF(FT!A82&lt;&gt;"",FT!A82*10,"")</f>
        <v>2.7815499999999997</v>
      </c>
      <c r="G82" s="61">
        <f>IF(FT!B82&lt;&gt;"",FT!B82*100,"")</f>
        <v>9.5291499999999996</v>
      </c>
      <c r="H82" s="61">
        <f t="shared" si="9"/>
        <v>1</v>
      </c>
      <c r="I82" t="str">
        <f>IF(FT!B82&lt;&gt;"",FT!E82,"")</f>
        <v>2 [32.529169]</v>
      </c>
      <c r="J82">
        <f>IF(FT!B82&lt;&gt;"",FT!C82,"")</f>
        <v>32.529200000000003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2.7612199999999998</v>
      </c>
      <c r="G83" s="61">
        <f>IF(FT!B83&lt;&gt;"",FT!B83*100,"")</f>
        <v>10.7379</v>
      </c>
      <c r="H83" s="61">
        <f t="shared" si="9"/>
        <v>1</v>
      </c>
      <c r="I83" t="str">
        <f>IF(FT!B83&lt;&gt;"",FT!E83,"")</f>
        <v>2 [32.934055]</v>
      </c>
      <c r="J83">
        <f>IF(FT!B83&lt;&gt;"",FT!C83,"")</f>
        <v>32.934100000000001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2.7405600000000003</v>
      </c>
      <c r="G84" s="61">
        <f>IF(FT!B84&lt;&gt;"",FT!B84*100,"")</f>
        <v>11.812200000000001</v>
      </c>
      <c r="H84" s="61">
        <f t="shared" si="9"/>
        <v>1</v>
      </c>
      <c r="I84" t="str">
        <f>IF(FT!B84&lt;&gt;"",FT!E84,"")</f>
        <v>2 [33.343943]</v>
      </c>
      <c r="J84">
        <f>IF(FT!B84&lt;&gt;"",FT!C84,"")</f>
        <v>33.343899999999998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49981</v>
      </c>
      <c r="D85" s="61">
        <f>FH!B85*1</f>
        <v>49981</v>
      </c>
      <c r="E85">
        <f t="shared" si="11"/>
        <v>83</v>
      </c>
      <c r="F85" s="61">
        <f>IF(FT!A85&lt;&gt;"",FT!A85*10,"")</f>
        <v>2.7212900000000002</v>
      </c>
      <c r="G85" s="61">
        <f>IF(FT!B85&lt;&gt;"",FT!B85*100,"")</f>
        <v>12.782499999999999</v>
      </c>
      <c r="H85" s="61">
        <f t="shared" si="9"/>
        <v>1</v>
      </c>
      <c r="I85" t="str">
        <f>IF(FT!B85&lt;&gt;"",FT!E85,"")</f>
        <v>2 [33.750863]</v>
      </c>
      <c r="J85">
        <f>IF(FT!B85&lt;&gt;"",FT!C85,"")</f>
        <v>33.750900000000001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2.7028300000000001</v>
      </c>
      <c r="G86" s="61">
        <f>IF(FT!B86&lt;&gt;"",FT!B86*100,"")</f>
        <v>13.706399999999999</v>
      </c>
      <c r="H86" s="61">
        <f t="shared" si="9"/>
        <v>1</v>
      </c>
      <c r="I86" t="str">
        <f>IF(FT!B86&lt;&gt;"",FT!E86,"")</f>
        <v>2 [34.150828]</v>
      </c>
      <c r="J86">
        <f>IF(FT!B86&lt;&gt;"",FT!C86,"")</f>
        <v>34.150799999999997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2.6854200000000001</v>
      </c>
      <c r="G87" s="61">
        <f>IF(FT!B87&lt;&gt;"",FT!B87*100,"")</f>
        <v>14.577300000000001</v>
      </c>
      <c r="H87" s="61">
        <f t="shared" si="9"/>
        <v>1</v>
      </c>
      <c r="I87" t="str">
        <f>IF(FT!B87&lt;&gt;"",FT!E87,"")</f>
        <v>2 [34.562667]</v>
      </c>
      <c r="J87">
        <f>IF(FT!B87&lt;&gt;"",FT!C87,"")</f>
        <v>34.5627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47296</v>
      </c>
      <c r="D88" s="61">
        <f>FH!B88*1</f>
        <v>47296</v>
      </c>
      <c r="E88">
        <f t="shared" si="11"/>
        <v>86</v>
      </c>
      <c r="F88" s="61">
        <f>IF(FT!A88&lt;&gt;"",FT!A88*10,"")</f>
        <v>2.6674199999999999</v>
      </c>
      <c r="G88" s="61">
        <f>IF(FT!B88&lt;&gt;"",FT!B88*100,"")</f>
        <v>15.4299</v>
      </c>
      <c r="H88" s="61">
        <f t="shared" si="9"/>
        <v>1</v>
      </c>
      <c r="I88" t="str">
        <f>IF(FT!B88&lt;&gt;"",FT!E88,"")</f>
        <v>2 [34.964655]</v>
      </c>
      <c r="J88">
        <f>IF(FT!B88&lt;&gt;"",FT!C88,"")</f>
        <v>34.964700000000001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2.6511400000000003</v>
      </c>
      <c r="G89" s="61">
        <f>IF(FT!B89&lt;&gt;"",FT!B89*100,"")</f>
        <v>16.242999999999999</v>
      </c>
      <c r="H89" s="61">
        <f t="shared" si="9"/>
        <v>1</v>
      </c>
      <c r="I89" t="str">
        <f>IF(FT!B89&lt;&gt;"",FT!E89,"")</f>
        <v>2 [35.371665]</v>
      </c>
      <c r="J89">
        <f>IF(FT!B89&lt;&gt;"",FT!C89,"")</f>
        <v>35.371699999999997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44364</v>
      </c>
      <c r="D90" s="61">
        <f>FH!B90*1</f>
        <v>44364</v>
      </c>
      <c r="E90">
        <f t="shared" si="11"/>
        <v>88</v>
      </c>
      <c r="F90" s="61">
        <f>IF(FT!A90&lt;&gt;"",FT!A90*10,"")</f>
        <v>2.6365799999999999</v>
      </c>
      <c r="G90" s="61">
        <f>IF(FT!B90&lt;&gt;"",FT!B90*100,"")</f>
        <v>16.945</v>
      </c>
      <c r="H90" s="61">
        <f t="shared" si="9"/>
        <v>1</v>
      </c>
      <c r="I90" t="str">
        <f>IF(FT!B90&lt;&gt;"",FT!E90,"")</f>
        <v>2 [35.782416]</v>
      </c>
      <c r="J90">
        <f>IF(FT!B90&lt;&gt;"",FT!C90,"")</f>
        <v>35.782400000000003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2.6220300000000001</v>
      </c>
      <c r="G91" s="61">
        <f>IF(FT!B91&lt;&gt;"",FT!B91*100,"")</f>
        <v>17.4495</v>
      </c>
      <c r="H91" s="61">
        <f t="shared" si="9"/>
        <v>1</v>
      </c>
      <c r="I91" t="str">
        <f>IF(FT!B91&lt;&gt;"",FT!E91,"")</f>
        <v>2 [36.186346]</v>
      </c>
      <c r="J91">
        <f>IF(FT!B91&lt;&gt;"",FT!C91,"")</f>
        <v>36.186300000000003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2.6066799999999999</v>
      </c>
      <c r="G92" s="61">
        <f>IF(FT!B92&lt;&gt;"",FT!B92*100,"")</f>
        <v>17.921500000000002</v>
      </c>
      <c r="H92" s="61">
        <f t="shared" si="9"/>
        <v>1</v>
      </c>
      <c r="I92" t="str">
        <f>IF(FT!B92&lt;&gt;"",FT!E92,"")</f>
        <v>2 [36.591320]</v>
      </c>
      <c r="J92">
        <f>IF(FT!B92&lt;&gt;"",FT!C92,"")</f>
        <v>36.591299999999997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41234</v>
      </c>
      <c r="D93" s="61">
        <f>FH!B93*1</f>
        <v>41234</v>
      </c>
      <c r="E93">
        <f t="shared" si="11"/>
        <v>91</v>
      </c>
      <c r="F93" s="61">
        <f>IF(FT!A93&lt;&gt;"",FT!A93*10,"")</f>
        <v>2.5934400000000002</v>
      </c>
      <c r="G93" s="61">
        <f>IF(FT!B93&lt;&gt;"",FT!B93*100,"")</f>
        <v>18.313099999999999</v>
      </c>
      <c r="H93" s="61">
        <f t="shared" si="9"/>
        <v>1</v>
      </c>
      <c r="I93" t="str">
        <f>IF(FT!B93&lt;&gt;"",FT!E93,"")</f>
        <v>2 [36.994167]</v>
      </c>
      <c r="J93">
        <f>IF(FT!B93&lt;&gt;"",FT!C93,"")</f>
        <v>36.994199999999999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2.5804</v>
      </c>
      <c r="G94" s="61">
        <f>IF(FT!B94&lt;&gt;"",FT!B94*100,"")</f>
        <v>18.697400000000002</v>
      </c>
      <c r="H94" s="61">
        <f t="shared" si="9"/>
        <v>1</v>
      </c>
      <c r="I94" t="str">
        <f>IF(FT!B94&lt;&gt;"",FT!E94,"")</f>
        <v>2 [37.399741]</v>
      </c>
      <c r="J94">
        <f>IF(FT!B94&lt;&gt;"",FT!C94,"")</f>
        <v>37.399700000000003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33298</v>
      </c>
      <c r="D95" s="61">
        <f>FH!B95*1</f>
        <v>33298</v>
      </c>
      <c r="E95">
        <f t="shared" si="11"/>
        <v>93</v>
      </c>
      <c r="F95" s="61">
        <f>IF(FT!A95&lt;&gt;"",FT!A95*10,"")</f>
        <v>2.5659300000000003</v>
      </c>
      <c r="G95" s="61">
        <f>IF(FT!B95&lt;&gt;"",FT!B95*100,"")</f>
        <v>19.1082</v>
      </c>
      <c r="H95" s="61">
        <f t="shared" si="9"/>
        <v>1</v>
      </c>
      <c r="I95" t="str">
        <f>IF(FT!B95&lt;&gt;"",FT!E95,"")</f>
        <v>2 [37.809076]</v>
      </c>
      <c r="J95">
        <f>IF(FT!B95&lt;&gt;"",FT!C95,"")</f>
        <v>37.809100000000001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2.55145</v>
      </c>
      <c r="G96" s="61">
        <f>IF(FT!B96&lt;&gt;"",FT!B96*100,"")</f>
        <v>19.485399999999998</v>
      </c>
      <c r="H96" s="61">
        <f t="shared" si="9"/>
        <v>1</v>
      </c>
      <c r="I96" t="str">
        <f>IF(FT!B96&lt;&gt;"",FT!E96,"")</f>
        <v>2 [38.216887]</v>
      </c>
      <c r="J96">
        <f>IF(FT!B96&lt;&gt;"",FT!C96,"")</f>
        <v>38.216900000000003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2.5377699999999996</v>
      </c>
      <c r="G97" s="61">
        <f>IF(FT!B97&lt;&gt;"",FT!B97*100,"")</f>
        <v>19.795400000000001</v>
      </c>
      <c r="H97" s="61">
        <f t="shared" si="9"/>
        <v>1</v>
      </c>
      <c r="I97" t="str">
        <f>IF(FT!B97&lt;&gt;"",FT!E97,"")</f>
        <v>2 [38.620830]</v>
      </c>
      <c r="J97">
        <f>IF(FT!B97&lt;&gt;"",FT!C97,"")</f>
        <v>38.620800000000003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32923</v>
      </c>
      <c r="D98" s="61">
        <f>FH!B98*1</f>
        <v>32923</v>
      </c>
      <c r="E98">
        <f t="shared" si="11"/>
        <v>96</v>
      </c>
      <c r="F98" s="61">
        <f>IF(FT!A98&lt;&gt;"",FT!A98*10,"")</f>
        <v>2.5252999999999997</v>
      </c>
      <c r="G98" s="61">
        <f>IF(FT!B98&lt;&gt;"",FT!B98*100,"")</f>
        <v>20.007000000000001</v>
      </c>
      <c r="H98" s="61">
        <f t="shared" si="9"/>
        <v>1</v>
      </c>
      <c r="I98" t="str">
        <f>IF(FT!B98&lt;&gt;"",FT!E98,"")</f>
        <v>2 [39.028795]</v>
      </c>
      <c r="J98">
        <f>IF(FT!B98&lt;&gt;"",FT!C98,"")</f>
        <v>39.028799999999997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2.5133299999999998</v>
      </c>
      <c r="G99" s="61">
        <f>IF(FT!B99&lt;&gt;"",FT!B99*100,"")</f>
        <v>20.202400000000001</v>
      </c>
      <c r="H99" s="61">
        <f t="shared" si="9"/>
        <v>1</v>
      </c>
      <c r="I99" t="str">
        <f>IF(FT!B99&lt;&gt;"",FT!E99,"")</f>
        <v>2 [39.437653]</v>
      </c>
      <c r="J99">
        <f>IF(FT!B99&lt;&gt;"",FT!C99,"")</f>
        <v>39.4377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26766</v>
      </c>
      <c r="D100" s="61">
        <f>FH!B100*1</f>
        <v>26766</v>
      </c>
      <c r="E100">
        <f t="shared" si="11"/>
        <v>98</v>
      </c>
      <c r="F100" s="61">
        <f>IF(FT!A100&lt;&gt;"",FT!A100*10,"")</f>
        <v>2.5044200000000001</v>
      </c>
      <c r="G100" s="61">
        <f>IF(FT!B100&lt;&gt;"",FT!B100*100,"")</f>
        <v>20.240500000000001</v>
      </c>
      <c r="H100" s="61">
        <f t="shared" si="9"/>
        <v>1</v>
      </c>
      <c r="I100" t="str">
        <f>IF(FT!B100&lt;&gt;"",FT!E100,"")</f>
        <v>2 [39.843557]</v>
      </c>
      <c r="J100">
        <f>IF(FT!B100&lt;&gt;"",FT!C100,"")</f>
        <v>39.843600000000002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2.4963500000000001</v>
      </c>
      <c r="G101" s="61">
        <f>IF(FT!B101&lt;&gt;"",FT!B101*100,"")</f>
        <v>20.2043</v>
      </c>
      <c r="H101" s="61">
        <f t="shared" si="9"/>
        <v>1</v>
      </c>
      <c r="I101" t="str">
        <f>IF(FT!B101&lt;&gt;"",FT!E101,"")</f>
        <v>2 [40.245654]</v>
      </c>
      <c r="J101">
        <f>IF(FT!B101&lt;&gt;"",FT!C101,"")</f>
        <v>40.245699999999999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2.4877500000000001</v>
      </c>
      <c r="G102" s="61">
        <f>IF(FT!B102&lt;&gt;"",FT!B102*100,"")</f>
        <v>20.183</v>
      </c>
      <c r="H102" s="61">
        <f t="shared" si="9"/>
        <v>1</v>
      </c>
      <c r="I102" t="str">
        <f>IF(FT!B102&lt;&gt;"",FT!E102,"")</f>
        <v>2 [40.653481]</v>
      </c>
      <c r="J102">
        <f>IF(FT!B102&lt;&gt;"",FT!C102,"")</f>
        <v>40.653500000000001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28593</v>
      </c>
      <c r="D103" s="61">
        <f>FH!B103*1</f>
        <v>28593</v>
      </c>
      <c r="E103">
        <f t="shared" si="11"/>
        <v>101</v>
      </c>
      <c r="F103" s="61">
        <f>IF(FT!A103&lt;&gt;"",FT!A103*10,"")</f>
        <v>2.48034</v>
      </c>
      <c r="G103" s="61">
        <f>IF(FT!B103&lt;&gt;"",FT!B103*100,"")</f>
        <v>20.016000000000002</v>
      </c>
      <c r="H103" s="61">
        <f t="shared" si="9"/>
        <v>1</v>
      </c>
      <c r="I103" t="str">
        <f>IF(FT!B103&lt;&gt;"",FT!E103,"")</f>
        <v>2 [41.062346]</v>
      </c>
      <c r="J103">
        <f>IF(FT!B103&lt;&gt;"",FT!C103,"")</f>
        <v>41.0623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2.47228</v>
      </c>
      <c r="G104" s="61">
        <f>IF(FT!B104&lt;&gt;"",FT!B104*100,"")</f>
        <v>19.851600000000001</v>
      </c>
      <c r="H104" s="61">
        <f t="shared" si="9"/>
        <v>1</v>
      </c>
      <c r="I104" t="str">
        <f>IF(FT!B104&lt;&gt;"",FT!E104,"")</f>
        <v>2 [41.463269]</v>
      </c>
      <c r="J104">
        <f>IF(FT!B104&lt;&gt;"",FT!C104,"")</f>
        <v>41.463299999999997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2.46698</v>
      </c>
      <c r="G105" s="61">
        <f>IF(FT!B105&lt;&gt;"",FT!B105*100,"")</f>
        <v>19.5015</v>
      </c>
      <c r="H105" s="61">
        <f t="shared" si="9"/>
        <v>1</v>
      </c>
      <c r="I105" t="str">
        <f>IF(FT!B105&lt;&gt;"",FT!E105,"")</f>
        <v>2 [41.873401]</v>
      </c>
      <c r="J105">
        <f>IF(FT!B105&lt;&gt;"",FT!C105,"")</f>
        <v>41.873399999999997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31665</v>
      </c>
      <c r="D106" s="61">
        <f>FH!B106*1</f>
        <v>31665</v>
      </c>
      <c r="E106">
        <f t="shared" si="11"/>
        <v>104</v>
      </c>
      <c r="F106" s="61">
        <f>IF(FT!A106&lt;&gt;"",FT!A106*10,"")</f>
        <v>2.4623900000000001</v>
      </c>
      <c r="G106" s="61">
        <f>IF(FT!B106&lt;&gt;"",FT!B106*100,"")</f>
        <v>19.0977</v>
      </c>
      <c r="H106" s="61">
        <f t="shared" si="9"/>
        <v>1</v>
      </c>
      <c r="I106" t="str">
        <f>IF(FT!B106&lt;&gt;"",FT!E106,"")</f>
        <v>2 [42.279904]</v>
      </c>
      <c r="J106">
        <f>IF(FT!B106&lt;&gt;"",FT!C106,"")</f>
        <v>42.279899999999998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2.4607399999999999</v>
      </c>
      <c r="G107" s="61">
        <f>IF(FT!B107&lt;&gt;"",FT!B107*100,"")</f>
        <v>18.619299999999999</v>
      </c>
      <c r="H107" s="61">
        <f t="shared" si="9"/>
        <v>1</v>
      </c>
      <c r="I107" t="str">
        <f>IF(FT!B107&lt;&gt;"",FT!E107,"")</f>
        <v>2 [42.683198]</v>
      </c>
      <c r="J107">
        <f>IF(FT!B107&lt;&gt;"",FT!C107,"")</f>
        <v>42.683199999999999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30274</v>
      </c>
      <c r="D108" s="61">
        <f>FH!B108*1</f>
        <v>30274</v>
      </c>
      <c r="E108">
        <f t="shared" si="11"/>
        <v>106</v>
      </c>
      <c r="F108" s="61">
        <f>IF(FT!A108&lt;&gt;"",FT!A108*10,"")</f>
        <v>2.46109</v>
      </c>
      <c r="G108" s="61">
        <f>IF(FT!B108&lt;&gt;"",FT!B108*100,"")</f>
        <v>18.028600000000001</v>
      </c>
      <c r="H108" s="61">
        <f t="shared" si="9"/>
        <v>1</v>
      </c>
      <c r="I108" t="str">
        <f>IF(FT!B108&lt;&gt;"",FT!E108,"")</f>
        <v>2 [43.090023]</v>
      </c>
      <c r="J108">
        <f>IF(FT!B108&lt;&gt;"",FT!C108,"")</f>
        <v>43.09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2.46244</v>
      </c>
      <c r="G109" s="61">
        <f>IF(FT!B109&lt;&gt;"",FT!B109*100,"")</f>
        <v>17.519100000000002</v>
      </c>
      <c r="H109" s="61">
        <f t="shared" si="9"/>
        <v>1</v>
      </c>
      <c r="I109" t="str">
        <f>IF(FT!B109&lt;&gt;"",FT!E109,"")</f>
        <v>2 [43.494805]</v>
      </c>
      <c r="J109">
        <f>IF(FT!B109&lt;&gt;"",FT!C109,"")</f>
        <v>43.494799999999998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2.4653499999999999</v>
      </c>
      <c r="G110" s="61">
        <f>IF(FT!B110&lt;&gt;"",FT!B110*100,"")</f>
        <v>17.083599999999997</v>
      </c>
      <c r="H110" s="61">
        <f t="shared" si="9"/>
        <v>1</v>
      </c>
      <c r="I110" t="str">
        <f>IF(FT!B110&lt;&gt;"",FT!E110,"")</f>
        <v>2 [43.905917]</v>
      </c>
      <c r="J110">
        <f>IF(FT!B110&lt;&gt;"",FT!C110,"")</f>
        <v>43.905900000000003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29966</v>
      </c>
      <c r="D111" s="61">
        <f>FH!B111*1</f>
        <v>29966</v>
      </c>
      <c r="E111">
        <f t="shared" si="11"/>
        <v>109</v>
      </c>
      <c r="F111" s="61">
        <f>IF(FT!A111&lt;&gt;"",FT!A111*10,"")</f>
        <v>2.4698099999999998</v>
      </c>
      <c r="G111" s="61">
        <f>IF(FT!B111&lt;&gt;"",FT!B111*100,"")</f>
        <v>16.607900000000001</v>
      </c>
      <c r="H111" s="61">
        <f t="shared" si="9"/>
        <v>1</v>
      </c>
      <c r="I111" t="str">
        <f>IF(FT!B111&lt;&gt;"",FT!E111,"")</f>
        <v>2 [44.307655]</v>
      </c>
      <c r="J111">
        <f>IF(FT!B111&lt;&gt;"",FT!C111,"")</f>
        <v>44.307699999999997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2.4753600000000002</v>
      </c>
      <c r="G112" s="61">
        <f>IF(FT!B112&lt;&gt;"",FT!B112*100,"")</f>
        <v>16.186700000000002</v>
      </c>
      <c r="H112" s="61">
        <f t="shared" si="9"/>
        <v>1</v>
      </c>
      <c r="I112" t="str">
        <f>IF(FT!B112&lt;&gt;"",FT!E112,"")</f>
        <v>2 [44.717640]</v>
      </c>
      <c r="J112">
        <f>IF(FT!B112&lt;&gt;"",FT!C112,"")</f>
        <v>44.717599999999997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29621</v>
      </c>
      <c r="D113" s="61">
        <f>FH!B113*1</f>
        <v>29621</v>
      </c>
      <c r="E113">
        <f t="shared" si="11"/>
        <v>111</v>
      </c>
      <c r="F113" s="61">
        <f>IF(FT!A113&lt;&gt;"",FT!A113*10,"")</f>
        <v>2.4827300000000001</v>
      </c>
      <c r="G113" s="61">
        <f>IF(FT!B113&lt;&gt;"",FT!B113*100,"")</f>
        <v>15.732399999999998</v>
      </c>
      <c r="H113" s="61">
        <f t="shared" si="9"/>
        <v>1</v>
      </c>
      <c r="I113" t="str">
        <f>IF(FT!B113&lt;&gt;"",FT!E113,"")</f>
        <v>2 [45.122613]</v>
      </c>
      <c r="J113">
        <f>IF(FT!B113&lt;&gt;"",FT!C113,"")</f>
        <v>45.122599999999998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2.4887699999999997</v>
      </c>
      <c r="G114" s="61">
        <f>IF(FT!B114&lt;&gt;"",FT!B114*100,"")</f>
        <v>15.367900000000001</v>
      </c>
      <c r="H114" s="61">
        <f t="shared" si="9"/>
        <v>1</v>
      </c>
      <c r="I114" t="str">
        <f>IF(FT!B114&lt;&gt;"",FT!E114,"")</f>
        <v>2 [45.526427]</v>
      </c>
      <c r="J114">
        <f>IF(FT!B114&lt;&gt;"",FT!C114,"")</f>
        <v>45.526400000000002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2.49878</v>
      </c>
      <c r="G115" s="61">
        <f>IF(FT!B115&lt;&gt;"",FT!B115*100,"")</f>
        <v>14.871300000000002</v>
      </c>
      <c r="H115" s="61">
        <f t="shared" si="9"/>
        <v>1</v>
      </c>
      <c r="I115" t="str">
        <f>IF(FT!B115&lt;&gt;"",FT!E115,"")</f>
        <v>2 [45.935453]</v>
      </c>
      <c r="J115">
        <f>IF(FT!B115&lt;&gt;"",FT!C115,"")</f>
        <v>45.935499999999998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29243</v>
      </c>
      <c r="D116" s="61">
        <f>FH!B116*1</f>
        <v>29243</v>
      </c>
      <c r="E116">
        <f t="shared" si="11"/>
        <v>114</v>
      </c>
      <c r="F116" s="61">
        <f>IF(FT!A116&lt;&gt;"",FT!A116*10,"")</f>
        <v>2.5113999999999996</v>
      </c>
      <c r="G116" s="61">
        <f>IF(FT!B116&lt;&gt;"",FT!B116*100,"")</f>
        <v>14.5223</v>
      </c>
      <c r="H116" s="61">
        <f t="shared" si="9"/>
        <v>1</v>
      </c>
      <c r="I116" t="str">
        <f>IF(FT!B116&lt;&gt;"",FT!E116,"")</f>
        <v>2 [46.339487]</v>
      </c>
      <c r="J116">
        <f>IF(FT!B116&lt;&gt;"",FT!C116,"")</f>
        <v>46.339500000000001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2.5290499999999998</v>
      </c>
      <c r="G117" s="61">
        <f>IF(FT!B117&lt;&gt;"",FT!B117*100,"")</f>
        <v>14.1126</v>
      </c>
      <c r="H117" s="61">
        <f t="shared" si="9"/>
        <v>1</v>
      </c>
      <c r="I117" t="str">
        <f>IF(FT!B117&lt;&gt;"",FT!E117,"")</f>
        <v>2 [46.747330]</v>
      </c>
      <c r="J117">
        <f>IF(FT!B117&lt;&gt;"",FT!C117,"")</f>
        <v>46.747300000000003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25474</v>
      </c>
      <c r="D118" s="61">
        <f>FH!B118*1</f>
        <v>25474</v>
      </c>
      <c r="E118">
        <f t="shared" si="11"/>
        <v>116</v>
      </c>
      <c r="F118" s="61">
        <f>IF(FT!A118&lt;&gt;"",FT!A118*10,"")</f>
        <v>2.5496799999999995</v>
      </c>
      <c r="G118" s="61">
        <f>IF(FT!B118&lt;&gt;"",FT!B118*100,"")</f>
        <v>13.742699999999999</v>
      </c>
      <c r="H118" s="61">
        <f t="shared" si="9"/>
        <v>1</v>
      </c>
      <c r="I118" t="str">
        <f>IF(FT!B118&lt;&gt;"",FT!E118,"")</f>
        <v>2 [47.153044]</v>
      </c>
      <c r="J118">
        <f>IF(FT!B118&lt;&gt;"",FT!C118,"")</f>
        <v>47.152999999999999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2.5728400000000002</v>
      </c>
      <c r="G119" s="61">
        <f>IF(FT!B119&lt;&gt;"",FT!B119*100,"")</f>
        <v>13.3538</v>
      </c>
      <c r="H119" s="61">
        <f t="shared" si="9"/>
        <v>1</v>
      </c>
      <c r="I119" t="str">
        <f>IF(FT!B119&lt;&gt;"",FT!E119,"")</f>
        <v>2 [47.562967]</v>
      </c>
      <c r="J119">
        <f>IF(FT!B119&lt;&gt;"",FT!C119,"")</f>
        <v>47.563000000000002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2.5996000000000001</v>
      </c>
      <c r="G120" s="61">
        <f>IF(FT!B120&lt;&gt;"",FT!B120*100,"")</f>
        <v>12.975100000000001</v>
      </c>
      <c r="H120" s="61">
        <f t="shared" si="9"/>
        <v>1</v>
      </c>
      <c r="I120" t="str">
        <f>IF(FT!B120&lt;&gt;"",FT!E120,"")</f>
        <v>2 [47.965851]</v>
      </c>
      <c r="J120">
        <f>IF(FT!B120&lt;&gt;"",FT!C120,"")</f>
        <v>47.965899999999998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28019</v>
      </c>
      <c r="D121" s="61">
        <f>FH!B121*1</f>
        <v>28019</v>
      </c>
      <c r="E121">
        <f t="shared" si="11"/>
        <v>119</v>
      </c>
      <c r="F121" s="61">
        <f>IF(FT!A121&lt;&gt;"",FT!A121*10,"")</f>
        <v>2.6284900000000002</v>
      </c>
      <c r="G121" s="61">
        <f>IF(FT!B121&lt;&gt;"",FT!B121*100,"")</f>
        <v>12.658099999999999</v>
      </c>
      <c r="H121" s="61">
        <f t="shared" si="9"/>
        <v>1</v>
      </c>
      <c r="I121" t="str">
        <f>IF(FT!B121&lt;&gt;"",FT!E121,"")</f>
        <v>2 [48.371730]</v>
      </c>
      <c r="J121">
        <f>IF(FT!B121&lt;&gt;"",FT!C121,"")</f>
        <v>48.371699999999997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2.6593099999999996</v>
      </c>
      <c r="G122" s="61">
        <f>IF(FT!B122&lt;&gt;"",FT!B122*100,"")</f>
        <v>12.4314</v>
      </c>
      <c r="H122" s="61">
        <f t="shared" si="9"/>
        <v>1</v>
      </c>
      <c r="I122" t="str">
        <f>IF(FT!B122&lt;&gt;"",FT!E122,"")</f>
        <v>2 [48.779855]</v>
      </c>
      <c r="J122">
        <f>IF(FT!B122&lt;&gt;"",FT!C122,"")</f>
        <v>48.779899999999998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2.6930999999999998</v>
      </c>
      <c r="G123" s="61">
        <f>IF(FT!B123&lt;&gt;"",FT!B123*100,"")</f>
        <v>12.1229</v>
      </c>
      <c r="H123" s="61">
        <f t="shared" si="9"/>
        <v>1</v>
      </c>
      <c r="I123" t="str">
        <f>IF(FT!B123&lt;&gt;"",FT!E123,"")</f>
        <v>2 [49.182556]</v>
      </c>
      <c r="J123">
        <f>IF(FT!B123&lt;&gt;"",FT!C123,"")</f>
        <v>49.182600000000001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29660</v>
      </c>
      <c r="D124" s="61">
        <f>FH!B124*1</f>
        <v>29660</v>
      </c>
      <c r="E124">
        <f t="shared" si="11"/>
        <v>122</v>
      </c>
      <c r="F124" s="61">
        <f>IF(FT!A124&lt;&gt;"",FT!A124*10,"")</f>
        <v>2.7272099999999999</v>
      </c>
      <c r="G124" s="61">
        <f>IF(FT!B124&lt;&gt;"",FT!B124*100,"")</f>
        <v>11.8142</v>
      </c>
      <c r="H124" s="61">
        <f t="shared" si="9"/>
        <v>1</v>
      </c>
      <c r="I124" t="str">
        <f>IF(FT!B124&lt;&gt;"",FT!E124,"")</f>
        <v>2 [49.589270]</v>
      </c>
      <c r="J124">
        <f>IF(FT!B124&lt;&gt;"",FT!C124,"")</f>
        <v>49.589300000000001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2.7628200000000005</v>
      </c>
      <c r="G125" s="61">
        <f>IF(FT!B125&lt;&gt;"",FT!B125*100,"")</f>
        <v>11.4674</v>
      </c>
      <c r="H125" s="61">
        <f t="shared" si="9"/>
        <v>1</v>
      </c>
      <c r="I125" t="str">
        <f>IF(FT!B125&lt;&gt;"",FT!E125,"")</f>
        <v>2 [49.995585]</v>
      </c>
      <c r="J125">
        <f>IF(FT!B125&lt;&gt;"",FT!C125,"")</f>
        <v>49.995600000000003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31024</v>
      </c>
      <c r="D126" s="61">
        <f>FH!B126*1</f>
        <v>31024</v>
      </c>
      <c r="E126">
        <f t="shared" si="11"/>
        <v>124</v>
      </c>
      <c r="F126" s="61">
        <f>IF(FT!A126&lt;&gt;"",FT!A126*10,"")</f>
        <v>2.7907599999999997</v>
      </c>
      <c r="G126" s="61">
        <f>IF(FT!B126&lt;&gt;"",FT!B126*100,"")</f>
        <v>11.1814</v>
      </c>
      <c r="H126" s="61">
        <f t="shared" si="9"/>
        <v>1</v>
      </c>
      <c r="I126" t="str">
        <f>IF(FT!B126&lt;&gt;"",FT!E126,"")</f>
        <v>2 [50.403308]</v>
      </c>
      <c r="J126">
        <f>IF(FT!B126&lt;&gt;"",FT!C126,"")</f>
        <v>50.403300000000002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2.8105500000000001</v>
      </c>
      <c r="G127" s="61">
        <f>IF(FT!B127&lt;&gt;"",FT!B127*100,"")</f>
        <v>10.917300000000001</v>
      </c>
      <c r="H127" s="61">
        <f t="shared" si="9"/>
        <v>1</v>
      </c>
      <c r="I127" t="str">
        <f>IF(FT!B127&lt;&gt;"",FT!E127,"")</f>
        <v>2 [50.811440]</v>
      </c>
      <c r="J127">
        <f>IF(FT!B127&lt;&gt;"",FT!C127,"")</f>
        <v>50.811399999999999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2.8311799999999998</v>
      </c>
      <c r="G128" s="61">
        <f>IF(FT!B128&lt;&gt;"",FT!B128*100,"")</f>
        <v>10.7278</v>
      </c>
      <c r="H128" s="61">
        <f t="shared" si="9"/>
        <v>1</v>
      </c>
      <c r="I128" t="str">
        <f>IF(FT!B128&lt;&gt;"",FT!E128,"")</f>
        <v>2 [51.217201]</v>
      </c>
      <c r="J128">
        <f>IF(FT!B128&lt;&gt;"",FT!C128,"")</f>
        <v>51.217199999999998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29967</v>
      </c>
      <c r="D129" s="61">
        <f>FH!B129*1</f>
        <v>29967</v>
      </c>
      <c r="E129">
        <f t="shared" si="11"/>
        <v>127</v>
      </c>
      <c r="F129" s="61">
        <f>IF(FT!A129&lt;&gt;"",FT!A129*10,"")</f>
        <v>2.8529200000000001</v>
      </c>
      <c r="G129" s="61">
        <f>IF(FT!B129&lt;&gt;"",FT!B129*100,"")</f>
        <v>10.578099999999999</v>
      </c>
      <c r="H129" s="61">
        <f t="shared" si="9"/>
        <v>1</v>
      </c>
      <c r="I129" t="str">
        <f>IF(FT!B129&lt;&gt;"",FT!E129,"")</f>
        <v>2 [51.625170]</v>
      </c>
      <c r="J129">
        <f>IF(FT!B129&lt;&gt;"",FT!C129,"")</f>
        <v>51.6252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2.8726000000000003</v>
      </c>
      <c r="G130" s="61">
        <f>IF(FT!B130&lt;&gt;"",FT!B130*100,"")</f>
        <v>10.571</v>
      </c>
      <c r="H130" s="61">
        <f t="shared" si="9"/>
        <v>1</v>
      </c>
      <c r="I130" t="str">
        <f>IF(FT!B130&lt;&gt;"",FT!E130,"")</f>
        <v>2 [52.027992]</v>
      </c>
      <c r="J130">
        <f>IF(FT!B130&lt;&gt;"",FT!C130,"")</f>
        <v>52.027999999999999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33940</v>
      </c>
      <c r="D131" s="61">
        <f>FH!B131*1</f>
        <v>33940</v>
      </c>
      <c r="E131">
        <f t="shared" si="11"/>
        <v>129</v>
      </c>
      <c r="F131" s="61">
        <f>IF(FT!A131&lt;&gt;"",FT!A131*10,"")</f>
        <v>2.8918700000000004</v>
      </c>
      <c r="G131" s="61">
        <f>IF(FT!B131&lt;&gt;"",FT!B131*100,"")</f>
        <v>10.649100000000001</v>
      </c>
      <c r="H131" s="61">
        <f t="shared" ref="H131:H194" si="13">(IF(F131&lt;&gt;"",1,""))</f>
        <v>1</v>
      </c>
      <c r="I131" t="str">
        <f>IF(FT!B131&lt;&gt;"",FT!E131,"")</f>
        <v>2 [52.432922]</v>
      </c>
      <c r="J131">
        <f>IF(FT!B131&lt;&gt;"",FT!C131,"")</f>
        <v>52.432899999999997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2.90984</v>
      </c>
      <c r="G132" s="61">
        <f>IF(FT!B132&lt;&gt;"",FT!B132*100,"")</f>
        <v>10.739600000000001</v>
      </c>
      <c r="H132" s="61">
        <f t="shared" si="13"/>
        <v>1</v>
      </c>
      <c r="I132" t="str">
        <f>IF(FT!B132&lt;&gt;"",FT!E132,"")</f>
        <v>2 [52.839987]</v>
      </c>
      <c r="J132">
        <f>IF(FT!B132&lt;&gt;"",FT!C132,"")</f>
        <v>52.84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2.9267500000000002</v>
      </c>
      <c r="G133" s="61">
        <f>IF(FT!B133&lt;&gt;"",FT!B133*100,"")</f>
        <v>10.939</v>
      </c>
      <c r="H133" s="61">
        <f t="shared" si="13"/>
        <v>1</v>
      </c>
      <c r="I133" t="str">
        <f>IF(FT!B133&lt;&gt;"",FT!E133,"")</f>
        <v>2 [53.245989]</v>
      </c>
      <c r="J133">
        <f>IF(FT!B133&lt;&gt;"",FT!C133,"")</f>
        <v>53.246000000000002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32335</v>
      </c>
      <c r="D134" s="61">
        <f>FH!B134*1</f>
        <v>32335</v>
      </c>
      <c r="E134">
        <f t="shared" si="15"/>
        <v>132</v>
      </c>
      <c r="F134" s="61">
        <f>IF(FT!A134&lt;&gt;"",FT!A134*10,"")</f>
        <v>2.9469499999999997</v>
      </c>
      <c r="G134" s="61">
        <f>IF(FT!B134&lt;&gt;"",FT!B134*100,"")</f>
        <v>11.032599999999999</v>
      </c>
      <c r="H134" s="61">
        <f t="shared" si="13"/>
        <v>1</v>
      </c>
      <c r="I134" t="str">
        <f>IF(FT!B134&lt;&gt;"",FT!E134,"")</f>
        <v>2 [53.654723]</v>
      </c>
      <c r="J134">
        <f>IF(FT!B134&lt;&gt;"",FT!C134,"")</f>
        <v>53.654699999999998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2.9653600000000004</v>
      </c>
      <c r="G135" s="61">
        <f>IF(FT!B135&lt;&gt;"",FT!B135*100,"")</f>
        <v>11.04</v>
      </c>
      <c r="H135" s="61">
        <f t="shared" si="13"/>
        <v>1</v>
      </c>
      <c r="I135" t="str">
        <f>IF(FT!B135&lt;&gt;"",FT!E135,"")</f>
        <v>2 [54.061632]</v>
      </c>
      <c r="J135">
        <f>IF(FT!B135&lt;&gt;"",FT!C135,"")</f>
        <v>54.061599999999999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33179</v>
      </c>
      <c r="D136" s="61">
        <f>FH!B136*1</f>
        <v>33179</v>
      </c>
      <c r="E136">
        <f t="shared" si="15"/>
        <v>134</v>
      </c>
      <c r="F136" s="61">
        <f>IF(FT!A136&lt;&gt;"",FT!A136*10,"")</f>
        <v>2.9816500000000001</v>
      </c>
      <c r="G136" s="61">
        <f>IF(FT!B136&lt;&gt;"",FT!B136*100,"")</f>
        <v>11.1008</v>
      </c>
      <c r="H136" s="61">
        <f t="shared" si="13"/>
        <v>1</v>
      </c>
      <c r="I136" t="str">
        <f>IF(FT!B136&lt;&gt;"",FT!E136,"")</f>
        <v>2 [54.463520]</v>
      </c>
      <c r="J136">
        <f>IF(FT!B136&lt;&gt;"",FT!C136,"")</f>
        <v>54.463500000000003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2.9961799999999998</v>
      </c>
      <c r="G137" s="61">
        <f>IF(FT!B137&lt;&gt;"",FT!B137*100,"")</f>
        <v>11.130800000000001</v>
      </c>
      <c r="H137" s="61">
        <f t="shared" si="13"/>
        <v>1</v>
      </c>
      <c r="I137" t="str">
        <f>IF(FT!B137&lt;&gt;"",FT!E137,"")</f>
        <v>2 [54.871497]</v>
      </c>
      <c r="J137">
        <f>IF(FT!B137&lt;&gt;"",FT!C137,"")</f>
        <v>54.871499999999997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3.0091099999999997</v>
      </c>
      <c r="G138" s="61">
        <f>IF(FT!B138&lt;&gt;"",FT!B138*100,"")</f>
        <v>11.1937</v>
      </c>
      <c r="H138" s="61">
        <f t="shared" si="13"/>
        <v>1</v>
      </c>
      <c r="I138" t="str">
        <f>IF(FT!B138&lt;&gt;"",FT!E138,"")</f>
        <v>2 [55.278389]</v>
      </c>
      <c r="J138">
        <f>IF(FT!B138&lt;&gt;"",FT!C138,"")</f>
        <v>55.278399999999998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40436</v>
      </c>
      <c r="D139" s="61">
        <f>FH!B139*1</f>
        <v>40436</v>
      </c>
      <c r="E139">
        <f t="shared" si="15"/>
        <v>137</v>
      </c>
      <c r="F139" s="61">
        <f>IF(FT!A139&lt;&gt;"",FT!A139*10,"")</f>
        <v>3.0245600000000001</v>
      </c>
      <c r="G139" s="61">
        <f>IF(FT!B139&lt;&gt;"",FT!B139*100,"")</f>
        <v>11.254799999999999</v>
      </c>
      <c r="H139" s="61">
        <f t="shared" si="13"/>
        <v>1</v>
      </c>
      <c r="I139" t="str">
        <f>IF(FT!B139&lt;&gt;"",FT!E139,"")</f>
        <v>2 [55.682371]</v>
      </c>
      <c r="J139">
        <f>IF(FT!B139&lt;&gt;"",FT!C139,"")</f>
        <v>55.682400000000001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3.0363199999999999</v>
      </c>
      <c r="G140" s="61">
        <f>IF(FT!B140&lt;&gt;"",FT!B140*100,"")</f>
        <v>11.5101</v>
      </c>
      <c r="H140" s="61">
        <f t="shared" si="13"/>
        <v>1</v>
      </c>
      <c r="I140" t="str">
        <f>IF(FT!B140&lt;&gt;"",FT!E140,"")</f>
        <v>2 [56.089891]</v>
      </c>
      <c r="J140">
        <f>IF(FT!B140&lt;&gt;"",FT!C140,"")</f>
        <v>56.0899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3.0481799999999999</v>
      </c>
      <c r="G141" s="61">
        <f>IF(FT!B141&lt;&gt;"",FT!B141*100,"")</f>
        <v>11.7433</v>
      </c>
      <c r="H141" s="61">
        <f t="shared" si="13"/>
        <v>1</v>
      </c>
      <c r="I141" t="str">
        <f>IF(FT!B141&lt;&gt;"",FT!E141,"")</f>
        <v>2 [56.495107]</v>
      </c>
      <c r="J141">
        <f>IF(FT!B141&lt;&gt;"",FT!C141,"")</f>
        <v>56.495100000000001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39382</v>
      </c>
      <c r="D142" s="61">
        <f>FH!B142*1</f>
        <v>39382</v>
      </c>
      <c r="E142">
        <f t="shared" si="15"/>
        <v>140</v>
      </c>
      <c r="F142" s="61">
        <f>IF(FT!A142&lt;&gt;"",FT!A142*10,"")</f>
        <v>3.0586099999999998</v>
      </c>
      <c r="G142" s="61">
        <f>IF(FT!B142&lt;&gt;"",FT!B142*100,"")</f>
        <v>12.1313</v>
      </c>
      <c r="H142" s="61">
        <f t="shared" si="13"/>
        <v>1</v>
      </c>
      <c r="I142" t="str">
        <f>IF(FT!B142&lt;&gt;"",FT!E142,"")</f>
        <v>2 [56.904075]</v>
      </c>
      <c r="J142">
        <f>IF(FT!B142&lt;&gt;"",FT!C142,"")</f>
        <v>56.9041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3.0692999999999997</v>
      </c>
      <c r="G143" s="61">
        <f>IF(FT!B143&lt;&gt;"",FT!B143*100,"")</f>
        <v>12.361499999999999</v>
      </c>
      <c r="H143" s="61">
        <f t="shared" si="13"/>
        <v>1</v>
      </c>
      <c r="I143" t="str">
        <f>IF(FT!B143&lt;&gt;"",FT!E143,"")</f>
        <v>2 [57.310005]</v>
      </c>
      <c r="J143">
        <f>IF(FT!B143&lt;&gt;"",FT!C143,"")</f>
        <v>57.31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43535</v>
      </c>
      <c r="D144" s="61">
        <f>FH!B144*1</f>
        <v>43535</v>
      </c>
      <c r="E144">
        <f t="shared" si="15"/>
        <v>142</v>
      </c>
      <c r="F144" s="61">
        <f>IF(FT!A144&lt;&gt;"",FT!A144*10,"")</f>
        <v>3.0818099999999999</v>
      </c>
      <c r="G144" s="61">
        <f>IF(FT!B144&lt;&gt;"",FT!B144*100,"")</f>
        <v>12.570700000000002</v>
      </c>
      <c r="H144" s="61">
        <f t="shared" si="13"/>
        <v>1</v>
      </c>
      <c r="I144" t="str">
        <f>IF(FT!B144&lt;&gt;"",FT!E144,"")</f>
        <v>2 [57.719823]</v>
      </c>
      <c r="J144">
        <f>IF(FT!B144&lt;&gt;"",FT!C144,"")</f>
        <v>57.719799999999999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3.0955700000000004</v>
      </c>
      <c r="G145" s="61">
        <f>IF(FT!B145&lt;&gt;"",FT!B145*100,"")</f>
        <v>12.801100000000002</v>
      </c>
      <c r="H145" s="61">
        <f t="shared" si="13"/>
        <v>1</v>
      </c>
      <c r="I145" t="str">
        <f>IF(FT!B145&lt;&gt;"",FT!E145,"")</f>
        <v>2 [58.120826]</v>
      </c>
      <c r="J145">
        <f>IF(FT!B145&lt;&gt;"",FT!C145,"")</f>
        <v>58.120800000000003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3.11313</v>
      </c>
      <c r="G146" s="61">
        <f>IF(FT!B146&lt;&gt;"",FT!B146*100,"")</f>
        <v>12.723899999999999</v>
      </c>
      <c r="H146" s="61">
        <f t="shared" si="13"/>
        <v>1</v>
      </c>
      <c r="I146" t="str">
        <f>IF(FT!B146&lt;&gt;"",FT!E146,"")</f>
        <v>2 [58.528705]</v>
      </c>
      <c r="J146">
        <f>IF(FT!B146&lt;&gt;"",FT!C146,"")</f>
        <v>58.528700000000001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40918</v>
      </c>
      <c r="D147" s="61">
        <f>FH!B147*1</f>
        <v>40918</v>
      </c>
      <c r="E147">
        <f t="shared" si="15"/>
        <v>145</v>
      </c>
      <c r="F147" s="61">
        <f>IF(FT!A147&lt;&gt;"",FT!A147*10,"")</f>
        <v>3.1324100000000001</v>
      </c>
      <c r="G147" s="61">
        <f>IF(FT!B147&lt;&gt;"",FT!B147*100,"")</f>
        <v>12.157999999999999</v>
      </c>
      <c r="H147" s="61">
        <f t="shared" si="13"/>
        <v>1</v>
      </c>
      <c r="I147" t="str">
        <f>IF(FT!B147&lt;&gt;"",FT!E147,"")</f>
        <v>2 [58.933543]</v>
      </c>
      <c r="J147">
        <f>IF(FT!B147&lt;&gt;"",FT!C147,"")</f>
        <v>58.933500000000002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3.1442399999999999</v>
      </c>
      <c r="G148" s="61">
        <f>IF(FT!B148&lt;&gt;"",FT!B148*100,"")</f>
        <v>11.898200000000001</v>
      </c>
      <c r="H148" s="61">
        <f t="shared" si="13"/>
        <v>1</v>
      </c>
      <c r="I148" t="str">
        <f>IF(FT!B148&lt;&gt;"",FT!E148,"")</f>
        <v>2 [59.341529]</v>
      </c>
      <c r="J148">
        <f>IF(FT!B148&lt;&gt;"",FT!C148,"")</f>
        <v>59.341500000000003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34524</v>
      </c>
      <c r="D149" s="61">
        <f>FH!B149*1</f>
        <v>34524</v>
      </c>
      <c r="E149">
        <f t="shared" si="15"/>
        <v>147</v>
      </c>
      <c r="F149" s="61">
        <f>IF(FT!A149&lt;&gt;"",FT!A149*10,"")</f>
        <v>3.1690899999999997</v>
      </c>
      <c r="G149" s="61">
        <f>IF(FT!B149&lt;&gt;"",FT!B149*100,"")</f>
        <v>11.234500000000001</v>
      </c>
      <c r="H149" s="61">
        <f t="shared" si="13"/>
        <v>1</v>
      </c>
      <c r="I149" t="str">
        <f>IF(FT!B149&lt;&gt;"",FT!E149,"")</f>
        <v>2 [59.746422]</v>
      </c>
      <c r="J149">
        <f>IF(FT!B149&lt;&gt;"",FT!C149,"")</f>
        <v>59.746400000000001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3.1849799999999999</v>
      </c>
      <c r="G150" s="61">
        <f>IF(FT!B150&lt;&gt;"",FT!B150*100,"")</f>
        <v>10.871699999999999</v>
      </c>
      <c r="H150" s="61">
        <f t="shared" si="13"/>
        <v>1</v>
      </c>
      <c r="I150" t="str">
        <f>IF(FT!B150&lt;&gt;"",FT!E150,"")</f>
        <v>2 [60.152321]</v>
      </c>
      <c r="J150">
        <f>IF(FT!B150&lt;&gt;"",FT!C150,"")</f>
        <v>60.152299999999997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30977</v>
      </c>
      <c r="D152" s="61">
        <f>FH!B152*1</f>
        <v>30977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34036</v>
      </c>
      <c r="D154" s="61">
        <f>FH!B154*1</f>
        <v>34036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36312</v>
      </c>
      <c r="D157" s="61">
        <f>FH!B157*1</f>
        <v>36312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35097</v>
      </c>
      <c r="D160" s="61">
        <f>FH!B160*1</f>
        <v>35097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27357</v>
      </c>
      <c r="D162" s="61">
        <f>FH!B162*1</f>
        <v>27357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23390</v>
      </c>
      <c r="D165" s="61">
        <f>FH!B165*1</f>
        <v>23390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23104</v>
      </c>
      <c r="D167" s="61">
        <f>FH!B167*1</f>
        <v>23104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21340</v>
      </c>
      <c r="D170" s="61">
        <f>FH!B170*1</f>
        <v>21340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18737</v>
      </c>
      <c r="D173" s="61">
        <f>FH!B173*1</f>
        <v>18737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19931</v>
      </c>
      <c r="D175" s="61">
        <f>FH!B175*1</f>
        <v>19931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19025</v>
      </c>
      <c r="D178" s="61">
        <f>FH!B178*1</f>
        <v>19025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15680</v>
      </c>
      <c r="D180" s="61">
        <f>FH!B180*1</f>
        <v>15680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14046</v>
      </c>
      <c r="D183" s="61">
        <f>FH!B183*1</f>
        <v>14046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12275</v>
      </c>
      <c r="D185" s="61">
        <f>FH!B185*1</f>
        <v>12275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10089</v>
      </c>
      <c r="D188" s="61">
        <f>FH!B188*1</f>
        <v>10089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6208</v>
      </c>
      <c r="D191" s="61">
        <f>FH!B191*1</f>
        <v>6208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6049</v>
      </c>
      <c r="D193" s="61">
        <f>FH!B193*1</f>
        <v>6049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3584</v>
      </c>
      <c r="D196" s="61">
        <f>FH!B196*1</f>
        <v>3584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4855</v>
      </c>
      <c r="D198" s="61">
        <f>FH!B198*1</f>
        <v>4855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2783</v>
      </c>
      <c r="D201" s="61">
        <f>FH!B201*1</f>
        <v>2783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2411</v>
      </c>
      <c r="D203" s="61">
        <f>FH!B203*1</f>
        <v>2411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2413</v>
      </c>
      <c r="D206" s="61">
        <f>FH!B206*1</f>
        <v>2413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1369</v>
      </c>
      <c r="D209" s="61">
        <f>FH!B209*1</f>
        <v>1369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42.051699999999997</v>
      </c>
      <c r="C5" s="66">
        <v>11.214399999999999</v>
      </c>
      <c r="D5" s="66">
        <v>26.668099999999999</v>
      </c>
      <c r="E5" s="66">
        <v>20</v>
      </c>
      <c r="F5" s="66">
        <v>7.1600299999999999</v>
      </c>
      <c r="G5" s="66">
        <v>50</v>
      </c>
      <c r="H5" s="66">
        <v>68.354200000000006</v>
      </c>
    </row>
    <row r="6" spans="1:8">
      <c r="A6" s="58" t="s">
        <v>303</v>
      </c>
      <c r="B6" s="66">
        <v>32.263100000000001</v>
      </c>
      <c r="C6" s="66">
        <v>4.1360700000000001</v>
      </c>
      <c r="D6" s="66">
        <v>12.819800000000001</v>
      </c>
      <c r="E6" s="66">
        <v>20</v>
      </c>
      <c r="F6" s="66">
        <v>24.143899999999999</v>
      </c>
      <c r="G6" s="66">
        <v>40</v>
      </c>
      <c r="H6" s="66">
        <v>45.458799999999997</v>
      </c>
    </row>
    <row r="7" spans="1:8">
      <c r="A7" s="58" t="s">
        <v>304</v>
      </c>
      <c r="B7" s="66">
        <v>23.023</v>
      </c>
      <c r="C7" s="66">
        <v>3.6551900000000002</v>
      </c>
      <c r="D7" s="66">
        <v>15.876300000000001</v>
      </c>
      <c r="E7" s="66">
        <v>15</v>
      </c>
      <c r="F7" s="66">
        <v>9.5369600000000005</v>
      </c>
      <c r="G7" s="66">
        <v>40</v>
      </c>
      <c r="H7" s="66">
        <v>34.870199999999997</v>
      </c>
    </row>
    <row r="8" spans="1:8">
      <c r="A8" s="58" t="s">
        <v>305</v>
      </c>
      <c r="B8" s="66">
        <v>31.386800000000001</v>
      </c>
      <c r="C8" s="66">
        <v>4.4525300000000003</v>
      </c>
      <c r="D8" s="66">
        <v>14.186</v>
      </c>
      <c r="E8" s="66">
        <v>20</v>
      </c>
      <c r="F8" s="66">
        <v>18.418299999999999</v>
      </c>
      <c r="G8" s="66">
        <v>50</v>
      </c>
      <c r="H8" s="66">
        <v>38.388599999999997</v>
      </c>
    </row>
    <row r="9" spans="1:8">
      <c r="A9" s="58" t="s">
        <v>306</v>
      </c>
      <c r="B9" s="66">
        <v>32.361800000000002</v>
      </c>
      <c r="C9" s="66">
        <v>9.6521000000000008</v>
      </c>
      <c r="D9" s="66">
        <v>29.825600000000001</v>
      </c>
      <c r="E9" s="66">
        <v>50</v>
      </c>
      <c r="F9" s="66">
        <v>19.107399999999998</v>
      </c>
      <c r="G9" s="66">
        <v>100</v>
      </c>
      <c r="H9" s="66">
        <v>68.545400000000001</v>
      </c>
    </row>
    <row r="10" spans="1:8">
      <c r="A10" s="58" t="s">
        <v>307</v>
      </c>
      <c r="B10" s="66">
        <v>60.447400000000002</v>
      </c>
      <c r="C10" s="66">
        <v>12.6303</v>
      </c>
      <c r="D10" s="66">
        <v>20.8947</v>
      </c>
      <c r="E10" s="66">
        <v>40</v>
      </c>
      <c r="F10" s="66">
        <v>48.789299999999997</v>
      </c>
      <c r="G10" s="66">
        <v>100</v>
      </c>
      <c r="H10" s="66">
        <v>83.261399999999995</v>
      </c>
    </row>
    <row r="11" spans="1:8">
      <c r="A11" s="58" t="s">
        <v>308</v>
      </c>
      <c r="B11" s="66">
        <v>10.113200000000001</v>
      </c>
      <c r="C11" s="66">
        <v>3.5700099999999999</v>
      </c>
      <c r="D11" s="66">
        <v>35.3003</v>
      </c>
      <c r="E11" s="66">
        <v>10</v>
      </c>
      <c r="F11" s="66">
        <v>3.4965799999999998</v>
      </c>
      <c r="G11" s="66">
        <v>50</v>
      </c>
      <c r="H11" s="66">
        <v>17.3813</v>
      </c>
    </row>
    <row r="12" spans="1:8">
      <c r="A12" s="58" t="s">
        <v>309</v>
      </c>
      <c r="B12" s="66">
        <v>50.275599999999997</v>
      </c>
      <c r="C12" s="66">
        <v>6.2610799999999998</v>
      </c>
      <c r="D12" s="66">
        <v>12.4535</v>
      </c>
      <c r="E12" s="66">
        <v>50</v>
      </c>
      <c r="F12" s="66">
        <v>37.5717</v>
      </c>
      <c r="G12" s="66">
        <v>100</v>
      </c>
      <c r="H12" s="66">
        <v>61.648600000000002</v>
      </c>
    </row>
    <row r="13" spans="1:8">
      <c r="A13" s="58" t="s">
        <v>310</v>
      </c>
      <c r="B13" s="66">
        <v>21.907900000000001</v>
      </c>
      <c r="C13" s="66">
        <v>2.4516300000000002</v>
      </c>
      <c r="D13" s="66">
        <v>11.1906</v>
      </c>
      <c r="E13" s="66">
        <v>10</v>
      </c>
      <c r="F13" s="66">
        <v>15.5823</v>
      </c>
      <c r="G13" s="66">
        <v>25</v>
      </c>
      <c r="H13" s="66">
        <v>28.081900000000001</v>
      </c>
    </row>
    <row r="14" spans="1:8">
      <c r="A14" s="58" t="s">
        <v>311</v>
      </c>
      <c r="B14" s="66">
        <v>24.516300000000001</v>
      </c>
      <c r="C14" s="66">
        <v>10.091799999999999</v>
      </c>
      <c r="D14" s="66">
        <v>41.163800000000002</v>
      </c>
      <c r="E14" s="66">
        <v>10</v>
      </c>
      <c r="F14" s="66">
        <v>2.30627</v>
      </c>
      <c r="G14" s="66">
        <v>50</v>
      </c>
      <c r="H14" s="66">
        <v>35.276800000000001</v>
      </c>
    </row>
    <row r="15" spans="1:8">
      <c r="A15" s="58" t="s">
        <v>312</v>
      </c>
      <c r="B15" s="66">
        <v>0.109792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0.30149500000000001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22.0379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9.9229399999999995E-2</v>
      </c>
      <c r="C18" s="66">
        <v>4.6458300000000001E-2</v>
      </c>
      <c r="D18" s="66">
        <v>0.46819</v>
      </c>
      <c r="E18" s="66">
        <v>0</v>
      </c>
      <c r="F18" s="66">
        <v>5.2771100000000001E-2</v>
      </c>
      <c r="G18" s="66">
        <v>0</v>
      </c>
      <c r="H18" s="66">
        <v>0.14568800000000001</v>
      </c>
    </row>
    <row r="19" spans="1:8">
      <c r="A19" s="58" t="s">
        <v>316</v>
      </c>
      <c r="B19" s="66">
        <v>0.67551499999999998</v>
      </c>
      <c r="C19" s="66">
        <v>6.9582599999999994E-2</v>
      </c>
      <c r="D19" s="66">
        <v>0.103007</v>
      </c>
      <c r="E19" s="66">
        <v>0</v>
      </c>
      <c r="F19" s="66">
        <v>0.60593300000000005</v>
      </c>
      <c r="G19" s="66">
        <v>0</v>
      </c>
      <c r="H19" s="66">
        <v>0.74509800000000004</v>
      </c>
    </row>
    <row r="20" spans="1:8">
      <c r="A20" s="58" t="s">
        <v>317</v>
      </c>
      <c r="B20" s="66">
        <v>3.7869200000000003E-4</v>
      </c>
      <c r="C20" s="66">
        <v>1.5829099999999999E-2</v>
      </c>
      <c r="D20" s="66">
        <v>41.799399999999999</v>
      </c>
      <c r="E20" s="66">
        <v>0</v>
      </c>
      <c r="F20" s="66">
        <v>0</v>
      </c>
      <c r="G20" s="66">
        <v>0</v>
      </c>
      <c r="H20" s="66">
        <v>0.20697199999999999</v>
      </c>
    </row>
    <row r="21" spans="1:8">
      <c r="A21" s="58" t="s">
        <v>318</v>
      </c>
      <c r="B21" s="66">
        <v>5.0363999999999999E-2</v>
      </c>
      <c r="C21" s="66">
        <v>0.22622200000000001</v>
      </c>
      <c r="D21" s="66">
        <v>4.4917499999999997</v>
      </c>
      <c r="E21" s="66">
        <v>0</v>
      </c>
      <c r="F21" s="66">
        <v>2.7451E-4</v>
      </c>
      <c r="G21" s="66">
        <v>0</v>
      </c>
      <c r="H21" s="66">
        <v>1.85161</v>
      </c>
    </row>
    <row r="22" spans="1:8">
      <c r="A22" s="58" t="s">
        <v>319</v>
      </c>
      <c r="B22" s="66">
        <v>51.493600000000001</v>
      </c>
      <c r="C22" s="66">
        <v>18.902699999999999</v>
      </c>
      <c r="D22" s="66">
        <v>0.36708800000000003</v>
      </c>
      <c r="E22" s="66">
        <v>0</v>
      </c>
      <c r="F22" s="66">
        <v>26.6538</v>
      </c>
      <c r="G22" s="66">
        <v>0</v>
      </c>
      <c r="H22" s="66">
        <v>111.045</v>
      </c>
    </row>
    <row r="23" spans="1:8">
      <c r="A23" s="58" t="s">
        <v>320</v>
      </c>
      <c r="B23" s="66">
        <v>19.6236</v>
      </c>
      <c r="C23" s="66">
        <v>8.22133</v>
      </c>
      <c r="D23" s="66">
        <v>0.41894999999999999</v>
      </c>
      <c r="E23" s="66">
        <v>0</v>
      </c>
      <c r="F23" s="66">
        <v>9.9661600000000004</v>
      </c>
      <c r="G23" s="66">
        <v>0</v>
      </c>
      <c r="H23" s="66">
        <v>36.319699999999997</v>
      </c>
    </row>
    <row r="24" spans="1:8">
      <c r="A24" s="58" t="s">
        <v>321</v>
      </c>
      <c r="B24" s="66">
        <v>3.64204E-3</v>
      </c>
      <c r="C24" s="66">
        <v>1.16361E-2</v>
      </c>
      <c r="D24" s="66">
        <v>3.19495</v>
      </c>
      <c r="E24" s="66">
        <v>0</v>
      </c>
      <c r="F24" s="196">
        <v>1.0135999999999999E-5</v>
      </c>
      <c r="G24" s="66">
        <v>0</v>
      </c>
      <c r="H24" s="66">
        <v>0.10576000000000001</v>
      </c>
    </row>
    <row r="25" spans="1:8">
      <c r="A25" s="58" t="s">
        <v>322</v>
      </c>
      <c r="B25" s="66">
        <v>6.1839499999999999E-2</v>
      </c>
      <c r="C25" s="66">
        <v>0.17589099999999999</v>
      </c>
      <c r="D25" s="66">
        <v>2.8443200000000002</v>
      </c>
      <c r="E25" s="66">
        <v>0</v>
      </c>
      <c r="F25" s="66">
        <v>1.8335299999999999E-2</v>
      </c>
      <c r="G25" s="66">
        <v>0</v>
      </c>
      <c r="H25" s="66">
        <v>1.11067</v>
      </c>
    </row>
    <row r="26" spans="1:8">
      <c r="A26" s="58" t="s">
        <v>323</v>
      </c>
      <c r="B26" s="66">
        <v>1.4443299999999999E-4</v>
      </c>
      <c r="C26" s="66">
        <v>2.13788E-3</v>
      </c>
      <c r="D26" s="66">
        <v>14.8019</v>
      </c>
      <c r="E26" s="66">
        <v>0</v>
      </c>
      <c r="F26" s="66">
        <v>0</v>
      </c>
      <c r="G26" s="66">
        <v>0</v>
      </c>
      <c r="H26" s="66">
        <v>2.8262900000000001E-2</v>
      </c>
    </row>
    <row r="27" spans="1:8">
      <c r="A27" s="58" t="s">
        <v>324</v>
      </c>
      <c r="B27" s="196">
        <v>-6.5651299999999996E-6</v>
      </c>
      <c r="C27" s="66">
        <v>9.7146099999999996E-4</v>
      </c>
      <c r="D27" s="66">
        <v>-147.97300000000001</v>
      </c>
      <c r="E27" s="66">
        <v>0</v>
      </c>
      <c r="F27" s="66">
        <v>-1.2109399999999999E-2</v>
      </c>
      <c r="G27" s="66">
        <v>0</v>
      </c>
      <c r="H27" s="66">
        <v>1.22144E-2</v>
      </c>
    </row>
    <row r="28" spans="1:8">
      <c r="A28" s="58" t="s">
        <v>325</v>
      </c>
      <c r="B28" s="66">
        <v>6.2988300000000001E-3</v>
      </c>
      <c r="C28" s="66">
        <v>1.72988E-2</v>
      </c>
      <c r="D28" s="66">
        <v>2.7463500000000001</v>
      </c>
      <c r="E28" s="66">
        <v>0</v>
      </c>
      <c r="F28" s="196">
        <v>5.8593700000000001E-5</v>
      </c>
      <c r="G28" s="66">
        <v>0</v>
      </c>
      <c r="H28" s="66">
        <v>0.128438</v>
      </c>
    </row>
    <row r="29" spans="1:8">
      <c r="A29" s="58" t="s">
        <v>326</v>
      </c>
      <c r="B29" s="66">
        <v>81.615099999999998</v>
      </c>
      <c r="C29" s="66">
        <v>13.070499999999999</v>
      </c>
      <c r="D29" s="66">
        <v>0.16014800000000001</v>
      </c>
      <c r="E29" s="66">
        <v>0</v>
      </c>
      <c r="F29" s="66">
        <v>52.908499999999997</v>
      </c>
      <c r="G29" s="66">
        <v>0</v>
      </c>
      <c r="H29" s="66">
        <v>127.53400000000001</v>
      </c>
    </row>
    <row r="30" spans="1:8">
      <c r="A30" s="58" t="s">
        <v>327</v>
      </c>
      <c r="B30" s="66">
        <v>23.2424</v>
      </c>
      <c r="C30" s="66">
        <v>9.0221400000000003</v>
      </c>
      <c r="D30" s="66">
        <v>0.38817699999999999</v>
      </c>
      <c r="E30" s="66">
        <v>0</v>
      </c>
      <c r="F30" s="66">
        <v>10.0131</v>
      </c>
      <c r="G30" s="66">
        <v>0</v>
      </c>
      <c r="H30" s="66">
        <v>39.913200000000003</v>
      </c>
    </row>
    <row r="31" spans="1:8">
      <c r="A31" s="58" t="s">
        <v>328</v>
      </c>
      <c r="B31" s="66">
        <v>305.322</v>
      </c>
      <c r="C31" s="66">
        <v>77.085899999999995</v>
      </c>
      <c r="D31" s="66">
        <v>0.25247399999999998</v>
      </c>
      <c r="E31" s="66">
        <v>0</v>
      </c>
      <c r="F31" s="66">
        <v>50.550899999999999</v>
      </c>
      <c r="G31" s="66">
        <v>0</v>
      </c>
      <c r="H31" s="66">
        <v>371.09699999999998</v>
      </c>
    </row>
    <row r="32" spans="1:8">
      <c r="A32" s="58" t="s">
        <v>329</v>
      </c>
      <c r="B32" s="66">
        <v>0.23022999999999999</v>
      </c>
      <c r="C32" s="66">
        <v>3.6551899999999998E-2</v>
      </c>
      <c r="D32" s="66">
        <v>0.15876299999999999</v>
      </c>
      <c r="E32" s="66">
        <v>0.15</v>
      </c>
      <c r="F32" s="66">
        <v>9.5369599999999999E-2</v>
      </c>
      <c r="G32" s="66">
        <v>0.4</v>
      </c>
      <c r="H32" s="66">
        <v>0.34870200000000001</v>
      </c>
    </row>
    <row r="33" spans="1:8">
      <c r="A33" s="58" t="s">
        <v>330</v>
      </c>
      <c r="B33" s="66">
        <v>0.29855900000000002</v>
      </c>
      <c r="C33" s="66">
        <v>7.4755799999999997E-2</v>
      </c>
      <c r="D33" s="66">
        <v>0.250388</v>
      </c>
      <c r="E33" s="66">
        <v>0</v>
      </c>
      <c r="F33" s="66">
        <v>0.19502700000000001</v>
      </c>
      <c r="G33" s="66">
        <v>0</v>
      </c>
      <c r="H33" s="66">
        <v>0.45985300000000001</v>
      </c>
    </row>
    <row r="34" spans="1:8">
      <c r="A34" s="58" t="s">
        <v>331</v>
      </c>
      <c r="B34" s="66">
        <v>0.219079</v>
      </c>
      <c r="C34" s="66">
        <v>2.4516300000000001E-2</v>
      </c>
      <c r="D34" s="66">
        <v>0.11190600000000001</v>
      </c>
      <c r="E34" s="66">
        <v>0.1</v>
      </c>
      <c r="F34" s="66">
        <v>0.15582299999999999</v>
      </c>
      <c r="G34" s="66">
        <v>0.25</v>
      </c>
      <c r="H34" s="66">
        <v>0.28081899999999999</v>
      </c>
    </row>
    <row r="35" spans="1:8">
      <c r="A35" s="58" t="s">
        <v>332</v>
      </c>
      <c r="B35" s="66">
        <v>8.1511500000000001E-2</v>
      </c>
      <c r="C35" s="66">
        <v>2.2337300000000001E-2</v>
      </c>
      <c r="D35" s="66">
        <v>0.274038</v>
      </c>
      <c r="E35" s="66">
        <v>0</v>
      </c>
      <c r="F35" s="66">
        <v>3.00021E-2</v>
      </c>
      <c r="G35" s="66">
        <v>0</v>
      </c>
      <c r="H35" s="66">
        <v>0.13899500000000001</v>
      </c>
    </row>
    <row r="36" spans="1:8">
      <c r="A36" s="58" t="s">
        <v>333</v>
      </c>
      <c r="B36" s="66">
        <v>0.19941999999999999</v>
      </c>
      <c r="C36" s="66">
        <v>8.8712799999999994E-2</v>
      </c>
      <c r="D36" s="66">
        <v>0.44485400000000003</v>
      </c>
      <c r="E36" s="66">
        <v>0</v>
      </c>
      <c r="F36" s="66">
        <v>3.3082599999999997E-2</v>
      </c>
      <c r="G36" s="66">
        <v>0</v>
      </c>
      <c r="H36" s="66">
        <v>0.48826399999999998</v>
      </c>
    </row>
    <row r="37" spans="1:8">
      <c r="A37" s="58" t="s">
        <v>334</v>
      </c>
      <c r="B37" s="66">
        <v>0.24516299999999999</v>
      </c>
      <c r="C37" s="66">
        <v>0.10091799999999999</v>
      </c>
      <c r="D37" s="66">
        <v>0.411638</v>
      </c>
      <c r="E37" s="66">
        <v>0.1</v>
      </c>
      <c r="F37" s="66">
        <v>2.3062699999999998E-2</v>
      </c>
      <c r="G37" s="66">
        <v>0.5</v>
      </c>
      <c r="H37" s="66">
        <v>0.35276800000000003</v>
      </c>
    </row>
    <row r="38" spans="1:8">
      <c r="A38" s="58" t="s">
        <v>335</v>
      </c>
      <c r="B38" s="66">
        <v>-2.0653899999999998</v>
      </c>
      <c r="C38" s="66">
        <v>47.037100000000002</v>
      </c>
      <c r="D38" s="66">
        <v>-22.773900000000001</v>
      </c>
      <c r="E38" s="66">
        <v>0</v>
      </c>
      <c r="F38" s="66">
        <v>-117.074</v>
      </c>
      <c r="G38" s="66">
        <v>0</v>
      </c>
      <c r="H38" s="66">
        <v>313.255</v>
      </c>
    </row>
    <row r="39" spans="1:8">
      <c r="A39" s="58" t="s">
        <v>336</v>
      </c>
      <c r="B39" s="66">
        <v>0.72159200000000001</v>
      </c>
      <c r="C39" s="66">
        <v>7.38727</v>
      </c>
      <c r="D39" s="66">
        <v>10.237500000000001</v>
      </c>
      <c r="E39" s="66">
        <v>0</v>
      </c>
      <c r="F39" s="66">
        <v>-15.848599999999999</v>
      </c>
      <c r="G39" s="66">
        <v>0</v>
      </c>
      <c r="H39" s="66">
        <v>47.955199999999998</v>
      </c>
    </row>
    <row r="40" spans="1:8">
      <c r="A40" s="58" t="s">
        <v>337</v>
      </c>
      <c r="B40" s="66">
        <v>0.748228</v>
      </c>
      <c r="C40" s="66">
        <v>1.3110299999999999</v>
      </c>
      <c r="D40" s="66">
        <v>1.7521800000000001</v>
      </c>
      <c r="E40" s="66">
        <v>0</v>
      </c>
      <c r="F40" s="66">
        <v>-2.0571700000000002</v>
      </c>
      <c r="G40" s="66">
        <v>0</v>
      </c>
      <c r="H40" s="66">
        <v>1.59711</v>
      </c>
    </row>
    <row r="41" spans="1:8">
      <c r="A41" s="58" t="s">
        <v>338</v>
      </c>
      <c r="B41" s="66">
        <v>-3.0456900000000002E-3</v>
      </c>
      <c r="C41" s="66">
        <v>0.273729</v>
      </c>
      <c r="D41" s="66">
        <v>-89.874200000000002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4.4523399999999998E-2</v>
      </c>
      <c r="C42" s="66">
        <v>8.9902399999999993E-2</v>
      </c>
      <c r="D42" s="66">
        <v>2.0192199999999998</v>
      </c>
      <c r="E42" s="66">
        <v>0</v>
      </c>
      <c r="F42" s="66">
        <v>-0.17602100000000001</v>
      </c>
      <c r="G42" s="66">
        <v>0</v>
      </c>
      <c r="H42" s="66">
        <v>0.34326099999999998</v>
      </c>
    </row>
    <row r="43" spans="1:8">
      <c r="A43" s="58" t="s">
        <v>340</v>
      </c>
      <c r="B43" s="66">
        <v>6.0294500000000001E-2</v>
      </c>
      <c r="C43" s="66">
        <v>9.2100000000000001E-2</v>
      </c>
      <c r="D43" s="66">
        <v>1.5275000000000001</v>
      </c>
      <c r="E43" s="66">
        <v>0</v>
      </c>
      <c r="F43" s="66">
        <v>-0.16041</v>
      </c>
      <c r="G43" s="66">
        <v>0</v>
      </c>
      <c r="H43" s="66">
        <v>0.12454</v>
      </c>
    </row>
    <row r="44" spans="1:8">
      <c r="A44" s="58" t="s">
        <v>341</v>
      </c>
      <c r="B44" s="66">
        <v>-20.042999999999999</v>
      </c>
      <c r="C44" s="66">
        <v>22.224699999999999</v>
      </c>
      <c r="D44" s="66">
        <v>-1.1088499999999999</v>
      </c>
      <c r="E44" s="66">
        <v>0</v>
      </c>
      <c r="F44" s="66">
        <v>-77.606800000000007</v>
      </c>
      <c r="G44" s="66">
        <v>0</v>
      </c>
      <c r="H44" s="66">
        <v>7.0679600000000002</v>
      </c>
    </row>
    <row r="45" spans="1:8">
      <c r="A45" s="58" t="s">
        <v>342</v>
      </c>
      <c r="B45" s="66">
        <v>65.166499999999999</v>
      </c>
      <c r="C45" s="66">
        <v>9.8581900000000005</v>
      </c>
      <c r="D45" s="66">
        <v>0.15127699999999999</v>
      </c>
      <c r="E45" s="66">
        <v>0</v>
      </c>
      <c r="F45" s="66">
        <v>40.981000000000002</v>
      </c>
      <c r="G45" s="66">
        <v>0</v>
      </c>
      <c r="H45" s="66">
        <v>89.040999999999997</v>
      </c>
    </row>
    <row r="46" spans="1:8">
      <c r="A46" s="58" t="s">
        <v>343</v>
      </c>
      <c r="B46" s="66">
        <v>34.741999999999997</v>
      </c>
      <c r="C46" s="66">
        <v>9.7857500000000002</v>
      </c>
      <c r="D46" s="66">
        <v>0.281669</v>
      </c>
      <c r="E46" s="66">
        <v>0</v>
      </c>
      <c r="F46" s="66">
        <v>7.0224599999999997</v>
      </c>
      <c r="G46" s="66">
        <v>0</v>
      </c>
      <c r="H46" s="66">
        <v>47.898800000000001</v>
      </c>
    </row>
    <row r="47" spans="1:8">
      <c r="A47" s="58" t="s">
        <v>344</v>
      </c>
      <c r="B47" s="66">
        <v>0.52799600000000002</v>
      </c>
      <c r="C47" s="66">
        <v>0.40416400000000002</v>
      </c>
      <c r="D47" s="66">
        <v>0.76546800000000004</v>
      </c>
      <c r="E47" s="66">
        <v>0</v>
      </c>
      <c r="F47" s="66">
        <v>0.209063</v>
      </c>
      <c r="G47" s="66">
        <v>0</v>
      </c>
      <c r="H47" s="66">
        <v>3.1949100000000001</v>
      </c>
    </row>
    <row r="48" spans="1:8">
      <c r="A48" s="58" t="s">
        <v>345</v>
      </c>
      <c r="B48" s="66">
        <v>0.401337</v>
      </c>
      <c r="C48" s="66">
        <v>9.3118400000000004E-2</v>
      </c>
      <c r="D48" s="66">
        <v>0.23202</v>
      </c>
      <c r="E48" s="66">
        <v>0</v>
      </c>
      <c r="F48" s="66">
        <v>0.25524999999999998</v>
      </c>
      <c r="G48" s="66">
        <v>0</v>
      </c>
      <c r="H48" s="66">
        <v>0.78028699999999995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-4.2416000000000054</v>
      </c>
      <c r="C5" s="66">
        <f>'M2'!C5-'M1'!C5</f>
        <v>-10.813480000000002</v>
      </c>
      <c r="D5" s="66">
        <f>'M2'!D5-'M1'!D5</f>
        <v>-22.803999999999998</v>
      </c>
      <c r="E5" s="66">
        <f>'M2'!E5-'M1'!E5</f>
        <v>0</v>
      </c>
      <c r="F5" s="66">
        <f>'M2'!F5-'M1'!F5</f>
        <v>28.287170000000003</v>
      </c>
      <c r="G5" s="66">
        <f>'M2'!G5-'M1'!G5</f>
        <v>0</v>
      </c>
      <c r="H5" s="66">
        <f>'M2'!H5-'M1'!H5</f>
        <v>0.50980000000001269</v>
      </c>
    </row>
    <row r="6" spans="1:8">
      <c r="A6" s="66" t="s">
        <v>244</v>
      </c>
      <c r="B6" s="66">
        <f>'M2'!B6-'M1'!B6</f>
        <v>-6.8763999999999967</v>
      </c>
      <c r="C6" s="66">
        <f>'M2'!C6-'M1'!C6</f>
        <v>2.8345900000000004</v>
      </c>
      <c r="D6" s="66">
        <f>'M2'!D6-'M1'!D6</f>
        <v>12.130329999999999</v>
      </c>
      <c r="E6" s="66">
        <f>'M2'!E6-'M1'!E6</f>
        <v>0</v>
      </c>
      <c r="F6" s="66">
        <f>'M2'!F6-'M1'!F6</f>
        <v>-3.7649000000000008</v>
      </c>
      <c r="G6" s="66">
        <f>'M2'!G6-'M1'!G6</f>
        <v>0</v>
      </c>
      <c r="H6" s="66">
        <f>'M2'!H6-'M1'!H6</f>
        <v>8.2327999999999975</v>
      </c>
    </row>
    <row r="7" spans="1:8">
      <c r="A7" s="66" t="s">
        <v>245</v>
      </c>
      <c r="B7" s="66">
        <f>'M2'!B7-'M1'!B7</f>
        <v>-1.7300000000002314E-2</v>
      </c>
      <c r="C7" s="66">
        <f>'M2'!C7-'M1'!C7</f>
        <v>0.25107999999999997</v>
      </c>
      <c r="D7" s="66">
        <f>'M2'!D7-'M1'!D7</f>
        <v>1.1025000000000009</v>
      </c>
      <c r="E7" s="66">
        <f>'M2'!E7-'M1'!E7</f>
        <v>0</v>
      </c>
      <c r="F7" s="66">
        <f>'M2'!F7-'M1'!F7</f>
        <v>-7.1180400000000006</v>
      </c>
      <c r="G7" s="66">
        <f>'M2'!G7-'M1'!G7</f>
        <v>0</v>
      </c>
      <c r="H7" s="66">
        <f>'M2'!H7-'M1'!H7</f>
        <v>-1.1962999999999937</v>
      </c>
    </row>
    <row r="8" spans="1:8">
      <c r="A8" s="66" t="s">
        <v>246</v>
      </c>
      <c r="B8" s="66">
        <f>'M2'!B8-'M1'!B8</f>
        <v>-2.0275999999999961</v>
      </c>
      <c r="C8" s="66">
        <f>'M2'!C8-'M1'!C8</f>
        <v>-3.3514400000000006</v>
      </c>
      <c r="D8" s="66">
        <f>'M2'!D8-'M1'!D8</f>
        <v>-9.6787300000000016</v>
      </c>
      <c r="E8" s="66">
        <f>'M2'!E8-'M1'!E8</f>
        <v>0</v>
      </c>
      <c r="F8" s="66">
        <f>'M2'!F8-'M1'!F8</f>
        <v>9.0512000000000015</v>
      </c>
      <c r="G8" s="66">
        <f>'M2'!G8-'M1'!G8</f>
        <v>0</v>
      </c>
      <c r="H8" s="66">
        <f>'M2'!H8-'M1'!H8</f>
        <v>-0.63009999999999877</v>
      </c>
    </row>
    <row r="9" spans="1:8">
      <c r="A9" s="66" t="s">
        <v>247</v>
      </c>
      <c r="B9" s="66">
        <f>'M2'!B9-'M1'!B9</f>
        <v>-0.10460000000000491</v>
      </c>
      <c r="C9" s="66">
        <f>'M2'!C9-'M1'!C9</f>
        <v>8.1310000000000215E-2</v>
      </c>
      <c r="D9" s="66">
        <f>'M2'!D9-'M1'!D9</f>
        <v>0.34860000000000113</v>
      </c>
      <c r="E9" s="66">
        <f>'M2'!E9-'M1'!E9</f>
        <v>0</v>
      </c>
      <c r="F9" s="66">
        <f>'M2'!F9-'M1'!F9</f>
        <v>1.3871000000000002</v>
      </c>
      <c r="G9" s="66">
        <f>'M2'!G9-'M1'!G9</f>
        <v>0</v>
      </c>
      <c r="H9" s="66">
        <f>'M2'!H9-'M1'!H9</f>
        <v>-9.6904000000000039</v>
      </c>
    </row>
    <row r="10" spans="1:8">
      <c r="A10" s="66" t="s">
        <v>248</v>
      </c>
      <c r="B10" s="66">
        <f>'M2'!B10-'M1'!B10</f>
        <v>23.200100000000006</v>
      </c>
      <c r="C10" s="66">
        <f>'M2'!C10-'M1'!C10</f>
        <v>7.8927000000000005</v>
      </c>
      <c r="D10" s="66">
        <f>'M2'!D10-'M1'!D10</f>
        <v>7.3389999999999986</v>
      </c>
      <c r="E10" s="66">
        <f>'M2'!E10-'M1'!E10</f>
        <v>0</v>
      </c>
      <c r="F10" s="66">
        <f>'M2'!F10-'M1'!F10</f>
        <v>0.99640000000000128</v>
      </c>
      <c r="G10" s="66">
        <f>'M2'!G10-'M1'!G10</f>
        <v>0</v>
      </c>
      <c r="H10" s="66">
        <f>'M2'!H10-'M1'!H10</f>
        <v>17.83959999999999</v>
      </c>
    </row>
    <row r="11" spans="1:8">
      <c r="A11" s="66" t="s">
        <v>249</v>
      </c>
      <c r="B11" s="66">
        <f>'M2'!B11-'M1'!B11</f>
        <v>-4.5722699999999996</v>
      </c>
      <c r="C11" s="66">
        <f>'M2'!C11-'M1'!C11</f>
        <v>-2.5901899999999998</v>
      </c>
      <c r="D11" s="66">
        <f>'M2'!D11-'M1'!D11</f>
        <v>-12.459399999999999</v>
      </c>
      <c r="E11" s="66">
        <f>'M2'!E11-'M1'!E11</f>
        <v>0</v>
      </c>
      <c r="F11" s="66">
        <f>'M2'!F11-'M1'!F11</f>
        <v>3.0071900000000005</v>
      </c>
      <c r="G11" s="66">
        <f>'M2'!G11-'M1'!G11</f>
        <v>0</v>
      </c>
      <c r="H11" s="66">
        <f>'M2'!H11-'M1'!H11</f>
        <v>-3.2849000000000004</v>
      </c>
    </row>
    <row r="12" spans="1:8">
      <c r="A12" s="66" t="s">
        <v>250</v>
      </c>
      <c r="B12" s="66">
        <f>'M2'!B12-'M1'!B12</f>
        <v>7.6287999999999982</v>
      </c>
      <c r="C12" s="66">
        <f>'M2'!C12-'M1'!C12</f>
        <v>-0.34395000000000042</v>
      </c>
      <c r="D12" s="66">
        <f>'M2'!D12-'M1'!D12</f>
        <v>-2.0740300000000005</v>
      </c>
      <c r="E12" s="66">
        <f>'M2'!E12-'M1'!E12</f>
        <v>0</v>
      </c>
      <c r="F12" s="66">
        <f>'M2'!F12-'M1'!F12</f>
        <v>0.53869999999999862</v>
      </c>
      <c r="G12" s="66">
        <f>'M2'!G12-'M1'!G12</f>
        <v>0</v>
      </c>
      <c r="H12" s="66">
        <f>'M2'!H12-'M1'!H12</f>
        <v>0.62270000000000181</v>
      </c>
    </row>
    <row r="13" spans="1:8">
      <c r="A13" s="66" t="s">
        <v>251</v>
      </c>
      <c r="B13" s="66">
        <f>'M2'!B13-'M1'!B13</f>
        <v>-1.6212000000000018</v>
      </c>
      <c r="C13" s="66">
        <f>'M2'!C13-'M1'!C13</f>
        <v>-1.2010900000000002</v>
      </c>
      <c r="D13" s="66">
        <f>'M2'!D13-'M1'!D13</f>
        <v>-4.6289900000000017</v>
      </c>
      <c r="E13" s="66">
        <f>'M2'!E13-'M1'!E13</f>
        <v>0</v>
      </c>
      <c r="F13" s="66">
        <f>'M2'!F13-'M1'!F13</f>
        <v>1.9345999999999997</v>
      </c>
      <c r="G13" s="66">
        <f>'M2'!G13-'M1'!G13</f>
        <v>0</v>
      </c>
      <c r="H13" s="66">
        <f>'M2'!H13-'M1'!H13</f>
        <v>-1.9944000000000024</v>
      </c>
    </row>
    <row r="14" spans="1:8">
      <c r="A14" s="66" t="s">
        <v>252</v>
      </c>
      <c r="B14" s="66">
        <f>'M2'!B14-'M1'!B14</f>
        <v>-12.010899999999999</v>
      </c>
      <c r="C14" s="66">
        <f>'M2'!C14-'M1'!C14</f>
        <v>-1.1650299999999998</v>
      </c>
      <c r="D14" s="66">
        <f>'M2'!D14-'M1'!D14</f>
        <v>18.652999999999999</v>
      </c>
      <c r="E14" s="66">
        <f>'M2'!E14-'M1'!E14</f>
        <v>0</v>
      </c>
      <c r="F14" s="66">
        <f>'M2'!F14-'M1'!F14</f>
        <v>-1.8472899999999997</v>
      </c>
      <c r="G14" s="66">
        <f>'M2'!G14-'M1'!G14</f>
        <v>0</v>
      </c>
      <c r="H14" s="66">
        <f>'M2'!H14-'M1'!H14</f>
        <v>-6.1462000000000003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-6.6418599999999994E-2</v>
      </c>
      <c r="C18" s="66">
        <f>'M2'!C18-'M1'!C18</f>
        <v>4.6458300000000001E-2</v>
      </c>
      <c r="D18" s="66">
        <f>'M2'!D18-'M1'!D18</f>
        <v>0.46819</v>
      </c>
      <c r="E18" s="66">
        <f>'M2'!E18-'M1'!E18</f>
        <v>0</v>
      </c>
      <c r="F18" s="66">
        <f>'M2'!F18-'M1'!F18</f>
        <v>5.2771100000000001E-2</v>
      </c>
      <c r="G18" s="66">
        <f>'M2'!G18-'M1'!G18</f>
        <v>0</v>
      </c>
      <c r="H18" s="66">
        <f>'M2'!H18-'M1'!H18</f>
        <v>0.14568800000000001</v>
      </c>
    </row>
    <row r="19" spans="1:8">
      <c r="A19" s="66" t="s">
        <v>256</v>
      </c>
      <c r="B19" s="66">
        <f>'M2'!B19-'M1'!B19</f>
        <v>1.8733E-2</v>
      </c>
      <c r="C19" s="66">
        <f>'M2'!C19-'M1'!C19</f>
        <v>6.9582599999999994E-2</v>
      </c>
      <c r="D19" s="66">
        <f>'M2'!D19-'M1'!D19</f>
        <v>0.103007</v>
      </c>
      <c r="E19" s="66">
        <f>'M2'!E19-'M1'!E19</f>
        <v>0</v>
      </c>
      <c r="F19" s="66">
        <f>'M2'!F19-'M1'!F19</f>
        <v>0.60593300000000005</v>
      </c>
      <c r="G19" s="66">
        <f>'M2'!G19-'M1'!G19</f>
        <v>0</v>
      </c>
      <c r="H19" s="66">
        <f>'M2'!H19-'M1'!H19</f>
        <v>0.74509800000000004</v>
      </c>
    </row>
    <row r="20" spans="1:8">
      <c r="A20" s="66" t="s">
        <v>63</v>
      </c>
      <c r="B20" s="66">
        <f>'M2'!B20-'M1'!B20</f>
        <v>8.3872999999999988E-5</v>
      </c>
      <c r="C20" s="66">
        <f>'M2'!C20-'M1'!C20</f>
        <v>8.7010000000000021E-3</v>
      </c>
      <c r="D20" s="66">
        <f>'M2'!D20-'M1'!D20</f>
        <v>13.9986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0.14416029999999999</v>
      </c>
    </row>
    <row r="21" spans="1:8">
      <c r="A21" s="66" t="s">
        <v>64</v>
      </c>
      <c r="B21" s="66">
        <f>'M2'!B21-'M1'!B21</f>
        <v>1.0225899999999996E-2</v>
      </c>
      <c r="C21" s="66">
        <f>'M2'!C21-'M1'!C21</f>
        <v>0.25591410000000003</v>
      </c>
      <c r="D21" s="66">
        <f>'M2'!D21-'M1'!D21</f>
        <v>4.4267799999999999</v>
      </c>
      <c r="E21" s="66">
        <f>'M2'!E21-'M1'!E21</f>
        <v>0</v>
      </c>
      <c r="F21" s="66">
        <f>'M2'!F21-'M1'!F21</f>
        <v>3.290900000000002E-5</v>
      </c>
      <c r="G21" s="66">
        <f>'M2'!G21-'M1'!G21</f>
        <v>0</v>
      </c>
      <c r="H21" s="66">
        <f>'M2'!H21-'M1'!H21</f>
        <v>1.6334340000000001</v>
      </c>
    </row>
    <row r="22" spans="1:8">
      <c r="A22" s="66" t="s">
        <v>65</v>
      </c>
      <c r="B22" s="66">
        <f>'M2'!B22-'M1'!B22</f>
        <v>-8.5655000000000001</v>
      </c>
      <c r="C22" s="66">
        <f>'M2'!C22-'M1'!C22</f>
        <v>-4.4202000000000012</v>
      </c>
      <c r="D22" s="66">
        <f>'M2'!D22-'M1'!D22</f>
        <v>-2.7263000000000037E-2</v>
      </c>
      <c r="E22" s="66">
        <f>'M2'!E22-'M1'!E22</f>
        <v>0</v>
      </c>
      <c r="F22" s="66">
        <f>'M2'!F22-'M1'!F22</f>
        <v>-3.1512999999999991</v>
      </c>
      <c r="G22" s="66">
        <f>'M2'!G22-'M1'!G22</f>
        <v>0</v>
      </c>
      <c r="H22" s="66">
        <f>'M2'!H22-'M1'!H22</f>
        <v>-14.328699999999998</v>
      </c>
    </row>
    <row r="23" spans="1:8">
      <c r="A23" s="66" t="s">
        <v>66</v>
      </c>
      <c r="B23" s="66">
        <f>'M2'!B23-'M1'!B23</f>
        <v>-14.3226</v>
      </c>
      <c r="C23" s="66">
        <f>'M2'!C23-'M1'!C23</f>
        <v>-3.9217099999999996</v>
      </c>
      <c r="D23" s="66">
        <f>'M2'!D23-'M1'!D23</f>
        <v>-2.6161000000000018E-2</v>
      </c>
      <c r="E23" s="66">
        <f>'M2'!E23-'M1'!E23</f>
        <v>0</v>
      </c>
      <c r="F23" s="66">
        <f>'M2'!F23-'M1'!F23</f>
        <v>2.3531399999999998</v>
      </c>
      <c r="G23" s="66">
        <f>'M2'!G23-'M1'!G23</f>
        <v>0</v>
      </c>
      <c r="H23" s="66">
        <f>'M2'!H23-'M1'!H23</f>
        <v>-8.5307999999999957</v>
      </c>
    </row>
    <row r="24" spans="1:8">
      <c r="A24" s="66" t="s">
        <v>67</v>
      </c>
      <c r="B24" s="66">
        <f>'M2'!B24-'M1'!B24</f>
        <v>-8.1629000000000033E-4</v>
      </c>
      <c r="C24" s="66">
        <f>'M2'!C24-'M1'!C24</f>
        <v>9.8511499999999995E-3</v>
      </c>
      <c r="D24" s="66">
        <f>'M2'!D24-'M1'!D24</f>
        <v>3.1620599999999999</v>
      </c>
      <c r="E24" s="66">
        <f>'M2'!E24-'M1'!E24</f>
        <v>0</v>
      </c>
      <c r="F24" s="66">
        <f>'M2'!F24-'M1'!F24</f>
        <v>1.1366900000000001E-5</v>
      </c>
      <c r="G24" s="66">
        <f>'M2'!G24-'M1'!G24</f>
        <v>0</v>
      </c>
      <c r="H24" s="66">
        <f>'M2'!H24-'M1'!H24</f>
        <v>8.3041000000000004E-2</v>
      </c>
    </row>
    <row r="25" spans="1:8">
      <c r="A25" s="66" t="s">
        <v>68</v>
      </c>
      <c r="B25" s="66">
        <f>'M2'!B25-'M1'!B25</f>
        <v>5.4499999999998994E-5</v>
      </c>
      <c r="C25" s="66">
        <f>'M2'!C25-'M1'!C25</f>
        <v>0.21889599999999998</v>
      </c>
      <c r="D25" s="66">
        <f>'M2'!D25-'M1'!D25</f>
        <v>3.511517</v>
      </c>
      <c r="E25" s="66">
        <f>'M2'!E25-'M1'!E25</f>
        <v>0</v>
      </c>
      <c r="F25" s="66">
        <f>'M2'!F25-'M1'!F25</f>
        <v>7.2664000000000027E-3</v>
      </c>
      <c r="G25" s="66">
        <f>'M2'!G25-'M1'!G25</f>
        <v>0</v>
      </c>
      <c r="H25" s="66">
        <f>'M2'!H25-'M1'!H25</f>
        <v>1.002839</v>
      </c>
    </row>
    <row r="26" spans="1:8">
      <c r="A26" s="66" t="s">
        <v>69</v>
      </c>
      <c r="B26" s="66">
        <f>'M2'!B26-'M1'!B26</f>
        <v>3.7749000000000007E-5</v>
      </c>
      <c r="C26" s="66">
        <f>'M2'!C26-'M1'!C26</f>
        <v>2.0213460000000003E-3</v>
      </c>
      <c r="D26" s="66">
        <f>'M2'!D26-'M1'!D26</f>
        <v>11.035580000000001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2.3959460000000002E-2</v>
      </c>
    </row>
    <row r="27" spans="1:8">
      <c r="A27" s="66" t="s">
        <v>70</v>
      </c>
      <c r="B27" s="66">
        <f>'M2'!B27-'M1'!B27</f>
        <v>0</v>
      </c>
      <c r="C27" s="66">
        <f>'M2'!C27-'M1'!C27</f>
        <v>5.1313200000000002E-4</v>
      </c>
      <c r="D27" s="66">
        <f>'M2'!D27-'M1'!D27</f>
        <v>-78.161000000000016</v>
      </c>
      <c r="E27" s="66">
        <f>'M2'!E27-'M1'!E27</f>
        <v>0</v>
      </c>
      <c r="F27" s="66">
        <f>'M2'!F27-'M1'!F27</f>
        <v>-8.7152299999999992E-3</v>
      </c>
      <c r="G27" s="66">
        <f>'M2'!G27-'M1'!G27</f>
        <v>0</v>
      </c>
      <c r="H27" s="66">
        <f>'M2'!H27-'M1'!H27</f>
        <v>8.9482499999999996E-3</v>
      </c>
    </row>
    <row r="28" spans="1:8">
      <c r="A28" s="66" t="s">
        <v>71</v>
      </c>
      <c r="B28" s="66">
        <f>'M2'!B28-'M1'!B28</f>
        <v>8.9030000000000012E-4</v>
      </c>
      <c r="C28" s="66">
        <f>'M2'!C28-'M1'!C28</f>
        <v>1.8791849999999999E-2</v>
      </c>
      <c r="D28" s="66">
        <f>'M2'!D28-'M1'!D28</f>
        <v>2.6421109999999999</v>
      </c>
      <c r="E28" s="66">
        <f>'M2'!E28-'M1'!E28</f>
        <v>0</v>
      </c>
      <c r="F28" s="66">
        <f>'M2'!F28-'M1'!F28</f>
        <v>1.0091129999999999E-4</v>
      </c>
      <c r="G28" s="66">
        <f>'M2'!G28-'M1'!G28</f>
        <v>0</v>
      </c>
      <c r="H28" s="66">
        <f>'M2'!H28-'M1'!H28</f>
        <v>0.10713589999999999</v>
      </c>
    </row>
    <row r="29" spans="1:8">
      <c r="A29" s="66" t="s">
        <v>72</v>
      </c>
      <c r="B29" s="66">
        <f>'M2'!B29-'M1'!B29</f>
        <v>-8.3833000000000055</v>
      </c>
      <c r="C29" s="66">
        <f>'M2'!C29-'M1'!C29</f>
        <v>-3.9466999999999999</v>
      </c>
      <c r="D29" s="66">
        <f>'M2'!D29-'M1'!D29</f>
        <v>-3.3210999999999991E-2</v>
      </c>
      <c r="E29" s="66">
        <f>'M2'!E29-'M1'!E29</f>
        <v>0</v>
      </c>
      <c r="F29" s="66">
        <f>'M2'!F29-'M1'!F29</f>
        <v>-2.3609000000000009</v>
      </c>
      <c r="G29" s="66">
        <f>'M2'!G29-'M1'!G29</f>
        <v>0</v>
      </c>
      <c r="H29" s="66">
        <f>'M2'!H29-'M1'!H29</f>
        <v>-21.579000000000008</v>
      </c>
    </row>
    <row r="30" spans="1:8">
      <c r="A30" s="66" t="s">
        <v>73</v>
      </c>
      <c r="B30" s="66">
        <f>'M2'!B30-'M1'!B30</f>
        <v>-15.349600000000002</v>
      </c>
      <c r="C30" s="66">
        <f>'M2'!C30-'M1'!C30</f>
        <v>-4.061370000000001</v>
      </c>
      <c r="D30" s="66">
        <f>'M2'!D30-'M1'!D30</f>
        <v>-1.1129999999999751E-3</v>
      </c>
      <c r="E30" s="66">
        <f>'M2'!E30-'M1'!E30</f>
        <v>0</v>
      </c>
      <c r="F30" s="66">
        <f>'M2'!F30-'M1'!F30</f>
        <v>4.8716000000000008</v>
      </c>
      <c r="G30" s="66">
        <f>'M2'!G30-'M1'!G30</f>
        <v>0</v>
      </c>
      <c r="H30" s="66">
        <f>'M2'!H30-'M1'!H30</f>
        <v>-5.0989000000000004</v>
      </c>
    </row>
    <row r="31" spans="1:8">
      <c r="A31" s="66" t="s">
        <v>74</v>
      </c>
      <c r="B31" s="66">
        <f>'M2'!B31-'M1'!B31</f>
        <v>-30.176000000000045</v>
      </c>
      <c r="C31" s="66">
        <f>'M2'!C31-'M1'!C31</f>
        <v>-76.134800000000013</v>
      </c>
      <c r="D31" s="66">
        <f>'M2'!D31-'M1'!D31</f>
        <v>-0.22027839999999999</v>
      </c>
      <c r="E31" s="66">
        <f>'M2'!E31-'M1'!E31</f>
        <v>0</v>
      </c>
      <c r="F31" s="66">
        <f>'M2'!F31-'M1'!F31</f>
        <v>195.48809999999997</v>
      </c>
      <c r="G31" s="66">
        <f>'M2'!G31-'M1'!G31</f>
        <v>0</v>
      </c>
      <c r="H31" s="66">
        <f>'M2'!H31-'M1'!H31</f>
        <v>-21.158999999999992</v>
      </c>
    </row>
    <row r="32" spans="1:8">
      <c r="A32" s="66" t="s">
        <v>75</v>
      </c>
      <c r="B32" s="66">
        <f>'M2'!B32-'M1'!B32</f>
        <v>-1.7300000000000648E-4</v>
      </c>
      <c r="C32" s="66">
        <f>'M2'!C32-'M1'!C32</f>
        <v>2.5108000000000005E-3</v>
      </c>
      <c r="D32" s="66">
        <f>'M2'!D32-'M1'!D32</f>
        <v>1.1025000000000007E-2</v>
      </c>
      <c r="E32" s="66">
        <f>'M2'!E32-'M1'!E32</f>
        <v>0</v>
      </c>
      <c r="F32" s="66">
        <f>'M2'!F32-'M1'!F32</f>
        <v>-7.1180400000000005E-2</v>
      </c>
      <c r="G32" s="66">
        <f>'M2'!G32-'M1'!G32</f>
        <v>0</v>
      </c>
      <c r="H32" s="66">
        <f>'M2'!H32-'M1'!H32</f>
        <v>-1.1963000000000001E-2</v>
      </c>
    </row>
    <row r="33" spans="1:8">
      <c r="A33" s="66" t="s">
        <v>76</v>
      </c>
      <c r="B33" s="66">
        <f>'M2'!B33-'M1'!B33</f>
        <v>-0.14019799999999999</v>
      </c>
      <c r="C33" s="66">
        <f>'M2'!C33-'M1'!C33</f>
        <v>-5.0953999999999999E-3</v>
      </c>
      <c r="D33" s="66">
        <f>'M2'!D33-'M1'!D33</f>
        <v>4.979900000000001E-2</v>
      </c>
      <c r="E33" s="66">
        <f>'M2'!E33-'M1'!E33</f>
        <v>0</v>
      </c>
      <c r="F33" s="66">
        <f>'M2'!F33-'M1'!F33</f>
        <v>-8.5604999999999987E-2</v>
      </c>
      <c r="G33" s="66">
        <f>'M2'!G33-'M1'!G33</f>
        <v>0</v>
      </c>
      <c r="H33" s="66">
        <f>'M2'!H33-'M1'!H33</f>
        <v>-9.228000000000014E-3</v>
      </c>
    </row>
    <row r="34" spans="1:8">
      <c r="A34" s="66" t="s">
        <v>77</v>
      </c>
      <c r="B34" s="66">
        <f>'M2'!B34-'M1'!B34</f>
        <v>-1.6212000000000004E-2</v>
      </c>
      <c r="C34" s="66">
        <f>'M2'!C34-'M1'!C34</f>
        <v>-1.2010900000000001E-2</v>
      </c>
      <c r="D34" s="66">
        <f>'M2'!D34-'M1'!D34</f>
        <v>-4.6289900000000009E-2</v>
      </c>
      <c r="E34" s="66">
        <f>'M2'!E34-'M1'!E34</f>
        <v>0</v>
      </c>
      <c r="F34" s="66">
        <f>'M2'!F34-'M1'!F34</f>
        <v>1.9346000000000002E-2</v>
      </c>
      <c r="G34" s="66">
        <f>'M2'!G34-'M1'!G34</f>
        <v>0</v>
      </c>
      <c r="H34" s="66">
        <f>'M2'!H34-'M1'!H34</f>
        <v>-1.9943999999999962E-2</v>
      </c>
    </row>
    <row r="35" spans="1:8">
      <c r="A35" s="66" t="s">
        <v>78</v>
      </c>
      <c r="B35" s="66">
        <f>'M2'!B35-'M1'!B35</f>
        <v>-1.7742800000000003E-2</v>
      </c>
      <c r="C35" s="66">
        <f>'M2'!C35-'M1'!C35</f>
        <v>2.5430999999999995E-3</v>
      </c>
      <c r="D35" s="66">
        <f>'M2'!D35-'M1'!D35</f>
        <v>8.8053999999999993E-2</v>
      </c>
      <c r="E35" s="66">
        <f>'M2'!E35-'M1'!E35</f>
        <v>0</v>
      </c>
      <c r="F35" s="66">
        <f>'M2'!F35-'M1'!F35</f>
        <v>-3.6466999999999992E-3</v>
      </c>
      <c r="G35" s="66">
        <f>'M2'!G35-'M1'!G35</f>
        <v>0</v>
      </c>
      <c r="H35" s="66">
        <f>'M2'!H35-'M1'!H35</f>
        <v>1.0087000000000013E-2</v>
      </c>
    </row>
    <row r="36" spans="1:8">
      <c r="A36" s="66" t="s">
        <v>79</v>
      </c>
      <c r="B36" s="66">
        <f>'M2'!B36-'M1'!B36</f>
        <v>-5.9909999999999963E-3</v>
      </c>
      <c r="C36" s="66">
        <f>'M2'!C36-'M1'!C36</f>
        <v>-1.2610299999999991E-2</v>
      </c>
      <c r="D36" s="66">
        <f>'M2'!D36-'M1'!D36</f>
        <v>-4.9800999999999984E-2</v>
      </c>
      <c r="E36" s="66">
        <f>'M2'!E36-'M1'!E36</f>
        <v>0</v>
      </c>
      <c r="F36" s="66">
        <f>'M2'!F36-'M1'!F36</f>
        <v>-8.9576000000000031E-3</v>
      </c>
      <c r="G36" s="66">
        <f>'M2'!G36-'M1'!G36</f>
        <v>0</v>
      </c>
      <c r="H36" s="66">
        <f>'M2'!H36-'M1'!H36</f>
        <v>4.8025999999999958E-2</v>
      </c>
    </row>
    <row r="37" spans="1:8">
      <c r="A37" s="66" t="s">
        <v>80</v>
      </c>
      <c r="B37" s="66">
        <f>'M2'!B37-'M1'!B37</f>
        <v>-0.12010900000000002</v>
      </c>
      <c r="C37" s="66">
        <f>'M2'!C37-'M1'!C37</f>
        <v>-1.1650300000000002E-2</v>
      </c>
      <c r="D37" s="66">
        <f>'M2'!D37-'M1'!D37</f>
        <v>0.18653000000000003</v>
      </c>
      <c r="E37" s="66">
        <f>'M2'!E37-'M1'!E37</f>
        <v>0</v>
      </c>
      <c r="F37" s="66">
        <f>'M2'!F37-'M1'!F37</f>
        <v>-1.84729E-2</v>
      </c>
      <c r="G37" s="66">
        <f>'M2'!G37-'M1'!G37</f>
        <v>0</v>
      </c>
      <c r="H37" s="66">
        <f>'M2'!H37-'M1'!H37</f>
        <v>-6.1462000000000017E-2</v>
      </c>
    </row>
    <row r="38" spans="1:8">
      <c r="A38" s="66" t="s">
        <v>81</v>
      </c>
      <c r="B38" s="66">
        <f>'M2'!B38-'M1'!B38</f>
        <v>-2.9911000000000003</v>
      </c>
      <c r="C38" s="66">
        <f>'M2'!C38-'M1'!C38</f>
        <v>20.166900000000005</v>
      </c>
      <c r="D38" s="66">
        <f>'M2'!D38-'M1'!D38</f>
        <v>9.5533999999999999</v>
      </c>
      <c r="E38" s="66">
        <f>'M2'!E38-'M1'!E38</f>
        <v>0</v>
      </c>
      <c r="F38" s="66">
        <f>'M2'!F38-'M1'!F38</f>
        <v>12.626000000000005</v>
      </c>
      <c r="G38" s="66">
        <f>'M2'!G38-'M1'!G38</f>
        <v>0</v>
      </c>
      <c r="H38" s="66">
        <f>'M2'!H38-'M1'!H38</f>
        <v>67.812999999999988</v>
      </c>
    </row>
    <row r="39" spans="1:8">
      <c r="A39" s="66" t="s">
        <v>82</v>
      </c>
      <c r="B39" s="66">
        <f>'M2'!B39-'M1'!B39</f>
        <v>-0.50467299999999993</v>
      </c>
      <c r="C39" s="66">
        <f>'M2'!C39-'M1'!C39</f>
        <v>5.1147399999999994</v>
      </c>
      <c r="D39" s="66">
        <f>'M2'!D39-'M1'!D39</f>
        <v>11.24112</v>
      </c>
      <c r="E39" s="66">
        <f>'M2'!E39-'M1'!E39</f>
        <v>0</v>
      </c>
      <c r="F39" s="66">
        <f>'M2'!F39-'M1'!F39</f>
        <v>-8.5587199999999992</v>
      </c>
      <c r="G39" s="66">
        <f>'M2'!G39-'M1'!G39</f>
        <v>0</v>
      </c>
      <c r="H39" s="66">
        <f>'M2'!H39-'M1'!H39</f>
        <v>24.198199999999996</v>
      </c>
    </row>
    <row r="40" spans="1:8">
      <c r="A40" s="66" t="s">
        <v>83</v>
      </c>
      <c r="B40" s="66">
        <f>'M2'!B40-'M1'!B40</f>
        <v>-2.7236799999999999</v>
      </c>
      <c r="C40" s="66">
        <f>'M2'!C40-'M1'!C40</f>
        <v>0.80232900000000007</v>
      </c>
      <c r="D40" s="66">
        <f>'M2'!D40-'M1'!D40</f>
        <v>-1.044421</v>
      </c>
      <c r="E40" s="66">
        <f>'M2'!E40-'M1'!E40</f>
        <v>0</v>
      </c>
      <c r="F40" s="66">
        <f>'M2'!F40-'M1'!F40</f>
        <v>-1.6616180000000003</v>
      </c>
      <c r="G40" s="66">
        <f>'M2'!G40-'M1'!G40</f>
        <v>0</v>
      </c>
      <c r="H40" s="66">
        <f>'M2'!H40-'M1'!H40</f>
        <v>7.3970000000000091E-2</v>
      </c>
    </row>
    <row r="41" spans="1:8">
      <c r="A41" s="66" t="s">
        <v>84</v>
      </c>
      <c r="B41" s="66">
        <f>'M2'!B41-'M1'!B41</f>
        <v>1.00077E-2</v>
      </c>
      <c r="C41" s="66">
        <f>'M2'!C41-'M1'!C41</f>
        <v>4.2101999999999973E-2</v>
      </c>
      <c r="D41" s="66">
        <f>'M2'!D41-'M1'!D41</f>
        <v>25.0168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0.17977500000000002</v>
      </c>
    </row>
    <row r="42" spans="1:8">
      <c r="A42" s="66" t="s">
        <v>85</v>
      </c>
      <c r="B42" s="66">
        <f>'M2'!B42-'M1'!B42</f>
        <v>4.0190699999999996E-2</v>
      </c>
      <c r="C42" s="66">
        <f>'M2'!C42-'M1'!C42</f>
        <v>7.1061999999999931E-3</v>
      </c>
      <c r="D42" s="66">
        <f>'M2'!D42-'M1'!D42</f>
        <v>-1.4762300000000002</v>
      </c>
      <c r="E42" s="66">
        <f>'M2'!E42-'M1'!E42</f>
        <v>0</v>
      </c>
      <c r="F42" s="66">
        <f>'M2'!F42-'M1'!F42</f>
        <v>-2.4989000000000011E-2</v>
      </c>
      <c r="G42" s="66">
        <f>'M2'!G42-'M1'!G42</f>
        <v>0</v>
      </c>
      <c r="H42" s="66">
        <f>'M2'!H42-'M1'!H42</f>
        <v>7.9921999999999993E-2</v>
      </c>
    </row>
    <row r="43" spans="1:8">
      <c r="A43" s="66" t="s">
        <v>86</v>
      </c>
      <c r="B43" s="66">
        <f>'M2'!B43-'M1'!B43</f>
        <v>-0.16493430000000001</v>
      </c>
      <c r="C43" s="66">
        <f>'M2'!C43-'M1'!C43</f>
        <v>6.6821499999999992E-2</v>
      </c>
      <c r="D43" s="66">
        <f>'M2'!D43-'M1'!D43</f>
        <v>-1.430904</v>
      </c>
      <c r="E43" s="66">
        <f>'M2'!E43-'M1'!E43</f>
        <v>0</v>
      </c>
      <c r="F43" s="66">
        <f>'M2'!F43-'M1'!F43</f>
        <v>-9.1487699999999991E-2</v>
      </c>
      <c r="G43" s="66">
        <f>'M2'!G43-'M1'!G43</f>
        <v>0</v>
      </c>
      <c r="H43" s="66">
        <f>'M2'!H43-'M1'!H43</f>
        <v>1.4320000000000027E-3</v>
      </c>
    </row>
    <row r="44" spans="1:8">
      <c r="A44" s="66" t="s">
        <v>87</v>
      </c>
      <c r="B44" s="66">
        <f>'M2'!B44-'M1'!B44</f>
        <v>-29.972700000000003</v>
      </c>
      <c r="C44" s="66">
        <f>'M2'!C44-'M1'!C44</f>
        <v>8.3712999999999997</v>
      </c>
      <c r="D44" s="66">
        <f>'M2'!D44-'M1'!D44</f>
        <v>0.90548899999999999</v>
      </c>
      <c r="E44" s="66">
        <f>'M2'!E44-'M1'!E44</f>
        <v>0</v>
      </c>
      <c r="F44" s="66">
        <f>'M2'!F44-'M1'!F44</f>
        <v>-43.671200000000006</v>
      </c>
      <c r="G44" s="66">
        <f>'M2'!G44-'M1'!G44</f>
        <v>0</v>
      </c>
      <c r="H44" s="66">
        <f>'M2'!H44-'M1'!H44</f>
        <v>-17.054590000000001</v>
      </c>
    </row>
    <row r="45" spans="1:8">
      <c r="A45" s="66" t="s">
        <v>88</v>
      </c>
      <c r="B45" s="66">
        <f>'M2'!B45-'M1'!B45</f>
        <v>-6.5945000000000036</v>
      </c>
      <c r="C45" s="66">
        <f>'M2'!C45-'M1'!C45</f>
        <v>-1.0492399999999993</v>
      </c>
      <c r="D45" s="66">
        <f>'M2'!D45-'M1'!D45</f>
        <v>-1.6759999999999831E-3</v>
      </c>
      <c r="E45" s="66">
        <f>'M2'!E45-'M1'!E45</f>
        <v>0</v>
      </c>
      <c r="F45" s="66">
        <f>'M2'!F45-'M1'!F45</f>
        <v>1.1374999999999957</v>
      </c>
      <c r="G45" s="66">
        <f>'M2'!G45-'M1'!G45</f>
        <v>0</v>
      </c>
      <c r="H45" s="66">
        <f>'M2'!H45-'M1'!H45</f>
        <v>-5.9762999999999948</v>
      </c>
    </row>
    <row r="46" spans="1:8">
      <c r="A46" s="66" t="s">
        <v>89</v>
      </c>
      <c r="B46" s="66">
        <f>'M2'!B46-'M1'!B46</f>
        <v>-7.2704999999999984</v>
      </c>
      <c r="C46" s="66">
        <f>'M2'!C46-'M1'!C46</f>
        <v>-8.2766199999999994</v>
      </c>
      <c r="D46" s="66">
        <f>'M2'!D46-'M1'!D46</f>
        <v>-0.177757</v>
      </c>
      <c r="E46" s="66">
        <f>'M2'!E46-'M1'!E46</f>
        <v>0</v>
      </c>
      <c r="F46" s="66">
        <f>'M2'!F46-'M1'!F46</f>
        <v>20.97024</v>
      </c>
      <c r="G46" s="66">
        <f>'M2'!G46-'M1'!G46</f>
        <v>0</v>
      </c>
      <c r="H46" s="66">
        <f>'M2'!H46-'M1'!H46</f>
        <v>-1.7666000000000039</v>
      </c>
    </row>
    <row r="47" spans="1:8">
      <c r="A47" s="66" t="s">
        <v>90</v>
      </c>
      <c r="B47" s="66">
        <f>'M2'!B47-'M1'!B47</f>
        <v>2.6778999999999997E-2</v>
      </c>
      <c r="C47" s="66">
        <f>'M2'!C47-'M1'!C47</f>
        <v>0.40474599999999994</v>
      </c>
      <c r="D47" s="66">
        <f>'M2'!D47-'M1'!D47</f>
        <v>0.73066200000000003</v>
      </c>
      <c r="E47" s="66">
        <f>'M2'!E47-'M1'!E47</f>
        <v>0</v>
      </c>
      <c r="F47" s="66">
        <f>'M2'!F47-'M1'!F47</f>
        <v>-7.5151999999999997E-2</v>
      </c>
      <c r="G47" s="66">
        <f>'M2'!G47-'M1'!G47</f>
        <v>0</v>
      </c>
      <c r="H47" s="66">
        <f>'M2'!H47-'M1'!H47</f>
        <v>2.1965790000000003</v>
      </c>
    </row>
    <row r="48" spans="1:8">
      <c r="A48" s="66" t="s">
        <v>91</v>
      </c>
      <c r="B48" s="66">
        <f>'M2'!B48-'M1'!B48</f>
        <v>-0.13290000000000002</v>
      </c>
      <c r="C48" s="66">
        <f>'M2'!C48-'M1'!C48</f>
        <v>-3.2205900000000003E-2</v>
      </c>
      <c r="D48" s="66">
        <f>'M2'!D48-'M1'!D48</f>
        <v>-3.4537999999999999E-2</v>
      </c>
      <c r="E48" s="66">
        <f>'M2'!E48-'M1'!E48</f>
        <v>0</v>
      </c>
      <c r="F48" s="66">
        <f>'M2'!F48-'M1'!F48</f>
        <v>-0.11064100000000004</v>
      </c>
      <c r="G48" s="66">
        <f>'M2'!G48-'M1'!G48</f>
        <v>0</v>
      </c>
      <c r="H48" s="66">
        <f>'M2'!H48-'M1'!H48</f>
        <v>-0.35362799999999994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346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45.516800000000003</v>
      </c>
      <c r="C5" s="66">
        <v>15.034700000000001</v>
      </c>
      <c r="D5" s="66">
        <v>33.030999999999999</v>
      </c>
      <c r="E5" s="66">
        <v>20</v>
      </c>
      <c r="F5" s="66">
        <v>7.1600299999999999</v>
      </c>
      <c r="G5" s="66">
        <v>50</v>
      </c>
      <c r="H5" s="66">
        <v>67.844399999999993</v>
      </c>
    </row>
    <row r="6" spans="1:8">
      <c r="A6" s="66" t="s">
        <v>303</v>
      </c>
      <c r="B6" s="66">
        <v>33.19</v>
      </c>
      <c r="C6" s="66">
        <v>1.72464</v>
      </c>
      <c r="D6" s="66">
        <v>5.1962700000000002</v>
      </c>
      <c r="E6" s="66">
        <v>20</v>
      </c>
      <c r="F6" s="66">
        <v>27.908799999999999</v>
      </c>
      <c r="G6" s="66">
        <v>40</v>
      </c>
      <c r="H6" s="66">
        <v>37.225999999999999</v>
      </c>
    </row>
    <row r="7" spans="1:8">
      <c r="A7" s="66" t="s">
        <v>304</v>
      </c>
      <c r="B7" s="66">
        <v>23.029800000000002</v>
      </c>
      <c r="C7" s="66">
        <v>3.4858199999999999</v>
      </c>
      <c r="D7" s="66">
        <v>15.136100000000001</v>
      </c>
      <c r="E7" s="66">
        <v>15</v>
      </c>
      <c r="F7" s="66">
        <v>16.655000000000001</v>
      </c>
      <c r="G7" s="66">
        <v>40</v>
      </c>
      <c r="H7" s="66">
        <v>34.870199999999997</v>
      </c>
    </row>
    <row r="8" spans="1:8">
      <c r="A8" s="66" t="s">
        <v>305</v>
      </c>
      <c r="B8" s="66">
        <v>32.966299999999997</v>
      </c>
      <c r="C8" s="66">
        <v>5.8041600000000004</v>
      </c>
      <c r="D8" s="66">
        <v>17.606400000000001</v>
      </c>
      <c r="E8" s="66">
        <v>20</v>
      </c>
      <c r="F8" s="66">
        <v>18.418299999999999</v>
      </c>
      <c r="G8" s="66">
        <v>50</v>
      </c>
      <c r="H8" s="66">
        <v>38.388599999999997</v>
      </c>
    </row>
    <row r="9" spans="1:8">
      <c r="A9" s="66" t="s">
        <v>306</v>
      </c>
      <c r="B9" s="66">
        <v>32.272100000000002</v>
      </c>
      <c r="C9" s="66">
        <v>9.5231300000000001</v>
      </c>
      <c r="D9" s="66">
        <v>29.508900000000001</v>
      </c>
      <c r="E9" s="66">
        <v>50</v>
      </c>
      <c r="F9" s="66">
        <v>19.107399999999998</v>
      </c>
      <c r="G9" s="66">
        <v>100</v>
      </c>
      <c r="H9" s="66">
        <v>68.545400000000001</v>
      </c>
    </row>
    <row r="10" spans="1:8">
      <c r="A10" s="66" t="s">
        <v>307</v>
      </c>
      <c r="B10" s="66">
        <v>58.706299999999999</v>
      </c>
      <c r="C10" s="66">
        <v>4.7611999999999997</v>
      </c>
      <c r="D10" s="66">
        <v>8.1102000000000007</v>
      </c>
      <c r="E10" s="66">
        <v>40</v>
      </c>
      <c r="F10" s="66">
        <v>48.789299999999997</v>
      </c>
      <c r="G10" s="66">
        <v>100</v>
      </c>
      <c r="H10" s="66">
        <v>65.421800000000005</v>
      </c>
    </row>
    <row r="11" spans="1:8">
      <c r="A11" s="66" t="s">
        <v>308</v>
      </c>
      <c r="B11" s="66">
        <v>14.3203</v>
      </c>
      <c r="C11" s="66">
        <v>4.3085100000000001</v>
      </c>
      <c r="D11" s="66">
        <v>30.0867</v>
      </c>
      <c r="E11" s="66">
        <v>10</v>
      </c>
      <c r="F11" s="66">
        <v>3.4965799999999998</v>
      </c>
      <c r="G11" s="66">
        <v>50</v>
      </c>
      <c r="H11" s="66">
        <v>17.3813</v>
      </c>
    </row>
    <row r="12" spans="1:8">
      <c r="A12" s="66" t="s">
        <v>309</v>
      </c>
      <c r="B12" s="66">
        <v>46.456499999999998</v>
      </c>
      <c r="C12" s="66">
        <v>4.7365300000000001</v>
      </c>
      <c r="D12" s="66">
        <v>10.195600000000001</v>
      </c>
      <c r="E12" s="66">
        <v>50</v>
      </c>
      <c r="F12" s="66">
        <v>37.5717</v>
      </c>
      <c r="G12" s="66">
        <v>100</v>
      </c>
      <c r="H12" s="66">
        <v>61.0259</v>
      </c>
    </row>
    <row r="13" spans="1:8">
      <c r="A13" s="66" t="s">
        <v>310</v>
      </c>
      <c r="B13" s="66">
        <v>23.144500000000001</v>
      </c>
      <c r="C13" s="66">
        <v>2.9234900000000001</v>
      </c>
      <c r="D13" s="66">
        <v>12.631500000000001</v>
      </c>
      <c r="E13" s="66">
        <v>10</v>
      </c>
      <c r="F13" s="66">
        <v>15.5823</v>
      </c>
      <c r="G13" s="66">
        <v>25</v>
      </c>
      <c r="H13" s="66">
        <v>28.081900000000001</v>
      </c>
    </row>
    <row r="14" spans="1:8">
      <c r="A14" s="66" t="s">
        <v>311</v>
      </c>
      <c r="B14" s="66">
        <v>29.2349</v>
      </c>
      <c r="C14" s="66">
        <v>10.655799999999999</v>
      </c>
      <c r="D14" s="66">
        <v>36.448900000000002</v>
      </c>
      <c r="E14" s="66">
        <v>10</v>
      </c>
      <c r="F14" s="66">
        <v>4.1535599999999997</v>
      </c>
      <c r="G14" s="66">
        <v>50</v>
      </c>
      <c r="H14" s="66">
        <v>35.276800000000001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0.16564799999999999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0.65678199999999998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3.5446499999999999E-4</v>
      </c>
      <c r="C20" s="66">
        <v>1.08396E-2</v>
      </c>
      <c r="D20" s="66">
        <v>30.580200000000001</v>
      </c>
      <c r="E20" s="66">
        <v>0</v>
      </c>
      <c r="F20" s="66">
        <v>0</v>
      </c>
      <c r="G20" s="66">
        <v>0</v>
      </c>
      <c r="H20" s="66">
        <v>6.2811699999999998E-2</v>
      </c>
    </row>
    <row r="21" spans="1:8">
      <c r="A21" s="66" t="s">
        <v>318</v>
      </c>
      <c r="B21" s="66">
        <v>4.4800300000000001E-2</v>
      </c>
      <c r="C21" s="66">
        <v>5.3995899999999999E-2</v>
      </c>
      <c r="D21" s="66">
        <v>1.20526</v>
      </c>
      <c r="E21" s="66">
        <v>0</v>
      </c>
      <c r="F21" s="66">
        <v>2.7451E-4</v>
      </c>
      <c r="G21" s="66">
        <v>0</v>
      </c>
      <c r="H21" s="66">
        <v>0.21817600000000001</v>
      </c>
    </row>
    <row r="22" spans="1:8">
      <c r="A22" s="66" t="s">
        <v>319</v>
      </c>
      <c r="B22" s="66">
        <v>55.7361</v>
      </c>
      <c r="C22" s="66">
        <v>20.394400000000001</v>
      </c>
      <c r="D22" s="66">
        <v>0.36591000000000001</v>
      </c>
      <c r="E22" s="66">
        <v>0</v>
      </c>
      <c r="F22" s="66">
        <v>29.805099999999999</v>
      </c>
      <c r="G22" s="66">
        <v>0</v>
      </c>
      <c r="H22" s="66">
        <v>111.045</v>
      </c>
    </row>
    <row r="23" spans="1:8">
      <c r="A23" s="66" t="s">
        <v>320</v>
      </c>
      <c r="B23" s="66">
        <v>29.1037</v>
      </c>
      <c r="C23" s="66">
        <v>7.1831899999999997</v>
      </c>
      <c r="D23" s="66">
        <v>0.24681400000000001</v>
      </c>
      <c r="E23" s="66">
        <v>0</v>
      </c>
      <c r="F23" s="66">
        <v>9.9661600000000004</v>
      </c>
      <c r="G23" s="66">
        <v>0</v>
      </c>
      <c r="H23" s="66">
        <v>36.319699999999997</v>
      </c>
    </row>
    <row r="24" spans="1:8">
      <c r="A24" s="66" t="s">
        <v>321</v>
      </c>
      <c r="B24" s="66">
        <v>4.2681400000000001E-3</v>
      </c>
      <c r="C24" s="66">
        <v>5.5622500000000004E-3</v>
      </c>
      <c r="D24" s="66">
        <v>1.3031999999999999</v>
      </c>
      <c r="E24" s="66">
        <v>0</v>
      </c>
      <c r="F24" s="196">
        <v>1.0135999999999999E-5</v>
      </c>
      <c r="G24" s="66">
        <v>0</v>
      </c>
      <c r="H24" s="66">
        <v>2.2719E-2</v>
      </c>
    </row>
    <row r="25" spans="1:8">
      <c r="A25" s="66" t="s">
        <v>322</v>
      </c>
      <c r="B25" s="66">
        <v>6.22768E-2</v>
      </c>
      <c r="C25" s="66">
        <v>2.1353E-2</v>
      </c>
      <c r="D25" s="66">
        <v>0.34287299999999998</v>
      </c>
      <c r="E25" s="66">
        <v>0</v>
      </c>
      <c r="F25" s="66">
        <v>1.8335299999999999E-2</v>
      </c>
      <c r="G25" s="66">
        <v>0</v>
      </c>
      <c r="H25" s="66">
        <v>0.107831</v>
      </c>
    </row>
    <row r="26" spans="1:8">
      <c r="A26" s="66" t="s">
        <v>323</v>
      </c>
      <c r="B26" s="66">
        <v>1.21455E-4</v>
      </c>
      <c r="C26" s="66">
        <v>8.5079399999999999E-4</v>
      </c>
      <c r="D26" s="66">
        <v>7.00502</v>
      </c>
      <c r="E26" s="66">
        <v>0</v>
      </c>
      <c r="F26" s="66">
        <v>0</v>
      </c>
      <c r="G26" s="66">
        <v>0</v>
      </c>
      <c r="H26" s="66">
        <v>4.3034400000000004E-3</v>
      </c>
    </row>
    <row r="27" spans="1:8">
      <c r="A27" s="66" t="s">
        <v>324</v>
      </c>
      <c r="B27" s="196">
        <v>-6.5651299999999996E-6</v>
      </c>
      <c r="C27" s="66">
        <v>6.8165800000000003E-4</v>
      </c>
      <c r="D27" s="66">
        <v>-103.83</v>
      </c>
      <c r="E27" s="66">
        <v>0</v>
      </c>
      <c r="F27" s="66">
        <v>-3.3941700000000002E-3</v>
      </c>
      <c r="G27" s="66">
        <v>0</v>
      </c>
      <c r="H27" s="66">
        <v>3.2661500000000002E-3</v>
      </c>
    </row>
    <row r="28" spans="1:8">
      <c r="A28" s="66" t="s">
        <v>325</v>
      </c>
      <c r="B28" s="66">
        <v>5.9586600000000002E-3</v>
      </c>
      <c r="C28" s="66">
        <v>4.6589500000000002E-3</v>
      </c>
      <c r="D28" s="66">
        <v>0.78187899999999999</v>
      </c>
      <c r="E28" s="66">
        <v>0</v>
      </c>
      <c r="F28" s="196">
        <v>5.8593700000000001E-5</v>
      </c>
      <c r="G28" s="66">
        <v>0</v>
      </c>
      <c r="H28" s="66">
        <v>2.1302100000000001E-2</v>
      </c>
    </row>
    <row r="29" spans="1:8">
      <c r="A29" s="66" t="s">
        <v>326</v>
      </c>
      <c r="B29" s="66">
        <v>85.259200000000007</v>
      </c>
      <c r="C29" s="66">
        <v>14.173</v>
      </c>
      <c r="D29" s="66">
        <v>0.16623499999999999</v>
      </c>
      <c r="E29" s="66">
        <v>0</v>
      </c>
      <c r="F29" s="66">
        <v>55.269399999999997</v>
      </c>
      <c r="G29" s="66">
        <v>0</v>
      </c>
      <c r="H29" s="66">
        <v>127.53400000000001</v>
      </c>
    </row>
    <row r="30" spans="1:8">
      <c r="A30" s="66" t="s">
        <v>327</v>
      </c>
      <c r="B30" s="66">
        <v>33.343600000000002</v>
      </c>
      <c r="C30" s="66">
        <v>8.7789300000000008</v>
      </c>
      <c r="D30" s="66">
        <v>0.26328699999999999</v>
      </c>
      <c r="E30" s="66">
        <v>0</v>
      </c>
      <c r="F30" s="66">
        <v>10.0131</v>
      </c>
      <c r="G30" s="66">
        <v>0</v>
      </c>
      <c r="H30" s="66">
        <v>39.913200000000003</v>
      </c>
    </row>
    <row r="31" spans="1:8">
      <c r="A31" s="66" t="s">
        <v>328</v>
      </c>
      <c r="B31" s="66">
        <v>332.99900000000002</v>
      </c>
      <c r="C31" s="66">
        <v>104.05500000000001</v>
      </c>
      <c r="D31" s="66">
        <v>0.31247799999999998</v>
      </c>
      <c r="E31" s="66">
        <v>0</v>
      </c>
      <c r="F31" s="66">
        <v>50.550899999999999</v>
      </c>
      <c r="G31" s="66">
        <v>0</v>
      </c>
      <c r="H31" s="66">
        <v>371.09699999999998</v>
      </c>
    </row>
    <row r="32" spans="1:8">
      <c r="A32" s="66" t="s">
        <v>329</v>
      </c>
      <c r="B32" s="66">
        <v>0.230298</v>
      </c>
      <c r="C32" s="66">
        <v>3.4858199999999999E-2</v>
      </c>
      <c r="D32" s="66">
        <v>0.151361</v>
      </c>
      <c r="E32" s="66">
        <v>0.15</v>
      </c>
      <c r="F32" s="66">
        <v>0.16655</v>
      </c>
      <c r="G32" s="66">
        <v>0.4</v>
      </c>
      <c r="H32" s="66">
        <v>0.34870200000000001</v>
      </c>
    </row>
    <row r="33" spans="1:8">
      <c r="A33" s="66" t="s">
        <v>330</v>
      </c>
      <c r="B33" s="66">
        <v>0.39155600000000002</v>
      </c>
      <c r="C33" s="66">
        <v>4.9190400000000002E-2</v>
      </c>
      <c r="D33" s="66">
        <v>0.12562799999999999</v>
      </c>
      <c r="E33" s="66">
        <v>0</v>
      </c>
      <c r="F33" s="66">
        <v>0.28063199999999999</v>
      </c>
      <c r="G33" s="66">
        <v>0</v>
      </c>
      <c r="H33" s="66">
        <v>0.45985300000000001</v>
      </c>
    </row>
    <row r="34" spans="1:8">
      <c r="A34" s="66" t="s">
        <v>331</v>
      </c>
      <c r="B34" s="66">
        <v>0.23144500000000001</v>
      </c>
      <c r="C34" s="66">
        <v>2.9234900000000001E-2</v>
      </c>
      <c r="D34" s="66">
        <v>0.12631500000000001</v>
      </c>
      <c r="E34" s="66">
        <v>0.1</v>
      </c>
      <c r="F34" s="66">
        <v>0.15582299999999999</v>
      </c>
      <c r="G34" s="66">
        <v>0.25</v>
      </c>
      <c r="H34" s="66">
        <v>0.28081899999999999</v>
      </c>
    </row>
    <row r="35" spans="1:8">
      <c r="A35" s="66" t="s">
        <v>332</v>
      </c>
      <c r="B35" s="66">
        <v>9.1199100000000005E-2</v>
      </c>
      <c r="C35" s="66">
        <v>2.0175200000000001E-2</v>
      </c>
      <c r="D35" s="66">
        <v>0.221222</v>
      </c>
      <c r="E35" s="66">
        <v>0</v>
      </c>
      <c r="F35" s="66">
        <v>3.36488E-2</v>
      </c>
      <c r="G35" s="66">
        <v>0</v>
      </c>
      <c r="H35" s="66">
        <v>0.12890799999999999</v>
      </c>
    </row>
    <row r="36" spans="1:8">
      <c r="A36" s="66" t="s">
        <v>333</v>
      </c>
      <c r="B36" s="66">
        <v>0.20311199999999999</v>
      </c>
      <c r="C36" s="66">
        <v>9.4712199999999996E-2</v>
      </c>
      <c r="D36" s="66">
        <v>0.466306</v>
      </c>
      <c r="E36" s="66">
        <v>0</v>
      </c>
      <c r="F36" s="66">
        <v>4.20402E-2</v>
      </c>
      <c r="G36" s="66">
        <v>0</v>
      </c>
      <c r="H36" s="66">
        <v>0.44023800000000002</v>
      </c>
    </row>
    <row r="37" spans="1:8">
      <c r="A37" s="66" t="s">
        <v>334</v>
      </c>
      <c r="B37" s="66">
        <v>0.29234900000000003</v>
      </c>
      <c r="C37" s="66">
        <v>0.106558</v>
      </c>
      <c r="D37" s="66">
        <v>0.36448900000000001</v>
      </c>
      <c r="E37" s="66">
        <v>0.1</v>
      </c>
      <c r="F37" s="66">
        <v>4.1535599999999999E-2</v>
      </c>
      <c r="G37" s="66">
        <v>0.5</v>
      </c>
      <c r="H37" s="66">
        <v>0.35276800000000003</v>
      </c>
    </row>
    <row r="38" spans="1:8">
      <c r="A38" s="66" t="s">
        <v>335</v>
      </c>
      <c r="B38" s="66">
        <v>-1.6585700000000001</v>
      </c>
      <c r="C38" s="66">
        <v>35.813699999999997</v>
      </c>
      <c r="D38" s="66">
        <v>-21.5931</v>
      </c>
      <c r="E38" s="66">
        <v>0</v>
      </c>
      <c r="F38" s="66">
        <v>-117.074</v>
      </c>
      <c r="G38" s="66">
        <v>0</v>
      </c>
      <c r="H38" s="66">
        <v>245.44200000000001</v>
      </c>
    </row>
    <row r="39" spans="1:8">
      <c r="A39" s="66" t="s">
        <v>336</v>
      </c>
      <c r="B39" s="66">
        <v>1.13164</v>
      </c>
      <c r="C39" s="66">
        <v>4.3345099999999999</v>
      </c>
      <c r="D39" s="66">
        <v>3.8302800000000001</v>
      </c>
      <c r="E39" s="66">
        <v>0</v>
      </c>
      <c r="F39" s="66">
        <v>-7.2898800000000001</v>
      </c>
      <c r="G39" s="66">
        <v>0</v>
      </c>
      <c r="H39" s="66">
        <v>23.757000000000001</v>
      </c>
    </row>
    <row r="40" spans="1:8">
      <c r="A40" s="66" t="s">
        <v>337</v>
      </c>
      <c r="B40" s="66">
        <v>1.2281</v>
      </c>
      <c r="C40" s="66">
        <v>0.34254099999999998</v>
      </c>
      <c r="D40" s="66">
        <v>0.27892</v>
      </c>
      <c r="E40" s="66">
        <v>0</v>
      </c>
      <c r="F40" s="66">
        <v>-0.39555200000000001</v>
      </c>
      <c r="G40" s="66">
        <v>0</v>
      </c>
      <c r="H40" s="66">
        <v>1.5231399999999999</v>
      </c>
    </row>
    <row r="41" spans="1:8">
      <c r="A41" s="66" t="s">
        <v>338</v>
      </c>
      <c r="B41" s="66">
        <v>-1.00077E-2</v>
      </c>
      <c r="C41" s="66">
        <v>0.250361</v>
      </c>
      <c r="D41" s="66">
        <v>-25.0168</v>
      </c>
      <c r="E41" s="66">
        <v>0</v>
      </c>
      <c r="F41" s="66">
        <v>-1</v>
      </c>
      <c r="G41" s="66">
        <v>0</v>
      </c>
      <c r="H41" s="66">
        <v>0.82022499999999998</v>
      </c>
    </row>
    <row r="42" spans="1:8">
      <c r="A42" s="66" t="s">
        <v>339</v>
      </c>
      <c r="B42" s="66">
        <v>3.0365900000000001E-2</v>
      </c>
      <c r="C42" s="66">
        <v>8.4065000000000001E-2</v>
      </c>
      <c r="D42" s="66">
        <v>2.7684000000000002</v>
      </c>
      <c r="E42" s="66">
        <v>0</v>
      </c>
      <c r="F42" s="66">
        <v>-0.151032</v>
      </c>
      <c r="G42" s="66">
        <v>0</v>
      </c>
      <c r="H42" s="66">
        <v>0.26333899999999999</v>
      </c>
    </row>
    <row r="43" spans="1:8">
      <c r="A43" s="66" t="s">
        <v>340</v>
      </c>
      <c r="B43" s="66">
        <v>6.9097000000000006E-2</v>
      </c>
      <c r="C43" s="66">
        <v>2.9456300000000001E-2</v>
      </c>
      <c r="D43" s="66">
        <v>0.42630400000000002</v>
      </c>
      <c r="E43" s="66">
        <v>0</v>
      </c>
      <c r="F43" s="66">
        <v>-6.8922300000000006E-2</v>
      </c>
      <c r="G43" s="66">
        <v>0</v>
      </c>
      <c r="H43" s="66">
        <v>0.123108</v>
      </c>
    </row>
    <row r="44" spans="1:8">
      <c r="A44" s="66" t="s">
        <v>341</v>
      </c>
      <c r="B44" s="66">
        <v>-7.9398</v>
      </c>
      <c r="C44" s="66">
        <v>11.311400000000001</v>
      </c>
      <c r="D44" s="66">
        <v>-1.42465</v>
      </c>
      <c r="E44" s="66">
        <v>0</v>
      </c>
      <c r="F44" s="66">
        <v>-33.935600000000001</v>
      </c>
      <c r="G44" s="66">
        <v>0</v>
      </c>
      <c r="H44" s="66">
        <v>7.0679600000000002</v>
      </c>
    </row>
    <row r="45" spans="1:8">
      <c r="A45" s="66" t="s">
        <v>342</v>
      </c>
      <c r="B45" s="66">
        <v>67.432400000000001</v>
      </c>
      <c r="C45" s="66">
        <v>9.6863399999999995</v>
      </c>
      <c r="D45" s="66">
        <v>0.14364499999999999</v>
      </c>
      <c r="E45" s="66">
        <v>0</v>
      </c>
      <c r="F45" s="66">
        <v>40.981000000000002</v>
      </c>
      <c r="G45" s="66">
        <v>0</v>
      </c>
      <c r="H45" s="66">
        <v>89.040999999999997</v>
      </c>
    </row>
    <row r="46" spans="1:8">
      <c r="A46" s="66" t="s">
        <v>343</v>
      </c>
      <c r="B46" s="66">
        <v>40.782299999999999</v>
      </c>
      <c r="C46" s="66">
        <v>13.0116</v>
      </c>
      <c r="D46" s="66">
        <v>0.31905</v>
      </c>
      <c r="E46" s="66">
        <v>0</v>
      </c>
      <c r="F46" s="66">
        <v>7.0224599999999997</v>
      </c>
      <c r="G46" s="66">
        <v>0</v>
      </c>
      <c r="H46" s="66">
        <v>47.898800000000001</v>
      </c>
    </row>
    <row r="47" spans="1:8">
      <c r="A47" s="66" t="s">
        <v>344</v>
      </c>
      <c r="B47" s="66">
        <v>0.517455</v>
      </c>
      <c r="C47" s="66">
        <v>0.13708500000000001</v>
      </c>
      <c r="D47" s="66">
        <v>0.26492199999999999</v>
      </c>
      <c r="E47" s="66">
        <v>0</v>
      </c>
      <c r="F47" s="66">
        <v>0.284215</v>
      </c>
      <c r="G47" s="66">
        <v>0</v>
      </c>
      <c r="H47" s="66">
        <v>0.99833099999999997</v>
      </c>
    </row>
    <row r="48" spans="1:8">
      <c r="A48" s="66" t="s">
        <v>345</v>
      </c>
      <c r="B48" s="66">
        <v>0.47341100000000003</v>
      </c>
      <c r="C48" s="66">
        <v>7.2829500000000005E-2</v>
      </c>
      <c r="D48" s="66">
        <v>0.15384</v>
      </c>
      <c r="E48" s="66">
        <v>0</v>
      </c>
      <c r="F48" s="66">
        <v>0.36589100000000002</v>
      </c>
      <c r="G48" s="66">
        <v>0</v>
      </c>
      <c r="H48" s="66">
        <v>0.78028699999999995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347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41.275199999999998</v>
      </c>
      <c r="C5" s="66">
        <v>4.2212199999999998</v>
      </c>
      <c r="D5" s="66">
        <v>10.227</v>
      </c>
      <c r="E5" s="66">
        <v>20</v>
      </c>
      <c r="F5" s="66">
        <v>35.447200000000002</v>
      </c>
      <c r="G5" s="66">
        <v>50</v>
      </c>
      <c r="H5" s="66">
        <v>68.354200000000006</v>
      </c>
    </row>
    <row r="6" spans="1:8">
      <c r="A6" s="66" t="s">
        <v>303</v>
      </c>
      <c r="B6" s="66">
        <v>26.313600000000001</v>
      </c>
      <c r="C6" s="66">
        <v>4.5592300000000003</v>
      </c>
      <c r="D6" s="66">
        <v>17.326599999999999</v>
      </c>
      <c r="E6" s="66">
        <v>20</v>
      </c>
      <c r="F6" s="66">
        <v>24.143899999999999</v>
      </c>
      <c r="G6" s="66">
        <v>40</v>
      </c>
      <c r="H6" s="66">
        <v>45.458799999999997</v>
      </c>
    </row>
    <row r="7" spans="1:8">
      <c r="A7" s="66" t="s">
        <v>304</v>
      </c>
      <c r="B7" s="66">
        <v>23.012499999999999</v>
      </c>
      <c r="C7" s="66">
        <v>3.7368999999999999</v>
      </c>
      <c r="D7" s="66">
        <v>16.238600000000002</v>
      </c>
      <c r="E7" s="66">
        <v>15</v>
      </c>
      <c r="F7" s="66">
        <v>9.5369600000000005</v>
      </c>
      <c r="G7" s="66">
        <v>40</v>
      </c>
      <c r="H7" s="66">
        <v>33.673900000000003</v>
      </c>
    </row>
    <row r="8" spans="1:8">
      <c r="A8" s="66" t="s">
        <v>305</v>
      </c>
      <c r="B8" s="66">
        <v>30.938700000000001</v>
      </c>
      <c r="C8" s="66">
        <v>2.4527199999999998</v>
      </c>
      <c r="D8" s="66">
        <v>7.92767</v>
      </c>
      <c r="E8" s="66">
        <v>20</v>
      </c>
      <c r="F8" s="66">
        <v>27.4695</v>
      </c>
      <c r="G8" s="66">
        <v>50</v>
      </c>
      <c r="H8" s="66">
        <v>37.758499999999998</v>
      </c>
    </row>
    <row r="9" spans="1:8">
      <c r="A9" s="66" t="s">
        <v>306</v>
      </c>
      <c r="B9" s="66">
        <v>32.167499999999997</v>
      </c>
      <c r="C9" s="66">
        <v>9.6044400000000003</v>
      </c>
      <c r="D9" s="66">
        <v>29.857500000000002</v>
      </c>
      <c r="E9" s="66">
        <v>50</v>
      </c>
      <c r="F9" s="66">
        <v>20.494499999999999</v>
      </c>
      <c r="G9" s="66">
        <v>100</v>
      </c>
      <c r="H9" s="66">
        <v>58.854999999999997</v>
      </c>
    </row>
    <row r="10" spans="1:8">
      <c r="A10" s="66" t="s">
        <v>307</v>
      </c>
      <c r="B10" s="66">
        <v>81.906400000000005</v>
      </c>
      <c r="C10" s="66">
        <v>12.6539</v>
      </c>
      <c r="D10" s="66">
        <v>15.449199999999999</v>
      </c>
      <c r="E10" s="66">
        <v>40</v>
      </c>
      <c r="F10" s="66">
        <v>49.785699999999999</v>
      </c>
      <c r="G10" s="66">
        <v>100</v>
      </c>
      <c r="H10" s="66">
        <v>83.261399999999995</v>
      </c>
    </row>
    <row r="11" spans="1:8">
      <c r="A11" s="66" t="s">
        <v>308</v>
      </c>
      <c r="B11" s="66">
        <v>9.74803</v>
      </c>
      <c r="C11" s="66">
        <v>1.7183200000000001</v>
      </c>
      <c r="D11" s="66">
        <v>17.627300000000002</v>
      </c>
      <c r="E11" s="66">
        <v>10</v>
      </c>
      <c r="F11" s="66">
        <v>6.5037700000000003</v>
      </c>
      <c r="G11" s="66">
        <v>50</v>
      </c>
      <c r="H11" s="66">
        <v>14.096399999999999</v>
      </c>
    </row>
    <row r="12" spans="1:8">
      <c r="A12" s="66" t="s">
        <v>309</v>
      </c>
      <c r="B12" s="66">
        <v>54.085299999999997</v>
      </c>
      <c r="C12" s="66">
        <v>4.3925799999999997</v>
      </c>
      <c r="D12" s="66">
        <v>8.1215700000000002</v>
      </c>
      <c r="E12" s="66">
        <v>50</v>
      </c>
      <c r="F12" s="66">
        <v>38.110399999999998</v>
      </c>
      <c r="G12" s="66">
        <v>100</v>
      </c>
      <c r="H12" s="66">
        <v>61.648600000000002</v>
      </c>
    </row>
    <row r="13" spans="1:8">
      <c r="A13" s="66" t="s">
        <v>310</v>
      </c>
      <c r="B13" s="66">
        <v>21.523299999999999</v>
      </c>
      <c r="C13" s="66">
        <v>1.7223999999999999</v>
      </c>
      <c r="D13" s="66">
        <v>8.0025099999999991</v>
      </c>
      <c r="E13" s="66">
        <v>10</v>
      </c>
      <c r="F13" s="66">
        <v>17.5169</v>
      </c>
      <c r="G13" s="66">
        <v>25</v>
      </c>
      <c r="H13" s="66">
        <v>26.087499999999999</v>
      </c>
    </row>
    <row r="14" spans="1:8">
      <c r="A14" s="66" t="s">
        <v>311</v>
      </c>
      <c r="B14" s="66">
        <v>17.224</v>
      </c>
      <c r="C14" s="66">
        <v>9.4907699999999995</v>
      </c>
      <c r="D14" s="66">
        <v>55.101900000000001</v>
      </c>
      <c r="E14" s="66">
        <v>10</v>
      </c>
      <c r="F14" s="66">
        <v>2.30627</v>
      </c>
      <c r="G14" s="66">
        <v>50</v>
      </c>
      <c r="H14" s="66">
        <v>29.130600000000001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9.9229399999999995E-2</v>
      </c>
      <c r="C18" s="66">
        <v>4.6458300000000001E-2</v>
      </c>
      <c r="D18" s="66">
        <v>0.46819</v>
      </c>
      <c r="E18" s="66">
        <v>0</v>
      </c>
      <c r="F18" s="66">
        <v>5.2771100000000001E-2</v>
      </c>
      <c r="G18" s="66">
        <v>0</v>
      </c>
      <c r="H18" s="66">
        <v>0.14568800000000001</v>
      </c>
    </row>
    <row r="19" spans="1:8">
      <c r="A19" s="66" t="s">
        <v>316</v>
      </c>
      <c r="B19" s="66">
        <v>0.67551499999999998</v>
      </c>
      <c r="C19" s="66">
        <v>6.9582599999999994E-2</v>
      </c>
      <c r="D19" s="66">
        <v>0.103007</v>
      </c>
      <c r="E19" s="66">
        <v>0</v>
      </c>
      <c r="F19" s="66">
        <v>0.60593300000000005</v>
      </c>
      <c r="G19" s="66">
        <v>0</v>
      </c>
      <c r="H19" s="66">
        <v>0.74509800000000004</v>
      </c>
    </row>
    <row r="20" spans="1:8">
      <c r="A20" s="66" t="s">
        <v>317</v>
      </c>
      <c r="B20" s="66">
        <v>4.3833799999999998E-4</v>
      </c>
      <c r="C20" s="66">
        <v>1.9540600000000002E-2</v>
      </c>
      <c r="D20" s="66">
        <v>44.578800000000001</v>
      </c>
      <c r="E20" s="66">
        <v>0</v>
      </c>
      <c r="F20" s="66">
        <v>0</v>
      </c>
      <c r="G20" s="66">
        <v>0</v>
      </c>
      <c r="H20" s="66">
        <v>0.20697199999999999</v>
      </c>
    </row>
    <row r="21" spans="1:8">
      <c r="A21" s="66" t="s">
        <v>318</v>
      </c>
      <c r="B21" s="66">
        <v>5.5026199999999997E-2</v>
      </c>
      <c r="C21" s="66">
        <v>0.30991000000000002</v>
      </c>
      <c r="D21" s="66">
        <v>5.6320399999999999</v>
      </c>
      <c r="E21" s="66">
        <v>0</v>
      </c>
      <c r="F21" s="66">
        <v>3.0741900000000002E-4</v>
      </c>
      <c r="G21" s="66">
        <v>0</v>
      </c>
      <c r="H21" s="66">
        <v>1.85161</v>
      </c>
    </row>
    <row r="22" spans="1:8">
      <c r="A22" s="66" t="s">
        <v>319</v>
      </c>
      <c r="B22" s="66">
        <v>47.1706</v>
      </c>
      <c r="C22" s="66">
        <v>15.9742</v>
      </c>
      <c r="D22" s="66">
        <v>0.33864699999999998</v>
      </c>
      <c r="E22" s="66">
        <v>0</v>
      </c>
      <c r="F22" s="66">
        <v>26.6538</v>
      </c>
      <c r="G22" s="66">
        <v>0</v>
      </c>
      <c r="H22" s="66">
        <v>96.716300000000004</v>
      </c>
    </row>
    <row r="23" spans="1:8">
      <c r="A23" s="66" t="s">
        <v>320</v>
      </c>
      <c r="B23" s="66">
        <v>14.7811</v>
      </c>
      <c r="C23" s="66">
        <v>3.2614800000000002</v>
      </c>
      <c r="D23" s="66">
        <v>0.22065299999999999</v>
      </c>
      <c r="E23" s="66">
        <v>0</v>
      </c>
      <c r="F23" s="66">
        <v>12.3193</v>
      </c>
      <c r="G23" s="66">
        <v>0</v>
      </c>
      <c r="H23" s="66">
        <v>27.788900000000002</v>
      </c>
    </row>
    <row r="24" spans="1:8">
      <c r="A24" s="66" t="s">
        <v>321</v>
      </c>
      <c r="B24" s="66">
        <v>3.4518499999999998E-3</v>
      </c>
      <c r="C24" s="66">
        <v>1.5413400000000001E-2</v>
      </c>
      <c r="D24" s="66">
        <v>4.4652599999999998</v>
      </c>
      <c r="E24" s="66">
        <v>0</v>
      </c>
      <c r="F24" s="196">
        <v>2.15029E-5</v>
      </c>
      <c r="G24" s="66">
        <v>0</v>
      </c>
      <c r="H24" s="66">
        <v>0.10576000000000001</v>
      </c>
    </row>
    <row r="25" spans="1:8">
      <c r="A25" s="66" t="s">
        <v>322</v>
      </c>
      <c r="B25" s="66">
        <v>6.2331299999999999E-2</v>
      </c>
      <c r="C25" s="66">
        <v>0.24024899999999999</v>
      </c>
      <c r="D25" s="66">
        <v>3.85439</v>
      </c>
      <c r="E25" s="66">
        <v>0</v>
      </c>
      <c r="F25" s="66">
        <v>2.5601700000000002E-2</v>
      </c>
      <c r="G25" s="66">
        <v>0</v>
      </c>
      <c r="H25" s="66">
        <v>1.11067</v>
      </c>
    </row>
    <row r="26" spans="1:8">
      <c r="A26" s="66" t="s">
        <v>323</v>
      </c>
      <c r="B26" s="66">
        <v>1.59204E-4</v>
      </c>
      <c r="C26" s="66">
        <v>2.87214E-3</v>
      </c>
      <c r="D26" s="66">
        <v>18.040600000000001</v>
      </c>
      <c r="E26" s="66">
        <v>0</v>
      </c>
      <c r="F26" s="66">
        <v>0</v>
      </c>
      <c r="G26" s="66">
        <v>0</v>
      </c>
      <c r="H26" s="66">
        <v>2.8262900000000001E-2</v>
      </c>
    </row>
    <row r="27" spans="1:8">
      <c r="A27" s="66" t="s">
        <v>324</v>
      </c>
      <c r="B27" s="196">
        <v>-6.5651299999999996E-6</v>
      </c>
      <c r="C27" s="66">
        <v>1.19479E-3</v>
      </c>
      <c r="D27" s="66">
        <v>-181.99100000000001</v>
      </c>
      <c r="E27" s="66">
        <v>0</v>
      </c>
      <c r="F27" s="66">
        <v>-1.2109399999999999E-2</v>
      </c>
      <c r="G27" s="66">
        <v>0</v>
      </c>
      <c r="H27" s="66">
        <v>1.22144E-2</v>
      </c>
    </row>
    <row r="28" spans="1:8">
      <c r="A28" s="66" t="s">
        <v>325</v>
      </c>
      <c r="B28" s="66">
        <v>6.8489600000000003E-3</v>
      </c>
      <c r="C28" s="66">
        <v>2.3450800000000001E-2</v>
      </c>
      <c r="D28" s="66">
        <v>3.4239899999999999</v>
      </c>
      <c r="E28" s="66">
        <v>0</v>
      </c>
      <c r="F28" s="66">
        <v>1.59505E-4</v>
      </c>
      <c r="G28" s="66">
        <v>0</v>
      </c>
      <c r="H28" s="66">
        <v>0.128438</v>
      </c>
    </row>
    <row r="29" spans="1:8">
      <c r="A29" s="66" t="s">
        <v>326</v>
      </c>
      <c r="B29" s="66">
        <v>76.875900000000001</v>
      </c>
      <c r="C29" s="66">
        <v>10.2263</v>
      </c>
      <c r="D29" s="66">
        <v>0.133024</v>
      </c>
      <c r="E29" s="66">
        <v>0</v>
      </c>
      <c r="F29" s="66">
        <v>52.908499999999997</v>
      </c>
      <c r="G29" s="66">
        <v>0</v>
      </c>
      <c r="H29" s="66">
        <v>105.955</v>
      </c>
    </row>
    <row r="30" spans="1:8">
      <c r="A30" s="66" t="s">
        <v>327</v>
      </c>
      <c r="B30" s="66">
        <v>17.994</v>
      </c>
      <c r="C30" s="66">
        <v>4.7175599999999998</v>
      </c>
      <c r="D30" s="66">
        <v>0.26217400000000002</v>
      </c>
      <c r="E30" s="66">
        <v>0</v>
      </c>
      <c r="F30" s="66">
        <v>14.8847</v>
      </c>
      <c r="G30" s="66">
        <v>0</v>
      </c>
      <c r="H30" s="66">
        <v>34.814300000000003</v>
      </c>
    </row>
    <row r="31" spans="1:8">
      <c r="A31" s="66" t="s">
        <v>328</v>
      </c>
      <c r="B31" s="66">
        <v>302.82299999999998</v>
      </c>
      <c r="C31" s="66">
        <v>27.920200000000001</v>
      </c>
      <c r="D31" s="66">
        <v>9.2199600000000007E-2</v>
      </c>
      <c r="E31" s="66">
        <v>0</v>
      </c>
      <c r="F31" s="66">
        <v>246.03899999999999</v>
      </c>
      <c r="G31" s="66">
        <v>0</v>
      </c>
      <c r="H31" s="66">
        <v>349.93799999999999</v>
      </c>
    </row>
    <row r="32" spans="1:8">
      <c r="A32" s="66" t="s">
        <v>329</v>
      </c>
      <c r="B32" s="66">
        <v>0.230125</v>
      </c>
      <c r="C32" s="66">
        <v>3.7368999999999999E-2</v>
      </c>
      <c r="D32" s="66">
        <v>0.162386</v>
      </c>
      <c r="E32" s="66">
        <v>0.15</v>
      </c>
      <c r="F32" s="66">
        <v>9.5369599999999999E-2</v>
      </c>
      <c r="G32" s="66">
        <v>0.4</v>
      </c>
      <c r="H32" s="66">
        <v>0.33673900000000001</v>
      </c>
    </row>
    <row r="33" spans="1:8">
      <c r="A33" s="66" t="s">
        <v>330</v>
      </c>
      <c r="B33" s="66">
        <v>0.25135800000000003</v>
      </c>
      <c r="C33" s="66">
        <v>4.4095000000000002E-2</v>
      </c>
      <c r="D33" s="66">
        <v>0.175427</v>
      </c>
      <c r="E33" s="66">
        <v>0</v>
      </c>
      <c r="F33" s="66">
        <v>0.19502700000000001</v>
      </c>
      <c r="G33" s="66">
        <v>0</v>
      </c>
      <c r="H33" s="66">
        <v>0.450625</v>
      </c>
    </row>
    <row r="34" spans="1:8">
      <c r="A34" s="66" t="s">
        <v>331</v>
      </c>
      <c r="B34" s="66">
        <v>0.21523300000000001</v>
      </c>
      <c r="C34" s="66">
        <v>1.7224E-2</v>
      </c>
      <c r="D34" s="66">
        <v>8.0025100000000002E-2</v>
      </c>
      <c r="E34" s="66">
        <v>0.1</v>
      </c>
      <c r="F34" s="66">
        <v>0.17516899999999999</v>
      </c>
      <c r="G34" s="66">
        <v>0.25</v>
      </c>
      <c r="H34" s="66">
        <v>0.26087500000000002</v>
      </c>
    </row>
    <row r="35" spans="1:8">
      <c r="A35" s="66" t="s">
        <v>332</v>
      </c>
      <c r="B35" s="66">
        <v>7.3456300000000002E-2</v>
      </c>
      <c r="C35" s="66">
        <v>2.27183E-2</v>
      </c>
      <c r="D35" s="66">
        <v>0.309276</v>
      </c>
      <c r="E35" s="66">
        <v>0</v>
      </c>
      <c r="F35" s="66">
        <v>3.00021E-2</v>
      </c>
      <c r="G35" s="66">
        <v>0</v>
      </c>
      <c r="H35" s="66">
        <v>0.13899500000000001</v>
      </c>
    </row>
    <row r="36" spans="1:8">
      <c r="A36" s="66" t="s">
        <v>333</v>
      </c>
      <c r="B36" s="66">
        <v>0.19712099999999999</v>
      </c>
      <c r="C36" s="66">
        <v>8.2101900000000005E-2</v>
      </c>
      <c r="D36" s="66">
        <v>0.41650500000000001</v>
      </c>
      <c r="E36" s="66">
        <v>0</v>
      </c>
      <c r="F36" s="66">
        <v>3.3082599999999997E-2</v>
      </c>
      <c r="G36" s="66">
        <v>0</v>
      </c>
      <c r="H36" s="66">
        <v>0.48826399999999998</v>
      </c>
    </row>
    <row r="37" spans="1:8">
      <c r="A37" s="66" t="s">
        <v>334</v>
      </c>
      <c r="B37" s="66">
        <v>0.17224</v>
      </c>
      <c r="C37" s="66">
        <v>9.4907699999999998E-2</v>
      </c>
      <c r="D37" s="66">
        <v>0.55101900000000004</v>
      </c>
      <c r="E37" s="66">
        <v>0.1</v>
      </c>
      <c r="F37" s="66">
        <v>2.3062699999999998E-2</v>
      </c>
      <c r="G37" s="66">
        <v>0.5</v>
      </c>
      <c r="H37" s="66">
        <v>0.29130600000000001</v>
      </c>
    </row>
    <row r="38" spans="1:8">
      <c r="A38" s="66" t="s">
        <v>335</v>
      </c>
      <c r="B38" s="66">
        <v>-4.6496700000000004</v>
      </c>
      <c r="C38" s="66">
        <v>55.980600000000003</v>
      </c>
      <c r="D38" s="66">
        <v>-12.0397</v>
      </c>
      <c r="E38" s="66">
        <v>0</v>
      </c>
      <c r="F38" s="66">
        <v>-104.44799999999999</v>
      </c>
      <c r="G38" s="66">
        <v>0</v>
      </c>
      <c r="H38" s="66">
        <v>313.255</v>
      </c>
    </row>
    <row r="39" spans="1:8">
      <c r="A39" s="66" t="s">
        <v>336</v>
      </c>
      <c r="B39" s="66">
        <v>0.62696700000000005</v>
      </c>
      <c r="C39" s="66">
        <v>9.4492499999999993</v>
      </c>
      <c r="D39" s="66">
        <v>15.071400000000001</v>
      </c>
      <c r="E39" s="66">
        <v>0</v>
      </c>
      <c r="F39" s="66">
        <v>-15.848599999999999</v>
      </c>
      <c r="G39" s="66">
        <v>0</v>
      </c>
      <c r="H39" s="66">
        <v>47.955199999999998</v>
      </c>
    </row>
    <row r="40" spans="1:8">
      <c r="A40" s="66" t="s">
        <v>337</v>
      </c>
      <c r="B40" s="66">
        <v>-1.4955799999999999</v>
      </c>
      <c r="C40" s="66">
        <v>1.1448700000000001</v>
      </c>
      <c r="D40" s="66">
        <v>-0.76550099999999999</v>
      </c>
      <c r="E40" s="66">
        <v>0</v>
      </c>
      <c r="F40" s="66">
        <v>-2.0571700000000002</v>
      </c>
      <c r="G40" s="66">
        <v>0</v>
      </c>
      <c r="H40" s="66">
        <v>1.59711</v>
      </c>
    </row>
    <row r="41" spans="1:8">
      <c r="A41" s="66" t="s">
        <v>338</v>
      </c>
      <c r="B41" s="66">
        <v>0</v>
      </c>
      <c r="C41" s="66">
        <v>0.29246299999999997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7.0556599999999997E-2</v>
      </c>
      <c r="C42" s="66">
        <v>9.1171199999999994E-2</v>
      </c>
      <c r="D42" s="66">
        <v>1.29217</v>
      </c>
      <c r="E42" s="66">
        <v>0</v>
      </c>
      <c r="F42" s="66">
        <v>-0.17602100000000001</v>
      </c>
      <c r="G42" s="66">
        <v>0</v>
      </c>
      <c r="H42" s="66">
        <v>0.34326099999999998</v>
      </c>
    </row>
    <row r="43" spans="1:8">
      <c r="A43" s="66" t="s">
        <v>340</v>
      </c>
      <c r="B43" s="66">
        <v>-9.58373E-2</v>
      </c>
      <c r="C43" s="66">
        <v>9.6277799999999997E-2</v>
      </c>
      <c r="D43" s="66">
        <v>-1.0045999999999999</v>
      </c>
      <c r="E43" s="66">
        <v>0</v>
      </c>
      <c r="F43" s="66">
        <v>-0.16041</v>
      </c>
      <c r="G43" s="66">
        <v>0</v>
      </c>
      <c r="H43" s="66">
        <v>0.12454</v>
      </c>
    </row>
    <row r="44" spans="1:8">
      <c r="A44" s="66" t="s">
        <v>341</v>
      </c>
      <c r="B44" s="66">
        <v>-37.912500000000001</v>
      </c>
      <c r="C44" s="66">
        <v>19.682700000000001</v>
      </c>
      <c r="D44" s="66">
        <v>-0.51916099999999998</v>
      </c>
      <c r="E44" s="66">
        <v>0</v>
      </c>
      <c r="F44" s="66">
        <v>-77.606800000000007</v>
      </c>
      <c r="G44" s="66">
        <v>0</v>
      </c>
      <c r="H44" s="66">
        <v>-9.9866299999999999</v>
      </c>
    </row>
    <row r="45" spans="1:8">
      <c r="A45" s="66" t="s">
        <v>342</v>
      </c>
      <c r="B45" s="66">
        <v>60.837899999999998</v>
      </c>
      <c r="C45" s="66">
        <v>8.6371000000000002</v>
      </c>
      <c r="D45" s="66">
        <v>0.14196900000000001</v>
      </c>
      <c r="E45" s="66">
        <v>0</v>
      </c>
      <c r="F45" s="66">
        <v>42.118499999999997</v>
      </c>
      <c r="G45" s="66">
        <v>0</v>
      </c>
      <c r="H45" s="66">
        <v>83.064700000000002</v>
      </c>
    </row>
    <row r="46" spans="1:8">
      <c r="A46" s="66" t="s">
        <v>343</v>
      </c>
      <c r="B46" s="66">
        <v>33.511800000000001</v>
      </c>
      <c r="C46" s="66">
        <v>4.7349800000000002</v>
      </c>
      <c r="D46" s="66">
        <v>0.141293</v>
      </c>
      <c r="E46" s="66">
        <v>0</v>
      </c>
      <c r="F46" s="66">
        <v>27.992699999999999</v>
      </c>
      <c r="G46" s="66">
        <v>0</v>
      </c>
      <c r="H46" s="66">
        <v>46.132199999999997</v>
      </c>
    </row>
    <row r="47" spans="1:8">
      <c r="A47" s="66" t="s">
        <v>344</v>
      </c>
      <c r="B47" s="66">
        <v>0.544234</v>
      </c>
      <c r="C47" s="66">
        <v>0.54183099999999995</v>
      </c>
      <c r="D47" s="66">
        <v>0.99558400000000002</v>
      </c>
      <c r="E47" s="66">
        <v>0</v>
      </c>
      <c r="F47" s="66">
        <v>0.209063</v>
      </c>
      <c r="G47" s="66">
        <v>0</v>
      </c>
      <c r="H47" s="66">
        <v>3.1949100000000001</v>
      </c>
    </row>
    <row r="48" spans="1:8">
      <c r="A48" s="66" t="s">
        <v>345</v>
      </c>
      <c r="B48" s="66">
        <v>0.34051100000000001</v>
      </c>
      <c r="C48" s="66">
        <v>4.0623600000000003E-2</v>
      </c>
      <c r="D48" s="66">
        <v>0.11930200000000001</v>
      </c>
      <c r="E48" s="66">
        <v>0</v>
      </c>
      <c r="F48" s="66">
        <v>0.25524999999999998</v>
      </c>
      <c r="G48" s="66">
        <v>0</v>
      </c>
      <c r="H48" s="66">
        <v>0.42665900000000001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73.387637115727884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1.4169310841252776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0.91363254608576649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12140</v>
      </c>
      <c r="B8" s="66">
        <v>12140</v>
      </c>
      <c r="D8">
        <f t="shared" si="0"/>
        <v>9.8913096615444784E-2</v>
      </c>
      <c r="E8">
        <f t="shared" si="0"/>
        <v>9.8913096615444784E-2</v>
      </c>
      <c r="G8">
        <f t="shared" ca="1" si="1"/>
        <v>6</v>
      </c>
      <c r="H8">
        <f t="shared" ca="1" si="2"/>
        <v>0.59347857969266871</v>
      </c>
      <c r="I8">
        <f t="shared" ca="1" si="3"/>
        <v>449.17363356150747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19030</v>
      </c>
      <c r="B10" s="66">
        <v>19030</v>
      </c>
      <c r="D10">
        <f t="shared" si="0"/>
        <v>0.15505076018055305</v>
      </c>
      <c r="E10">
        <f t="shared" si="0"/>
        <v>0.15505076018055305</v>
      </c>
      <c r="G10">
        <f t="shared" ca="1" si="1"/>
        <v>8</v>
      </c>
      <c r="H10">
        <f t="shared" ca="1" si="2"/>
        <v>1.2404060814444244</v>
      </c>
      <c r="I10">
        <f t="shared" ca="1" si="3"/>
        <v>662.92620591369564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33525</v>
      </c>
      <c r="B13" s="66">
        <v>33525</v>
      </c>
      <c r="D13">
        <f t="shared" si="0"/>
        <v>0.27315169390714877</v>
      </c>
      <c r="E13">
        <f t="shared" si="0"/>
        <v>0.27315169390714877</v>
      </c>
      <c r="G13">
        <f t="shared" ca="1" si="1"/>
        <v>11</v>
      </c>
      <c r="H13">
        <f t="shared" ca="1" si="2"/>
        <v>3.0046686329786363</v>
      </c>
      <c r="I13">
        <f t="shared" ca="1" si="3"/>
        <v>1063.1657389576451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52103</v>
      </c>
      <c r="B15" s="66">
        <v>52103</v>
      </c>
      <c r="D15">
        <f t="shared" si="0"/>
        <v>0.42451969299460623</v>
      </c>
      <c r="E15">
        <f t="shared" si="0"/>
        <v>0.42451969299460623</v>
      </c>
      <c r="G15">
        <f t="shared" ca="1" si="1"/>
        <v>13</v>
      </c>
      <c r="H15">
        <f t="shared" ca="1" si="2"/>
        <v>5.5187560089298806</v>
      </c>
      <c r="I15">
        <f t="shared" ca="1" si="3"/>
        <v>1548.0818349086221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59410</v>
      </c>
      <c r="B18" s="66">
        <v>59410</v>
      </c>
      <c r="D18">
        <f t="shared" si="0"/>
        <v>0.48405494809914124</v>
      </c>
      <c r="E18">
        <f t="shared" si="0"/>
        <v>0.48405494809914124</v>
      </c>
      <c r="G18">
        <f t="shared" ca="1" si="1"/>
        <v>16</v>
      </c>
      <c r="H18">
        <f t="shared" ca="1" si="2"/>
        <v>7.7448791695862598</v>
      </c>
      <c r="I18">
        <f t="shared" ca="1" si="3"/>
        <v>1594.1579553855452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69602</v>
      </c>
      <c r="B21" s="66">
        <v>69602</v>
      </c>
      <c r="D21">
        <f t="shared" si="0"/>
        <v>0.56709632212752781</v>
      </c>
      <c r="E21">
        <f t="shared" si="0"/>
        <v>0.56709632212752781</v>
      </c>
      <c r="G21">
        <f t="shared" ca="1" si="1"/>
        <v>19</v>
      </c>
      <c r="H21">
        <f t="shared" ca="1" si="2"/>
        <v>10.774830120423028</v>
      </c>
      <c r="I21">
        <f t="shared" ca="1" si="3"/>
        <v>1677.4794675801027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89371</v>
      </c>
      <c r="B23" s="66">
        <v>89371</v>
      </c>
      <c r="D23">
        <f t="shared" si="0"/>
        <v>0.72816823374126161</v>
      </c>
      <c r="E23">
        <f t="shared" si="0"/>
        <v>0.72816823374126161</v>
      </c>
      <c r="G23">
        <f t="shared" ca="1" si="1"/>
        <v>21</v>
      </c>
      <c r="H23">
        <f t="shared" ca="1" si="2"/>
        <v>15.291532908566493</v>
      </c>
      <c r="I23">
        <f t="shared" ca="1" si="3"/>
        <v>1998.4318839647617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103639</v>
      </c>
      <c r="B26" s="66">
        <v>103639</v>
      </c>
      <c r="D26">
        <f t="shared" si="0"/>
        <v>0.84441963921977614</v>
      </c>
      <c r="E26">
        <f t="shared" si="0"/>
        <v>0.84441963921977614</v>
      </c>
      <c r="G26">
        <f t="shared" ca="1" si="1"/>
        <v>24</v>
      </c>
      <c r="H26">
        <f t="shared" ca="1" si="2"/>
        <v>20.266071341274628</v>
      </c>
      <c r="I26">
        <f t="shared" ca="1" si="3"/>
        <v>2059.6566209552916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102680</v>
      </c>
      <c r="B28" s="66">
        <v>102680</v>
      </c>
      <c r="D28">
        <f t="shared" si="0"/>
        <v>0.83660599344924802</v>
      </c>
      <c r="E28">
        <f t="shared" si="0"/>
        <v>0.83660599344924802</v>
      </c>
      <c r="G28">
        <f t="shared" ca="1" si="1"/>
        <v>26</v>
      </c>
      <c r="H28">
        <f t="shared" ca="1" si="2"/>
        <v>21.751755829680448</v>
      </c>
      <c r="I28">
        <f t="shared" ca="1" si="3"/>
        <v>1878.6725062898222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110445</v>
      </c>
      <c r="B31" s="66">
        <v>110445</v>
      </c>
      <c r="D31">
        <f t="shared" si="0"/>
        <v>0.89987289585607899</v>
      </c>
      <c r="E31">
        <f t="shared" si="0"/>
        <v>0.89987289585607899</v>
      </c>
      <c r="G31">
        <f t="shared" ca="1" si="1"/>
        <v>29</v>
      </c>
      <c r="H31">
        <f t="shared" ca="1" si="2"/>
        <v>26.096313979826292</v>
      </c>
      <c r="I31">
        <f t="shared" ca="1" si="3"/>
        <v>1772.9856673391978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113341</v>
      </c>
      <c r="B33" s="66">
        <v>113341</v>
      </c>
      <c r="D33">
        <f t="shared" si="0"/>
        <v>0.92346863949679792</v>
      </c>
      <c r="E33">
        <f t="shared" si="0"/>
        <v>0.92346863949679792</v>
      </c>
      <c r="G33">
        <f t="shared" ca="1" si="1"/>
        <v>31</v>
      </c>
      <c r="H33">
        <f t="shared" ca="1" si="2"/>
        <v>28.627527824400737</v>
      </c>
      <c r="I33">
        <f t="shared" ca="1" si="3"/>
        <v>1659.2069832796149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122734</v>
      </c>
      <c r="B36" s="66">
        <v>122734</v>
      </c>
      <c r="D36">
        <f t="shared" si="0"/>
        <v>1</v>
      </c>
      <c r="E36">
        <f t="shared" si="0"/>
        <v>1</v>
      </c>
      <c r="G36">
        <f t="shared" ca="1" si="1"/>
        <v>34</v>
      </c>
      <c r="H36">
        <f t="shared" ca="1" si="2"/>
        <v>34</v>
      </c>
      <c r="I36">
        <f t="shared" ca="1" si="3"/>
        <v>1551.3859575602648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98900</v>
      </c>
      <c r="B39" s="66">
        <v>98900</v>
      </c>
      <c r="D39">
        <f t="shared" si="0"/>
        <v>0.80580768165300565</v>
      </c>
      <c r="E39">
        <f t="shared" si="0"/>
        <v>0.80580768165300565</v>
      </c>
      <c r="G39">
        <f t="shared" ca="1" si="1"/>
        <v>37</v>
      </c>
      <c r="H39">
        <f t="shared" ca="1" si="2"/>
        <v>29.814884221161208</v>
      </c>
      <c r="I39">
        <f t="shared" ca="1" si="3"/>
        <v>1066.9378276454547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108009</v>
      </c>
      <c r="B41" s="66">
        <v>108009</v>
      </c>
      <c r="D41">
        <f t="shared" si="0"/>
        <v>0.88002509492072289</v>
      </c>
      <c r="E41">
        <f t="shared" si="0"/>
        <v>0.88002509492072289</v>
      </c>
      <c r="G41">
        <f t="shared" ca="1" si="1"/>
        <v>39</v>
      </c>
      <c r="H41">
        <f t="shared" ca="1" si="2"/>
        <v>34.320978701908196</v>
      </c>
      <c r="I41">
        <f t="shared" ca="1" si="3"/>
        <v>1040.6381110189525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115891</v>
      </c>
      <c r="B44" s="66">
        <v>115891</v>
      </c>
      <c r="D44">
        <f t="shared" si="0"/>
        <v>0.94424527840696137</v>
      </c>
      <c r="E44">
        <f t="shared" si="0"/>
        <v>0.94424527840696137</v>
      </c>
      <c r="G44">
        <f t="shared" ca="1" si="1"/>
        <v>42</v>
      </c>
      <c r="H44">
        <f t="shared" ca="1" si="2"/>
        <v>39.658301693092376</v>
      </c>
      <c r="I44">
        <f t="shared" ca="1" si="3"/>
        <v>930.25511724506259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116703</v>
      </c>
      <c r="B46" s="66">
        <v>116703</v>
      </c>
      <c r="D46">
        <f t="shared" si="0"/>
        <v>0.95086121205208007</v>
      </c>
      <c r="E46">
        <f t="shared" si="0"/>
        <v>0.95086121205208007</v>
      </c>
      <c r="G46">
        <f t="shared" ca="1" si="1"/>
        <v>44</v>
      </c>
      <c r="H46">
        <f t="shared" ca="1" si="2"/>
        <v>41.837893330291521</v>
      </c>
      <c r="I46">
        <f t="shared" ca="1" si="3"/>
        <v>821.19532581696797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109801</v>
      </c>
      <c r="B49" s="66">
        <v>109801</v>
      </c>
      <c r="D49">
        <f t="shared" si="0"/>
        <v>0.89462577606857108</v>
      </c>
      <c r="E49">
        <f t="shared" si="0"/>
        <v>0.89462577606857108</v>
      </c>
      <c r="G49">
        <f t="shared" ca="1" si="1"/>
        <v>47</v>
      </c>
      <c r="H49">
        <f t="shared" ca="1" si="2"/>
        <v>42.047411475222837</v>
      </c>
      <c r="I49">
        <f t="shared" ca="1" si="3"/>
        <v>622.93454144352552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107561</v>
      </c>
      <c r="B51" s="66">
        <v>107561</v>
      </c>
      <c r="D51">
        <f t="shared" si="0"/>
        <v>0.87637492463376077</v>
      </c>
      <c r="E51">
        <f t="shared" si="0"/>
        <v>0.87637492463376077</v>
      </c>
      <c r="G51">
        <f t="shared" ca="1" si="1"/>
        <v>49</v>
      </c>
      <c r="H51">
        <f t="shared" ca="1" si="2"/>
        <v>42.94237130705428</v>
      </c>
      <c r="I51">
        <f t="shared" ca="1" si="3"/>
        <v>521.22998441340974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102042</v>
      </c>
      <c r="B54" s="66">
        <v>102042</v>
      </c>
      <c r="D54">
        <f t="shared" si="0"/>
        <v>0.8314077598709404</v>
      </c>
      <c r="E54">
        <f t="shared" si="0"/>
        <v>0.8314077598709404</v>
      </c>
      <c r="G54">
        <f t="shared" ca="1" si="1"/>
        <v>52</v>
      </c>
      <c r="H54">
        <f t="shared" ca="1" si="2"/>
        <v>43.233203513288899</v>
      </c>
      <c r="I54">
        <f t="shared" ca="1" si="3"/>
        <v>380.31170079271243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101145</v>
      </c>
      <c r="B57" s="66">
        <v>101145</v>
      </c>
      <c r="D57">
        <f t="shared" si="0"/>
        <v>0.82409927159548291</v>
      </c>
      <c r="E57">
        <f t="shared" si="0"/>
        <v>0.82409927159548291</v>
      </c>
      <c r="G57">
        <f t="shared" ca="1" si="1"/>
        <v>55</v>
      </c>
      <c r="H57">
        <f t="shared" ca="1" si="2"/>
        <v>45.32545993775156</v>
      </c>
      <c r="I57">
        <f t="shared" ca="1" si="3"/>
        <v>278.63224797106352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91871</v>
      </c>
      <c r="B59" s="66">
        <v>91871</v>
      </c>
      <c r="D59">
        <f t="shared" si="0"/>
        <v>0.74853748757475513</v>
      </c>
      <c r="E59">
        <f t="shared" si="0"/>
        <v>0.74853748757475513</v>
      </c>
      <c r="G59">
        <f t="shared" ca="1" si="1"/>
        <v>57</v>
      </c>
      <c r="H59">
        <f t="shared" ca="1" si="2"/>
        <v>42.666636791761043</v>
      </c>
      <c r="I59">
        <f t="shared" ca="1" si="3"/>
        <v>201.02322316475798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81187</v>
      </c>
      <c r="B62" s="66">
        <v>81187</v>
      </c>
      <c r="D62">
        <f t="shared" si="0"/>
        <v>0.66148744439193707</v>
      </c>
      <c r="E62">
        <f t="shared" si="0"/>
        <v>0.66148744439193707</v>
      </c>
      <c r="G62">
        <f t="shared" ca="1" si="1"/>
        <v>60</v>
      </c>
      <c r="H62">
        <f t="shared" ca="1" si="2"/>
        <v>39.689246663516222</v>
      </c>
      <c r="I62">
        <f t="shared" ca="1" si="3"/>
        <v>118.5576190923952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75625</v>
      </c>
      <c r="B64" s="66">
        <v>75625</v>
      </c>
      <c r="D64">
        <f t="shared" si="0"/>
        <v>0.61616992846318053</v>
      </c>
      <c r="E64">
        <f t="shared" si="0"/>
        <v>0.61616992846318053</v>
      </c>
      <c r="G64">
        <f t="shared" ca="1" si="1"/>
        <v>62</v>
      </c>
      <c r="H64">
        <f t="shared" ca="1" si="2"/>
        <v>38.202535564717195</v>
      </c>
      <c r="I64">
        <f t="shared" ca="1" si="3"/>
        <v>79.903855943645894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68096</v>
      </c>
      <c r="B67" s="66">
        <v>68096</v>
      </c>
      <c r="D67">
        <f t="shared" ref="D67:E130" si="4">IFERROR( A67/MAX(A$2:A$257), 0 )</f>
        <v>0.55482588361823126</v>
      </c>
      <c r="E67">
        <f t="shared" si="4"/>
        <v>0.55482588361823126</v>
      </c>
      <c r="G67">
        <f t="shared" ref="G67:G130" ca="1" si="5">CELL("row",D67)-2</f>
        <v>65</v>
      </c>
      <c r="H67">
        <f t="shared" ref="H67:H130" ca="1" si="6">D67*G67</f>
        <v>36.063682435185029</v>
      </c>
      <c r="I67">
        <f t="shared" ref="I67:I130" ca="1" si="7">D67*((G67-$L$1)^2)</f>
        <v>39.033363778596147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59254</v>
      </c>
      <c r="B69" s="66">
        <v>59254</v>
      </c>
      <c r="D69">
        <f t="shared" si="4"/>
        <v>0.48278390665993121</v>
      </c>
      <c r="E69">
        <f t="shared" si="4"/>
        <v>0.48278390665993121</v>
      </c>
      <c r="G69">
        <f t="shared" ca="1" si="5"/>
        <v>67</v>
      </c>
      <c r="H69">
        <f t="shared" ca="1" si="6"/>
        <v>32.346521746215387</v>
      </c>
      <c r="I69">
        <f t="shared" ca="1" si="7"/>
        <v>19.698504505870311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56628</v>
      </c>
      <c r="B72" s="66">
        <v>56628</v>
      </c>
      <c r="D72">
        <f t="shared" si="4"/>
        <v>0.46138804243322956</v>
      </c>
      <c r="E72">
        <f t="shared" si="4"/>
        <v>0.46138804243322956</v>
      </c>
      <c r="G72">
        <f t="shared" ca="1" si="5"/>
        <v>70</v>
      </c>
      <c r="H72">
        <f t="shared" ca="1" si="6"/>
        <v>32.29716297032607</v>
      </c>
      <c r="I72">
        <f t="shared" ca="1" si="7"/>
        <v>5.2949284980779074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49713</v>
      </c>
      <c r="B75" s="66">
        <v>49713</v>
      </c>
      <c r="D75">
        <f t="shared" si="4"/>
        <v>0.40504668632978635</v>
      </c>
      <c r="E75">
        <f t="shared" si="4"/>
        <v>0.40504668632978635</v>
      </c>
      <c r="G75">
        <f t="shared" ca="1" si="5"/>
        <v>73</v>
      </c>
      <c r="H75">
        <f t="shared" ca="1" si="6"/>
        <v>29.568408102074404</v>
      </c>
      <c r="I75">
        <f t="shared" ca="1" si="7"/>
        <v>6.0863341269575363E-2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48007</v>
      </c>
      <c r="B77" s="66">
        <v>48007</v>
      </c>
      <c r="D77">
        <f t="shared" si="4"/>
        <v>0.39114670751381037</v>
      </c>
      <c r="E77">
        <f t="shared" si="4"/>
        <v>0.39114670751381037</v>
      </c>
      <c r="G77">
        <f t="shared" ca="1" si="5"/>
        <v>75</v>
      </c>
      <c r="H77">
        <f t="shared" ca="1" si="6"/>
        <v>29.336003063535777</v>
      </c>
      <c r="I77">
        <f t="shared" ca="1" si="7"/>
        <v>1.0168695991840264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45736</v>
      </c>
      <c r="B80" s="66">
        <v>45736</v>
      </c>
      <c r="D80">
        <f t="shared" si="4"/>
        <v>0.3726432773314648</v>
      </c>
      <c r="E80">
        <f t="shared" si="4"/>
        <v>0.3726432773314648</v>
      </c>
      <c r="G80">
        <f t="shared" ca="1" si="5"/>
        <v>78</v>
      </c>
      <c r="H80">
        <f t="shared" ca="1" si="6"/>
        <v>29.066175631854254</v>
      </c>
      <c r="I80">
        <f t="shared" ca="1" si="7"/>
        <v>7.9275726040248502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48849</v>
      </c>
      <c r="B82" s="66">
        <v>48849</v>
      </c>
      <c r="D82">
        <f t="shared" si="4"/>
        <v>0.39800707220493098</v>
      </c>
      <c r="E82">
        <f t="shared" si="4"/>
        <v>0.39800707220493098</v>
      </c>
      <c r="G82">
        <f t="shared" ca="1" si="5"/>
        <v>80</v>
      </c>
      <c r="H82">
        <f t="shared" ca="1" si="6"/>
        <v>31.840565776394477</v>
      </c>
      <c r="I82">
        <f t="shared" ca="1" si="7"/>
        <v>17.402199699934535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49981</v>
      </c>
      <c r="B85" s="66">
        <v>49981</v>
      </c>
      <c r="D85">
        <f t="shared" si="4"/>
        <v>0.40723027034073689</v>
      </c>
      <c r="E85">
        <f t="shared" si="4"/>
        <v>0.40723027034073689</v>
      </c>
      <c r="G85">
        <f t="shared" ca="1" si="5"/>
        <v>83</v>
      </c>
      <c r="H85">
        <f t="shared" ca="1" si="6"/>
        <v>33.800112438281161</v>
      </c>
      <c r="I85">
        <f t="shared" ca="1" si="7"/>
        <v>37.627067137569448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47296</v>
      </c>
      <c r="B88" s="66">
        <v>47296</v>
      </c>
      <c r="D88">
        <f t="shared" si="4"/>
        <v>0.38535369172356476</v>
      </c>
      <c r="E88">
        <f t="shared" si="4"/>
        <v>0.38535369172356476</v>
      </c>
      <c r="G88">
        <f t="shared" ca="1" si="5"/>
        <v>86</v>
      </c>
      <c r="H88">
        <f t="shared" ca="1" si="6"/>
        <v>33.140417488226568</v>
      </c>
      <c r="I88">
        <f t="shared" ca="1" si="7"/>
        <v>61.298865889825308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44364</v>
      </c>
      <c r="B90" s="66">
        <v>44364</v>
      </c>
      <c r="D90">
        <f t="shared" si="4"/>
        <v>0.36146463082764352</v>
      </c>
      <c r="E90">
        <f t="shared" si="4"/>
        <v>0.36146463082764352</v>
      </c>
      <c r="G90">
        <f t="shared" ca="1" si="5"/>
        <v>88</v>
      </c>
      <c r="H90">
        <f t="shared" ca="1" si="6"/>
        <v>31.80888751283263</v>
      </c>
      <c r="I90">
        <f t="shared" ca="1" si="7"/>
        <v>77.180343319464754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41234</v>
      </c>
      <c r="B93" s="66">
        <v>41234</v>
      </c>
      <c r="D93">
        <f t="shared" si="4"/>
        <v>0.33596232502810958</v>
      </c>
      <c r="E93">
        <f t="shared" si="4"/>
        <v>0.33596232502810958</v>
      </c>
      <c r="G93">
        <f t="shared" ca="1" si="5"/>
        <v>91</v>
      </c>
      <c r="H93">
        <f t="shared" ca="1" si="6"/>
        <v>30.572571577557973</v>
      </c>
      <c r="I93">
        <f t="shared" ca="1" si="7"/>
        <v>104.21394305920666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33298</v>
      </c>
      <c r="B95" s="66">
        <v>33298</v>
      </c>
      <c r="D95">
        <f t="shared" si="4"/>
        <v>0.27130216565906756</v>
      </c>
      <c r="E95">
        <f t="shared" si="4"/>
        <v>0.27130216565906756</v>
      </c>
      <c r="G95">
        <f t="shared" ca="1" si="5"/>
        <v>93</v>
      </c>
      <c r="H95">
        <f t="shared" ca="1" si="6"/>
        <v>25.231101406293284</v>
      </c>
      <c r="I95">
        <f t="shared" ca="1" si="7"/>
        <v>104.35496125490785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32923</v>
      </c>
      <c r="B98" s="66">
        <v>32923</v>
      </c>
      <c r="D98">
        <f t="shared" si="4"/>
        <v>0.26824677758404353</v>
      </c>
      <c r="E98">
        <f t="shared" si="4"/>
        <v>0.26824677758404353</v>
      </c>
      <c r="G98">
        <f t="shared" ca="1" si="5"/>
        <v>96</v>
      </c>
      <c r="H98">
        <f t="shared" ca="1" si="6"/>
        <v>25.751690648068177</v>
      </c>
      <c r="I98">
        <f t="shared" ca="1" si="7"/>
        <v>137.15966205272431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26766</v>
      </c>
      <c r="B100" s="66">
        <v>26766</v>
      </c>
      <c r="D100">
        <f t="shared" si="4"/>
        <v>0.21808137924291557</v>
      </c>
      <c r="E100">
        <f t="shared" si="4"/>
        <v>0.21808137924291557</v>
      </c>
      <c r="G100">
        <f t="shared" ca="1" si="5"/>
        <v>98</v>
      </c>
      <c r="H100">
        <f t="shared" ca="1" si="6"/>
        <v>21.371975165805726</v>
      </c>
      <c r="I100">
        <f t="shared" ca="1" si="7"/>
        <v>132.10680964519008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28593</v>
      </c>
      <c r="B103" s="66">
        <v>28593</v>
      </c>
      <c r="D103">
        <f t="shared" si="4"/>
        <v>0.23296722994443267</v>
      </c>
      <c r="E103">
        <f t="shared" si="4"/>
        <v>0.23296722994443267</v>
      </c>
      <c r="G103">
        <f t="shared" ca="1" si="5"/>
        <v>101</v>
      </c>
      <c r="H103">
        <f t="shared" ca="1" si="6"/>
        <v>23.5296902243877</v>
      </c>
      <c r="I103">
        <f t="shared" ca="1" si="7"/>
        <v>177.62413679843939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31665</v>
      </c>
      <c r="B106" s="66">
        <v>31665</v>
      </c>
      <c r="D106">
        <f t="shared" si="4"/>
        <v>0.25799696905502956</v>
      </c>
      <c r="E106">
        <f t="shared" si="4"/>
        <v>0.25799696905502956</v>
      </c>
      <c r="G106">
        <f t="shared" ca="1" si="5"/>
        <v>104</v>
      </c>
      <c r="H106">
        <f t="shared" ca="1" si="6"/>
        <v>26.831684781723073</v>
      </c>
      <c r="I106">
        <f t="shared" ca="1" si="7"/>
        <v>241.7732840811226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30274</v>
      </c>
      <c r="B108" s="66">
        <v>30274</v>
      </c>
      <c r="D108">
        <f t="shared" si="4"/>
        <v>0.24666351622207375</v>
      </c>
      <c r="E108">
        <f t="shared" si="4"/>
        <v>0.24666351622207375</v>
      </c>
      <c r="G108">
        <f t="shared" ca="1" si="5"/>
        <v>106</v>
      </c>
      <c r="H108">
        <f t="shared" ca="1" si="6"/>
        <v>26.146332719539817</v>
      </c>
      <c r="I108">
        <f t="shared" ca="1" si="7"/>
        <v>262.34298180778626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29966</v>
      </c>
      <c r="B111" s="66">
        <v>29966</v>
      </c>
      <c r="D111">
        <f t="shared" si="4"/>
        <v>0.24415402414978735</v>
      </c>
      <c r="E111">
        <f t="shared" si="4"/>
        <v>0.24415402414978735</v>
      </c>
      <c r="G111">
        <f t="shared" ca="1" si="5"/>
        <v>109</v>
      </c>
      <c r="H111">
        <f t="shared" ca="1" si="6"/>
        <v>26.612788632326822</v>
      </c>
      <c r="I111">
        <f t="shared" ca="1" si="7"/>
        <v>309.64599485689075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29621</v>
      </c>
      <c r="B113" s="66">
        <v>29621</v>
      </c>
      <c r="D113">
        <f t="shared" si="4"/>
        <v>0.24134306712076523</v>
      </c>
      <c r="E113">
        <f t="shared" si="4"/>
        <v>0.24134306712076523</v>
      </c>
      <c r="G113">
        <f t="shared" ca="1" si="5"/>
        <v>111</v>
      </c>
      <c r="H113">
        <f t="shared" ca="1" si="6"/>
        <v>26.789080450404938</v>
      </c>
      <c r="I113">
        <f t="shared" ca="1" si="7"/>
        <v>341.42558542968004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29243</v>
      </c>
      <c r="B116" s="66">
        <v>29243</v>
      </c>
      <c r="D116">
        <f t="shared" si="4"/>
        <v>0.23826323594114102</v>
      </c>
      <c r="E116">
        <f t="shared" si="4"/>
        <v>0.23826323594114102</v>
      </c>
      <c r="G116">
        <f t="shared" ca="1" si="5"/>
        <v>114</v>
      </c>
      <c r="H116">
        <f t="shared" ca="1" si="6"/>
        <v>27.162008897290075</v>
      </c>
      <c r="I116">
        <f t="shared" ca="1" si="7"/>
        <v>392.98280842226234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25474</v>
      </c>
      <c r="B118" s="66">
        <v>25474</v>
      </c>
      <c r="D118">
        <f t="shared" si="4"/>
        <v>0.20755454886176611</v>
      </c>
      <c r="E118">
        <f t="shared" si="4"/>
        <v>0.20755454886176611</v>
      </c>
      <c r="G118">
        <f t="shared" ca="1" si="5"/>
        <v>116</v>
      </c>
      <c r="H118">
        <f t="shared" ca="1" si="6"/>
        <v>24.076327667964868</v>
      </c>
      <c r="I118">
        <f t="shared" ca="1" si="7"/>
        <v>376.88034570353483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28019</v>
      </c>
      <c r="B121" s="66">
        <v>28019</v>
      </c>
      <c r="D121">
        <f t="shared" si="4"/>
        <v>0.22829044926426256</v>
      </c>
      <c r="E121">
        <f t="shared" si="4"/>
        <v>0.22829044926426256</v>
      </c>
      <c r="G121">
        <f t="shared" ca="1" si="5"/>
        <v>119</v>
      </c>
      <c r="H121">
        <f t="shared" ca="1" si="6"/>
        <v>27.166563462447243</v>
      </c>
      <c r="I121">
        <f t="shared" ca="1" si="7"/>
        <v>474.95545982476358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29660</v>
      </c>
      <c r="B124" s="66">
        <v>29660</v>
      </c>
      <c r="D124">
        <f t="shared" si="4"/>
        <v>0.24166082748056772</v>
      </c>
      <c r="E124">
        <f t="shared" si="4"/>
        <v>0.24166082748056772</v>
      </c>
      <c r="G124">
        <f t="shared" ca="1" si="5"/>
        <v>122</v>
      </c>
      <c r="H124">
        <f t="shared" ca="1" si="6"/>
        <v>29.482620952629262</v>
      </c>
      <c r="I124">
        <f t="shared" ca="1" si="7"/>
        <v>571.0836421464254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31024</v>
      </c>
      <c r="B126" s="66">
        <v>31024</v>
      </c>
      <c r="D126">
        <f t="shared" si="4"/>
        <v>0.25277429237212184</v>
      </c>
      <c r="E126">
        <f t="shared" si="4"/>
        <v>0.25277429237212184</v>
      </c>
      <c r="G126">
        <f t="shared" ca="1" si="5"/>
        <v>124</v>
      </c>
      <c r="H126">
        <f t="shared" ca="1" si="6"/>
        <v>31.344012254143109</v>
      </c>
      <c r="I126">
        <f t="shared" ca="1" si="7"/>
        <v>647.50947780768263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29967</v>
      </c>
      <c r="B129" s="66">
        <v>29967</v>
      </c>
      <c r="D129">
        <f t="shared" si="4"/>
        <v>0.24416217185132075</v>
      </c>
      <c r="E129">
        <f t="shared" si="4"/>
        <v>0.24416217185132075</v>
      </c>
      <c r="G129">
        <f t="shared" ca="1" si="5"/>
        <v>127</v>
      </c>
      <c r="H129">
        <f t="shared" ca="1" si="6"/>
        <v>31.008595825117734</v>
      </c>
      <c r="I129">
        <f t="shared" ca="1" si="7"/>
        <v>701.79177897781551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33940</v>
      </c>
      <c r="B131" s="66">
        <v>33940</v>
      </c>
      <c r="D131">
        <f t="shared" ref="D131:E194" si="8">IFERROR( A131/MAX(A$2:A$257), 0 )</f>
        <v>0.27653299004350873</v>
      </c>
      <c r="E131">
        <f t="shared" si="8"/>
        <v>0.27653299004350873</v>
      </c>
      <c r="G131">
        <f t="shared" ref="G131:G194" ca="1" si="9">CELL("row",D131)-2</f>
        <v>129</v>
      </c>
      <c r="H131">
        <f t="shared" ref="H131:H194" ca="1" si="10">D131*G131</f>
        <v>35.672755715612624</v>
      </c>
      <c r="I131">
        <f t="shared" ref="I131:I194" ca="1" si="11">D131*((G131-$L$1)^2)</f>
        <v>855.24323084974469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32335</v>
      </c>
      <c r="B134" s="66">
        <v>32335</v>
      </c>
      <c r="D134">
        <f t="shared" si="8"/>
        <v>0.26345592908240584</v>
      </c>
      <c r="E134">
        <f t="shared" si="8"/>
        <v>0.26345592908240584</v>
      </c>
      <c r="G134">
        <f t="shared" ca="1" si="9"/>
        <v>132</v>
      </c>
      <c r="H134">
        <f t="shared" ca="1" si="10"/>
        <v>34.776182638877572</v>
      </c>
      <c r="I134">
        <f t="shared" ca="1" si="11"/>
        <v>905.07889170765372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33179</v>
      </c>
      <c r="B136" s="66">
        <v>33179</v>
      </c>
      <c r="D136">
        <f t="shared" si="8"/>
        <v>0.27033258917659331</v>
      </c>
      <c r="E136">
        <f t="shared" si="8"/>
        <v>0.27033258917659331</v>
      </c>
      <c r="G136">
        <f t="shared" ca="1" si="9"/>
        <v>134</v>
      </c>
      <c r="H136">
        <f t="shared" ca="1" si="10"/>
        <v>36.224566949663505</v>
      </c>
      <c r="I136">
        <f t="shared" ca="1" si="11"/>
        <v>993.16368987684712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40436</v>
      </c>
      <c r="B139" s="66">
        <v>40436</v>
      </c>
      <c r="D139">
        <f t="shared" si="8"/>
        <v>0.32946045920445843</v>
      </c>
      <c r="E139">
        <f t="shared" si="8"/>
        <v>0.32946045920445843</v>
      </c>
      <c r="G139">
        <f t="shared" ca="1" si="9"/>
        <v>137</v>
      </c>
      <c r="H139">
        <f t="shared" ca="1" si="10"/>
        <v>45.136082911010803</v>
      </c>
      <c r="I139">
        <f t="shared" ca="1" si="11"/>
        <v>1333.1725253892391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39382</v>
      </c>
      <c r="B142" s="66">
        <v>39382</v>
      </c>
      <c r="D142">
        <f t="shared" si="8"/>
        <v>0.32087278178825751</v>
      </c>
      <c r="E142">
        <f t="shared" si="8"/>
        <v>0.32087278178825751</v>
      </c>
      <c r="G142">
        <f t="shared" ca="1" si="9"/>
        <v>140</v>
      </c>
      <c r="H142">
        <f t="shared" ca="1" si="10"/>
        <v>44.922189450356051</v>
      </c>
      <c r="I142">
        <f t="shared" ca="1" si="11"/>
        <v>1423.7789178517778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43535</v>
      </c>
      <c r="B144" s="66">
        <v>43535</v>
      </c>
      <c r="D144">
        <f t="shared" si="8"/>
        <v>0.35471018625645706</v>
      </c>
      <c r="E144">
        <f t="shared" si="8"/>
        <v>0.35471018625645706</v>
      </c>
      <c r="G144">
        <f t="shared" ca="1" si="9"/>
        <v>142</v>
      </c>
      <c r="H144">
        <f t="shared" ca="1" si="10"/>
        <v>50.368846448416903</v>
      </c>
      <c r="I144">
        <f t="shared" ca="1" si="11"/>
        <v>1669.8536573925078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40918</v>
      </c>
      <c r="B147" s="66">
        <v>40918</v>
      </c>
      <c r="D147">
        <f t="shared" si="8"/>
        <v>0.33338765134355597</v>
      </c>
      <c r="E147">
        <f t="shared" si="8"/>
        <v>0.33338765134355597</v>
      </c>
      <c r="G147">
        <f t="shared" ca="1" si="9"/>
        <v>145</v>
      </c>
      <c r="H147">
        <f t="shared" ca="1" si="10"/>
        <v>48.341209444815618</v>
      </c>
      <c r="I147">
        <f t="shared" ca="1" si="11"/>
        <v>1709.7220666657195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34524</v>
      </c>
      <c r="B149" s="66">
        <v>34524</v>
      </c>
      <c r="D149">
        <f t="shared" si="8"/>
        <v>0.28129124773901282</v>
      </c>
      <c r="E149">
        <f t="shared" si="8"/>
        <v>0.28129124773901282</v>
      </c>
      <c r="G149">
        <f t="shared" ca="1" si="9"/>
        <v>147</v>
      </c>
      <c r="H149">
        <f t="shared" ca="1" si="10"/>
        <v>41.349813417634884</v>
      </c>
      <c r="I149">
        <f t="shared" ca="1" si="11"/>
        <v>1524.2553788173168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30977</v>
      </c>
      <c r="B152" s="66">
        <v>30977</v>
      </c>
      <c r="D152">
        <f t="shared" si="8"/>
        <v>0.25239135040005217</v>
      </c>
      <c r="E152">
        <f t="shared" si="8"/>
        <v>0.25239135040005217</v>
      </c>
      <c r="G152">
        <f t="shared" ca="1" si="9"/>
        <v>150</v>
      </c>
      <c r="H152">
        <f t="shared" ca="1" si="10"/>
        <v>37.858702560007828</v>
      </c>
      <c r="I152">
        <f t="shared" ca="1" si="11"/>
        <v>1481.3994581996751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34036</v>
      </c>
      <c r="B154" s="66">
        <v>34036</v>
      </c>
      <c r="D154">
        <f t="shared" si="8"/>
        <v>0.27731516939071488</v>
      </c>
      <c r="E154">
        <f t="shared" si="8"/>
        <v>0.27731516939071488</v>
      </c>
      <c r="G154">
        <f t="shared" ca="1" si="9"/>
        <v>152</v>
      </c>
      <c r="H154">
        <f t="shared" ca="1" si="10"/>
        <v>42.15190574738866</v>
      </c>
      <c r="I154">
        <f t="shared" ca="1" si="11"/>
        <v>1713.7810131665667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36312</v>
      </c>
      <c r="B157" s="66">
        <v>36312</v>
      </c>
      <c r="D157">
        <f t="shared" si="8"/>
        <v>0.29585933808072745</v>
      </c>
      <c r="E157">
        <f t="shared" si="8"/>
        <v>0.29585933808072745</v>
      </c>
      <c r="G157">
        <f t="shared" ca="1" si="9"/>
        <v>155</v>
      </c>
      <c r="H157">
        <f t="shared" ca="1" si="10"/>
        <v>45.858197402512758</v>
      </c>
      <c r="I157">
        <f t="shared" ca="1" si="11"/>
        <v>1970.594131910645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35097</v>
      </c>
      <c r="B160" s="66">
        <v>35097</v>
      </c>
      <c r="D160">
        <f t="shared" si="8"/>
        <v>0.28595988071764955</v>
      </c>
      <c r="E160">
        <f t="shared" si="8"/>
        <v>0.28595988071764955</v>
      </c>
      <c r="G160">
        <f t="shared" ca="1" si="9"/>
        <v>158</v>
      </c>
      <c r="H160">
        <f t="shared" ca="1" si="10"/>
        <v>45.181661153388632</v>
      </c>
      <c r="I160">
        <f t="shared" ca="1" si="11"/>
        <v>2047.2588344673736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27357</v>
      </c>
      <c r="B162" s="66">
        <v>27357</v>
      </c>
      <c r="D162">
        <f t="shared" si="8"/>
        <v>0.22289667084915346</v>
      </c>
      <c r="E162">
        <f t="shared" si="8"/>
        <v>0.22289667084915346</v>
      </c>
      <c r="G162">
        <f t="shared" ca="1" si="9"/>
        <v>160</v>
      </c>
      <c r="H162">
        <f t="shared" ca="1" si="10"/>
        <v>35.663467335864553</v>
      </c>
      <c r="I162">
        <f t="shared" ca="1" si="11"/>
        <v>1672.1042687444744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23390</v>
      </c>
      <c r="B165" s="66">
        <v>23390</v>
      </c>
      <c r="D165">
        <f t="shared" si="8"/>
        <v>0.19057473886616585</v>
      </c>
      <c r="E165">
        <f t="shared" si="8"/>
        <v>0.19057473886616585</v>
      </c>
      <c r="G165">
        <f t="shared" ca="1" si="9"/>
        <v>163</v>
      </c>
      <c r="H165">
        <f t="shared" ca="1" si="10"/>
        <v>31.063682435185033</v>
      </c>
      <c r="I165">
        <f t="shared" ca="1" si="11"/>
        <v>1530.386729480183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23104</v>
      </c>
      <c r="B167" s="66">
        <v>23104</v>
      </c>
      <c r="D167">
        <f t="shared" si="8"/>
        <v>0.18824449622761419</v>
      </c>
      <c r="E167">
        <f t="shared" si="8"/>
        <v>0.18824449622761419</v>
      </c>
      <c r="G167">
        <f t="shared" ca="1" si="9"/>
        <v>165</v>
      </c>
      <c r="H167">
        <f t="shared" ca="1" si="10"/>
        <v>31.06034187755634</v>
      </c>
      <c r="I167">
        <f t="shared" ca="1" si="11"/>
        <v>1579.9031203086904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21340</v>
      </c>
      <c r="B170" s="66">
        <v>21340</v>
      </c>
      <c r="D170">
        <f t="shared" si="8"/>
        <v>0.17387195072270112</v>
      </c>
      <c r="E170">
        <f t="shared" si="8"/>
        <v>0.17387195072270112</v>
      </c>
      <c r="G170">
        <f t="shared" ca="1" si="9"/>
        <v>168</v>
      </c>
      <c r="H170">
        <f t="shared" ca="1" si="10"/>
        <v>29.210487721413788</v>
      </c>
      <c r="I170">
        <f t="shared" ca="1" si="11"/>
        <v>1556.4146296302115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18737</v>
      </c>
      <c r="B173" s="66">
        <v>18737</v>
      </c>
      <c r="D173">
        <f t="shared" si="8"/>
        <v>0.15266348363126761</v>
      </c>
      <c r="E173">
        <f t="shared" si="8"/>
        <v>0.15266348363126761</v>
      </c>
      <c r="G173">
        <f t="shared" ca="1" si="9"/>
        <v>171</v>
      </c>
      <c r="H173">
        <f t="shared" ca="1" si="10"/>
        <v>26.105455700946763</v>
      </c>
      <c r="I173">
        <f t="shared" ca="1" si="11"/>
        <v>1454.6041420320439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19931</v>
      </c>
      <c r="B175" s="66">
        <v>19931</v>
      </c>
      <c r="D175">
        <f t="shared" si="8"/>
        <v>0.16239183926214415</v>
      </c>
      <c r="E175">
        <f t="shared" si="8"/>
        <v>0.16239183926214415</v>
      </c>
      <c r="G175">
        <f t="shared" ca="1" si="9"/>
        <v>173</v>
      </c>
      <c r="H175">
        <f t="shared" ca="1" si="10"/>
        <v>28.093788192350939</v>
      </c>
      <c r="I175">
        <f t="shared" ca="1" si="11"/>
        <v>1611.3529731927624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19025</v>
      </c>
      <c r="B178" s="66">
        <v>19025</v>
      </c>
      <c r="D178">
        <f t="shared" si="8"/>
        <v>0.15501002167288608</v>
      </c>
      <c r="E178">
        <f t="shared" si="8"/>
        <v>0.15501002167288608</v>
      </c>
      <c r="G178">
        <f t="shared" ca="1" si="9"/>
        <v>176</v>
      </c>
      <c r="H178">
        <f t="shared" ca="1" si="10"/>
        <v>27.281763814427951</v>
      </c>
      <c r="I178">
        <f t="shared" ca="1" si="11"/>
        <v>1632.1465587579214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15680</v>
      </c>
      <c r="B180" s="66">
        <v>15680</v>
      </c>
      <c r="D180">
        <f t="shared" si="8"/>
        <v>0.12775596004367168</v>
      </c>
      <c r="E180">
        <f t="shared" si="8"/>
        <v>0.12775596004367168</v>
      </c>
      <c r="G180">
        <f t="shared" ca="1" si="9"/>
        <v>178</v>
      </c>
      <c r="H180">
        <f t="shared" ca="1" si="10"/>
        <v>22.740560887773558</v>
      </c>
      <c r="I180">
        <f t="shared" ca="1" si="11"/>
        <v>1398.1288365233461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14046</v>
      </c>
      <c r="B183" s="66">
        <v>14046</v>
      </c>
      <c r="D183">
        <f t="shared" si="8"/>
        <v>0.11444261573810029</v>
      </c>
      <c r="E183">
        <f t="shared" si="8"/>
        <v>0.11444261573810029</v>
      </c>
      <c r="G183">
        <f t="shared" ca="1" si="9"/>
        <v>181</v>
      </c>
      <c r="H183">
        <f t="shared" ca="1" si="10"/>
        <v>20.714113448596152</v>
      </c>
      <c r="I183">
        <f t="shared" ca="1" si="11"/>
        <v>1325.2936300226704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12275</v>
      </c>
      <c r="B185" s="66">
        <v>12275</v>
      </c>
      <c r="D185">
        <f t="shared" si="8"/>
        <v>0.10001303632245344</v>
      </c>
      <c r="E185">
        <f t="shared" si="8"/>
        <v>0.10001303632245344</v>
      </c>
      <c r="G185">
        <f t="shared" ca="1" si="9"/>
        <v>183</v>
      </c>
      <c r="H185">
        <f t="shared" ca="1" si="10"/>
        <v>18.302385647008979</v>
      </c>
      <c r="I185">
        <f t="shared" ca="1" si="11"/>
        <v>1201.6436394281573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10089</v>
      </c>
      <c r="B188" s="66">
        <v>10089</v>
      </c>
      <c r="D188">
        <f t="shared" si="8"/>
        <v>8.2202160770446661E-2</v>
      </c>
      <c r="E188">
        <f t="shared" si="8"/>
        <v>8.2202160770446661E-2</v>
      </c>
      <c r="G188">
        <f t="shared" ca="1" si="9"/>
        <v>186</v>
      </c>
      <c r="H188">
        <f t="shared" ca="1" si="10"/>
        <v>15.28960190330308</v>
      </c>
      <c r="I188">
        <f t="shared" ca="1" si="11"/>
        <v>1042.4503412600388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6208</v>
      </c>
      <c r="B191" s="66">
        <v>6208</v>
      </c>
      <c r="D191">
        <f t="shared" si="8"/>
        <v>5.0580931119331235E-2</v>
      </c>
      <c r="E191">
        <f t="shared" si="8"/>
        <v>5.0580931119331235E-2</v>
      </c>
      <c r="G191">
        <f t="shared" ca="1" si="9"/>
        <v>189</v>
      </c>
      <c r="H191">
        <f t="shared" ca="1" si="10"/>
        <v>9.559795981553604</v>
      </c>
      <c r="I191">
        <f t="shared" ca="1" si="11"/>
        <v>676.07577483059401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6049</v>
      </c>
      <c r="B193" s="66">
        <v>6049</v>
      </c>
      <c r="D193">
        <f t="shared" si="8"/>
        <v>4.9285446575521044E-2</v>
      </c>
      <c r="E193">
        <f t="shared" si="8"/>
        <v>4.9285446575521044E-2</v>
      </c>
      <c r="G193">
        <f t="shared" ca="1" si="9"/>
        <v>191</v>
      </c>
      <c r="H193">
        <f t="shared" ca="1" si="10"/>
        <v>9.4135202959245188</v>
      </c>
      <c r="I193">
        <f t="shared" ca="1" si="11"/>
        <v>681.74921494115824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3584</v>
      </c>
      <c r="B196" s="66">
        <v>3584</v>
      </c>
      <c r="D196">
        <f t="shared" si="12"/>
        <v>2.9201362295696386E-2</v>
      </c>
      <c r="E196">
        <f t="shared" si="12"/>
        <v>2.9201362295696386E-2</v>
      </c>
      <c r="G196">
        <f t="shared" ca="1" si="13"/>
        <v>194</v>
      </c>
      <c r="H196">
        <f t="shared" ca="1" si="14"/>
        <v>5.6650642853650988</v>
      </c>
      <c r="I196">
        <f t="shared" ca="1" si="15"/>
        <v>424.80220653290854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4855</v>
      </c>
      <c r="B198" s="66">
        <v>4855</v>
      </c>
      <c r="D198">
        <f t="shared" si="12"/>
        <v>3.9557090944644518E-2</v>
      </c>
      <c r="E198">
        <f t="shared" si="12"/>
        <v>3.9557090944644518E-2</v>
      </c>
      <c r="G198">
        <f t="shared" ca="1" si="13"/>
        <v>196</v>
      </c>
      <c r="H198">
        <f t="shared" ca="1" si="14"/>
        <v>7.7531898251503257</v>
      </c>
      <c r="I198">
        <f t="shared" ca="1" si="15"/>
        <v>594.6930588766993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2783</v>
      </c>
      <c r="B201" s="66">
        <v>2783</v>
      </c>
      <c r="D201">
        <f t="shared" si="12"/>
        <v>2.2675053367445044E-2</v>
      </c>
      <c r="E201">
        <f t="shared" si="12"/>
        <v>2.2675053367445044E-2</v>
      </c>
      <c r="G201">
        <f t="shared" ca="1" si="13"/>
        <v>199</v>
      </c>
      <c r="H201">
        <f t="shared" ca="1" si="14"/>
        <v>4.5123356201215641</v>
      </c>
      <c r="I201">
        <f t="shared" ca="1" si="15"/>
        <v>357.77755201636779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2411</v>
      </c>
      <c r="B203" s="66">
        <v>2411</v>
      </c>
      <c r="D203">
        <f t="shared" si="12"/>
        <v>1.9644108397021201E-2</v>
      </c>
      <c r="E203">
        <f t="shared" si="12"/>
        <v>1.9644108397021201E-2</v>
      </c>
      <c r="G203">
        <f t="shared" ca="1" si="13"/>
        <v>201</v>
      </c>
      <c r="H203">
        <f t="shared" ca="1" si="14"/>
        <v>3.9484657878012612</v>
      </c>
      <c r="I203">
        <f t="shared" ca="1" si="15"/>
        <v>319.90263865715406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2413</v>
      </c>
      <c r="B206" s="66">
        <v>2413</v>
      </c>
      <c r="D206">
        <f t="shared" si="12"/>
        <v>1.9660403800087996E-2</v>
      </c>
      <c r="E206">
        <f t="shared" si="12"/>
        <v>1.9660403800087996E-2</v>
      </c>
      <c r="G206">
        <f t="shared" ca="1" si="13"/>
        <v>204</v>
      </c>
      <c r="H206">
        <f t="shared" ca="1" si="14"/>
        <v>4.0107223752179513</v>
      </c>
      <c r="I206">
        <f t="shared" ca="1" si="15"/>
        <v>335.39841505293919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1369</v>
      </c>
      <c r="B209" s="66">
        <v>1369</v>
      </c>
      <c r="D209">
        <f t="shared" si="12"/>
        <v>1.1154203399221079E-2</v>
      </c>
      <c r="E209">
        <f t="shared" si="12"/>
        <v>1.1154203399221079E-2</v>
      </c>
      <c r="G209">
        <f t="shared" ca="1" si="13"/>
        <v>207</v>
      </c>
      <c r="H209">
        <f t="shared" ca="1" si="14"/>
        <v>2.3089201036387634</v>
      </c>
      <c r="I209">
        <f t="shared" ca="1" si="15"/>
        <v>199.12777838858597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77.240554963986554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1.4913212577068276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0.94167839460743219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8008</v>
      </c>
      <c r="B8" s="66">
        <v>8008</v>
      </c>
      <c r="D8">
        <f t="shared" si="0"/>
        <v>13.374083537919402</v>
      </c>
      <c r="E8">
        <f t="shared" si="1"/>
        <v>13.374083537919402</v>
      </c>
      <c r="G8">
        <f t="shared" ca="1" si="2"/>
        <v>6</v>
      </c>
      <c r="H8">
        <f t="shared" ca="1" si="3"/>
        <v>80.244501227516409</v>
      </c>
      <c r="I8">
        <f t="shared" ca="1" si="4"/>
        <v>67876.371738709233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12743</v>
      </c>
      <c r="B10" s="66">
        <v>12743</v>
      </c>
      <c r="D10">
        <f t="shared" si="0"/>
        <v>21.281961354109256</v>
      </c>
      <c r="E10">
        <f t="shared" si="1"/>
        <v>21.281961354109256</v>
      </c>
      <c r="G10">
        <f t="shared" ca="1" si="2"/>
        <v>8</v>
      </c>
      <c r="H10">
        <f t="shared" ca="1" si="3"/>
        <v>170.25569083287405</v>
      </c>
      <c r="I10">
        <f t="shared" ca="1" si="4"/>
        <v>102031.13796328925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19385</v>
      </c>
      <c r="B13" s="66">
        <v>19385</v>
      </c>
      <c r="D13">
        <f t="shared" si="0"/>
        <v>32.374701471349603</v>
      </c>
      <c r="E13">
        <f t="shared" si="1"/>
        <v>32.374701471349603</v>
      </c>
      <c r="G13">
        <f t="shared" ca="1" si="2"/>
        <v>11</v>
      </c>
      <c r="H13">
        <f t="shared" ca="1" si="3"/>
        <v>356.12171618484564</v>
      </c>
      <c r="I13">
        <f t="shared" ca="1" si="4"/>
        <v>142054.07518537549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27044</v>
      </c>
      <c r="B15" s="66">
        <v>27044</v>
      </c>
      <c r="D15">
        <f t="shared" si="0"/>
        <v>45.16592347646008</v>
      </c>
      <c r="E15">
        <f t="shared" si="1"/>
        <v>45.16592347646008</v>
      </c>
      <c r="G15">
        <f t="shared" ca="1" si="2"/>
        <v>13</v>
      </c>
      <c r="H15">
        <f t="shared" ca="1" si="3"/>
        <v>587.15700519398104</v>
      </c>
      <c r="I15">
        <f t="shared" ca="1" si="4"/>
        <v>186392.94171030272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30499</v>
      </c>
      <c r="B18" s="66">
        <v>30499</v>
      </c>
      <c r="D18">
        <f t="shared" si="0"/>
        <v>50.936085642233245</v>
      </c>
      <c r="E18">
        <f t="shared" si="1"/>
        <v>50.936085642233245</v>
      </c>
      <c r="G18">
        <f t="shared" ca="1" si="2"/>
        <v>16</v>
      </c>
      <c r="H18">
        <f t="shared" ca="1" si="3"/>
        <v>814.97737027573191</v>
      </c>
      <c r="I18">
        <f t="shared" ca="1" si="4"/>
        <v>191030.97942363174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31665</v>
      </c>
      <c r="B21" s="66">
        <v>31665</v>
      </c>
      <c r="D21">
        <f t="shared" si="0"/>
        <v>52.883410992534699</v>
      </c>
      <c r="E21">
        <f t="shared" si="1"/>
        <v>52.883410992534699</v>
      </c>
      <c r="G21">
        <f t="shared" ca="1" si="2"/>
        <v>19</v>
      </c>
      <c r="H21">
        <f t="shared" ca="1" si="3"/>
        <v>1004.7848088581593</v>
      </c>
      <c r="I21">
        <f t="shared" ca="1" si="4"/>
        <v>179378.53334198197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36031</v>
      </c>
      <c r="B23" s="66">
        <v>36031</v>
      </c>
      <c r="D23">
        <f t="shared" si="0"/>
        <v>60.17502546887787</v>
      </c>
      <c r="E23">
        <f t="shared" si="1"/>
        <v>60.17502546887787</v>
      </c>
      <c r="G23">
        <f t="shared" ca="1" si="2"/>
        <v>21</v>
      </c>
      <c r="H23">
        <f t="shared" ca="1" si="3"/>
        <v>1263.6755348464353</v>
      </c>
      <c r="I23">
        <f t="shared" ca="1" si="4"/>
        <v>190333.60692145783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35509</v>
      </c>
      <c r="B26" s="66">
        <v>35509</v>
      </c>
      <c r="D26">
        <f t="shared" si="0"/>
        <v>59.303238305192309</v>
      </c>
      <c r="E26">
        <f t="shared" si="1"/>
        <v>59.303238305192309</v>
      </c>
      <c r="G26">
        <f t="shared" ca="1" si="2"/>
        <v>24</v>
      </c>
      <c r="H26">
        <f t="shared" ca="1" si="3"/>
        <v>1423.2777193246154</v>
      </c>
      <c r="I26">
        <f t="shared" ca="1" si="4"/>
        <v>168098.39104704154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35781</v>
      </c>
      <c r="B28" s="66">
        <v>35781</v>
      </c>
      <c r="D28">
        <f t="shared" si="0"/>
        <v>59.757502880905854</v>
      </c>
      <c r="E28">
        <f t="shared" si="1"/>
        <v>59.757502880905854</v>
      </c>
      <c r="G28">
        <f t="shared" ca="1" si="2"/>
        <v>26</v>
      </c>
      <c r="H28">
        <f t="shared" ca="1" si="3"/>
        <v>1553.6950749035523</v>
      </c>
      <c r="I28">
        <f t="shared" ca="1" si="4"/>
        <v>156898.9692854234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36883</v>
      </c>
      <c r="B31" s="66">
        <v>36883</v>
      </c>
      <c r="D31">
        <f t="shared" si="0"/>
        <v>61.597942448686474</v>
      </c>
      <c r="E31">
        <f t="shared" si="1"/>
        <v>61.597942448686474</v>
      </c>
      <c r="G31">
        <f t="shared" ca="1" si="2"/>
        <v>29</v>
      </c>
      <c r="H31">
        <f t="shared" ca="1" si="3"/>
        <v>1786.3403310119077</v>
      </c>
      <c r="I31">
        <f t="shared" ca="1" si="4"/>
        <v>143347.72219028638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38504</v>
      </c>
      <c r="B33" s="66">
        <v>38504</v>
      </c>
      <c r="D33">
        <f t="shared" si="0"/>
        <v>64.305158909096988</v>
      </c>
      <c r="E33">
        <f t="shared" si="1"/>
        <v>64.305158909096988</v>
      </c>
      <c r="G33">
        <f t="shared" ca="1" si="2"/>
        <v>31</v>
      </c>
      <c r="H33">
        <f t="shared" ca="1" si="3"/>
        <v>1993.4599261820067</v>
      </c>
      <c r="I33">
        <f t="shared" ca="1" si="4"/>
        <v>137496.57849545867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41489</v>
      </c>
      <c r="B36" s="66">
        <v>41489</v>
      </c>
      <c r="D36">
        <f t="shared" si="0"/>
        <v>69.290378609482772</v>
      </c>
      <c r="E36">
        <f t="shared" si="1"/>
        <v>69.290378609482772</v>
      </c>
      <c r="G36">
        <f t="shared" ca="1" si="2"/>
        <v>34</v>
      </c>
      <c r="H36">
        <f t="shared" ca="1" si="3"/>
        <v>2355.8728727224143</v>
      </c>
      <c r="I36">
        <f t="shared" ca="1" si="4"/>
        <v>129555.38008350864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42254</v>
      </c>
      <c r="B39" s="66">
        <v>42254</v>
      </c>
      <c r="D39">
        <f t="shared" si="0"/>
        <v>70.567997728677128</v>
      </c>
      <c r="E39">
        <f t="shared" si="1"/>
        <v>70.567997728677128</v>
      </c>
      <c r="G39">
        <f t="shared" ca="1" si="2"/>
        <v>37</v>
      </c>
      <c r="H39">
        <f t="shared" ca="1" si="3"/>
        <v>2611.0159159610539</v>
      </c>
      <c r="I39">
        <f t="shared" ca="1" si="4"/>
        <v>114270.91847455921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44724</v>
      </c>
      <c r="B41" s="66">
        <v>44724</v>
      </c>
      <c r="D41">
        <f t="shared" si="0"/>
        <v>74.693120897840572</v>
      </c>
      <c r="E41">
        <f t="shared" si="1"/>
        <v>74.693120897840572</v>
      </c>
      <c r="G41">
        <f t="shared" ca="1" si="2"/>
        <v>39</v>
      </c>
      <c r="H41">
        <f t="shared" ca="1" si="3"/>
        <v>2913.0317150157825</v>
      </c>
      <c r="I41">
        <f t="shared" ca="1" si="4"/>
        <v>109226.74169678547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50738</v>
      </c>
      <c r="B44" s="66">
        <v>50738</v>
      </c>
      <c r="D44">
        <f t="shared" si="0"/>
        <v>84.737044274095226</v>
      </c>
      <c r="E44">
        <f t="shared" si="1"/>
        <v>84.737044274095226</v>
      </c>
      <c r="G44">
        <f t="shared" ca="1" si="2"/>
        <v>42</v>
      </c>
      <c r="H44">
        <f t="shared" ca="1" si="3"/>
        <v>3558.9558595119993</v>
      </c>
      <c r="I44">
        <f t="shared" ca="1" si="4"/>
        <v>105234.65685245612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51479</v>
      </c>
      <c r="B46" s="66">
        <v>51479</v>
      </c>
      <c r="D46">
        <f t="shared" si="0"/>
        <v>85.974581224844258</v>
      </c>
      <c r="E46">
        <f t="shared" si="1"/>
        <v>85.974581224844258</v>
      </c>
      <c r="G46">
        <f t="shared" ca="1" si="2"/>
        <v>44</v>
      </c>
      <c r="H46">
        <f t="shared" ca="1" si="3"/>
        <v>3782.8815738931471</v>
      </c>
      <c r="I46">
        <f t="shared" ca="1" si="4"/>
        <v>94996.280429514984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58519</v>
      </c>
      <c r="B49" s="66">
        <v>58519</v>
      </c>
      <c r="D49">
        <f t="shared" si="0"/>
        <v>97.732017302136043</v>
      </c>
      <c r="E49">
        <f t="shared" si="1"/>
        <v>97.732017302136043</v>
      </c>
      <c r="G49">
        <f t="shared" ca="1" si="2"/>
        <v>47</v>
      </c>
      <c r="H49">
        <f t="shared" ca="1" si="3"/>
        <v>4593.4048132003936</v>
      </c>
      <c r="I49">
        <f t="shared" ca="1" si="4"/>
        <v>89375.066314485914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56750</v>
      </c>
      <c r="B51" s="66">
        <v>56750</v>
      </c>
      <c r="D51">
        <f t="shared" si="0"/>
        <v>94.777627469646106</v>
      </c>
      <c r="E51">
        <f t="shared" si="1"/>
        <v>94.777627469646106</v>
      </c>
      <c r="G51">
        <f t="shared" ca="1" si="2"/>
        <v>49</v>
      </c>
      <c r="H51">
        <f t="shared" ca="1" si="3"/>
        <v>4644.103746012659</v>
      </c>
      <c r="I51">
        <f t="shared" ca="1" si="4"/>
        <v>75587.901214567217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59877</v>
      </c>
      <c r="B54" s="66">
        <v>59877</v>
      </c>
      <c r="D54">
        <f t="shared" si="0"/>
        <v>100</v>
      </c>
      <c r="E54">
        <f t="shared" si="1"/>
        <v>100</v>
      </c>
      <c r="G54">
        <f t="shared" ca="1" si="2"/>
        <v>52</v>
      </c>
      <c r="H54">
        <f t="shared" ca="1" si="3"/>
        <v>5200</v>
      </c>
      <c r="I54">
        <f t="shared" ca="1" si="4"/>
        <v>63708.561489002626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59427</v>
      </c>
      <c r="B57" s="66">
        <v>59427</v>
      </c>
      <c r="D57">
        <f t="shared" si="0"/>
        <v>99.248459341650388</v>
      </c>
      <c r="E57">
        <f t="shared" si="1"/>
        <v>99.248459341650388</v>
      </c>
      <c r="G57">
        <f t="shared" ca="1" si="2"/>
        <v>55</v>
      </c>
      <c r="H57">
        <f t="shared" ca="1" si="3"/>
        <v>5458.665263790771</v>
      </c>
      <c r="I57">
        <f t="shared" ca="1" si="4"/>
        <v>49092.484722014495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57383</v>
      </c>
      <c r="B59" s="66">
        <v>57383</v>
      </c>
      <c r="D59">
        <f t="shared" si="0"/>
        <v>95.834794662391232</v>
      </c>
      <c r="E59">
        <f t="shared" si="1"/>
        <v>95.834794662391232</v>
      </c>
      <c r="G59">
        <f t="shared" ca="1" si="2"/>
        <v>57</v>
      </c>
      <c r="H59">
        <f t="shared" ca="1" si="3"/>
        <v>5462.5832957562998</v>
      </c>
      <c r="I59">
        <f t="shared" ca="1" si="4"/>
        <v>39261.604930524198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46320</v>
      </c>
      <c r="B62" s="66">
        <v>46320</v>
      </c>
      <c r="D62">
        <f t="shared" si="0"/>
        <v>77.358585099453876</v>
      </c>
      <c r="E62">
        <f t="shared" si="1"/>
        <v>77.358585099453876</v>
      </c>
      <c r="G62">
        <f t="shared" ca="1" si="2"/>
        <v>60</v>
      </c>
      <c r="H62">
        <f t="shared" ca="1" si="3"/>
        <v>4641.5151059672326</v>
      </c>
      <c r="I62">
        <f t="shared" ca="1" si="4"/>
        <v>22993.813295249096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44310</v>
      </c>
      <c r="B64" s="66">
        <v>44310</v>
      </c>
      <c r="D64">
        <f t="shared" si="0"/>
        <v>74.001703492158924</v>
      </c>
      <c r="E64">
        <f t="shared" si="1"/>
        <v>74.001703492158924</v>
      </c>
      <c r="G64">
        <f t="shared" ca="1" si="2"/>
        <v>62</v>
      </c>
      <c r="H64">
        <f t="shared" ca="1" si="3"/>
        <v>4588.1056165138534</v>
      </c>
      <c r="I64">
        <f t="shared" ca="1" si="4"/>
        <v>17188.709832977904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39670</v>
      </c>
      <c r="B67" s="66">
        <v>39670</v>
      </c>
      <c r="D67">
        <f t="shared" ref="D67:D130" si="5">IFERROR( 100*A67/MAX(A$2:A$257), 0 )</f>
        <v>66.252484259398429</v>
      </c>
      <c r="E67">
        <f t="shared" ref="E67:E130" si="6">IFERROR( 100*B67/MAX(B$2:B$257), 0 )</f>
        <v>66.252484259398429</v>
      </c>
      <c r="G67">
        <f t="shared" ref="G67:G130" ca="1" si="7">CELL("row",D67)-2</f>
        <v>65</v>
      </c>
      <c r="H67">
        <f t="shared" ref="H67:H130" ca="1" si="8">D67*G67</f>
        <v>4306.4114768608979</v>
      </c>
      <c r="I67">
        <f t="shared" ref="I67:I130" ca="1" si="9">D67*((G67-$L$1)^2)</f>
        <v>9926.6882805289679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31996</v>
      </c>
      <c r="B69" s="66">
        <v>31996</v>
      </c>
      <c r="D69">
        <f t="shared" si="5"/>
        <v>53.436210899009637</v>
      </c>
      <c r="E69">
        <f t="shared" si="6"/>
        <v>53.436210899009637</v>
      </c>
      <c r="G69">
        <f t="shared" ca="1" si="7"/>
        <v>67</v>
      </c>
      <c r="H69">
        <f t="shared" ca="1" si="8"/>
        <v>3580.2261302336456</v>
      </c>
      <c r="I69">
        <f t="shared" ca="1" si="9"/>
        <v>5603.8001823569439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30103</v>
      </c>
      <c r="B72" s="66">
        <v>30103</v>
      </c>
      <c r="D72">
        <f t="shared" si="5"/>
        <v>50.274729862885579</v>
      </c>
      <c r="E72">
        <f t="shared" si="6"/>
        <v>50.274729862885579</v>
      </c>
      <c r="G72">
        <f t="shared" ca="1" si="7"/>
        <v>70</v>
      </c>
      <c r="H72">
        <f t="shared" ca="1" si="8"/>
        <v>3519.2310904019905</v>
      </c>
      <c r="I72">
        <f t="shared" ca="1" si="9"/>
        <v>2635.684697166726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25129</v>
      </c>
      <c r="B75" s="66">
        <v>25129</v>
      </c>
      <c r="D75">
        <f t="shared" si="5"/>
        <v>41.967700452594485</v>
      </c>
      <c r="E75">
        <f t="shared" si="6"/>
        <v>41.967700452594485</v>
      </c>
      <c r="G75">
        <f t="shared" ca="1" si="7"/>
        <v>73</v>
      </c>
      <c r="H75">
        <f t="shared" ca="1" si="8"/>
        <v>3063.6421330393973</v>
      </c>
      <c r="I75">
        <f t="shared" ca="1" si="9"/>
        <v>754.67604855071113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23010</v>
      </c>
      <c r="B77" s="66">
        <v>23010</v>
      </c>
      <c r="D77">
        <f t="shared" si="5"/>
        <v>38.428778996943734</v>
      </c>
      <c r="E77">
        <f t="shared" si="6"/>
        <v>38.428778996943734</v>
      </c>
      <c r="G77">
        <f t="shared" ca="1" si="7"/>
        <v>75</v>
      </c>
      <c r="H77">
        <f t="shared" ca="1" si="8"/>
        <v>2882.1584247707801</v>
      </c>
      <c r="I77">
        <f t="shared" ca="1" si="9"/>
        <v>192.91579644654308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21050</v>
      </c>
      <c r="B80" s="66">
        <v>21050</v>
      </c>
      <c r="D80">
        <f t="shared" si="5"/>
        <v>35.155401907243181</v>
      </c>
      <c r="E80">
        <f t="shared" si="6"/>
        <v>35.155401907243181</v>
      </c>
      <c r="G80">
        <f t="shared" ca="1" si="7"/>
        <v>78</v>
      </c>
      <c r="H80">
        <f t="shared" ca="1" si="8"/>
        <v>2742.1213487649679</v>
      </c>
      <c r="I80">
        <f t="shared" ca="1" si="9"/>
        <v>20.276115796334185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20230</v>
      </c>
      <c r="B82" s="66">
        <v>20230</v>
      </c>
      <c r="D82">
        <f t="shared" si="5"/>
        <v>33.785927818694994</v>
      </c>
      <c r="E82">
        <f t="shared" si="6"/>
        <v>33.785927818694994</v>
      </c>
      <c r="G82">
        <f t="shared" ca="1" si="7"/>
        <v>80</v>
      </c>
      <c r="H82">
        <f t="shared" ca="1" si="8"/>
        <v>2702.8742254955996</v>
      </c>
      <c r="I82">
        <f t="shared" ca="1" si="9"/>
        <v>257.26419430523271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18394</v>
      </c>
      <c r="B85" s="66">
        <v>18394</v>
      </c>
      <c r="D85">
        <f t="shared" si="5"/>
        <v>30.719641932628555</v>
      </c>
      <c r="E85">
        <f t="shared" si="6"/>
        <v>30.719641932628555</v>
      </c>
      <c r="G85">
        <f t="shared" ca="1" si="7"/>
        <v>83</v>
      </c>
      <c r="H85">
        <f t="shared" ca="1" si="8"/>
        <v>2549.7302804081701</v>
      </c>
      <c r="I85">
        <f t="shared" ca="1" si="9"/>
        <v>1019.0076052873147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18783</v>
      </c>
      <c r="B88" s="66">
        <v>18783</v>
      </c>
      <c r="D88">
        <f t="shared" si="5"/>
        <v>31.369307079513003</v>
      </c>
      <c r="E88">
        <f t="shared" si="6"/>
        <v>31.369307079513003</v>
      </c>
      <c r="G88">
        <f t="shared" ca="1" si="7"/>
        <v>86</v>
      </c>
      <c r="H88">
        <f t="shared" ca="1" si="8"/>
        <v>2697.7604088381181</v>
      </c>
      <c r="I88">
        <f t="shared" ca="1" si="9"/>
        <v>2406.9003458044349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16093</v>
      </c>
      <c r="B90" s="66">
        <v>16093</v>
      </c>
      <c r="D90">
        <f t="shared" si="5"/>
        <v>26.876764032934183</v>
      </c>
      <c r="E90">
        <f t="shared" si="6"/>
        <v>26.876764032934183</v>
      </c>
      <c r="G90">
        <f t="shared" ca="1" si="7"/>
        <v>88</v>
      </c>
      <c r="H90">
        <f t="shared" ca="1" si="8"/>
        <v>2365.1552348982082</v>
      </c>
      <c r="I90">
        <f t="shared" ca="1" si="9"/>
        <v>3111.4062592879213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14560</v>
      </c>
      <c r="B93" s="66">
        <v>14560</v>
      </c>
      <c r="D93">
        <f t="shared" si="5"/>
        <v>24.316515523489819</v>
      </c>
      <c r="E93">
        <f t="shared" si="6"/>
        <v>24.316515523489819</v>
      </c>
      <c r="G93">
        <f t="shared" ca="1" si="7"/>
        <v>91</v>
      </c>
      <c r="H93">
        <f t="shared" ca="1" si="8"/>
        <v>2212.8029126375736</v>
      </c>
      <c r="I93">
        <f t="shared" ca="1" si="9"/>
        <v>4603.659320437785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12344</v>
      </c>
      <c r="B95" s="66">
        <v>12344</v>
      </c>
      <c r="D95">
        <f t="shared" si="5"/>
        <v>20.615595303705931</v>
      </c>
      <c r="E95">
        <f t="shared" si="6"/>
        <v>20.615595303705931</v>
      </c>
      <c r="G95">
        <f t="shared" ca="1" si="7"/>
        <v>93</v>
      </c>
      <c r="H95">
        <f t="shared" ca="1" si="8"/>
        <v>1917.2503632446515</v>
      </c>
      <c r="I95">
        <f t="shared" ca="1" si="9"/>
        <v>5120.0914728787056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12232</v>
      </c>
      <c r="B98" s="66">
        <v>12232</v>
      </c>
      <c r="D98">
        <f t="shared" si="5"/>
        <v>20.428545184294471</v>
      </c>
      <c r="E98">
        <f t="shared" si="6"/>
        <v>20.428545184294471</v>
      </c>
      <c r="G98">
        <f t="shared" ca="1" si="7"/>
        <v>96</v>
      </c>
      <c r="H98">
        <f t="shared" ca="1" si="8"/>
        <v>1961.1403376922692</v>
      </c>
      <c r="I98">
        <f t="shared" ca="1" si="9"/>
        <v>7189.14780169389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12176</v>
      </c>
      <c r="B100" s="66">
        <v>12176</v>
      </c>
      <c r="D100">
        <f t="shared" si="5"/>
        <v>20.335020124588741</v>
      </c>
      <c r="E100">
        <f t="shared" si="6"/>
        <v>20.335020124588741</v>
      </c>
      <c r="G100">
        <f t="shared" ca="1" si="7"/>
        <v>98</v>
      </c>
      <c r="H100">
        <f t="shared" ca="1" si="8"/>
        <v>1992.8319722096967</v>
      </c>
      <c r="I100">
        <f t="shared" ca="1" si="9"/>
        <v>8763.4696138466079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15651</v>
      </c>
      <c r="B103" s="66">
        <v>15651</v>
      </c>
      <c r="D103">
        <f t="shared" si="5"/>
        <v>26.138584097399669</v>
      </c>
      <c r="E103">
        <f t="shared" si="6"/>
        <v>26.138584097399669</v>
      </c>
      <c r="G103">
        <f t="shared" ca="1" si="7"/>
        <v>101</v>
      </c>
      <c r="H103">
        <f t="shared" ca="1" si="8"/>
        <v>2639.9969938373665</v>
      </c>
      <c r="I103">
        <f t="shared" ca="1" si="9"/>
        <v>14755.524217965416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15218</v>
      </c>
      <c r="B106" s="66">
        <v>15218</v>
      </c>
      <c r="D106">
        <f t="shared" si="5"/>
        <v>25.415434975032149</v>
      </c>
      <c r="E106">
        <f t="shared" si="6"/>
        <v>25.415434975032149</v>
      </c>
      <c r="G106">
        <f t="shared" ca="1" si="7"/>
        <v>104</v>
      </c>
      <c r="H106">
        <f t="shared" ca="1" si="8"/>
        <v>2643.2052374033433</v>
      </c>
      <c r="I106">
        <f t="shared" ca="1" si="9"/>
        <v>18199.177115476545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12478</v>
      </c>
      <c r="B108" s="66">
        <v>12478</v>
      </c>
      <c r="D108">
        <f t="shared" si="5"/>
        <v>20.839387410858926</v>
      </c>
      <c r="E108">
        <f t="shared" si="6"/>
        <v>20.839387410858926</v>
      </c>
      <c r="G108">
        <f t="shared" ca="1" si="7"/>
        <v>106</v>
      </c>
      <c r="H108">
        <f t="shared" ca="1" si="8"/>
        <v>2208.9750655510461</v>
      </c>
      <c r="I108">
        <f t="shared" ca="1" si="9"/>
        <v>17236.375669806992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12878</v>
      </c>
      <c r="B111" s="66">
        <v>12878</v>
      </c>
      <c r="D111">
        <f t="shared" si="5"/>
        <v>21.507423551614142</v>
      </c>
      <c r="E111">
        <f t="shared" si="6"/>
        <v>21.507423551614142</v>
      </c>
      <c r="G111">
        <f t="shared" ca="1" si="7"/>
        <v>109</v>
      </c>
      <c r="H111">
        <f t="shared" ca="1" si="8"/>
        <v>2344.3091671259417</v>
      </c>
      <c r="I111">
        <f t="shared" ca="1" si="9"/>
        <v>21693.72836041353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12938</v>
      </c>
      <c r="B113" s="66">
        <v>12938</v>
      </c>
      <c r="D113">
        <f t="shared" si="5"/>
        <v>21.607628972727426</v>
      </c>
      <c r="E113">
        <f t="shared" si="6"/>
        <v>21.607628972727426</v>
      </c>
      <c r="G113">
        <f t="shared" ca="1" si="7"/>
        <v>111</v>
      </c>
      <c r="H113">
        <f t="shared" ca="1" si="8"/>
        <v>2398.4468159727444</v>
      </c>
      <c r="I113">
        <f t="shared" ca="1" si="9"/>
        <v>24626.217530618291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12696</v>
      </c>
      <c r="B116" s="66">
        <v>12696</v>
      </c>
      <c r="D116">
        <f t="shared" si="5"/>
        <v>21.203467107570521</v>
      </c>
      <c r="E116">
        <f t="shared" si="6"/>
        <v>21.203467107570521</v>
      </c>
      <c r="G116">
        <f t="shared" ca="1" si="7"/>
        <v>114</v>
      </c>
      <c r="H116">
        <f t="shared" ca="1" si="8"/>
        <v>2417.1952502630393</v>
      </c>
      <c r="I116">
        <f t="shared" ca="1" si="9"/>
        <v>28651.329099019469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10529</v>
      </c>
      <c r="B118" s="66">
        <v>10529</v>
      </c>
      <c r="D118">
        <f t="shared" si="5"/>
        <v>17.584381315029145</v>
      </c>
      <c r="E118">
        <f t="shared" si="6"/>
        <v>17.584381315029145</v>
      </c>
      <c r="G118">
        <f t="shared" ca="1" si="7"/>
        <v>116</v>
      </c>
      <c r="H118">
        <f t="shared" ca="1" si="8"/>
        <v>2039.7882325433807</v>
      </c>
      <c r="I118">
        <f t="shared" ca="1" si="9"/>
        <v>26416.920733424926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13353</v>
      </c>
      <c r="B121" s="66">
        <v>13353</v>
      </c>
      <c r="D121">
        <f t="shared" si="5"/>
        <v>22.30071646876096</v>
      </c>
      <c r="E121">
        <f t="shared" si="6"/>
        <v>22.30071646876096</v>
      </c>
      <c r="G121">
        <f t="shared" ca="1" si="7"/>
        <v>119</v>
      </c>
      <c r="H121">
        <f t="shared" ca="1" si="8"/>
        <v>2653.7852597825545</v>
      </c>
      <c r="I121">
        <f t="shared" ca="1" si="9"/>
        <v>38889.132283607149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14160</v>
      </c>
      <c r="B124" s="66">
        <v>14160</v>
      </c>
      <c r="D124">
        <f t="shared" si="5"/>
        <v>23.648479382734607</v>
      </c>
      <c r="E124">
        <f t="shared" si="6"/>
        <v>23.648479382734607</v>
      </c>
      <c r="G124">
        <f t="shared" ca="1" si="7"/>
        <v>122</v>
      </c>
      <c r="H124">
        <f t="shared" ca="1" si="8"/>
        <v>2885.1144846936222</v>
      </c>
      <c r="I124">
        <f t="shared" ca="1" si="9"/>
        <v>47377.550889716964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17585</v>
      </c>
      <c r="B126" s="66">
        <v>17585</v>
      </c>
      <c r="D126">
        <f t="shared" si="5"/>
        <v>29.368538837951132</v>
      </c>
      <c r="E126">
        <f t="shared" si="6"/>
        <v>29.368538837951132</v>
      </c>
      <c r="G126">
        <f t="shared" ca="1" si="7"/>
        <v>124</v>
      </c>
      <c r="H126">
        <f t="shared" ca="1" si="8"/>
        <v>3641.6988159059401</v>
      </c>
      <c r="I126">
        <f t="shared" ca="1" si="9"/>
        <v>64212.715459752158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16981</v>
      </c>
      <c r="B129" s="66">
        <v>16981</v>
      </c>
      <c r="D129">
        <f t="shared" si="5"/>
        <v>28.359804265410759</v>
      </c>
      <c r="E129">
        <f t="shared" si="6"/>
        <v>28.359804265410759</v>
      </c>
      <c r="G129">
        <f t="shared" ca="1" si="7"/>
        <v>127</v>
      </c>
      <c r="H129">
        <f t="shared" ca="1" si="8"/>
        <v>3601.6951417071664</v>
      </c>
      <c r="I129">
        <f t="shared" ca="1" si="9"/>
        <v>70218.942582175427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20327</v>
      </c>
      <c r="B131" s="66">
        <v>20327</v>
      </c>
      <c r="D131">
        <f t="shared" ref="D131:D194" si="10">IFERROR( 100*A131/MAX(A$2:A$257), 0 )</f>
        <v>33.947926582828131</v>
      </c>
      <c r="E131">
        <f t="shared" ref="E131:E194" si="11">IFERROR( 100*B131/MAX(B$2:B$257), 0 )</f>
        <v>33.947926582828131</v>
      </c>
      <c r="G131">
        <f t="shared" ref="G131:G194" ca="1" si="12">CELL("row",D131)-2</f>
        <v>129</v>
      </c>
      <c r="H131">
        <f t="shared" ref="H131:H194" ca="1" si="13">D131*G131</f>
        <v>4379.2825291848294</v>
      </c>
      <c r="I131">
        <f t="shared" ref="I131:I194" ca="1" si="14">D131*((G131-$L$1)^2)</f>
        <v>90947.858339453451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17786</v>
      </c>
      <c r="B134" s="66">
        <v>17786</v>
      </c>
      <c r="D134">
        <f t="shared" si="10"/>
        <v>29.704226998680628</v>
      </c>
      <c r="E134">
        <f t="shared" si="11"/>
        <v>29.704226998680628</v>
      </c>
      <c r="G134">
        <f t="shared" ca="1" si="12"/>
        <v>132</v>
      </c>
      <c r="H134">
        <f t="shared" ca="1" si="13"/>
        <v>3920.9579638258429</v>
      </c>
      <c r="I134">
        <f t="shared" ca="1" si="14"/>
        <v>89071.000638174301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18150</v>
      </c>
      <c r="B136" s="66">
        <v>18150</v>
      </c>
      <c r="D136">
        <f t="shared" si="10"/>
        <v>30.312139886767874</v>
      </c>
      <c r="E136">
        <f t="shared" si="11"/>
        <v>30.312139886767874</v>
      </c>
      <c r="G136">
        <f t="shared" ca="1" si="12"/>
        <v>134</v>
      </c>
      <c r="H136">
        <f t="shared" ca="1" si="13"/>
        <v>4061.8267448268953</v>
      </c>
      <c r="I136">
        <f t="shared" ca="1" si="14"/>
        <v>97654.638683386947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21823</v>
      </c>
      <c r="B139" s="66">
        <v>21823</v>
      </c>
      <c r="D139">
        <f t="shared" si="10"/>
        <v>36.446381749252637</v>
      </c>
      <c r="E139">
        <f t="shared" si="11"/>
        <v>36.446381749252637</v>
      </c>
      <c r="G139">
        <f t="shared" ca="1" si="12"/>
        <v>137</v>
      </c>
      <c r="H139">
        <f t="shared" ca="1" si="13"/>
        <v>4993.154299647611</v>
      </c>
      <c r="I139">
        <f t="shared" ca="1" si="14"/>
        <v>130157.00036291346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21563</v>
      </c>
      <c r="B142" s="66">
        <v>21563</v>
      </c>
      <c r="D142">
        <f t="shared" si="10"/>
        <v>36.012158257761747</v>
      </c>
      <c r="E142">
        <f t="shared" si="11"/>
        <v>36.012158257761747</v>
      </c>
      <c r="G142">
        <f t="shared" ca="1" si="12"/>
        <v>140</v>
      </c>
      <c r="H142">
        <f t="shared" ca="1" si="13"/>
        <v>5041.7021560866442</v>
      </c>
      <c r="I142">
        <f t="shared" ca="1" si="14"/>
        <v>141842.81419695014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25204</v>
      </c>
      <c r="B144" s="66">
        <v>25204</v>
      </c>
      <c r="D144">
        <f t="shared" si="10"/>
        <v>42.092957228986087</v>
      </c>
      <c r="E144">
        <f t="shared" si="11"/>
        <v>42.092957228986087</v>
      </c>
      <c r="G144">
        <f t="shared" ca="1" si="12"/>
        <v>142</v>
      </c>
      <c r="H144">
        <f t="shared" ca="1" si="13"/>
        <v>5977.1999265160248</v>
      </c>
      <c r="I144">
        <f t="shared" ca="1" si="14"/>
        <v>176528.84299726295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24256</v>
      </c>
      <c r="B147" s="66">
        <v>24256</v>
      </c>
      <c r="D147">
        <f t="shared" si="10"/>
        <v>40.509711575396231</v>
      </c>
      <c r="E147">
        <f t="shared" si="11"/>
        <v>40.509711575396231</v>
      </c>
      <c r="G147">
        <f t="shared" ca="1" si="12"/>
        <v>145</v>
      </c>
      <c r="H147">
        <f t="shared" ca="1" si="13"/>
        <v>5873.9081784324535</v>
      </c>
      <c r="I147">
        <f t="shared" ca="1" si="14"/>
        <v>185993.95602714116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18493</v>
      </c>
      <c r="B149" s="66">
        <v>18493</v>
      </c>
      <c r="D149">
        <f t="shared" si="10"/>
        <v>30.88498087746547</v>
      </c>
      <c r="E149">
        <f t="shared" si="11"/>
        <v>30.88498087746547</v>
      </c>
      <c r="G149">
        <f t="shared" ca="1" si="12"/>
        <v>147</v>
      </c>
      <c r="H149">
        <f t="shared" ca="1" si="13"/>
        <v>4540.0921889874244</v>
      </c>
      <c r="I149">
        <f t="shared" ca="1" si="14"/>
        <v>150298.05854643791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17943</v>
      </c>
      <c r="B152" s="66">
        <v>17943</v>
      </c>
      <c r="D152">
        <f t="shared" si="10"/>
        <v>29.96643118392705</v>
      </c>
      <c r="E152">
        <f t="shared" si="11"/>
        <v>29.96643118392705</v>
      </c>
      <c r="G152">
        <f t="shared" ca="1" si="12"/>
        <v>150</v>
      </c>
      <c r="H152">
        <f t="shared" ca="1" si="13"/>
        <v>4494.9646775890578</v>
      </c>
      <c r="I152">
        <f t="shared" ca="1" si="14"/>
        <v>158640.39406631066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18640</v>
      </c>
      <c r="B154" s="66">
        <v>18640</v>
      </c>
      <c r="D154">
        <f t="shared" si="10"/>
        <v>31.130484159193013</v>
      </c>
      <c r="E154">
        <f t="shared" si="11"/>
        <v>31.130484159193013</v>
      </c>
      <c r="G154">
        <f t="shared" ca="1" si="12"/>
        <v>152</v>
      </c>
      <c r="H154">
        <f t="shared" ca="1" si="13"/>
        <v>4731.8335921973385</v>
      </c>
      <c r="I154">
        <f t="shared" ca="1" si="14"/>
        <v>173987.48593918903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21290</v>
      </c>
      <c r="B157" s="66">
        <v>21290</v>
      </c>
      <c r="D157">
        <f t="shared" si="10"/>
        <v>35.556223591696309</v>
      </c>
      <c r="E157">
        <f t="shared" si="11"/>
        <v>35.556223591696309</v>
      </c>
      <c r="G157">
        <f t="shared" ca="1" si="12"/>
        <v>155</v>
      </c>
      <c r="H157">
        <f t="shared" ca="1" si="13"/>
        <v>5511.2146567129275</v>
      </c>
      <c r="I157">
        <f t="shared" ca="1" si="14"/>
        <v>214991.81858351998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18669</v>
      </c>
      <c r="B160" s="66">
        <v>18669</v>
      </c>
      <c r="D160">
        <f t="shared" si="10"/>
        <v>31.178916779397767</v>
      </c>
      <c r="E160">
        <f t="shared" si="11"/>
        <v>31.178916779397767</v>
      </c>
      <c r="G160">
        <f t="shared" ca="1" si="12"/>
        <v>158</v>
      </c>
      <c r="H160">
        <f t="shared" ca="1" si="13"/>
        <v>4926.2688511448468</v>
      </c>
      <c r="I160">
        <f t="shared" ca="1" si="14"/>
        <v>203351.63781147508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16184</v>
      </c>
      <c r="B162" s="66">
        <v>16184</v>
      </c>
      <c r="D162">
        <f t="shared" si="10"/>
        <v>27.028742254955993</v>
      </c>
      <c r="E162">
        <f t="shared" si="11"/>
        <v>27.028742254955993</v>
      </c>
      <c r="G162">
        <f t="shared" ca="1" si="12"/>
        <v>160</v>
      </c>
      <c r="H162">
        <f t="shared" ca="1" si="13"/>
        <v>4324.5987607929592</v>
      </c>
      <c r="I162">
        <f t="shared" ca="1" si="14"/>
        <v>185123.25437038258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12374</v>
      </c>
      <c r="B165" s="66">
        <v>12374</v>
      </c>
      <c r="D165">
        <f t="shared" si="10"/>
        <v>20.665698014262571</v>
      </c>
      <c r="E165">
        <f t="shared" si="11"/>
        <v>20.665698014262571</v>
      </c>
      <c r="G165">
        <f t="shared" ca="1" si="12"/>
        <v>163</v>
      </c>
      <c r="H165">
        <f t="shared" ca="1" si="13"/>
        <v>3368.5087763247989</v>
      </c>
      <c r="I165">
        <f t="shared" ca="1" si="14"/>
        <v>151989.64573548964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11023</v>
      </c>
      <c r="B167" s="66">
        <v>11023</v>
      </c>
      <c r="D167">
        <f t="shared" si="10"/>
        <v>18.409405948861835</v>
      </c>
      <c r="E167">
        <f t="shared" si="11"/>
        <v>18.409405948861835</v>
      </c>
      <c r="G167">
        <f t="shared" ca="1" si="12"/>
        <v>165</v>
      </c>
      <c r="H167">
        <f t="shared" ca="1" si="13"/>
        <v>3037.5519815622029</v>
      </c>
      <c r="I167">
        <f t="shared" ca="1" si="14"/>
        <v>141784.09353801858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9884</v>
      </c>
      <c r="B170" s="66">
        <v>9884</v>
      </c>
      <c r="D170">
        <f t="shared" si="10"/>
        <v>16.50717303806136</v>
      </c>
      <c r="E170">
        <f t="shared" si="11"/>
        <v>16.50717303806136</v>
      </c>
      <c r="G170">
        <f t="shared" ca="1" si="12"/>
        <v>168</v>
      </c>
      <c r="H170">
        <f t="shared" ca="1" si="13"/>
        <v>2773.2050703943087</v>
      </c>
      <c r="I170">
        <f t="shared" ca="1" si="14"/>
        <v>135974.15454400692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8643</v>
      </c>
      <c r="B173" s="66">
        <v>8643</v>
      </c>
      <c r="D173">
        <f t="shared" si="10"/>
        <v>14.434590911368305</v>
      </c>
      <c r="E173">
        <f t="shared" si="11"/>
        <v>14.434590911368305</v>
      </c>
      <c r="G173">
        <f t="shared" ca="1" si="12"/>
        <v>171</v>
      </c>
      <c r="H173">
        <f t="shared" ca="1" si="13"/>
        <v>2468.31504584398</v>
      </c>
      <c r="I173">
        <f t="shared" ca="1" si="14"/>
        <v>126892.08582545113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11312</v>
      </c>
      <c r="B175" s="66">
        <v>11312</v>
      </c>
      <c r="D175">
        <f t="shared" si="10"/>
        <v>18.892062060557475</v>
      </c>
      <c r="E175">
        <f t="shared" si="11"/>
        <v>18.892062060557475</v>
      </c>
      <c r="G175">
        <f t="shared" ca="1" si="12"/>
        <v>173</v>
      </c>
      <c r="H175">
        <f t="shared" ca="1" si="13"/>
        <v>3268.3267364764433</v>
      </c>
      <c r="I175">
        <f t="shared" ca="1" si="14"/>
        <v>173237.77794395664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10204</v>
      </c>
      <c r="B178" s="66">
        <v>10204</v>
      </c>
      <c r="D178">
        <f t="shared" si="10"/>
        <v>17.04160195066553</v>
      </c>
      <c r="E178">
        <f t="shared" si="11"/>
        <v>17.04160195066553</v>
      </c>
      <c r="G178">
        <f t="shared" ca="1" si="12"/>
        <v>176</v>
      </c>
      <c r="H178">
        <f t="shared" ca="1" si="13"/>
        <v>2999.3219433171334</v>
      </c>
      <c r="I178">
        <f t="shared" ca="1" si="14"/>
        <v>166214.03735476587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8368</v>
      </c>
      <c r="B180" s="66">
        <v>8368</v>
      </c>
      <c r="D180">
        <f t="shared" si="10"/>
        <v>13.975316064599095</v>
      </c>
      <c r="E180">
        <f t="shared" si="11"/>
        <v>13.975316064599095</v>
      </c>
      <c r="G180">
        <f t="shared" ca="1" si="12"/>
        <v>178</v>
      </c>
      <c r="H180">
        <f t="shared" ca="1" si="13"/>
        <v>2487.6062594986388</v>
      </c>
      <c r="I180">
        <f t="shared" ca="1" si="14"/>
        <v>141883.91788643817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9179</v>
      </c>
      <c r="B183" s="66">
        <v>9179</v>
      </c>
      <c r="D183">
        <f t="shared" si="10"/>
        <v>15.329759339980292</v>
      </c>
      <c r="E183">
        <f t="shared" si="11"/>
        <v>15.329759339980292</v>
      </c>
      <c r="G183">
        <f t="shared" ca="1" si="12"/>
        <v>181</v>
      </c>
      <c r="H183">
        <f t="shared" ca="1" si="13"/>
        <v>2774.6864405364327</v>
      </c>
      <c r="I183">
        <f t="shared" ca="1" si="14"/>
        <v>165040.53296483113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8943</v>
      </c>
      <c r="B185" s="66">
        <v>8943</v>
      </c>
      <c r="D185">
        <f t="shared" si="10"/>
        <v>14.935618016934717</v>
      </c>
      <c r="E185">
        <f t="shared" si="11"/>
        <v>14.935618016934717</v>
      </c>
      <c r="G185">
        <f t="shared" ca="1" si="12"/>
        <v>183</v>
      </c>
      <c r="H185">
        <f t="shared" ca="1" si="13"/>
        <v>2733.218097099053</v>
      </c>
      <c r="I185">
        <f t="shared" ca="1" si="14"/>
        <v>167055.78685758036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6057</v>
      </c>
      <c r="B188" s="66">
        <v>6057</v>
      </c>
      <c r="D188">
        <f t="shared" si="10"/>
        <v>10.11573726138584</v>
      </c>
      <c r="E188">
        <f t="shared" si="11"/>
        <v>10.11573726138584</v>
      </c>
      <c r="G188">
        <f t="shared" ca="1" si="12"/>
        <v>186</v>
      </c>
      <c r="H188">
        <f t="shared" ca="1" si="13"/>
        <v>1881.5271306177663</v>
      </c>
      <c r="I188">
        <f t="shared" ca="1" si="14"/>
        <v>119655.18056961546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4351</v>
      </c>
      <c r="B191" s="66">
        <v>4351</v>
      </c>
      <c r="D191">
        <f t="shared" si="10"/>
        <v>7.2665631210648494</v>
      </c>
      <c r="E191">
        <f t="shared" si="11"/>
        <v>7.2665631210648494</v>
      </c>
      <c r="G191">
        <f t="shared" ca="1" si="12"/>
        <v>189</v>
      </c>
      <c r="H191">
        <f t="shared" ca="1" si="13"/>
        <v>1373.3804298812565</v>
      </c>
      <c r="I191">
        <f t="shared" ca="1" si="14"/>
        <v>90760.634528701834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4698</v>
      </c>
      <c r="B193" s="66">
        <v>4698</v>
      </c>
      <c r="D193">
        <f t="shared" si="10"/>
        <v>7.8460844731699986</v>
      </c>
      <c r="E193">
        <f t="shared" si="11"/>
        <v>7.8460844731699986</v>
      </c>
      <c r="G193">
        <f t="shared" ca="1" si="12"/>
        <v>191</v>
      </c>
      <c r="H193">
        <f t="shared" ca="1" si="13"/>
        <v>1498.6021343754696</v>
      </c>
      <c r="I193">
        <f t="shared" ca="1" si="14"/>
        <v>101537.83731878432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2083</v>
      </c>
      <c r="B196" s="66">
        <v>2083</v>
      </c>
      <c r="D196">
        <f t="shared" si="15"/>
        <v>3.4787982029827815</v>
      </c>
      <c r="E196">
        <f t="shared" si="16"/>
        <v>3.4787982029827815</v>
      </c>
      <c r="G196">
        <f t="shared" ca="1" si="17"/>
        <v>194</v>
      </c>
      <c r="H196">
        <f t="shared" ca="1" si="18"/>
        <v>674.88685137865957</v>
      </c>
      <c r="I196">
        <f t="shared" ca="1" si="19"/>
        <v>47425.648837885121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3649</v>
      </c>
      <c r="B198" s="66">
        <v>3649</v>
      </c>
      <c r="D198">
        <f t="shared" si="15"/>
        <v>6.0941596940394476</v>
      </c>
      <c r="E198">
        <f t="shared" si="16"/>
        <v>6.0941596940394476</v>
      </c>
      <c r="G198">
        <f t="shared" ca="1" si="17"/>
        <v>196</v>
      </c>
      <c r="H198">
        <f t="shared" ca="1" si="18"/>
        <v>1194.4553000317317</v>
      </c>
      <c r="I198">
        <f t="shared" ca="1" si="19"/>
        <v>85950.844749103446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1850</v>
      </c>
      <c r="B201" s="66">
        <v>1850</v>
      </c>
      <c r="D201">
        <f t="shared" si="15"/>
        <v>3.0896671509928688</v>
      </c>
      <c r="E201">
        <f t="shared" si="16"/>
        <v>3.0896671509928688</v>
      </c>
      <c r="G201">
        <f t="shared" ca="1" si="17"/>
        <v>199</v>
      </c>
      <c r="H201">
        <f t="shared" ca="1" si="18"/>
        <v>614.84376304758086</v>
      </c>
      <c r="I201">
        <f t="shared" ca="1" si="19"/>
        <v>45805.435380253293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1963</v>
      </c>
      <c r="B203" s="66">
        <v>1963</v>
      </c>
      <c r="D203">
        <f t="shared" si="15"/>
        <v>3.2783873607562168</v>
      </c>
      <c r="E203">
        <f t="shared" si="16"/>
        <v>3.2783873607562168</v>
      </c>
      <c r="G203">
        <f t="shared" ca="1" si="17"/>
        <v>201</v>
      </c>
      <c r="H203">
        <f t="shared" ca="1" si="18"/>
        <v>658.95585951199962</v>
      </c>
      <c r="I203">
        <f t="shared" ca="1" si="19"/>
        <v>50213.092944746815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1413</v>
      </c>
      <c r="B206" s="66">
        <v>1413</v>
      </c>
      <c r="D206">
        <f t="shared" si="15"/>
        <v>2.3598376672177963</v>
      </c>
      <c r="E206">
        <f t="shared" si="16"/>
        <v>2.3598376672177963</v>
      </c>
      <c r="G206">
        <f t="shared" ca="1" si="17"/>
        <v>204</v>
      </c>
      <c r="H206">
        <f t="shared" ca="1" si="18"/>
        <v>481.40688411243048</v>
      </c>
      <c r="I206">
        <f t="shared" ca="1" si="19"/>
        <v>37917.769941629093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521</v>
      </c>
      <c r="B209" s="66">
        <v>521</v>
      </c>
      <c r="D209">
        <f t="shared" si="15"/>
        <v>0.87011707333366739</v>
      </c>
      <c r="E209">
        <f t="shared" si="16"/>
        <v>0.87011707333366739</v>
      </c>
      <c r="G209">
        <f t="shared" ca="1" si="17"/>
        <v>207</v>
      </c>
      <c r="H209">
        <f t="shared" ca="1" si="18"/>
        <v>180.11423418006916</v>
      </c>
      <c r="I209">
        <f t="shared" ca="1" si="19"/>
        <v>14650.608035012172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70.525294724608955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1.3616664364709292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0.89069973532574909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4371</v>
      </c>
      <c r="B8" s="66">
        <v>4371</v>
      </c>
      <c r="D8">
        <f t="shared" si="0"/>
        <v>5.2232831040952163</v>
      </c>
      <c r="E8">
        <f t="shared" si="1"/>
        <v>5.2232831040952163</v>
      </c>
      <c r="G8">
        <f t="shared" ca="1" si="2"/>
        <v>6</v>
      </c>
      <c r="H8">
        <f t="shared" ca="1" si="3"/>
        <v>31.339698624571298</v>
      </c>
      <c r="I8">
        <f t="shared" ca="1" si="4"/>
        <v>21747.210550279051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6569</v>
      </c>
      <c r="B10" s="66">
        <v>6569</v>
      </c>
      <c r="D10">
        <f t="shared" si="0"/>
        <v>7.8498619791355475</v>
      </c>
      <c r="E10">
        <f t="shared" si="1"/>
        <v>7.8498619791355475</v>
      </c>
      <c r="G10">
        <f t="shared" ca="1" si="2"/>
        <v>8</v>
      </c>
      <c r="H10">
        <f t="shared" ca="1" si="3"/>
        <v>62.79889583308438</v>
      </c>
      <c r="I10">
        <f t="shared" ca="1" si="4"/>
        <v>30688.348390643769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14578</v>
      </c>
      <c r="B13" s="66">
        <v>14578</v>
      </c>
      <c r="D13">
        <f t="shared" si="0"/>
        <v>17.420503567032732</v>
      </c>
      <c r="E13">
        <f t="shared" si="1"/>
        <v>17.420503567032732</v>
      </c>
      <c r="G13">
        <f t="shared" ca="1" si="2"/>
        <v>11</v>
      </c>
      <c r="H13">
        <f t="shared" ca="1" si="3"/>
        <v>191.62553923736004</v>
      </c>
      <c r="I13">
        <f t="shared" ca="1" si="4"/>
        <v>61725.385873221116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25796</v>
      </c>
      <c r="B15" s="66">
        <v>25796</v>
      </c>
      <c r="D15">
        <f t="shared" si="0"/>
        <v>30.825854713621645</v>
      </c>
      <c r="E15">
        <f t="shared" si="1"/>
        <v>30.825854713621645</v>
      </c>
      <c r="G15">
        <f t="shared" ca="1" si="2"/>
        <v>13</v>
      </c>
      <c r="H15">
        <f t="shared" ca="1" si="3"/>
        <v>400.73611127708136</v>
      </c>
      <c r="I15">
        <f t="shared" ca="1" si="4"/>
        <v>102007.67099317419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29650</v>
      </c>
      <c r="B18" s="66">
        <v>29650</v>
      </c>
      <c r="D18">
        <f t="shared" si="0"/>
        <v>35.431330138737856</v>
      </c>
      <c r="E18">
        <f t="shared" si="1"/>
        <v>35.431330138737856</v>
      </c>
      <c r="G18">
        <f t="shared" ca="1" si="2"/>
        <v>16</v>
      </c>
      <c r="H18">
        <f t="shared" ca="1" si="3"/>
        <v>566.90128221980569</v>
      </c>
      <c r="I18">
        <f t="shared" ca="1" si="4"/>
        <v>105337.61961985368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38842</v>
      </c>
      <c r="B21" s="66">
        <v>38842</v>
      </c>
      <c r="D21">
        <f t="shared" si="0"/>
        <v>46.415639974666298</v>
      </c>
      <c r="E21">
        <f t="shared" si="1"/>
        <v>46.415639974666298</v>
      </c>
      <c r="G21">
        <f t="shared" ca="1" si="2"/>
        <v>19</v>
      </c>
      <c r="H21">
        <f t="shared" ca="1" si="3"/>
        <v>881.89715951865969</v>
      </c>
      <c r="I21">
        <f t="shared" ca="1" si="4"/>
        <v>123226.8401161699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54854</v>
      </c>
      <c r="B23" s="66">
        <v>54854</v>
      </c>
      <c r="D23">
        <f t="shared" si="0"/>
        <v>65.549753235424163</v>
      </c>
      <c r="E23">
        <f t="shared" si="1"/>
        <v>65.549753235424163</v>
      </c>
      <c r="G23">
        <f t="shared" ca="1" si="2"/>
        <v>21</v>
      </c>
      <c r="H23">
        <f t="shared" ca="1" si="3"/>
        <v>1376.5448179439074</v>
      </c>
      <c r="I23">
        <f t="shared" ca="1" si="4"/>
        <v>160777.47303801516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69561</v>
      </c>
      <c r="B26" s="66">
        <v>69561</v>
      </c>
      <c r="D26">
        <f t="shared" si="0"/>
        <v>83.124409975741784</v>
      </c>
      <c r="E26">
        <f t="shared" si="1"/>
        <v>83.124409975741784</v>
      </c>
      <c r="G26">
        <f t="shared" ca="1" si="2"/>
        <v>24</v>
      </c>
      <c r="H26">
        <f t="shared" ca="1" si="3"/>
        <v>1994.9858394178027</v>
      </c>
      <c r="I26">
        <f t="shared" ca="1" si="4"/>
        <v>179931.35129741626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68085</v>
      </c>
      <c r="B28" s="66">
        <v>68085</v>
      </c>
      <c r="D28">
        <f t="shared" si="0"/>
        <v>81.360610876761115</v>
      </c>
      <c r="E28">
        <f t="shared" si="1"/>
        <v>81.360610876761115</v>
      </c>
      <c r="G28">
        <f t="shared" ca="1" si="2"/>
        <v>26</v>
      </c>
      <c r="H28">
        <f t="shared" ca="1" si="3"/>
        <v>2115.375882795789</v>
      </c>
      <c r="I28">
        <f t="shared" ca="1" si="4"/>
        <v>161297.56323301073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75129</v>
      </c>
      <c r="B31" s="66">
        <v>75129</v>
      </c>
      <c r="D31">
        <f t="shared" si="0"/>
        <v>89.778091129620108</v>
      </c>
      <c r="E31">
        <f t="shared" si="1"/>
        <v>89.778091129620108</v>
      </c>
      <c r="G31">
        <f t="shared" ca="1" si="2"/>
        <v>29</v>
      </c>
      <c r="H31">
        <f t="shared" ca="1" si="3"/>
        <v>2603.5646427589832</v>
      </c>
      <c r="I31">
        <f t="shared" ca="1" si="4"/>
        <v>154808.86059364062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76940</v>
      </c>
      <c r="B33" s="66">
        <v>76940</v>
      </c>
      <c r="D33">
        <f t="shared" si="0"/>
        <v>91.942210484805756</v>
      </c>
      <c r="E33">
        <f t="shared" si="1"/>
        <v>91.942210484805756</v>
      </c>
      <c r="G33">
        <f t="shared" ca="1" si="2"/>
        <v>31</v>
      </c>
      <c r="H33">
        <f t="shared" ca="1" si="3"/>
        <v>2850.2085250289783</v>
      </c>
      <c r="I33">
        <f t="shared" ca="1" si="4"/>
        <v>143636.61931430566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83683</v>
      </c>
      <c r="B36" s="66">
        <v>83683</v>
      </c>
      <c r="D36">
        <f t="shared" si="0"/>
        <v>100</v>
      </c>
      <c r="E36">
        <f t="shared" si="1"/>
        <v>100</v>
      </c>
      <c r="G36">
        <f t="shared" ca="1" si="2"/>
        <v>34</v>
      </c>
      <c r="H36">
        <f t="shared" ca="1" si="3"/>
        <v>3400</v>
      </c>
      <c r="I36">
        <f t="shared" ca="1" si="4"/>
        <v>133409.71547195467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58629</v>
      </c>
      <c r="B39" s="66">
        <v>58629</v>
      </c>
      <c r="D39">
        <f t="shared" si="0"/>
        <v>70.060824779226365</v>
      </c>
      <c r="E39">
        <f t="shared" si="1"/>
        <v>70.060824779226365</v>
      </c>
      <c r="G39">
        <f t="shared" ca="1" si="2"/>
        <v>37</v>
      </c>
      <c r="H39">
        <f t="shared" ca="1" si="3"/>
        <v>2592.2505168313755</v>
      </c>
      <c r="I39">
        <f t="shared" ca="1" si="4"/>
        <v>78744.540776021066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65381</v>
      </c>
      <c r="B41" s="66">
        <v>65381</v>
      </c>
      <c r="D41">
        <f t="shared" si="0"/>
        <v>78.129369166975366</v>
      </c>
      <c r="E41">
        <f t="shared" si="1"/>
        <v>78.129369166975366</v>
      </c>
      <c r="G41">
        <f t="shared" ca="1" si="2"/>
        <v>39</v>
      </c>
      <c r="H41">
        <f t="shared" ca="1" si="3"/>
        <v>3047.0453975120395</v>
      </c>
      <c r="I41">
        <f t="shared" ca="1" si="4"/>
        <v>77648.420980153795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67965</v>
      </c>
      <c r="B44" s="66">
        <v>67965</v>
      </c>
      <c r="D44">
        <f t="shared" si="0"/>
        <v>81.217212576030974</v>
      </c>
      <c r="E44">
        <f t="shared" si="1"/>
        <v>81.217212576030974</v>
      </c>
      <c r="G44">
        <f t="shared" ca="1" si="2"/>
        <v>42</v>
      </c>
      <c r="H44">
        <f t="shared" ca="1" si="3"/>
        <v>3411.122928193301</v>
      </c>
      <c r="I44">
        <f t="shared" ca="1" si="4"/>
        <v>66085.831799989523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68492</v>
      </c>
      <c r="B46" s="66">
        <v>68492</v>
      </c>
      <c r="D46">
        <f t="shared" si="0"/>
        <v>81.846970113404154</v>
      </c>
      <c r="E46">
        <f t="shared" si="1"/>
        <v>81.846970113404154</v>
      </c>
      <c r="G46">
        <f t="shared" ca="1" si="2"/>
        <v>44</v>
      </c>
      <c r="H46">
        <f t="shared" ca="1" si="3"/>
        <v>3601.2666849897828</v>
      </c>
      <c r="I46">
        <f t="shared" ca="1" si="4"/>
        <v>57586.812847881731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53456</v>
      </c>
      <c r="B49" s="66">
        <v>53456</v>
      </c>
      <c r="D49">
        <f t="shared" si="0"/>
        <v>63.879163031918068</v>
      </c>
      <c r="E49">
        <f t="shared" si="1"/>
        <v>63.879163031918068</v>
      </c>
      <c r="G49">
        <f t="shared" ca="1" si="2"/>
        <v>47</v>
      </c>
      <c r="H49">
        <f t="shared" ca="1" si="3"/>
        <v>3002.3206625001494</v>
      </c>
      <c r="I49">
        <f t="shared" ca="1" si="4"/>
        <v>35353.251530086141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52993</v>
      </c>
      <c r="B51" s="66">
        <v>52993</v>
      </c>
      <c r="D51">
        <f t="shared" si="0"/>
        <v>63.325884588267627</v>
      </c>
      <c r="E51">
        <f t="shared" si="1"/>
        <v>63.325884588267627</v>
      </c>
      <c r="G51">
        <f t="shared" ca="1" si="2"/>
        <v>49</v>
      </c>
      <c r="H51">
        <f t="shared" ca="1" si="3"/>
        <v>3102.9683448251135</v>
      </c>
      <c r="I51">
        <f t="shared" ca="1" si="4"/>
        <v>29341.308533175041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43520</v>
      </c>
      <c r="B54" s="66">
        <v>43520</v>
      </c>
      <c r="D54">
        <f t="shared" si="0"/>
        <v>52.005783731462785</v>
      </c>
      <c r="E54">
        <f t="shared" si="1"/>
        <v>52.005783731462785</v>
      </c>
      <c r="G54">
        <f t="shared" ca="1" si="2"/>
        <v>52</v>
      </c>
      <c r="H54">
        <f t="shared" ca="1" si="3"/>
        <v>2704.300754036065</v>
      </c>
      <c r="I54">
        <f t="shared" ca="1" si="4"/>
        <v>17847.685219764269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43637</v>
      </c>
      <c r="B57" s="66">
        <v>43637</v>
      </c>
      <c r="D57">
        <f t="shared" si="0"/>
        <v>52.145597074674669</v>
      </c>
      <c r="E57">
        <f t="shared" si="1"/>
        <v>52.145597074674669</v>
      </c>
      <c r="G57">
        <f t="shared" ca="1" si="2"/>
        <v>55</v>
      </c>
      <c r="H57">
        <f t="shared" ca="1" si="3"/>
        <v>2868.007839107107</v>
      </c>
      <c r="I57">
        <f t="shared" ca="1" si="4"/>
        <v>12568.902325192574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35615</v>
      </c>
      <c r="B59" s="66">
        <v>35615</v>
      </c>
      <c r="D59">
        <f t="shared" si="0"/>
        <v>42.559420670865052</v>
      </c>
      <c r="E59">
        <f t="shared" si="1"/>
        <v>42.559420670865052</v>
      </c>
      <c r="G59">
        <f t="shared" ca="1" si="2"/>
        <v>57</v>
      </c>
      <c r="H59">
        <f t="shared" ca="1" si="3"/>
        <v>2425.8869782393081</v>
      </c>
      <c r="I59">
        <f t="shared" ca="1" si="4"/>
        <v>7785.5479260507545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36138</v>
      </c>
      <c r="B62" s="66">
        <v>36138</v>
      </c>
      <c r="D62">
        <f t="shared" si="0"/>
        <v>43.184398264880564</v>
      </c>
      <c r="E62">
        <f t="shared" si="1"/>
        <v>43.184398264880564</v>
      </c>
      <c r="G62">
        <f t="shared" ca="1" si="2"/>
        <v>60</v>
      </c>
      <c r="H62">
        <f t="shared" ca="1" si="3"/>
        <v>2591.0638958928339</v>
      </c>
      <c r="I62">
        <f t="shared" ca="1" si="4"/>
        <v>4784.0466257701364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32615</v>
      </c>
      <c r="B64" s="66">
        <v>32615</v>
      </c>
      <c r="D64">
        <f t="shared" si="0"/>
        <v>38.974463152611641</v>
      </c>
      <c r="E64">
        <f t="shared" si="1"/>
        <v>38.974463152611641</v>
      </c>
      <c r="G64">
        <f t="shared" ca="1" si="2"/>
        <v>62</v>
      </c>
      <c r="H64">
        <f t="shared" ca="1" si="3"/>
        <v>2416.4167154619217</v>
      </c>
      <c r="I64">
        <f t="shared" ca="1" si="4"/>
        <v>2832.6893208456167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29193</v>
      </c>
      <c r="B67" s="66">
        <v>29193</v>
      </c>
      <c r="D67">
        <f t="shared" ref="D67:D130" si="5">IFERROR(100*A67/MAX(A$2:A$257), 0 )</f>
        <v>34.885221610123921</v>
      </c>
      <c r="E67">
        <f t="shared" ref="E67:E130" si="6">IFERROR(100*B67/MAX(B$2:B$257), 0 )</f>
        <v>34.885221610123921</v>
      </c>
      <c r="G67">
        <f t="shared" ref="G67:G130" ca="1" si="7">CELL("row",D67)-2</f>
        <v>65</v>
      </c>
      <c r="H67">
        <f t="shared" ref="H67:H130" ca="1" si="8">D67*G67</f>
        <v>2267.539404658055</v>
      </c>
      <c r="I67">
        <f t="shared" ref="I67:I130" ca="1" si="9">D67*((G67-$L$1)^2)</f>
        <v>1065.0068068856956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28231</v>
      </c>
      <c r="B69" s="66">
        <v>28231</v>
      </c>
      <c r="D69">
        <f t="shared" si="5"/>
        <v>33.735645232603993</v>
      </c>
      <c r="E69">
        <f t="shared" si="6"/>
        <v>33.735645232603993</v>
      </c>
      <c r="G69">
        <f t="shared" ca="1" si="7"/>
        <v>67</v>
      </c>
      <c r="H69">
        <f t="shared" ca="1" si="8"/>
        <v>2260.2882305844673</v>
      </c>
      <c r="I69">
        <f t="shared" ca="1" si="9"/>
        <v>419.25657593392623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27202</v>
      </c>
      <c r="B72" s="66">
        <v>27202</v>
      </c>
      <c r="D72">
        <f t="shared" si="5"/>
        <v>32.506004803843076</v>
      </c>
      <c r="E72">
        <f t="shared" si="6"/>
        <v>32.506004803843076</v>
      </c>
      <c r="G72">
        <f t="shared" ca="1" si="7"/>
        <v>70</v>
      </c>
      <c r="H72">
        <f t="shared" ca="1" si="8"/>
        <v>2275.4203362690155</v>
      </c>
      <c r="I72">
        <f t="shared" ca="1" si="9"/>
        <v>8.9695297331474002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25700</v>
      </c>
      <c r="B75" s="66">
        <v>25700</v>
      </c>
      <c r="D75">
        <f t="shared" si="5"/>
        <v>30.711136073037533</v>
      </c>
      <c r="E75">
        <f t="shared" si="6"/>
        <v>30.711136073037533</v>
      </c>
      <c r="G75">
        <f t="shared" ca="1" si="7"/>
        <v>73</v>
      </c>
      <c r="H75">
        <f t="shared" ca="1" si="8"/>
        <v>2241.9129333317401</v>
      </c>
      <c r="I75">
        <f t="shared" ca="1" si="9"/>
        <v>188.08010150357958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25535</v>
      </c>
      <c r="B77" s="66">
        <v>25535</v>
      </c>
      <c r="D77">
        <f t="shared" si="5"/>
        <v>30.513963409533599</v>
      </c>
      <c r="E77">
        <f t="shared" si="6"/>
        <v>30.513963409533599</v>
      </c>
      <c r="G77">
        <f t="shared" ca="1" si="7"/>
        <v>75</v>
      </c>
      <c r="H77">
        <f t="shared" ca="1" si="8"/>
        <v>2288.5472557150197</v>
      </c>
      <c r="I77">
        <f t="shared" ca="1" si="9"/>
        <v>610.98070187095811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25231</v>
      </c>
      <c r="B80" s="66">
        <v>25231</v>
      </c>
      <c r="D80">
        <f t="shared" si="5"/>
        <v>30.150687714350585</v>
      </c>
      <c r="E80">
        <f t="shared" si="6"/>
        <v>30.150687714350585</v>
      </c>
      <c r="G80">
        <f t="shared" ca="1" si="7"/>
        <v>78</v>
      </c>
      <c r="H80">
        <f t="shared" ca="1" si="8"/>
        <v>2351.7536417193455</v>
      </c>
      <c r="I80">
        <f t="shared" ca="1" si="9"/>
        <v>1684.5556749009149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29391</v>
      </c>
      <c r="B82" s="66">
        <v>29391</v>
      </c>
      <c r="D82">
        <f t="shared" si="5"/>
        <v>35.121828806328644</v>
      </c>
      <c r="E82">
        <f t="shared" si="6"/>
        <v>35.121828806328644</v>
      </c>
      <c r="G82">
        <f t="shared" ca="1" si="7"/>
        <v>80</v>
      </c>
      <c r="H82">
        <f t="shared" ca="1" si="8"/>
        <v>2809.7463045062914</v>
      </c>
      <c r="I82">
        <f t="shared" ca="1" si="9"/>
        <v>3152.8879787673404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32037</v>
      </c>
      <c r="B85" s="66">
        <v>32037</v>
      </c>
      <c r="D85">
        <f t="shared" si="5"/>
        <v>38.283761337428153</v>
      </c>
      <c r="E85">
        <f t="shared" si="6"/>
        <v>38.283761337428153</v>
      </c>
      <c r="G85">
        <f t="shared" ca="1" si="7"/>
        <v>83</v>
      </c>
      <c r="H85">
        <f t="shared" ca="1" si="8"/>
        <v>3177.5521910065368</v>
      </c>
      <c r="I85">
        <f t="shared" ca="1" si="9"/>
        <v>5957.6527738071118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29068</v>
      </c>
      <c r="B88" s="66">
        <v>29068</v>
      </c>
      <c r="D88">
        <f t="shared" si="5"/>
        <v>34.735848380196693</v>
      </c>
      <c r="E88">
        <f t="shared" si="6"/>
        <v>34.735848380196693</v>
      </c>
      <c r="G88">
        <f t="shared" ca="1" si="7"/>
        <v>86</v>
      </c>
      <c r="H88">
        <f t="shared" ca="1" si="8"/>
        <v>2987.2829606969158</v>
      </c>
      <c r="I88">
        <f t="shared" ca="1" si="9"/>
        <v>8318.0721528563063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28943</v>
      </c>
      <c r="B90" s="66">
        <v>28943</v>
      </c>
      <c r="D90">
        <f t="shared" si="5"/>
        <v>34.586475150269472</v>
      </c>
      <c r="E90">
        <f t="shared" si="6"/>
        <v>34.586475150269472</v>
      </c>
      <c r="G90">
        <f t="shared" ca="1" si="7"/>
        <v>88</v>
      </c>
      <c r="H90">
        <f t="shared" ca="1" si="8"/>
        <v>3043.6098132237134</v>
      </c>
      <c r="I90">
        <f t="shared" ca="1" si="9"/>
        <v>10561.510206251314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26836</v>
      </c>
      <c r="B93" s="66">
        <v>26836</v>
      </c>
      <c r="D93">
        <f t="shared" si="5"/>
        <v>32.068639986616155</v>
      </c>
      <c r="E93">
        <f t="shared" si="6"/>
        <v>32.068639986616155</v>
      </c>
      <c r="G93">
        <f t="shared" ca="1" si="7"/>
        <v>91</v>
      </c>
      <c r="H93">
        <f t="shared" ca="1" si="8"/>
        <v>2918.2462387820701</v>
      </c>
      <c r="I93">
        <f t="shared" ca="1" si="9"/>
        <v>13443.608608533012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21251</v>
      </c>
      <c r="B95" s="66">
        <v>21251</v>
      </c>
      <c r="D95">
        <f t="shared" si="5"/>
        <v>25.394644073467731</v>
      </c>
      <c r="E95">
        <f t="shared" si="6"/>
        <v>25.394644073467731</v>
      </c>
      <c r="G95">
        <f t="shared" ca="1" si="7"/>
        <v>93</v>
      </c>
      <c r="H95">
        <f t="shared" ca="1" si="8"/>
        <v>2361.701898832499</v>
      </c>
      <c r="I95">
        <f t="shared" ca="1" si="9"/>
        <v>12827.149036495621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21144</v>
      </c>
      <c r="B98" s="66">
        <v>21144</v>
      </c>
      <c r="D98">
        <f t="shared" si="5"/>
        <v>25.266780588650025</v>
      </c>
      <c r="E98">
        <f t="shared" si="6"/>
        <v>25.266780588650025</v>
      </c>
      <c r="G98">
        <f t="shared" ca="1" si="7"/>
        <v>96</v>
      </c>
      <c r="H98">
        <f t="shared" ca="1" si="8"/>
        <v>2425.6109365104026</v>
      </c>
      <c r="I98">
        <f t="shared" ca="1" si="9"/>
        <v>16397.145314945403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15045</v>
      </c>
      <c r="B100" s="66">
        <v>15045</v>
      </c>
      <c r="D100">
        <f t="shared" si="5"/>
        <v>17.978561954040845</v>
      </c>
      <c r="E100">
        <f t="shared" si="6"/>
        <v>17.978561954040845</v>
      </c>
      <c r="G100">
        <f t="shared" ca="1" si="7"/>
        <v>98</v>
      </c>
      <c r="H100">
        <f t="shared" ca="1" si="8"/>
        <v>1761.8990714960028</v>
      </c>
      <c r="I100">
        <f t="shared" ca="1" si="9"/>
        <v>13571.287028300421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13478</v>
      </c>
      <c r="B103" s="66">
        <v>13478</v>
      </c>
      <c r="D103">
        <f t="shared" si="5"/>
        <v>16.106019143673148</v>
      </c>
      <c r="E103">
        <f t="shared" si="6"/>
        <v>16.106019143673148</v>
      </c>
      <c r="G103">
        <f t="shared" ca="1" si="7"/>
        <v>101</v>
      </c>
      <c r="H103">
        <f t="shared" ca="1" si="8"/>
        <v>1626.7079335109879</v>
      </c>
      <c r="I103">
        <f t="shared" ca="1" si="9"/>
        <v>14957.783376959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17262</v>
      </c>
      <c r="B106" s="66">
        <v>17262</v>
      </c>
      <c r="D106">
        <f t="shared" si="5"/>
        <v>20.627845560030114</v>
      </c>
      <c r="E106">
        <f t="shared" si="6"/>
        <v>20.627845560030114</v>
      </c>
      <c r="G106">
        <f t="shared" ca="1" si="7"/>
        <v>104</v>
      </c>
      <c r="H106">
        <f t="shared" ca="1" si="8"/>
        <v>2145.2959382431318</v>
      </c>
      <c r="I106">
        <f t="shared" ca="1" si="9"/>
        <v>23114.653907843705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18297</v>
      </c>
      <c r="B108" s="66">
        <v>18297</v>
      </c>
      <c r="D108">
        <f t="shared" si="5"/>
        <v>21.86465590382754</v>
      </c>
      <c r="E108">
        <f t="shared" si="6"/>
        <v>21.86465590382754</v>
      </c>
      <c r="G108">
        <f t="shared" ca="1" si="7"/>
        <v>106</v>
      </c>
      <c r="H108">
        <f t="shared" ca="1" si="8"/>
        <v>2317.6535258057193</v>
      </c>
      <c r="I108">
        <f t="shared" ca="1" si="9"/>
        <v>27515.679300377687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17863</v>
      </c>
      <c r="B111" s="66">
        <v>17863</v>
      </c>
      <c r="D111">
        <f t="shared" si="5"/>
        <v>21.346032049520215</v>
      </c>
      <c r="E111">
        <f t="shared" si="6"/>
        <v>21.346032049520215</v>
      </c>
      <c r="G111">
        <f t="shared" ca="1" si="7"/>
        <v>109</v>
      </c>
      <c r="H111">
        <f t="shared" ca="1" si="8"/>
        <v>2326.7174933977035</v>
      </c>
      <c r="I111">
        <f t="shared" ca="1" si="9"/>
        <v>31598.594128917222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17367</v>
      </c>
      <c r="B113" s="66">
        <v>17367</v>
      </c>
      <c r="D113">
        <f t="shared" si="5"/>
        <v>20.753319073168981</v>
      </c>
      <c r="E113">
        <f t="shared" si="6"/>
        <v>20.753319073168981</v>
      </c>
      <c r="G113">
        <f t="shared" ca="1" si="7"/>
        <v>111</v>
      </c>
      <c r="H113">
        <f t="shared" ca="1" si="8"/>
        <v>2303.6184171217569</v>
      </c>
      <c r="I113">
        <f t="shared" ca="1" si="9"/>
        <v>33998.123979473334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16708</v>
      </c>
      <c r="B116" s="66">
        <v>16708</v>
      </c>
      <c r="D116">
        <f t="shared" si="5"/>
        <v>19.965823404992651</v>
      </c>
      <c r="E116">
        <f t="shared" si="6"/>
        <v>19.965823404992651</v>
      </c>
      <c r="G116">
        <f t="shared" ca="1" si="7"/>
        <v>114</v>
      </c>
      <c r="H116">
        <f t="shared" ca="1" si="8"/>
        <v>2276.1038681691621</v>
      </c>
      <c r="I116">
        <f t="shared" ca="1" si="9"/>
        <v>37736.404502290265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15286</v>
      </c>
      <c r="B118" s="66">
        <v>15286</v>
      </c>
      <c r="D118">
        <f t="shared" si="5"/>
        <v>18.266553541340535</v>
      </c>
      <c r="E118">
        <f t="shared" si="6"/>
        <v>18.266553541340535</v>
      </c>
      <c r="G118">
        <f t="shared" ca="1" si="7"/>
        <v>116</v>
      </c>
      <c r="H118">
        <f t="shared" ca="1" si="8"/>
        <v>2118.920210795502</v>
      </c>
      <c r="I118">
        <f t="shared" ca="1" si="9"/>
        <v>37774.297839157181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15119</v>
      </c>
      <c r="B121" s="66">
        <v>15119</v>
      </c>
      <c r="D121">
        <f t="shared" si="5"/>
        <v>18.066990906157763</v>
      </c>
      <c r="E121">
        <f t="shared" si="6"/>
        <v>18.066990906157763</v>
      </c>
      <c r="G121">
        <f t="shared" ca="1" si="7"/>
        <v>119</v>
      </c>
      <c r="H121">
        <f t="shared" ca="1" si="8"/>
        <v>2149.9719178327737</v>
      </c>
      <c r="I121">
        <f t="shared" ca="1" si="9"/>
        <v>42453.761961417673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16334</v>
      </c>
      <c r="B124" s="66">
        <v>16334</v>
      </c>
      <c r="D124">
        <f t="shared" si="5"/>
        <v>19.518898701050393</v>
      </c>
      <c r="E124">
        <f t="shared" si="6"/>
        <v>19.518898701050393</v>
      </c>
      <c r="G124">
        <f t="shared" ca="1" si="7"/>
        <v>122</v>
      </c>
      <c r="H124">
        <f t="shared" ca="1" si="8"/>
        <v>2381.305641528148</v>
      </c>
      <c r="I124">
        <f t="shared" ca="1" si="9"/>
        <v>51718.15787626979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14479</v>
      </c>
      <c r="B126" s="66">
        <v>14479</v>
      </c>
      <c r="D126">
        <f t="shared" si="5"/>
        <v>17.302199968930367</v>
      </c>
      <c r="E126">
        <f t="shared" si="6"/>
        <v>17.302199968930367</v>
      </c>
      <c r="G126">
        <f t="shared" ca="1" si="7"/>
        <v>124</v>
      </c>
      <c r="H126">
        <f t="shared" ca="1" si="8"/>
        <v>2145.4727961473654</v>
      </c>
      <c r="I126">
        <f t="shared" ca="1" si="9"/>
        <v>49476.403912400325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14552</v>
      </c>
      <c r="B129" s="66">
        <v>14552</v>
      </c>
      <c r="D129">
        <f t="shared" si="5"/>
        <v>17.389433935207869</v>
      </c>
      <c r="E129">
        <f t="shared" si="6"/>
        <v>17.389433935207869</v>
      </c>
      <c r="G129">
        <f t="shared" ca="1" si="7"/>
        <v>127</v>
      </c>
      <c r="H129">
        <f t="shared" ca="1" si="8"/>
        <v>2208.4581097713994</v>
      </c>
      <c r="I129">
        <f t="shared" ca="1" si="9"/>
        <v>55461.727319326601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15576</v>
      </c>
      <c r="B131" s="66">
        <v>15576</v>
      </c>
      <c r="D131">
        <f t="shared" ref="D131:D194" si="10">IFERROR(100*A131/MAX(A$2:A$257), 0 )</f>
        <v>18.613099434771698</v>
      </c>
      <c r="E131">
        <f t="shared" ref="E131:E194" si="11">IFERROR(100*B131/MAX(B$2:B$257), 0 )</f>
        <v>18.613099434771698</v>
      </c>
      <c r="G131">
        <f t="shared" ref="G131:G194" ca="1" si="12">CELL("row",D131)-2</f>
        <v>129</v>
      </c>
      <c r="H131">
        <f t="shared" ref="H131:H194" ca="1" si="13">D131*G131</f>
        <v>2401.0898270855491</v>
      </c>
      <c r="I131">
        <f t="shared" ref="I131:I194" ca="1" si="14">D131*((G131-$L$1)^2)</f>
        <v>63643.606302492663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16839</v>
      </c>
      <c r="B134" s="66">
        <v>16839</v>
      </c>
      <c r="D134">
        <f t="shared" si="10"/>
        <v>20.122366549956382</v>
      </c>
      <c r="E134">
        <f t="shared" si="11"/>
        <v>20.122366549956382</v>
      </c>
      <c r="G134">
        <f t="shared" ca="1" si="12"/>
        <v>132</v>
      </c>
      <c r="H134">
        <f t="shared" ca="1" si="13"/>
        <v>2656.1523845942424</v>
      </c>
      <c r="I134">
        <f t="shared" ca="1" si="14"/>
        <v>76045.228022722848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16681</v>
      </c>
      <c r="B136" s="66">
        <v>16681</v>
      </c>
      <c r="D136">
        <f t="shared" si="10"/>
        <v>19.933558787328369</v>
      </c>
      <c r="E136">
        <f t="shared" si="11"/>
        <v>19.933558787328369</v>
      </c>
      <c r="G136">
        <f t="shared" ca="1" si="12"/>
        <v>134</v>
      </c>
      <c r="H136">
        <f t="shared" ca="1" si="13"/>
        <v>2671.0968775020015</v>
      </c>
      <c r="I136">
        <f t="shared" ca="1" si="14"/>
        <v>80313.070011395816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20182</v>
      </c>
      <c r="B139" s="66">
        <v>20182</v>
      </c>
      <c r="D139">
        <f t="shared" si="10"/>
        <v>24.117204211130097</v>
      </c>
      <c r="E139">
        <f t="shared" si="11"/>
        <v>24.117204211130097</v>
      </c>
      <c r="G139">
        <f t="shared" ca="1" si="12"/>
        <v>137</v>
      </c>
      <c r="H139">
        <f t="shared" ca="1" si="13"/>
        <v>3304.0569769248232</v>
      </c>
      <c r="I139">
        <f t="shared" ca="1" si="14"/>
        <v>106571.18669424609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19293</v>
      </c>
      <c r="B142" s="66">
        <v>19293</v>
      </c>
      <c r="D142">
        <f t="shared" si="10"/>
        <v>23.054861799887671</v>
      </c>
      <c r="E142">
        <f t="shared" si="11"/>
        <v>23.054861799887671</v>
      </c>
      <c r="G142">
        <f t="shared" ca="1" si="12"/>
        <v>140</v>
      </c>
      <c r="H142">
        <f t="shared" ca="1" si="13"/>
        <v>3227.6806519842739</v>
      </c>
      <c r="I142">
        <f t="shared" ca="1" si="14"/>
        <v>111279.70083310294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19321</v>
      </c>
      <c r="B144" s="66">
        <v>19321</v>
      </c>
      <c r="D144">
        <f t="shared" si="10"/>
        <v>23.088321403391369</v>
      </c>
      <c r="E144">
        <f t="shared" si="11"/>
        <v>23.088321403391369</v>
      </c>
      <c r="G144">
        <f t="shared" ca="1" si="12"/>
        <v>142</v>
      </c>
      <c r="H144">
        <f t="shared" ca="1" si="13"/>
        <v>3278.5416392815746</v>
      </c>
      <c r="I144">
        <f t="shared" ca="1" si="14"/>
        <v>117949.77204631253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17636</v>
      </c>
      <c r="B147" s="66">
        <v>17636</v>
      </c>
      <c r="D147">
        <f t="shared" si="10"/>
        <v>21.074770263972372</v>
      </c>
      <c r="E147">
        <f t="shared" si="11"/>
        <v>21.074770263972372</v>
      </c>
      <c r="G147">
        <f t="shared" ca="1" si="12"/>
        <v>145</v>
      </c>
      <c r="H147">
        <f t="shared" ca="1" si="13"/>
        <v>3055.8416882759939</v>
      </c>
      <c r="I147">
        <f t="shared" ca="1" si="14"/>
        <v>116890.82814574376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16624</v>
      </c>
      <c r="B149" s="66">
        <v>16624</v>
      </c>
      <c r="D149">
        <f t="shared" si="10"/>
        <v>19.865444594481556</v>
      </c>
      <c r="E149">
        <f t="shared" si="11"/>
        <v>19.865444594481556</v>
      </c>
      <c r="G149">
        <f t="shared" ca="1" si="12"/>
        <v>147</v>
      </c>
      <c r="H149">
        <f t="shared" ca="1" si="13"/>
        <v>2920.2203553887889</v>
      </c>
      <c r="I149">
        <f t="shared" ca="1" si="14"/>
        <v>116180.67972303636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13325</v>
      </c>
      <c r="B152" s="66">
        <v>13325</v>
      </c>
      <c r="D152">
        <f t="shared" si="10"/>
        <v>15.923186310242224</v>
      </c>
      <c r="E152">
        <f t="shared" si="11"/>
        <v>15.923186310242224</v>
      </c>
      <c r="G152">
        <f t="shared" ca="1" si="12"/>
        <v>150</v>
      </c>
      <c r="H152">
        <f t="shared" ca="1" si="13"/>
        <v>2388.4779465363335</v>
      </c>
      <c r="I152">
        <f t="shared" ca="1" si="14"/>
        <v>100574.487619925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15962</v>
      </c>
      <c r="B154" s="66">
        <v>15962</v>
      </c>
      <c r="D154">
        <f t="shared" si="10"/>
        <v>19.074363968786969</v>
      </c>
      <c r="E154">
        <f t="shared" si="11"/>
        <v>19.074363968786969</v>
      </c>
      <c r="G154">
        <f t="shared" ca="1" si="12"/>
        <v>152</v>
      </c>
      <c r="H154">
        <f t="shared" ca="1" si="13"/>
        <v>2899.303323255619</v>
      </c>
      <c r="I154">
        <f t="shared" ca="1" si="14"/>
        <v>126618.06190815373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15742</v>
      </c>
      <c r="B157" s="66">
        <v>15742</v>
      </c>
      <c r="D157">
        <f t="shared" si="10"/>
        <v>18.811467084115055</v>
      </c>
      <c r="E157">
        <f t="shared" si="11"/>
        <v>18.811467084115055</v>
      </c>
      <c r="G157">
        <f t="shared" ca="1" si="12"/>
        <v>155</v>
      </c>
      <c r="H157">
        <f t="shared" ca="1" si="13"/>
        <v>2915.7773980378333</v>
      </c>
      <c r="I157">
        <f t="shared" ca="1" si="14"/>
        <v>134238.17446474783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16914</v>
      </c>
      <c r="B160" s="66">
        <v>16914</v>
      </c>
      <c r="D160">
        <f t="shared" si="10"/>
        <v>20.211990487912718</v>
      </c>
      <c r="E160">
        <f t="shared" si="11"/>
        <v>20.211990487912718</v>
      </c>
      <c r="G160">
        <f t="shared" ca="1" si="12"/>
        <v>158</v>
      </c>
      <c r="H160">
        <f t="shared" ca="1" si="13"/>
        <v>3193.4944970902093</v>
      </c>
      <c r="I160">
        <f t="shared" ca="1" si="14"/>
        <v>154658.59517687166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11581</v>
      </c>
      <c r="B162" s="66">
        <v>11581</v>
      </c>
      <c r="D162">
        <f t="shared" si="10"/>
        <v>13.839131006297576</v>
      </c>
      <c r="E162">
        <f t="shared" si="11"/>
        <v>13.839131006297576</v>
      </c>
      <c r="G162">
        <f t="shared" ca="1" si="12"/>
        <v>160</v>
      </c>
      <c r="H162">
        <f t="shared" ca="1" si="13"/>
        <v>2214.260961007612</v>
      </c>
      <c r="I162">
        <f t="shared" ca="1" si="14"/>
        <v>110792.24779342471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11424</v>
      </c>
      <c r="B165" s="66">
        <v>11424</v>
      </c>
      <c r="D165">
        <f t="shared" si="10"/>
        <v>13.65151822950898</v>
      </c>
      <c r="E165">
        <f t="shared" si="11"/>
        <v>13.65151822950898</v>
      </c>
      <c r="G165">
        <f t="shared" ca="1" si="12"/>
        <v>163</v>
      </c>
      <c r="H165">
        <f t="shared" ca="1" si="13"/>
        <v>2225.1974714099638</v>
      </c>
      <c r="I165">
        <f t="shared" ca="1" si="14"/>
        <v>116741.92897788258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13014</v>
      </c>
      <c r="B167" s="66">
        <v>13014</v>
      </c>
      <c r="D167">
        <f t="shared" si="10"/>
        <v>15.551545714183288</v>
      </c>
      <c r="E167">
        <f t="shared" si="11"/>
        <v>15.551545714183288</v>
      </c>
      <c r="G167">
        <f t="shared" ca="1" si="12"/>
        <v>165</v>
      </c>
      <c r="H167">
        <f t="shared" ca="1" si="13"/>
        <v>2566.0050428402424</v>
      </c>
      <c r="I167">
        <f t="shared" ca="1" si="14"/>
        <v>138804.85374383355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12839</v>
      </c>
      <c r="B170" s="66">
        <v>12839</v>
      </c>
      <c r="D170">
        <f t="shared" si="10"/>
        <v>15.342423192285171</v>
      </c>
      <c r="E170">
        <f t="shared" si="11"/>
        <v>15.342423192285171</v>
      </c>
      <c r="G170">
        <f t="shared" ca="1" si="12"/>
        <v>168</v>
      </c>
      <c r="H170">
        <f t="shared" ca="1" si="13"/>
        <v>2577.5270963039088</v>
      </c>
      <c r="I170">
        <f t="shared" ca="1" si="14"/>
        <v>145773.24422604841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11114</v>
      </c>
      <c r="B173" s="66">
        <v>11114</v>
      </c>
      <c r="D173">
        <f t="shared" si="10"/>
        <v>13.281072619289461</v>
      </c>
      <c r="E173">
        <f t="shared" si="11"/>
        <v>13.281072619289461</v>
      </c>
      <c r="G173">
        <f t="shared" ca="1" si="12"/>
        <v>171</v>
      </c>
      <c r="H173">
        <f t="shared" ca="1" si="13"/>
        <v>2271.0634178984978</v>
      </c>
      <c r="I173">
        <f t="shared" ca="1" si="14"/>
        <v>134074.63806455763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9063</v>
      </c>
      <c r="B175" s="66">
        <v>9063</v>
      </c>
      <c r="D175">
        <f t="shared" si="10"/>
        <v>10.830156662643548</v>
      </c>
      <c r="E175">
        <f t="shared" si="11"/>
        <v>10.830156662643548</v>
      </c>
      <c r="G175">
        <f t="shared" ca="1" si="12"/>
        <v>173</v>
      </c>
      <c r="H175">
        <f t="shared" ca="1" si="13"/>
        <v>1873.6171026373338</v>
      </c>
      <c r="I175">
        <f t="shared" ca="1" si="14"/>
        <v>113728.18147108116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9593</v>
      </c>
      <c r="B178" s="66">
        <v>9593</v>
      </c>
      <c r="D178">
        <f t="shared" si="10"/>
        <v>11.463499157534983</v>
      </c>
      <c r="E178">
        <f t="shared" si="11"/>
        <v>11.463499157534983</v>
      </c>
      <c r="G178">
        <f t="shared" ca="1" si="12"/>
        <v>176</v>
      </c>
      <c r="H178">
        <f t="shared" ca="1" si="13"/>
        <v>2017.575851726157</v>
      </c>
      <c r="I178">
        <f t="shared" ca="1" si="14"/>
        <v>127530.43599531957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7964</v>
      </c>
      <c r="B180" s="66">
        <v>7964</v>
      </c>
      <c r="D180">
        <f t="shared" si="10"/>
        <v>9.5168672251233826</v>
      </c>
      <c r="E180">
        <f t="shared" si="11"/>
        <v>9.5168672251233826</v>
      </c>
      <c r="G180">
        <f t="shared" ca="1" si="12"/>
        <v>178</v>
      </c>
      <c r="H180">
        <f t="shared" ca="1" si="13"/>
        <v>1694.0023660719621</v>
      </c>
      <c r="I180">
        <f t="shared" ca="1" si="14"/>
        <v>109927.54675428962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5731</v>
      </c>
      <c r="B183" s="66">
        <v>5731</v>
      </c>
      <c r="D183">
        <f t="shared" si="10"/>
        <v>6.8484638457034288</v>
      </c>
      <c r="E183">
        <f t="shared" si="11"/>
        <v>6.8484638457034288</v>
      </c>
      <c r="G183">
        <f t="shared" ca="1" si="12"/>
        <v>181</v>
      </c>
      <c r="H183">
        <f t="shared" ca="1" si="13"/>
        <v>1239.5719560723205</v>
      </c>
      <c r="I183">
        <f t="shared" ca="1" si="14"/>
        <v>83583.176222264927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5097</v>
      </c>
      <c r="B185" s="66">
        <v>5097</v>
      </c>
      <c r="D185">
        <f t="shared" si="10"/>
        <v>6.0908428235125411</v>
      </c>
      <c r="E185">
        <f t="shared" si="11"/>
        <v>6.0908428235125411</v>
      </c>
      <c r="G185">
        <f t="shared" ca="1" si="12"/>
        <v>183</v>
      </c>
      <c r="H185">
        <f t="shared" ca="1" si="13"/>
        <v>1114.6242367027951</v>
      </c>
      <c r="I185">
        <f t="shared" ca="1" si="14"/>
        <v>77052.568488974634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4290</v>
      </c>
      <c r="B188" s="66">
        <v>4290</v>
      </c>
      <c r="D188">
        <f t="shared" si="10"/>
        <v>5.1264892511023747</v>
      </c>
      <c r="E188">
        <f t="shared" si="11"/>
        <v>5.1264892511023747</v>
      </c>
      <c r="G188">
        <f t="shared" ca="1" si="12"/>
        <v>186</v>
      </c>
      <c r="H188">
        <f t="shared" ca="1" si="13"/>
        <v>953.5270007050417</v>
      </c>
      <c r="I188">
        <f t="shared" ca="1" si="14"/>
        <v>68358.697018152845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1921</v>
      </c>
      <c r="B191" s="66">
        <v>1921</v>
      </c>
      <c r="D191">
        <f t="shared" si="10"/>
        <v>2.2955677975215996</v>
      </c>
      <c r="E191">
        <f t="shared" si="11"/>
        <v>2.2955677975215996</v>
      </c>
      <c r="G191">
        <f t="shared" ca="1" si="12"/>
        <v>189</v>
      </c>
      <c r="H191">
        <f t="shared" ca="1" si="13"/>
        <v>433.86231373158233</v>
      </c>
      <c r="I191">
        <f t="shared" ca="1" si="14"/>
        <v>32221.17678950847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1618</v>
      </c>
      <c r="B193" s="66">
        <v>1618</v>
      </c>
      <c r="D193">
        <f t="shared" si="10"/>
        <v>1.9334870881780051</v>
      </c>
      <c r="E193">
        <f t="shared" si="11"/>
        <v>1.9334870881780051</v>
      </c>
      <c r="G193">
        <f t="shared" ca="1" si="12"/>
        <v>191</v>
      </c>
      <c r="H193">
        <f t="shared" ca="1" si="13"/>
        <v>369.29603384199896</v>
      </c>
      <c r="I193">
        <f t="shared" ca="1" si="14"/>
        <v>28062.930536559634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1501</v>
      </c>
      <c r="B196" s="66">
        <v>1501</v>
      </c>
      <c r="D196">
        <f t="shared" si="15"/>
        <v>1.7936737449661222</v>
      </c>
      <c r="E196">
        <f t="shared" si="16"/>
        <v>1.7936737449661222</v>
      </c>
      <c r="G196">
        <f t="shared" ca="1" si="17"/>
        <v>194</v>
      </c>
      <c r="H196">
        <f t="shared" ca="1" si="18"/>
        <v>347.97270652342769</v>
      </c>
      <c r="I196">
        <f t="shared" ca="1" si="19"/>
        <v>27346.355014889363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1206</v>
      </c>
      <c r="B198" s="66">
        <v>1206</v>
      </c>
      <c r="D198">
        <f t="shared" si="15"/>
        <v>1.4411529223378703</v>
      </c>
      <c r="E198">
        <f t="shared" si="16"/>
        <v>1.4411529223378703</v>
      </c>
      <c r="G198">
        <f t="shared" ca="1" si="17"/>
        <v>196</v>
      </c>
      <c r="H198">
        <f t="shared" ca="1" si="18"/>
        <v>282.46597277822258</v>
      </c>
      <c r="I198">
        <f t="shared" ca="1" si="19"/>
        <v>22689.36989199619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1115</v>
      </c>
      <c r="B201" s="66">
        <v>1115</v>
      </c>
      <c r="D201">
        <f t="shared" si="15"/>
        <v>1.3324092109508503</v>
      </c>
      <c r="E201">
        <f t="shared" si="16"/>
        <v>1.3324092109508503</v>
      </c>
      <c r="G201">
        <f t="shared" ca="1" si="17"/>
        <v>199</v>
      </c>
      <c r="H201">
        <f t="shared" ca="1" si="18"/>
        <v>265.14943297921923</v>
      </c>
      <c r="I201">
        <f t="shared" ca="1" si="19"/>
        <v>21992.413194546596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816</v>
      </c>
      <c r="B203" s="66">
        <v>816</v>
      </c>
      <c r="D203">
        <f t="shared" si="15"/>
        <v>0.97510844496492721</v>
      </c>
      <c r="E203">
        <f t="shared" si="16"/>
        <v>0.97510844496492721</v>
      </c>
      <c r="G203">
        <f t="shared" ca="1" si="17"/>
        <v>201</v>
      </c>
      <c r="H203">
        <f t="shared" ca="1" si="18"/>
        <v>195.99679743795036</v>
      </c>
      <c r="I203">
        <f t="shared" ca="1" si="19"/>
        <v>16599.903627770665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1580</v>
      </c>
      <c r="B206" s="66">
        <v>1580</v>
      </c>
      <c r="D206">
        <f t="shared" si="15"/>
        <v>1.8880776262801287</v>
      </c>
      <c r="E206">
        <f t="shared" si="16"/>
        <v>1.8880776262801287</v>
      </c>
      <c r="G206">
        <f t="shared" ca="1" si="17"/>
        <v>204</v>
      </c>
      <c r="H206">
        <f t="shared" ca="1" si="18"/>
        <v>385.16783576114625</v>
      </c>
      <c r="I206">
        <f t="shared" ca="1" si="19"/>
        <v>33637.041189246265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848</v>
      </c>
      <c r="B209" s="66">
        <v>848</v>
      </c>
      <c r="D209">
        <f t="shared" si="15"/>
        <v>1.0133479918262969</v>
      </c>
      <c r="E209">
        <f t="shared" si="16"/>
        <v>1.0133479918262969</v>
      </c>
      <c r="G209">
        <f t="shared" ca="1" si="17"/>
        <v>207</v>
      </c>
      <c r="H209">
        <f t="shared" ca="1" si="18"/>
        <v>209.76303430804344</v>
      </c>
      <c r="I209">
        <f t="shared" ca="1" si="19"/>
        <v>18873.956135229513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0.15637300000000001</v>
      </c>
      <c r="B2" s="68">
        <v>0.52036899999999997</v>
      </c>
      <c r="C2" s="68">
        <v>0</v>
      </c>
      <c r="D2" s="68">
        <v>1</v>
      </c>
      <c r="E2" s="68" t="s">
        <v>355</v>
      </c>
    </row>
    <row r="3" spans="1:5">
      <c r="A3" s="68">
        <v>0.162692</v>
      </c>
      <c r="B3" s="68">
        <v>0.50613600000000003</v>
      </c>
      <c r="C3" s="68">
        <v>0.386268</v>
      </c>
      <c r="D3" s="89">
        <v>1</v>
      </c>
      <c r="E3" s="68" t="s">
        <v>356</v>
      </c>
    </row>
    <row r="4" spans="1:5">
      <c r="A4" s="68">
        <v>0.16908999999999999</v>
      </c>
      <c r="B4" s="68">
        <v>0.49122300000000002</v>
      </c>
      <c r="C4" s="68">
        <v>0.79210899999999995</v>
      </c>
      <c r="D4" s="89">
        <v>1</v>
      </c>
      <c r="E4" s="68" t="s">
        <v>357</v>
      </c>
    </row>
    <row r="5" spans="1:5">
      <c r="A5" s="89">
        <v>0.17557700000000001</v>
      </c>
      <c r="B5" s="89">
        <v>0.47556100000000001</v>
      </c>
      <c r="C5" s="89">
        <v>1.1980500000000001</v>
      </c>
      <c r="D5" s="89">
        <v>1</v>
      </c>
      <c r="E5" s="68" t="s">
        <v>358</v>
      </c>
    </row>
    <row r="6" spans="1:5">
      <c r="A6" s="68">
        <v>0.18209800000000001</v>
      </c>
      <c r="B6" s="68">
        <v>0.459897</v>
      </c>
      <c r="C6" s="68">
        <v>1.6089199999999999</v>
      </c>
      <c r="D6" s="68">
        <v>1</v>
      </c>
      <c r="E6" s="68" t="s">
        <v>359</v>
      </c>
    </row>
    <row r="7" spans="1:5">
      <c r="A7" s="68">
        <v>0.18879899999999999</v>
      </c>
      <c r="B7" s="68">
        <v>0.44369900000000001</v>
      </c>
      <c r="C7" s="68">
        <v>2.01085</v>
      </c>
      <c r="D7" s="68">
        <v>1</v>
      </c>
      <c r="E7" s="68" t="s">
        <v>360</v>
      </c>
    </row>
    <row r="8" spans="1:5">
      <c r="A8" s="68">
        <v>0.19567399999999999</v>
      </c>
      <c r="B8" s="68">
        <v>0.42602299999999999</v>
      </c>
      <c r="C8" s="68">
        <v>2.4187799999999999</v>
      </c>
      <c r="D8" s="68">
        <v>1</v>
      </c>
      <c r="E8" s="68" t="s">
        <v>361</v>
      </c>
    </row>
    <row r="9" spans="1:5">
      <c r="A9" s="68">
        <v>0.202681</v>
      </c>
      <c r="B9" s="68">
        <v>0.40747800000000001</v>
      </c>
      <c r="C9" s="68">
        <v>2.8246899999999999</v>
      </c>
      <c r="D9" s="68">
        <v>1</v>
      </c>
      <c r="E9" s="68" t="s">
        <v>362</v>
      </c>
    </row>
    <row r="10" spans="1:5">
      <c r="A10" s="68">
        <v>0.209982</v>
      </c>
      <c r="B10" s="68">
        <v>0.388322</v>
      </c>
      <c r="C10" s="68">
        <v>3.2296800000000001</v>
      </c>
      <c r="D10" s="68">
        <v>1</v>
      </c>
      <c r="E10" s="68" t="s">
        <v>363</v>
      </c>
    </row>
    <row r="11" spans="1:5">
      <c r="A11" s="68">
        <v>0.21742800000000001</v>
      </c>
      <c r="B11" s="68">
        <v>0.36868099999999998</v>
      </c>
      <c r="C11" s="68">
        <v>3.6375600000000001</v>
      </c>
      <c r="D11" s="68">
        <v>1</v>
      </c>
      <c r="E11" s="68" t="s">
        <v>364</v>
      </c>
    </row>
    <row r="12" spans="1:5">
      <c r="A12" s="68">
        <v>0.22473199999999999</v>
      </c>
      <c r="B12" s="68">
        <v>0.34914499999999998</v>
      </c>
      <c r="C12" s="68">
        <v>4.0464099999999998</v>
      </c>
      <c r="D12" s="68">
        <v>1</v>
      </c>
      <c r="E12" s="68" t="s">
        <v>365</v>
      </c>
    </row>
    <row r="13" spans="1:5">
      <c r="A13" s="68">
        <v>0.23203499999999999</v>
      </c>
      <c r="B13" s="68">
        <v>0.32927200000000001</v>
      </c>
      <c r="C13" s="68">
        <v>4.4482900000000001</v>
      </c>
      <c r="D13" s="68">
        <v>1</v>
      </c>
      <c r="E13" s="68" t="s">
        <v>366</v>
      </c>
    </row>
    <row r="14" spans="1:5">
      <c r="A14" s="68">
        <v>0.23927300000000001</v>
      </c>
      <c r="B14" s="68">
        <v>0.309888</v>
      </c>
      <c r="C14" s="68">
        <v>4.8542100000000001</v>
      </c>
      <c r="D14" s="68">
        <v>1</v>
      </c>
      <c r="E14" s="68" t="s">
        <v>367</v>
      </c>
    </row>
    <row r="15" spans="1:5">
      <c r="A15" s="68">
        <v>0.246583</v>
      </c>
      <c r="B15" s="68">
        <v>0.29103400000000001</v>
      </c>
      <c r="C15" s="68">
        <v>5.26058</v>
      </c>
      <c r="D15" s="68">
        <v>1</v>
      </c>
      <c r="E15" s="68" t="s">
        <v>368</v>
      </c>
    </row>
    <row r="16" spans="1:5">
      <c r="A16" s="68">
        <v>0.25374000000000002</v>
      </c>
      <c r="B16" s="68">
        <v>0.272372</v>
      </c>
      <c r="C16" s="68">
        <v>5.6700600000000003</v>
      </c>
      <c r="D16" s="68">
        <v>1</v>
      </c>
      <c r="E16" s="68" t="s">
        <v>369</v>
      </c>
    </row>
    <row r="17" spans="1:5">
      <c r="A17" s="68">
        <v>0.26082499999999997</v>
      </c>
      <c r="B17" s="68">
        <v>0.253859</v>
      </c>
      <c r="C17" s="68">
        <v>6.0769799999999998</v>
      </c>
      <c r="D17" s="68">
        <v>1</v>
      </c>
      <c r="E17" s="68" t="s">
        <v>370</v>
      </c>
    </row>
    <row r="18" spans="1:5">
      <c r="A18" s="68">
        <v>0.26776</v>
      </c>
      <c r="B18" s="68">
        <v>0.23653299999999999</v>
      </c>
      <c r="C18" s="68">
        <v>6.4828900000000003</v>
      </c>
      <c r="D18" s="68">
        <v>1</v>
      </c>
      <c r="E18" s="68" t="s">
        <v>371</v>
      </c>
    </row>
    <row r="19" spans="1:5">
      <c r="A19" s="68">
        <v>0.27473700000000001</v>
      </c>
      <c r="B19" s="68">
        <v>0.21915699999999999</v>
      </c>
      <c r="C19" s="68">
        <v>6.8858199999999998</v>
      </c>
      <c r="D19" s="68">
        <v>1</v>
      </c>
      <c r="E19" s="68" t="s">
        <v>372</v>
      </c>
    </row>
    <row r="20" spans="1:5">
      <c r="A20" s="68">
        <v>0.281447</v>
      </c>
      <c r="B20" s="68">
        <v>0.203239</v>
      </c>
      <c r="C20" s="68">
        <v>7.2946799999999996</v>
      </c>
      <c r="D20" s="68">
        <v>1</v>
      </c>
      <c r="E20" s="68" t="s">
        <v>373</v>
      </c>
    </row>
    <row r="21" spans="1:5">
      <c r="A21" s="68">
        <v>0.28787499999999999</v>
      </c>
      <c r="B21" s="68">
        <v>0.18831700000000001</v>
      </c>
      <c r="C21" s="68">
        <v>7.6996799999999999</v>
      </c>
      <c r="D21" s="68">
        <v>1</v>
      </c>
      <c r="E21" s="68" t="s">
        <v>374</v>
      </c>
    </row>
    <row r="22" spans="1:5">
      <c r="A22" s="68">
        <v>0.29450399999999999</v>
      </c>
      <c r="B22" s="68">
        <v>0.17296500000000001</v>
      </c>
      <c r="C22" s="68">
        <v>8.1044699999999992</v>
      </c>
      <c r="D22" s="68">
        <v>1</v>
      </c>
      <c r="E22" s="68" t="s">
        <v>375</v>
      </c>
    </row>
    <row r="23" spans="1:5">
      <c r="A23" s="68">
        <v>0.30074800000000002</v>
      </c>
      <c r="B23" s="68">
        <v>0.15865599999999999</v>
      </c>
      <c r="C23" s="68">
        <v>8.5124999999999993</v>
      </c>
      <c r="D23" s="68">
        <v>1</v>
      </c>
      <c r="E23" s="68" t="s">
        <v>376</v>
      </c>
    </row>
    <row r="24" spans="1:5">
      <c r="A24" s="68">
        <v>0.306392</v>
      </c>
      <c r="B24" s="68">
        <v>0.14579400000000001</v>
      </c>
      <c r="C24" s="68">
        <v>8.9192999999999998</v>
      </c>
      <c r="D24" s="68">
        <v>1</v>
      </c>
      <c r="E24" s="68" t="s">
        <v>377</v>
      </c>
    </row>
    <row r="25" spans="1:5">
      <c r="A25" s="68">
        <v>0.31156600000000001</v>
      </c>
      <c r="B25" s="68">
        <v>0.13394600000000001</v>
      </c>
      <c r="C25" s="68">
        <v>9.3282299999999996</v>
      </c>
      <c r="D25" s="68">
        <v>1</v>
      </c>
      <c r="E25" s="68" t="s">
        <v>378</v>
      </c>
    </row>
    <row r="26" spans="1:5">
      <c r="A26" s="68">
        <v>0.31673099999999998</v>
      </c>
      <c r="B26" s="68">
        <v>0.12302399999999999</v>
      </c>
      <c r="C26" s="68">
        <v>9.7321899999999992</v>
      </c>
      <c r="D26" s="68">
        <v>1</v>
      </c>
      <c r="E26" s="68" t="s">
        <v>379</v>
      </c>
    </row>
    <row r="27" spans="1:5">
      <c r="A27" s="68">
        <v>0.32176399999999999</v>
      </c>
      <c r="B27" s="68">
        <v>0.113515</v>
      </c>
      <c r="C27" s="68">
        <v>10.1371</v>
      </c>
      <c r="D27" s="68">
        <v>1</v>
      </c>
      <c r="E27" s="68" t="s">
        <v>380</v>
      </c>
    </row>
    <row r="28" spans="1:5">
      <c r="A28" s="68">
        <v>0.32664399999999999</v>
      </c>
      <c r="B28" s="68">
        <v>0.103973</v>
      </c>
      <c r="C28" s="68">
        <v>10.542999999999999</v>
      </c>
      <c r="D28" s="68">
        <v>1</v>
      </c>
      <c r="E28" s="68" t="s">
        <v>381</v>
      </c>
    </row>
    <row r="29" spans="1:5">
      <c r="A29" s="68">
        <v>0.33134999999999998</v>
      </c>
      <c r="B29" s="68">
        <v>9.4203300000000004E-2</v>
      </c>
      <c r="C29" s="68">
        <v>10.9519</v>
      </c>
      <c r="D29" s="68">
        <v>1</v>
      </c>
      <c r="E29" s="68" t="s">
        <v>382</v>
      </c>
    </row>
    <row r="30" spans="1:5">
      <c r="A30" s="68">
        <v>0.33566299999999999</v>
      </c>
      <c r="B30" s="68">
        <v>8.5309999999999997E-2</v>
      </c>
      <c r="C30" s="68">
        <v>11.3589</v>
      </c>
      <c r="D30" s="68">
        <v>1</v>
      </c>
      <c r="E30" s="68" t="s">
        <v>383</v>
      </c>
    </row>
    <row r="31" spans="1:5">
      <c r="A31" s="68">
        <v>0.33970400000000001</v>
      </c>
      <c r="B31" s="68">
        <v>7.6195600000000002E-2</v>
      </c>
      <c r="C31" s="68">
        <v>11.7638</v>
      </c>
      <c r="D31" s="68">
        <v>1</v>
      </c>
      <c r="E31" s="68" t="s">
        <v>384</v>
      </c>
    </row>
    <row r="32" spans="1:5">
      <c r="A32" s="68">
        <v>0.34331800000000001</v>
      </c>
      <c r="B32" s="68">
        <v>6.7900799999999997E-2</v>
      </c>
      <c r="C32" s="68">
        <v>12.1676</v>
      </c>
      <c r="D32" s="68">
        <v>1</v>
      </c>
      <c r="E32" s="68" t="s">
        <v>385</v>
      </c>
    </row>
    <row r="33" spans="1:5">
      <c r="A33" s="68">
        <v>0.34670299999999998</v>
      </c>
      <c r="B33" s="68">
        <v>6.0042999999999999E-2</v>
      </c>
      <c r="C33" s="68">
        <v>12.5739</v>
      </c>
      <c r="D33" s="68">
        <v>1</v>
      </c>
      <c r="E33" s="68" t="s">
        <v>386</v>
      </c>
    </row>
    <row r="34" spans="1:5">
      <c r="A34" s="68">
        <v>0.34981200000000001</v>
      </c>
      <c r="B34" s="68">
        <v>5.3013200000000003E-2</v>
      </c>
      <c r="C34" s="68">
        <v>12.9857</v>
      </c>
      <c r="D34" s="68">
        <v>1</v>
      </c>
      <c r="E34" s="68" t="s">
        <v>387</v>
      </c>
    </row>
    <row r="35" spans="1:5">
      <c r="A35" s="68">
        <v>0.35251300000000002</v>
      </c>
      <c r="B35" s="68">
        <v>4.61226E-2</v>
      </c>
      <c r="C35" s="68">
        <v>13.388400000000001</v>
      </c>
      <c r="D35" s="68">
        <v>1</v>
      </c>
      <c r="E35" s="68" t="s">
        <v>388</v>
      </c>
    </row>
    <row r="36" spans="1:5">
      <c r="A36" s="68">
        <v>0.35490699999999997</v>
      </c>
      <c r="B36" s="68">
        <v>3.9546699999999997E-2</v>
      </c>
      <c r="C36" s="68">
        <v>13.7973</v>
      </c>
      <c r="D36" s="68">
        <v>1</v>
      </c>
      <c r="E36" s="68" t="s">
        <v>389</v>
      </c>
    </row>
    <row r="37" spans="1:5">
      <c r="A37" s="68">
        <v>0.35695700000000002</v>
      </c>
      <c r="B37" s="68">
        <v>3.3677899999999997E-2</v>
      </c>
      <c r="C37" s="68">
        <v>14.199199999999999</v>
      </c>
      <c r="D37" s="68">
        <v>1</v>
      </c>
      <c r="E37" s="68" t="s">
        <v>390</v>
      </c>
    </row>
    <row r="38" spans="1:5">
      <c r="A38" s="68">
        <v>0.35859099999999999</v>
      </c>
      <c r="B38" s="68">
        <v>2.81508E-2</v>
      </c>
      <c r="C38" s="68">
        <v>14.6053</v>
      </c>
      <c r="D38" s="68">
        <v>1</v>
      </c>
      <c r="E38" s="68" t="s">
        <v>391</v>
      </c>
    </row>
    <row r="39" spans="1:5">
      <c r="A39" s="68">
        <v>0.36021700000000001</v>
      </c>
      <c r="B39" s="68">
        <v>2.21814E-2</v>
      </c>
      <c r="C39" s="68">
        <v>15.013999999999999</v>
      </c>
      <c r="D39" s="68">
        <v>1</v>
      </c>
      <c r="E39" s="68" t="s">
        <v>392</v>
      </c>
    </row>
    <row r="40" spans="1:5">
      <c r="A40" s="68">
        <v>0.36148000000000002</v>
      </c>
      <c r="B40" s="68">
        <v>1.6801099999999999E-2</v>
      </c>
      <c r="C40" s="68">
        <v>15.417999999999999</v>
      </c>
      <c r="D40" s="68">
        <v>1</v>
      </c>
      <c r="E40" s="68" t="s">
        <v>393</v>
      </c>
    </row>
    <row r="41" spans="1:5">
      <c r="A41" s="68">
        <v>0.36257200000000001</v>
      </c>
      <c r="B41" s="68">
        <v>1.2367700000000001E-2</v>
      </c>
      <c r="C41" s="68">
        <v>15.825900000000001</v>
      </c>
      <c r="D41" s="68">
        <v>1</v>
      </c>
      <c r="E41" s="68" t="s">
        <v>394</v>
      </c>
    </row>
    <row r="42" spans="1:5">
      <c r="A42" s="68">
        <v>0.36324200000000001</v>
      </c>
      <c r="B42" s="68">
        <v>8.0814300000000006E-3</v>
      </c>
      <c r="C42" s="68">
        <v>16.229800000000001</v>
      </c>
      <c r="D42" s="68">
        <v>1</v>
      </c>
      <c r="E42" s="68" t="s">
        <v>395</v>
      </c>
    </row>
    <row r="43" spans="1:5">
      <c r="A43" s="68">
        <v>0.36374699999999999</v>
      </c>
      <c r="B43" s="68">
        <v>4.2761600000000002E-3</v>
      </c>
      <c r="C43" s="68">
        <v>16.641400000000001</v>
      </c>
      <c r="D43" s="68">
        <v>1</v>
      </c>
      <c r="E43" s="68" t="s">
        <v>396</v>
      </c>
    </row>
    <row r="44" spans="1:5">
      <c r="A44" s="68">
        <v>0.36401099999999997</v>
      </c>
      <c r="B44" s="68">
        <v>1.3071000000000001E-3</v>
      </c>
      <c r="C44" s="68">
        <v>17.044599999999999</v>
      </c>
      <c r="D44" s="68">
        <v>1</v>
      </c>
      <c r="E44" s="68" t="s">
        <v>397</v>
      </c>
    </row>
    <row r="45" spans="1:5">
      <c r="A45" s="68">
        <v>0.36404500000000001</v>
      </c>
      <c r="B45" s="68">
        <v>0</v>
      </c>
      <c r="C45" s="68">
        <v>17.451599999999999</v>
      </c>
      <c r="D45" s="68">
        <v>1</v>
      </c>
      <c r="E45" s="68" t="s">
        <v>398</v>
      </c>
    </row>
    <row r="46" spans="1:5">
      <c r="A46" s="68">
        <v>0.36399199999999998</v>
      </c>
      <c r="B46" s="68">
        <v>0</v>
      </c>
      <c r="C46" s="68">
        <v>17.8567</v>
      </c>
      <c r="D46" s="68">
        <v>1</v>
      </c>
      <c r="E46" s="68" t="s">
        <v>399</v>
      </c>
    </row>
    <row r="47" spans="1:5">
      <c r="A47" s="68">
        <v>0.363288</v>
      </c>
      <c r="B47" s="68">
        <v>0</v>
      </c>
      <c r="C47" s="68">
        <v>18.261399999999998</v>
      </c>
      <c r="D47" s="68">
        <v>1</v>
      </c>
      <c r="E47" s="68" t="s">
        <v>400</v>
      </c>
    </row>
    <row r="48" spans="1:5">
      <c r="A48" s="68">
        <v>0.362537</v>
      </c>
      <c r="B48" s="68">
        <v>0</v>
      </c>
      <c r="C48" s="68">
        <v>18.666399999999999</v>
      </c>
      <c r="D48" s="68">
        <v>1</v>
      </c>
      <c r="E48" s="68" t="s">
        <v>401</v>
      </c>
    </row>
    <row r="49" spans="1:5">
      <c r="A49" s="68">
        <v>0.36174400000000001</v>
      </c>
      <c r="B49" s="68">
        <v>0</v>
      </c>
      <c r="C49" s="68">
        <v>19.074200000000001</v>
      </c>
      <c r="D49" s="68">
        <v>1</v>
      </c>
      <c r="E49" s="68" t="s">
        <v>402</v>
      </c>
    </row>
    <row r="50" spans="1:5">
      <c r="A50" s="68">
        <v>0.36134300000000003</v>
      </c>
      <c r="B50" s="68">
        <v>0</v>
      </c>
      <c r="C50" s="68">
        <v>19.481200000000001</v>
      </c>
      <c r="D50" s="68">
        <v>1</v>
      </c>
      <c r="E50" s="68" t="s">
        <v>403</v>
      </c>
    </row>
    <row r="51" spans="1:5">
      <c r="A51" s="68">
        <v>0.36088900000000002</v>
      </c>
      <c r="B51" s="68">
        <v>0</v>
      </c>
      <c r="C51" s="68">
        <v>19.889199999999999</v>
      </c>
      <c r="D51" s="68">
        <v>1</v>
      </c>
      <c r="E51" s="68" t="s">
        <v>404</v>
      </c>
    </row>
    <row r="52" spans="1:5">
      <c r="A52" s="68">
        <v>0.36057699999999998</v>
      </c>
      <c r="B52" s="68">
        <v>0</v>
      </c>
      <c r="C52" s="68">
        <v>20.291</v>
      </c>
      <c r="D52" s="68">
        <v>1</v>
      </c>
      <c r="E52" s="68" t="s">
        <v>405</v>
      </c>
    </row>
    <row r="53" spans="1:5">
      <c r="A53" s="68">
        <v>0.36002000000000001</v>
      </c>
      <c r="B53" s="68">
        <v>0</v>
      </c>
      <c r="C53" s="68">
        <v>20.700099999999999</v>
      </c>
      <c r="D53" s="68">
        <v>1</v>
      </c>
      <c r="E53" s="68" t="s">
        <v>406</v>
      </c>
    </row>
    <row r="54" spans="1:5">
      <c r="A54" s="68">
        <v>0.35886400000000002</v>
      </c>
      <c r="B54" s="68">
        <v>0</v>
      </c>
      <c r="C54" s="68">
        <v>21.104800000000001</v>
      </c>
      <c r="D54" s="68">
        <v>1</v>
      </c>
      <c r="E54" s="68" t="s">
        <v>407</v>
      </c>
    </row>
    <row r="55" spans="1:5">
      <c r="A55" s="68">
        <v>0.35752200000000001</v>
      </c>
      <c r="B55" s="68">
        <v>0</v>
      </c>
      <c r="C55" s="68">
        <v>21.514700000000001</v>
      </c>
      <c r="D55" s="68">
        <v>1</v>
      </c>
      <c r="E55" s="68" t="s">
        <v>408</v>
      </c>
    </row>
    <row r="56" spans="1:5">
      <c r="A56" s="68">
        <v>0.35590300000000002</v>
      </c>
      <c r="B56" s="68">
        <v>0</v>
      </c>
      <c r="C56" s="68">
        <v>21.9206</v>
      </c>
      <c r="D56" s="68">
        <v>1</v>
      </c>
      <c r="E56" s="68" t="s">
        <v>409</v>
      </c>
    </row>
    <row r="57" spans="1:5">
      <c r="A57" s="68">
        <v>0.35412500000000002</v>
      </c>
      <c r="B57" s="68">
        <v>0</v>
      </c>
      <c r="C57" s="68">
        <v>22.323699999999999</v>
      </c>
      <c r="D57" s="68">
        <v>1</v>
      </c>
      <c r="E57" s="68" t="s">
        <v>410</v>
      </c>
    </row>
    <row r="58" spans="1:5">
      <c r="A58" s="68">
        <v>0.35192899999999999</v>
      </c>
      <c r="B58" s="68">
        <v>0</v>
      </c>
      <c r="C58" s="68">
        <v>22.730399999999999</v>
      </c>
      <c r="D58" s="68">
        <v>1</v>
      </c>
      <c r="E58" s="68" t="s">
        <v>411</v>
      </c>
    </row>
    <row r="59" spans="1:5">
      <c r="A59" s="68">
        <v>0.34943400000000002</v>
      </c>
      <c r="B59" s="68">
        <v>0</v>
      </c>
      <c r="C59" s="68">
        <v>23.139700000000001</v>
      </c>
      <c r="D59" s="68">
        <v>1</v>
      </c>
      <c r="E59" s="68" t="s">
        <v>412</v>
      </c>
    </row>
    <row r="60" spans="1:5">
      <c r="A60" s="68">
        <v>0.34670099999999998</v>
      </c>
      <c r="B60" s="68">
        <v>0</v>
      </c>
      <c r="C60" s="68">
        <v>23.543199999999999</v>
      </c>
      <c r="D60" s="68">
        <v>1</v>
      </c>
      <c r="E60" s="68" t="s">
        <v>413</v>
      </c>
    </row>
    <row r="61" spans="1:5">
      <c r="A61" s="68">
        <v>0.34375</v>
      </c>
      <c r="B61" s="68">
        <v>0</v>
      </c>
      <c r="C61" s="68">
        <v>23.948599999999999</v>
      </c>
      <c r="D61" s="68">
        <v>1</v>
      </c>
      <c r="E61" s="68" t="s">
        <v>414</v>
      </c>
    </row>
    <row r="62" spans="1:5">
      <c r="A62" s="68">
        <v>0.34084199999999998</v>
      </c>
      <c r="B62" s="68">
        <v>0</v>
      </c>
      <c r="C62" s="68">
        <v>24.3583</v>
      </c>
      <c r="D62" s="68">
        <v>1</v>
      </c>
      <c r="E62" s="68" t="s">
        <v>415</v>
      </c>
    </row>
    <row r="63" spans="1:5">
      <c r="A63" s="68">
        <v>0.33739000000000002</v>
      </c>
      <c r="B63" s="68">
        <v>0</v>
      </c>
      <c r="C63" s="68">
        <v>24.763999999999999</v>
      </c>
      <c r="D63" s="68">
        <v>1</v>
      </c>
      <c r="E63" s="68" t="s">
        <v>416</v>
      </c>
    </row>
    <row r="64" spans="1:5">
      <c r="A64" s="68">
        <v>0.33522600000000002</v>
      </c>
      <c r="B64" s="68">
        <v>0</v>
      </c>
      <c r="C64" s="68">
        <v>25.168900000000001</v>
      </c>
      <c r="D64" s="68">
        <v>1</v>
      </c>
      <c r="E64" s="68" t="s">
        <v>417</v>
      </c>
    </row>
    <row r="65" spans="1:5">
      <c r="A65" s="68">
        <v>0.33116400000000001</v>
      </c>
      <c r="B65" s="68">
        <v>0</v>
      </c>
      <c r="C65" s="68">
        <v>25.575700000000001</v>
      </c>
      <c r="D65" s="68">
        <v>1</v>
      </c>
      <c r="E65" s="68" t="s">
        <v>418</v>
      </c>
    </row>
    <row r="66" spans="1:5">
      <c r="A66" s="68">
        <v>0.32864300000000002</v>
      </c>
      <c r="B66" s="68">
        <v>0</v>
      </c>
      <c r="C66" s="68">
        <v>25.979900000000001</v>
      </c>
      <c r="D66" s="68">
        <v>1</v>
      </c>
      <c r="E66" s="68" t="s">
        <v>419</v>
      </c>
    </row>
    <row r="67" spans="1:5">
      <c r="A67" s="68">
        <v>0.32544499999999998</v>
      </c>
      <c r="B67" s="68">
        <v>0</v>
      </c>
      <c r="C67" s="68">
        <v>26.389900000000001</v>
      </c>
      <c r="D67" s="68">
        <v>1</v>
      </c>
      <c r="E67" s="68" t="s">
        <v>420</v>
      </c>
    </row>
    <row r="68" spans="1:5">
      <c r="A68" s="68">
        <v>0.32214500000000001</v>
      </c>
      <c r="B68" s="68">
        <v>0</v>
      </c>
      <c r="C68" s="68">
        <v>26.791599999999999</v>
      </c>
      <c r="D68" s="68">
        <v>1</v>
      </c>
      <c r="E68" s="68" t="s">
        <v>421</v>
      </c>
    </row>
    <row r="69" spans="1:5">
      <c r="A69" s="68">
        <v>0.31863200000000003</v>
      </c>
      <c r="B69" s="68">
        <v>0</v>
      </c>
      <c r="C69" s="68">
        <v>27.200500000000002</v>
      </c>
      <c r="D69" s="68">
        <v>1</v>
      </c>
      <c r="E69" s="68" t="s">
        <v>422</v>
      </c>
    </row>
    <row r="70" spans="1:5">
      <c r="A70" s="68">
        <v>0.31529099999999999</v>
      </c>
      <c r="B70" s="68">
        <v>0</v>
      </c>
      <c r="C70" s="68">
        <v>27.605399999999999</v>
      </c>
      <c r="D70" s="68">
        <v>1</v>
      </c>
      <c r="E70" s="68" t="s">
        <v>423</v>
      </c>
    </row>
    <row r="71" spans="1:5">
      <c r="A71" s="68">
        <v>0.31201200000000001</v>
      </c>
      <c r="B71" s="68">
        <v>0</v>
      </c>
      <c r="C71" s="68">
        <v>28.010400000000001</v>
      </c>
      <c r="D71" s="68">
        <v>1</v>
      </c>
      <c r="E71" s="68" t="s">
        <v>424</v>
      </c>
    </row>
    <row r="72" spans="1:5">
      <c r="A72" s="68">
        <v>0.30884600000000001</v>
      </c>
      <c r="B72" s="68">
        <v>0</v>
      </c>
      <c r="C72" s="68">
        <v>28.418199999999999</v>
      </c>
      <c r="D72" s="68">
        <v>1</v>
      </c>
      <c r="E72" s="68" t="s">
        <v>425</v>
      </c>
    </row>
    <row r="73" spans="1:5">
      <c r="A73" s="68">
        <v>0.30565100000000001</v>
      </c>
      <c r="B73" s="68">
        <v>0</v>
      </c>
      <c r="C73" s="68">
        <v>28.8233</v>
      </c>
      <c r="D73" s="68">
        <v>1</v>
      </c>
      <c r="E73" s="68" t="s">
        <v>426</v>
      </c>
    </row>
    <row r="74" spans="1:5">
      <c r="A74" s="68">
        <v>0.302622</v>
      </c>
      <c r="B74" s="68">
        <v>0</v>
      </c>
      <c r="C74" s="68">
        <v>29.234100000000002</v>
      </c>
      <c r="D74" s="68">
        <v>1</v>
      </c>
      <c r="E74" s="68" t="s">
        <v>427</v>
      </c>
    </row>
    <row r="75" spans="1:5">
      <c r="A75" s="68">
        <v>0.29855300000000001</v>
      </c>
      <c r="B75" s="68">
        <v>6.5006300000000003E-3</v>
      </c>
      <c r="C75" s="68">
        <v>29.636900000000001</v>
      </c>
      <c r="D75" s="68">
        <v>1</v>
      </c>
      <c r="E75" s="68" t="s">
        <v>428</v>
      </c>
    </row>
    <row r="76" spans="1:5">
      <c r="A76" s="68">
        <v>0.29502600000000001</v>
      </c>
      <c r="B76" s="68">
        <v>1.7261499999999999E-2</v>
      </c>
      <c r="C76" s="68">
        <v>30.044599999999999</v>
      </c>
      <c r="D76" s="68">
        <v>1</v>
      </c>
      <c r="E76" s="68" t="s">
        <v>429</v>
      </c>
    </row>
    <row r="77" spans="1:5">
      <c r="A77" s="68">
        <v>0.29146899999999998</v>
      </c>
      <c r="B77" s="68">
        <v>2.8598599999999998E-2</v>
      </c>
      <c r="C77" s="68">
        <v>30.6083</v>
      </c>
      <c r="D77" s="68">
        <v>2</v>
      </c>
      <c r="E77" s="68" t="s">
        <v>430</v>
      </c>
    </row>
    <row r="78" spans="1:5">
      <c r="A78" s="68">
        <v>0.28785899999999998</v>
      </c>
      <c r="B78" s="68">
        <v>4.0886600000000002E-2</v>
      </c>
      <c r="C78" s="68">
        <v>30.984400000000001</v>
      </c>
      <c r="D78" s="68">
        <v>2</v>
      </c>
      <c r="E78" s="68" t="s">
        <v>431</v>
      </c>
    </row>
    <row r="79" spans="1:5">
      <c r="A79" s="68">
        <v>0.284862</v>
      </c>
      <c r="B79" s="68">
        <v>5.4434700000000003E-2</v>
      </c>
      <c r="C79" s="68">
        <v>31.357399999999998</v>
      </c>
      <c r="D79" s="68">
        <v>2</v>
      </c>
      <c r="E79" s="68" t="s">
        <v>432</v>
      </c>
    </row>
    <row r="80" spans="1:5">
      <c r="A80" s="68">
        <v>0.28235500000000002</v>
      </c>
      <c r="B80" s="68">
        <v>6.9027000000000005E-2</v>
      </c>
      <c r="C80" s="68">
        <v>31.734200000000001</v>
      </c>
      <c r="D80" s="68">
        <v>2</v>
      </c>
      <c r="E80" s="68" t="s">
        <v>433</v>
      </c>
    </row>
    <row r="81" spans="1:5">
      <c r="A81" s="68">
        <v>0.28024399999999999</v>
      </c>
      <c r="B81" s="68">
        <v>8.2510299999999995E-2</v>
      </c>
      <c r="C81" s="68">
        <v>32.125300000000003</v>
      </c>
      <c r="D81" s="68">
        <v>2</v>
      </c>
      <c r="E81" s="68" t="s">
        <v>434</v>
      </c>
    </row>
    <row r="82" spans="1:5">
      <c r="A82" s="68">
        <v>0.27815499999999999</v>
      </c>
      <c r="B82" s="68">
        <v>9.5291500000000001E-2</v>
      </c>
      <c r="C82" s="68">
        <v>32.529200000000003</v>
      </c>
      <c r="D82" s="68">
        <v>2</v>
      </c>
      <c r="E82" s="68" t="s">
        <v>435</v>
      </c>
    </row>
    <row r="83" spans="1:5">
      <c r="A83" s="68">
        <v>0.27612199999999998</v>
      </c>
      <c r="B83" s="68">
        <v>0.107379</v>
      </c>
      <c r="C83" s="68">
        <v>32.934100000000001</v>
      </c>
      <c r="D83" s="68">
        <v>2</v>
      </c>
      <c r="E83" s="68" t="s">
        <v>436</v>
      </c>
    </row>
    <row r="84" spans="1:5">
      <c r="A84" s="68">
        <v>0.27405600000000002</v>
      </c>
      <c r="B84" s="68">
        <v>0.118122</v>
      </c>
      <c r="C84" s="68">
        <v>33.343899999999998</v>
      </c>
      <c r="D84" s="68">
        <v>2</v>
      </c>
      <c r="E84" s="68" t="s">
        <v>437</v>
      </c>
    </row>
    <row r="85" spans="1:5">
      <c r="A85" s="68">
        <v>0.27212900000000001</v>
      </c>
      <c r="B85" s="68">
        <v>0.12782499999999999</v>
      </c>
      <c r="C85" s="68">
        <v>33.750900000000001</v>
      </c>
      <c r="D85" s="68">
        <v>2</v>
      </c>
      <c r="E85" s="68" t="s">
        <v>438</v>
      </c>
    </row>
    <row r="86" spans="1:5">
      <c r="A86" s="68">
        <v>0.270283</v>
      </c>
      <c r="B86" s="68">
        <v>0.13706399999999999</v>
      </c>
      <c r="C86" s="68">
        <v>34.150799999999997</v>
      </c>
      <c r="D86" s="68">
        <v>2</v>
      </c>
      <c r="E86" s="68" t="s">
        <v>439</v>
      </c>
    </row>
    <row r="87" spans="1:5">
      <c r="A87" s="68">
        <v>0.268542</v>
      </c>
      <c r="B87" s="68">
        <v>0.14577300000000001</v>
      </c>
      <c r="C87" s="68">
        <v>34.5627</v>
      </c>
      <c r="D87" s="68">
        <v>2</v>
      </c>
      <c r="E87" s="68" t="s">
        <v>440</v>
      </c>
    </row>
    <row r="88" spans="1:5">
      <c r="A88" s="68">
        <v>0.26674199999999998</v>
      </c>
      <c r="B88" s="68">
        <v>0.15429899999999999</v>
      </c>
      <c r="C88" s="68">
        <v>34.964700000000001</v>
      </c>
      <c r="D88" s="68">
        <v>2</v>
      </c>
      <c r="E88" s="68" t="s">
        <v>441</v>
      </c>
    </row>
    <row r="89" spans="1:5">
      <c r="A89" s="68">
        <v>0.26511400000000002</v>
      </c>
      <c r="B89" s="68">
        <v>0.16242999999999999</v>
      </c>
      <c r="C89" s="68">
        <v>35.371699999999997</v>
      </c>
      <c r="D89" s="68">
        <v>2</v>
      </c>
      <c r="E89" s="68" t="s">
        <v>442</v>
      </c>
    </row>
    <row r="90" spans="1:5">
      <c r="A90" s="68">
        <v>0.263658</v>
      </c>
      <c r="B90" s="68">
        <v>0.16944999999999999</v>
      </c>
      <c r="C90" s="68">
        <v>35.782400000000003</v>
      </c>
      <c r="D90" s="68">
        <v>2</v>
      </c>
      <c r="E90" s="68" t="s">
        <v>443</v>
      </c>
    </row>
    <row r="91" spans="1:5">
      <c r="A91" s="68">
        <v>0.26220300000000002</v>
      </c>
      <c r="B91" s="68">
        <v>0.17449500000000001</v>
      </c>
      <c r="C91" s="68">
        <v>36.186300000000003</v>
      </c>
      <c r="D91" s="68">
        <v>2</v>
      </c>
      <c r="E91" s="68" t="s">
        <v>444</v>
      </c>
    </row>
    <row r="92" spans="1:5">
      <c r="A92" s="68">
        <v>0.26066800000000001</v>
      </c>
      <c r="B92" s="68">
        <v>0.17921500000000001</v>
      </c>
      <c r="C92" s="68">
        <v>36.591299999999997</v>
      </c>
      <c r="D92" s="68">
        <v>2</v>
      </c>
      <c r="E92" s="68" t="s">
        <v>445</v>
      </c>
    </row>
    <row r="93" spans="1:5">
      <c r="A93" s="68">
        <v>0.25934400000000002</v>
      </c>
      <c r="B93" s="68">
        <v>0.18313099999999999</v>
      </c>
      <c r="C93" s="68">
        <v>36.994199999999999</v>
      </c>
      <c r="D93" s="68">
        <v>2</v>
      </c>
      <c r="E93" s="68" t="s">
        <v>446</v>
      </c>
    </row>
    <row r="94" spans="1:5">
      <c r="A94" s="68">
        <v>0.25803999999999999</v>
      </c>
      <c r="B94" s="68">
        <v>0.186974</v>
      </c>
      <c r="C94" s="68">
        <v>37.399700000000003</v>
      </c>
      <c r="D94" s="68">
        <v>2</v>
      </c>
      <c r="E94" s="68" t="s">
        <v>447</v>
      </c>
    </row>
    <row r="95" spans="1:5">
      <c r="A95" s="68">
        <v>0.25659300000000002</v>
      </c>
      <c r="B95" s="68">
        <v>0.191082</v>
      </c>
      <c r="C95" s="68">
        <v>37.809100000000001</v>
      </c>
      <c r="D95" s="68">
        <v>2</v>
      </c>
      <c r="E95" s="68" t="s">
        <v>448</v>
      </c>
    </row>
    <row r="96" spans="1:5">
      <c r="A96" s="68">
        <v>0.25514500000000001</v>
      </c>
      <c r="B96" s="68">
        <v>0.194854</v>
      </c>
      <c r="C96" s="68">
        <v>38.216900000000003</v>
      </c>
      <c r="D96" s="68">
        <v>2</v>
      </c>
      <c r="E96" s="68" t="s">
        <v>449</v>
      </c>
    </row>
    <row r="97" spans="1:5">
      <c r="A97" s="68">
        <v>0.25377699999999997</v>
      </c>
      <c r="B97" s="68">
        <v>0.19795399999999999</v>
      </c>
      <c r="C97" s="68">
        <v>38.620800000000003</v>
      </c>
      <c r="D97" s="68">
        <v>2</v>
      </c>
      <c r="E97" s="68" t="s">
        <v>450</v>
      </c>
    </row>
    <row r="98" spans="1:5">
      <c r="A98" s="68">
        <v>0.25252999999999998</v>
      </c>
      <c r="B98" s="68">
        <v>0.20007</v>
      </c>
      <c r="C98" s="68">
        <v>39.028799999999997</v>
      </c>
      <c r="D98" s="68">
        <v>2</v>
      </c>
      <c r="E98" s="68" t="s">
        <v>451</v>
      </c>
    </row>
    <row r="99" spans="1:5">
      <c r="A99" s="68">
        <v>0.25133299999999997</v>
      </c>
      <c r="B99" s="68">
        <v>0.20202400000000001</v>
      </c>
      <c r="C99" s="68">
        <v>39.4377</v>
      </c>
      <c r="D99" s="68">
        <v>2</v>
      </c>
      <c r="E99" s="68" t="s">
        <v>452</v>
      </c>
    </row>
    <row r="100" spans="1:5">
      <c r="A100" s="68">
        <v>0.250442</v>
      </c>
      <c r="B100" s="68">
        <v>0.202405</v>
      </c>
      <c r="C100" s="68">
        <v>39.843600000000002</v>
      </c>
      <c r="D100" s="68">
        <v>2</v>
      </c>
      <c r="E100" s="68" t="s">
        <v>453</v>
      </c>
    </row>
    <row r="101" spans="1:5">
      <c r="A101" s="68">
        <v>0.249635</v>
      </c>
      <c r="B101" s="68">
        <v>0.202043</v>
      </c>
      <c r="C101" s="68">
        <v>40.245699999999999</v>
      </c>
      <c r="D101" s="68">
        <v>2</v>
      </c>
      <c r="E101" s="68" t="s">
        <v>454</v>
      </c>
    </row>
    <row r="102" spans="1:5">
      <c r="A102" s="68">
        <v>0.248775</v>
      </c>
      <c r="B102" s="68">
        <v>0.20183000000000001</v>
      </c>
      <c r="C102" s="68">
        <v>40.653500000000001</v>
      </c>
      <c r="D102" s="68">
        <v>2</v>
      </c>
      <c r="E102" s="68" t="s">
        <v>455</v>
      </c>
    </row>
    <row r="103" spans="1:5">
      <c r="A103" s="68">
        <v>0.248034</v>
      </c>
      <c r="B103" s="68">
        <v>0.20016</v>
      </c>
      <c r="C103" s="68">
        <v>41.0623</v>
      </c>
      <c r="D103" s="68">
        <v>2</v>
      </c>
      <c r="E103" s="68" t="s">
        <v>456</v>
      </c>
    </row>
    <row r="104" spans="1:5">
      <c r="A104" s="68">
        <v>0.247228</v>
      </c>
      <c r="B104" s="68">
        <v>0.198516</v>
      </c>
      <c r="C104" s="68">
        <v>41.463299999999997</v>
      </c>
      <c r="D104" s="68">
        <v>2</v>
      </c>
      <c r="E104" s="68" t="s">
        <v>457</v>
      </c>
    </row>
    <row r="105" spans="1:5">
      <c r="A105" s="68">
        <v>0.246698</v>
      </c>
      <c r="B105" s="68">
        <v>0.19501499999999999</v>
      </c>
      <c r="C105" s="68">
        <v>41.873399999999997</v>
      </c>
      <c r="D105" s="68">
        <v>2</v>
      </c>
      <c r="E105" s="68" t="s">
        <v>458</v>
      </c>
    </row>
    <row r="106" spans="1:5">
      <c r="A106" s="68">
        <v>0.24623900000000001</v>
      </c>
      <c r="B106" s="68">
        <v>0.19097700000000001</v>
      </c>
      <c r="C106" s="68">
        <v>42.279899999999998</v>
      </c>
      <c r="D106" s="68">
        <v>2</v>
      </c>
      <c r="E106" s="68" t="s">
        <v>459</v>
      </c>
    </row>
    <row r="107" spans="1:5">
      <c r="A107" s="68">
        <v>0.24607399999999999</v>
      </c>
      <c r="B107" s="68">
        <v>0.186193</v>
      </c>
      <c r="C107" s="68">
        <v>42.683199999999999</v>
      </c>
      <c r="D107" s="68">
        <v>2</v>
      </c>
      <c r="E107" s="68" t="s">
        <v>460</v>
      </c>
    </row>
    <row r="108" spans="1:5">
      <c r="A108" s="68">
        <v>0.24610899999999999</v>
      </c>
      <c r="B108" s="68">
        <v>0.180286</v>
      </c>
      <c r="C108" s="68">
        <v>43.09</v>
      </c>
      <c r="D108" s="68">
        <v>2</v>
      </c>
      <c r="E108" s="68" t="s">
        <v>461</v>
      </c>
    </row>
    <row r="109" spans="1:5">
      <c r="A109" s="68">
        <v>0.24624399999999999</v>
      </c>
      <c r="B109" s="68">
        <v>0.17519100000000001</v>
      </c>
      <c r="C109" s="68">
        <v>43.494799999999998</v>
      </c>
      <c r="D109" s="68">
        <v>2</v>
      </c>
      <c r="E109" s="68" t="s">
        <v>462</v>
      </c>
    </row>
    <row r="110" spans="1:5">
      <c r="A110" s="68">
        <v>0.246535</v>
      </c>
      <c r="B110" s="68">
        <v>0.17083599999999999</v>
      </c>
      <c r="C110" s="68">
        <v>43.905900000000003</v>
      </c>
      <c r="D110" s="68">
        <v>2</v>
      </c>
      <c r="E110" s="68" t="s">
        <v>463</v>
      </c>
    </row>
    <row r="111" spans="1:5">
      <c r="A111" s="68">
        <v>0.24698100000000001</v>
      </c>
      <c r="B111" s="68">
        <v>0.166079</v>
      </c>
      <c r="C111" s="68">
        <v>44.307699999999997</v>
      </c>
      <c r="D111" s="68">
        <v>2</v>
      </c>
      <c r="E111" s="68" t="s">
        <v>464</v>
      </c>
    </row>
    <row r="112" spans="1:5">
      <c r="A112" s="68">
        <v>0.24753600000000001</v>
      </c>
      <c r="B112" s="68">
        <v>0.16186700000000001</v>
      </c>
      <c r="C112" s="68">
        <v>44.717599999999997</v>
      </c>
      <c r="D112" s="68">
        <v>2</v>
      </c>
      <c r="E112" s="68" t="s">
        <v>465</v>
      </c>
    </row>
    <row r="113" spans="1:5">
      <c r="A113" s="68">
        <v>0.24827299999999999</v>
      </c>
      <c r="B113" s="68">
        <v>0.15732399999999999</v>
      </c>
      <c r="C113" s="68">
        <v>45.122599999999998</v>
      </c>
      <c r="D113" s="68">
        <v>2</v>
      </c>
      <c r="E113" s="68" t="s">
        <v>466</v>
      </c>
    </row>
    <row r="114" spans="1:5">
      <c r="A114" s="68">
        <v>0.24887699999999999</v>
      </c>
      <c r="B114" s="68">
        <v>0.15367900000000001</v>
      </c>
      <c r="C114" s="68">
        <v>45.526400000000002</v>
      </c>
      <c r="D114" s="68">
        <v>2</v>
      </c>
      <c r="E114" s="68" t="s">
        <v>467</v>
      </c>
    </row>
    <row r="115" spans="1:5">
      <c r="A115" s="68">
        <v>0.24987799999999999</v>
      </c>
      <c r="B115" s="68">
        <v>0.14871300000000001</v>
      </c>
      <c r="C115" s="68">
        <v>45.935499999999998</v>
      </c>
      <c r="D115" s="68">
        <v>2</v>
      </c>
      <c r="E115" s="68" t="s">
        <v>468</v>
      </c>
    </row>
    <row r="116" spans="1:5">
      <c r="A116" s="68">
        <v>0.25113999999999997</v>
      </c>
      <c r="B116" s="68">
        <v>0.14522299999999999</v>
      </c>
      <c r="C116" s="68">
        <v>46.339500000000001</v>
      </c>
      <c r="D116" s="68">
        <v>2</v>
      </c>
      <c r="E116" s="68" t="s">
        <v>469</v>
      </c>
    </row>
    <row r="117" spans="1:5">
      <c r="A117" s="68">
        <v>0.25290499999999999</v>
      </c>
      <c r="B117" s="68">
        <v>0.141126</v>
      </c>
      <c r="C117" s="68">
        <v>46.747300000000003</v>
      </c>
      <c r="D117" s="68">
        <v>2</v>
      </c>
      <c r="E117" s="68" t="s">
        <v>470</v>
      </c>
    </row>
    <row r="118" spans="1:5">
      <c r="A118" s="68">
        <v>0.25496799999999997</v>
      </c>
      <c r="B118" s="68">
        <v>0.13742699999999999</v>
      </c>
      <c r="C118" s="68">
        <v>47.152999999999999</v>
      </c>
      <c r="D118" s="68">
        <v>2</v>
      </c>
      <c r="E118" s="68" t="s">
        <v>471</v>
      </c>
    </row>
    <row r="119" spans="1:5">
      <c r="A119" s="68">
        <v>0.25728400000000001</v>
      </c>
      <c r="B119" s="68">
        <v>0.13353799999999999</v>
      </c>
      <c r="C119" s="68">
        <v>47.563000000000002</v>
      </c>
      <c r="D119" s="68">
        <v>2</v>
      </c>
      <c r="E119" s="68" t="s">
        <v>472</v>
      </c>
    </row>
    <row r="120" spans="1:5">
      <c r="A120" s="68">
        <v>0.25996000000000002</v>
      </c>
      <c r="B120" s="68">
        <v>0.12975100000000001</v>
      </c>
      <c r="C120" s="68">
        <v>47.965899999999998</v>
      </c>
      <c r="D120" s="68">
        <v>2</v>
      </c>
      <c r="E120" s="68" t="s">
        <v>473</v>
      </c>
    </row>
    <row r="121" spans="1:5">
      <c r="A121" s="68">
        <v>0.262849</v>
      </c>
      <c r="B121" s="68">
        <v>0.126581</v>
      </c>
      <c r="C121" s="68">
        <v>48.371699999999997</v>
      </c>
      <c r="D121" s="68">
        <v>2</v>
      </c>
      <c r="E121" s="68" t="s">
        <v>474</v>
      </c>
    </row>
    <row r="122" spans="1:5">
      <c r="A122" s="68">
        <v>0.26593099999999997</v>
      </c>
      <c r="B122" s="68">
        <v>0.12431399999999999</v>
      </c>
      <c r="C122" s="68">
        <v>48.779899999999998</v>
      </c>
      <c r="D122" s="68">
        <v>2</v>
      </c>
      <c r="E122" s="68" t="s">
        <v>475</v>
      </c>
    </row>
    <row r="123" spans="1:5">
      <c r="A123" s="68">
        <v>0.26930999999999999</v>
      </c>
      <c r="B123" s="68">
        <v>0.121229</v>
      </c>
      <c r="C123" s="68">
        <v>49.182600000000001</v>
      </c>
      <c r="D123" s="68">
        <v>2</v>
      </c>
      <c r="E123" s="68" t="s">
        <v>476</v>
      </c>
    </row>
    <row r="124" spans="1:5">
      <c r="A124" s="68">
        <v>0.27272099999999999</v>
      </c>
      <c r="B124" s="68">
        <v>0.118142</v>
      </c>
      <c r="C124" s="68">
        <v>49.589300000000001</v>
      </c>
      <c r="D124" s="68">
        <v>2</v>
      </c>
      <c r="E124" s="68" t="s">
        <v>477</v>
      </c>
    </row>
    <row r="125" spans="1:5">
      <c r="A125" s="68">
        <v>0.27628200000000003</v>
      </c>
      <c r="B125" s="68">
        <v>0.114674</v>
      </c>
      <c r="C125" s="68">
        <v>49.995600000000003</v>
      </c>
      <c r="D125" s="68">
        <v>2</v>
      </c>
      <c r="E125" s="68" t="s">
        <v>478</v>
      </c>
    </row>
    <row r="126" spans="1:5">
      <c r="A126" s="68">
        <v>0.27907599999999999</v>
      </c>
      <c r="B126" s="68">
        <v>0.111814</v>
      </c>
      <c r="C126" s="68">
        <v>50.403300000000002</v>
      </c>
      <c r="D126" s="68">
        <v>2</v>
      </c>
      <c r="E126" s="68" t="s">
        <v>479</v>
      </c>
    </row>
    <row r="127" spans="1:5">
      <c r="A127" s="68">
        <v>0.281055</v>
      </c>
      <c r="B127" s="68">
        <v>0.10917300000000001</v>
      </c>
      <c r="C127" s="68">
        <v>50.811399999999999</v>
      </c>
      <c r="D127" s="68">
        <v>2</v>
      </c>
      <c r="E127" s="68" t="s">
        <v>480</v>
      </c>
    </row>
    <row r="128" spans="1:5">
      <c r="A128" s="68">
        <v>0.28311799999999998</v>
      </c>
      <c r="B128" s="68">
        <v>0.107278</v>
      </c>
      <c r="C128" s="68">
        <v>51.217199999999998</v>
      </c>
      <c r="D128" s="68">
        <v>2</v>
      </c>
      <c r="E128" s="68" t="s">
        <v>481</v>
      </c>
    </row>
    <row r="129" spans="1:5">
      <c r="A129" s="68">
        <v>0.28529199999999999</v>
      </c>
      <c r="B129" s="68">
        <v>0.105781</v>
      </c>
      <c r="C129" s="68">
        <v>51.6252</v>
      </c>
      <c r="D129" s="68">
        <v>2</v>
      </c>
      <c r="E129" s="68" t="s">
        <v>482</v>
      </c>
    </row>
    <row r="130" spans="1:5">
      <c r="A130" s="68">
        <v>0.28726000000000002</v>
      </c>
      <c r="B130" s="68">
        <v>0.10571</v>
      </c>
      <c r="C130" s="68">
        <v>52.027999999999999</v>
      </c>
      <c r="D130" s="68">
        <v>2</v>
      </c>
      <c r="E130" s="68" t="s">
        <v>483</v>
      </c>
    </row>
    <row r="131" spans="1:5">
      <c r="A131" s="68">
        <v>0.28918700000000003</v>
      </c>
      <c r="B131" s="68">
        <v>0.106491</v>
      </c>
      <c r="C131" s="68">
        <v>52.432899999999997</v>
      </c>
      <c r="D131" s="68">
        <v>2</v>
      </c>
      <c r="E131" s="68" t="s">
        <v>484</v>
      </c>
    </row>
    <row r="132" spans="1:5">
      <c r="A132" s="68">
        <v>0.29098400000000002</v>
      </c>
      <c r="B132" s="68">
        <v>0.10739600000000001</v>
      </c>
      <c r="C132" s="68">
        <v>52.84</v>
      </c>
      <c r="D132" s="68">
        <v>2</v>
      </c>
      <c r="E132" s="68" t="s">
        <v>485</v>
      </c>
    </row>
    <row r="133" spans="1:5">
      <c r="A133" s="68">
        <v>0.29267500000000002</v>
      </c>
      <c r="B133" s="68">
        <v>0.10939</v>
      </c>
      <c r="C133" s="68">
        <v>53.246000000000002</v>
      </c>
      <c r="D133" s="68">
        <v>2</v>
      </c>
      <c r="E133" s="68" t="s">
        <v>486</v>
      </c>
    </row>
    <row r="134" spans="1:5">
      <c r="A134" s="68">
        <v>0.29469499999999998</v>
      </c>
      <c r="B134" s="68">
        <v>0.11032599999999999</v>
      </c>
      <c r="C134" s="68">
        <v>53.654699999999998</v>
      </c>
      <c r="D134" s="68">
        <v>2</v>
      </c>
      <c r="E134" s="68" t="s">
        <v>487</v>
      </c>
    </row>
    <row r="135" spans="1:5">
      <c r="A135" s="68">
        <v>0.29653600000000002</v>
      </c>
      <c r="B135" s="68">
        <v>0.1104</v>
      </c>
      <c r="C135" s="68">
        <v>54.061599999999999</v>
      </c>
      <c r="D135" s="68">
        <v>2</v>
      </c>
      <c r="E135" s="68" t="s">
        <v>488</v>
      </c>
    </row>
    <row r="136" spans="1:5">
      <c r="A136" s="68">
        <v>0.29816500000000001</v>
      </c>
      <c r="B136" s="68">
        <v>0.111008</v>
      </c>
      <c r="C136" s="68">
        <v>54.463500000000003</v>
      </c>
      <c r="D136" s="68">
        <v>2</v>
      </c>
      <c r="E136" s="68" t="s">
        <v>489</v>
      </c>
    </row>
    <row r="137" spans="1:5">
      <c r="A137" s="68">
        <v>0.299618</v>
      </c>
      <c r="B137" s="68">
        <v>0.111308</v>
      </c>
      <c r="C137" s="68">
        <v>54.871499999999997</v>
      </c>
      <c r="D137" s="68">
        <v>2</v>
      </c>
      <c r="E137" s="68" t="s">
        <v>490</v>
      </c>
    </row>
    <row r="138" spans="1:5">
      <c r="A138" s="68">
        <v>0.30091099999999998</v>
      </c>
      <c r="B138" s="68">
        <v>0.11193699999999999</v>
      </c>
      <c r="C138" s="68">
        <v>55.278399999999998</v>
      </c>
      <c r="D138" s="68">
        <v>2</v>
      </c>
      <c r="E138" s="68" t="s">
        <v>491</v>
      </c>
    </row>
    <row r="139" spans="1:5">
      <c r="A139" s="68">
        <v>0.302456</v>
      </c>
      <c r="B139" s="68">
        <v>0.112548</v>
      </c>
      <c r="C139" s="68">
        <v>55.682400000000001</v>
      </c>
      <c r="D139" s="68">
        <v>2</v>
      </c>
      <c r="E139" s="68" t="s">
        <v>492</v>
      </c>
    </row>
    <row r="140" spans="1:5">
      <c r="A140" s="68">
        <v>0.30363200000000001</v>
      </c>
      <c r="B140" s="68">
        <v>0.11510099999999999</v>
      </c>
      <c r="C140" s="68">
        <v>56.0899</v>
      </c>
      <c r="D140" s="68">
        <v>2</v>
      </c>
      <c r="E140" s="68" t="s">
        <v>493</v>
      </c>
    </row>
    <row r="141" spans="1:5">
      <c r="A141" s="68">
        <v>0.30481799999999998</v>
      </c>
      <c r="B141" s="68">
        <v>0.117433</v>
      </c>
      <c r="C141" s="68">
        <v>56.495100000000001</v>
      </c>
      <c r="D141" s="68">
        <v>2</v>
      </c>
      <c r="E141" s="68" t="s">
        <v>494</v>
      </c>
    </row>
    <row r="142" spans="1:5">
      <c r="A142" s="68">
        <v>0.30586099999999999</v>
      </c>
      <c r="B142" s="68">
        <v>0.121313</v>
      </c>
      <c r="C142" s="68">
        <v>56.9041</v>
      </c>
      <c r="D142" s="68">
        <v>2</v>
      </c>
      <c r="E142" s="68" t="s">
        <v>495</v>
      </c>
    </row>
    <row r="143" spans="1:5">
      <c r="A143" s="68">
        <v>0.30692999999999998</v>
      </c>
      <c r="B143" s="68">
        <v>0.123615</v>
      </c>
      <c r="C143" s="68">
        <v>57.31</v>
      </c>
      <c r="D143" s="68">
        <v>2</v>
      </c>
      <c r="E143" s="68" t="s">
        <v>496</v>
      </c>
    </row>
    <row r="144" spans="1:5">
      <c r="A144" s="68">
        <v>0.30818099999999998</v>
      </c>
      <c r="B144" s="68">
        <v>0.12570700000000001</v>
      </c>
      <c r="C144" s="68">
        <v>57.719799999999999</v>
      </c>
      <c r="D144" s="68">
        <v>2</v>
      </c>
      <c r="E144" s="68" t="s">
        <v>497</v>
      </c>
    </row>
    <row r="145" spans="1:5">
      <c r="A145" s="68">
        <v>0.30955700000000003</v>
      </c>
      <c r="B145" s="68">
        <v>0.12801100000000001</v>
      </c>
      <c r="C145" s="68">
        <v>58.120800000000003</v>
      </c>
      <c r="D145" s="68">
        <v>2</v>
      </c>
      <c r="E145" s="68" t="s">
        <v>498</v>
      </c>
    </row>
    <row r="146" spans="1:5">
      <c r="A146" s="68">
        <v>0.31131300000000001</v>
      </c>
      <c r="B146" s="68">
        <v>0.12723899999999999</v>
      </c>
      <c r="C146" s="68">
        <v>58.528700000000001</v>
      </c>
      <c r="D146" s="68">
        <v>2</v>
      </c>
      <c r="E146" s="68" t="s">
        <v>499</v>
      </c>
    </row>
    <row r="147" spans="1:5">
      <c r="A147" s="68">
        <v>0.31324099999999999</v>
      </c>
      <c r="B147" s="68">
        <v>0.12157999999999999</v>
      </c>
      <c r="C147" s="68">
        <v>58.933500000000002</v>
      </c>
      <c r="D147" s="68">
        <v>2</v>
      </c>
      <c r="E147" s="68" t="s">
        <v>500</v>
      </c>
    </row>
    <row r="148" spans="1:5">
      <c r="A148" s="68">
        <v>0.31442399999999998</v>
      </c>
      <c r="B148" s="68">
        <v>0.118982</v>
      </c>
      <c r="C148" s="68">
        <v>59.341500000000003</v>
      </c>
      <c r="D148" s="68">
        <v>2</v>
      </c>
      <c r="E148" s="68" t="s">
        <v>501</v>
      </c>
    </row>
    <row r="149" spans="1:5">
      <c r="A149" s="68">
        <v>0.316909</v>
      </c>
      <c r="B149" s="68">
        <v>0.112345</v>
      </c>
      <c r="C149" s="68">
        <v>59.746400000000001</v>
      </c>
      <c r="D149" s="68">
        <v>2</v>
      </c>
      <c r="E149" s="68" t="s">
        <v>502</v>
      </c>
    </row>
    <row r="150" spans="1:5">
      <c r="A150" s="68">
        <v>0.318498</v>
      </c>
      <c r="B150" s="68">
        <v>0.10871699999999999</v>
      </c>
      <c r="C150" s="32">
        <v>60.152299999999997</v>
      </c>
      <c r="D150" s="32">
        <v>2</v>
      </c>
      <c r="E150" s="32" t="s">
        <v>503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293</v>
      </c>
      <c r="G1" s="66" t="s">
        <v>294</v>
      </c>
      <c r="H1" s="66" t="s">
        <v>509</v>
      </c>
      <c r="I1" s="66" t="s">
        <v>510</v>
      </c>
      <c r="J1" s="66" t="s">
        <v>511</v>
      </c>
      <c r="K1" s="66" t="s">
        <v>512</v>
      </c>
      <c r="L1" s="66" t="s">
        <v>513</v>
      </c>
      <c r="M1" s="66" t="s">
        <v>514</v>
      </c>
      <c r="N1" s="66"/>
    </row>
    <row r="2" spans="1:14">
      <c r="A2" s="75">
        <v>43607.436851851853</v>
      </c>
      <c r="B2" s="66" t="s">
        <v>505</v>
      </c>
      <c r="C2" s="66"/>
      <c r="D2" s="66"/>
      <c r="E2" s="66">
        <v>4.9234099999999996</v>
      </c>
      <c r="F2" s="66">
        <v>1.36067</v>
      </c>
      <c r="G2" s="66">
        <v>0.89109000000000005</v>
      </c>
      <c r="H2" s="66">
        <v>0</v>
      </c>
      <c r="I2" s="66">
        <v>83683</v>
      </c>
      <c r="J2" s="66">
        <v>34</v>
      </c>
      <c r="K2" s="66">
        <v>34</v>
      </c>
      <c r="L2" s="66">
        <v>0</v>
      </c>
      <c r="M2" s="66" t="s">
        <v>515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2019-05-22T02:29:40Z</cp:lastPrinted>
  <dcterms:created xsi:type="dcterms:W3CDTF">2010-10-29T12:53:05Z</dcterms:created>
  <dcterms:modified xsi:type="dcterms:W3CDTF">2019-05-22T02:29:49Z</dcterms:modified>
</cp:coreProperties>
</file>