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<sst xmlns="http://schemas.openxmlformats.org/spreadsheetml/2006/main" count="628" uniqueCount="498">
  <si>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</si>
  <si>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</si>
  <si>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</si>
  <si>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</si>
  <si>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</si>
  <si>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</si>
  <si>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</si>
  <si>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</si>
  <si>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</si>
  <si>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</si>
  <si>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</si>
  <si>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</si>
  <si>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</si>
  <si>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</si>
  <si>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</si>
  <si>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</si>
  <si>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</si>
  <si>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</si>
  <si>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</si>
  <si>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</si>
  <si>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</si>
  <si>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</si>
  <si>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</si>
  <si>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</si>
  <si>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</si>
  <si>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</si>
  <si>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</si>
  <si>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</si>
  <si>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</si>
  <si>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</si>
  <si>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</si>
  <si>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</si>
  <si>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</si>
  <si>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</si>
  <si>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</si>
  <si>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</si>
  <si>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</si>
  <si>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</si>
  <si>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</si>
  <si>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</si>
  <si>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</si>
  <si>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</si>
  <si>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</si>
  <si>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</si>
  <si>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</si>
  <si>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</si>
  <si>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</si>
  <si>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</si>
  <si>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</si>
  <si>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</si>
  <si>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</si>
  <si>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</si>
  <si>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</si>
  <si>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</si>
  <si>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</si>
  <si>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</si>
  <si>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</si>
  <si>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</si>
  <si>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</si>
  <si>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</si>
  <si>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</si>
  <si>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</si>
  <si>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</si>
  <si>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</si>
  <si>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</si>
  <si>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</si>
  <si>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</si>
  <si>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</si>
  <si>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</si>
  <si>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</si>
  <si>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</si>
  <si>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</si>
  <si>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</si>
  <si>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</si>
  <si>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</si>
  <si>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</si>
  <si>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</si>
  <si>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</si>
  <si>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</si>
  <si>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</si>
  <si>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</si>
  <si>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</si>
  <si>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</si>
  <si>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</si>
  <si>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</si>
  <si>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</si>
  <si>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</si>
  <si>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</si>
  <si>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</si>
  <si>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</si>
  <si>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</si>
  <si>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</si>
  <si>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</si>
  <si>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</si>
  <si>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</si>
  <si>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</si>
  <si>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</si>
  <si>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</si>
  <si>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</si>
  <si>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</si>
  <si>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</si>
  <si>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</si>
  <si>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</si>
  <si>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</si>
  <si>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</si>
  <si>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</si>
  <si>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</si>
  <si>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</si>
  <si>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</si>
  <si>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</si>
  <si>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</si>
  <si>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</si>
  <si>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</si>
  <si>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</si>
  <si>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</si>
  <si>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</si>
  <si>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</si>
  <si>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</si>
  <si>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</si>
  <si>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</si>
  <si>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</si>
  <si>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</si>
  <si>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</si>
  <si>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</si>
  <si>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</si>
  <si>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</si>
  <si>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</si>
  <si>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</si>
  <si>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</si>
  <si>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</si>
  <si>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</si>
  <si>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</si>
  <si>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</si>
  <si>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</si>
  <si>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</si>
  <si>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</si>
  <si>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</si>
  <si>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</si>
  <si>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</si>
  <si>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</si>
  <si>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</si>
  <si>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</si>
  <si>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</si>
  <si>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</si>
  <si>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</si>
  <si>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</si>
  <si>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</si>
  <si>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</si>
  <si>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</si>
  <si>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</si>
  <si>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</si>
  <si>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</si>
  <si>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</si>
  <si>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</si>
  <si>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</si>
  <si>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</si>
  <si>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</si>
  <si>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</si>
  <si>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</si>
  <si>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</si>
  <si>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</si>
  <si>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</si>
  <si>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</si>
  <si>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</si>
  <si>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</si>
  <si>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</si>
  <si>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</si>
  <si>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</si>
  <si>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</si>
  <si>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</si>
  <si>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</si>
  <si>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</si>
  <si>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</si>
  <si>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</si>
  <si>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</si>
  <si>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</si>
  <si>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</si>
  <si>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</si>
  <si>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</si>
  <si>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</si>
  <si>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</si>
  <si>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</si>
  <si>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</si>
  <si>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</si>
  <si>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</si>
  <si>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</si>
  <si>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</si>
  <si>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</si>
  <si>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</si>
  <si>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</si>
  <si>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</si>
  <si>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</si>
  <si>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</si>
  <si>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</si>
  <si>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</si>
  <si>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</si>
  <si>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</si>
  <si>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</si>
  <si>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</si>
  <si>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</si>
  <si>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</si>
  <si>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</si>
  <si>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</si>
  <si>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</si>
  <si>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</si>
  <si>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</si>
  <si>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</si>
  <si>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</si>
  <si>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</si>
  <si>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</si>
  <si>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</si>
  <si>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</si>
  <si>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</si>
  <si>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</si>
  <si>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</si>
  <si>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</si>
  <si>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</si>
  <si>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</si>
  <si>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</si>
  <si>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</si>
  <si>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</si>
  <si>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</si>
  <si>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</si>
  <si>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</si>
  <si>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</si>
  <si>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</si>
  <si>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</si>
  <si>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</si>
  <si>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</si>
  <si>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</si>
  <si>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</si>
  <si>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</si>
  <si>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</si>
  <si>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</si>
  <si>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</si>
  <si>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</si>
  <si>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</si>
  <si>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</si>
  <si>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</si>
  <si>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</si>
  <si>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</si>
  <si>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</si>
  <si>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</si>
  <si>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</si>
  <si>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</si>
  <si>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</si>
  <si>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</si>
  <si>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</si>
  <si>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</si>
  <si>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</si>
  <si>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</si>
  <si>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</si>
  <si>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</si>
  <si>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</si>
  <si>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</si>
  <si>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</si>
  <si>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</si>
  <si>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</si>
  <si>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</si>
  <si>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</si>
  <si>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</si>
  <si>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</si>
  <si>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</si>
  <si>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</si>
  <si>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</si>
  <si>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</si>
  <si>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</si>
  <si>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</si>
  <si>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</si>
  <si>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</si>
  <si>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</si>
  <si>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</si>
  <si>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</si>
  <si>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</si>
  <si>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</si>
  <si>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</si>
  <si>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</si>
  <si>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</si>
  <si>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</si>
  <si>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</si>
  <si>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</si>
  <si>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</si>
  <si>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</si>
  <si>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</si>
  <si>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</si>
  <si>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</si>
  <si>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</si>
  <si>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</si>
  <si>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</si>
  <si>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</si>
  <si>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</si>
  <si>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</si>
  <si>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</si>
  <si>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</si>
  <si>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</si>
  <si>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</si>
  <si>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</si>
  <si>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</si>
  <si>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</si>
  <si>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</si>
  <si>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</si>
  <si>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</si>
  <si>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</si>
  <si>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</si>
  <si>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</si>
  <si>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</si>
  <si>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</si>
  <si>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</si>
  <si>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</si>
  <si>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</si>
  <si>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</si>
  <si>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</si>
  <si>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</si>
  <si>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</si>
  <si>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</si>
  <si>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</si>
  <si>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</si>
  <si>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</si>
  <si>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</si>
  <si>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</si>
  <si>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</si>
  <si>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</si>
  <si>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</si>
  <si>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</si>
  <si>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</si>
  <si>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</si>
  <si>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</si>
  <si>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</si>
  <si>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</si>
  <si>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</si>
  <si>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</si>
  <si>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</si>
  <si>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</si>
  <si>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</si>
  <si>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</si>
  <si>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</si>
  <si>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</si>
  <si>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</si>
  <si>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</si>
  <si>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</si>
  <si>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</si>
  <si>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</si>
  <si>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</si>
  <si>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</si>
  <si>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</si>
  <si>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</si>
  <si>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</si>
  <si>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</si>
  <si>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</si>
  <si>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</si>
  <si>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</si>
  <si>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</si>
  <si>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</si>
  <si>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</si>
  <si>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</si>
  <si>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</si>
  <si>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</si>
  <si>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</si>
  <si>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</si>
  <si>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</si>
  <si>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</si>
  <si>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</si>
  <si>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</si>
  <si>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</si>
  <si>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</si>
  <si>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</si>
  <si>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</si>
  <si>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</si>
  <si>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</si>
  <si>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</si>
  <si>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</si>
  <si>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</si>
  <si>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</si>
  <si>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</si>
  <si>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</si>
  <si>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</si>
  <si>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</si>
  <si>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</si>
  <si>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</si>
  <si>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</si>
  <si>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</si>
  <si>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</si>
  <si>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</si>
  <si>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</si>
  <si>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</si>
  <si>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</si>
  <si>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</si>
  <si>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</si>
  <si>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</si>
  <si>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</si>
  <si>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</si>
  <si>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</si>
  <si>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</si>
  <si>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</si>
  <si>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</si>
  <si>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</si>
  <si>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</si>
  <si>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</si>
  <si>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</si>
  <si>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</si>
  <si>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</si>
  <si>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</si>
  <si>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</si>
  <si>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</si>
  <si>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</si>
  <si>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</si>
  <si>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</si>
  <si>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</si>
  <si>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</si>
  <si>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[0.399983]</t>
  </si>
  <si>
    <t>1 [0.807944]</t>
  </si>
  <si>
    <t>1 [1.214739]</t>
  </si>
  <si>
    <t>1 [1.622329]</t>
  </si>
  <si>
    <t>1 [2.025140]</t>
  </si>
  <si>
    <t>1 [2.430040]</t>
  </si>
  <si>
    <t>1 [2.839724]</t>
  </si>
  <si>
    <t>1 [3.246429]</t>
  </si>
  <si>
    <t>1 [3.654554]</t>
  </si>
  <si>
    <t>1 [4.058258]</t>
  </si>
  <si>
    <t>1 [4.464109]</t>
  </si>
  <si>
    <t>1 [4.869525]</t>
  </si>
  <si>
    <t>1 [5.276248]</t>
  </si>
  <si>
    <t>1 [5.682644]</t>
  </si>
  <si>
    <t>1 [6.092307]</t>
  </si>
  <si>
    <t>1 [6.495431]</t>
  </si>
  <si>
    <t>1 [6.903747]</t>
  </si>
  <si>
    <t>1 [7.310042]</t>
  </si>
  <si>
    <t>1 [7.714904]</t>
  </si>
  <si>
    <t>1 [8.122633]</t>
  </si>
  <si>
    <t>1 [8.525740]</t>
  </si>
  <si>
    <t>1 [8.932694]</t>
  </si>
  <si>
    <t>1 [9.341398]</t>
  </si>
  <si>
    <t>1 [9.742424]</t>
  </si>
  <si>
    <t>1 [10.150485]</t>
  </si>
  <si>
    <t>1 [10.557235]</t>
  </si>
  <si>
    <t>1 [10.963515]</t>
  </si>
  <si>
    <t>1 [11.369651]</t>
  </si>
  <si>
    <t>1 [11.775445]</t>
  </si>
  <si>
    <t>1 [12.181498]</t>
  </si>
  <si>
    <t>1 [12.591601]</t>
  </si>
  <si>
    <t>1 [12.997323]</t>
  </si>
  <si>
    <t>1 [13.403454]</t>
  </si>
  <si>
    <t>1 [13.808281]</t>
  </si>
  <si>
    <t>1 [14.216004]</t>
  </si>
  <si>
    <t>1 [14.621326]</t>
  </si>
  <si>
    <t>1 [15.031810]</t>
  </si>
  <si>
    <t>2 [15.561001]</t>
  </si>
  <si>
    <t>2 [15.931616]</t>
  </si>
  <si>
    <t>2 [16.308921]</t>
  </si>
  <si>
    <t>2 [16.696977]</t>
  </si>
  <si>
    <t>2 [17.106501]</t>
  </si>
  <si>
    <t>2 [17.510817]</t>
  </si>
  <si>
    <t>2 [17.919241]</t>
  </si>
  <si>
    <t>2 [18.325173]</t>
  </si>
  <si>
    <t>2 [18.728099]</t>
  </si>
  <si>
    <t>2 [19.134863]</t>
  </si>
  <si>
    <t>2 [19.541835]</t>
  </si>
  <si>
    <t>2 [19.952305]</t>
  </si>
  <si>
    <t>2 [20.354543]</t>
  </si>
  <si>
    <t>2 [20.760973]</t>
  </si>
  <si>
    <t>2 [21.167297]</t>
  </si>
  <si>
    <t>2 [21.572665]</t>
  </si>
  <si>
    <t>2 [21.977737]</t>
  </si>
  <si>
    <t>2 [22.386718]</t>
  </si>
  <si>
    <t>2 [22.792905]</t>
  </si>
  <si>
    <t>2 [23.198625]</t>
  </si>
  <si>
    <t>2 [23.603364]</t>
  </si>
  <si>
    <t>2 [24.015057]</t>
  </si>
  <si>
    <t>2 [24.418034]</t>
  </si>
  <si>
    <t>2 [24.824306]</t>
  </si>
  <si>
    <t>2 [25.228286]</t>
  </si>
  <si>
    <t>2 [25.637517]</t>
  </si>
  <si>
    <t>2 [26.044116]</t>
  </si>
  <si>
    <t>2 [26.451005]</t>
  </si>
  <si>
    <t>2 [26.854947]</t>
  </si>
  <si>
    <t>2 [27.261825]</t>
  </si>
  <si>
    <t>2 [27.665368]</t>
  </si>
  <si>
    <t>2 [28.074835]</t>
  </si>
  <si>
    <t>2 [28.477553]</t>
  </si>
  <si>
    <t>2 [28.887291]</t>
  </si>
  <si>
    <t>2 [29.289413]</t>
  </si>
  <si>
    <t>2 [29.699387]</t>
  </si>
  <si>
    <t>2 [30.103148]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</si>
  <si>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</si>
  <si>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</si>
  <si>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</si>
  <si>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</si>
  <si>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</si>
  <si>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</si>
  <si>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</si>
  <si>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</si>
  <si>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</si>
  <si>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</si>
  <si>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</si>
  <si>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</si>
  <si>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</si>
  <si>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</si>
  <si>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高景水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</si>
</sst>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61.901400000000002</c:v>
                </c:pt>
                <c:pt idx="1">
                  <c:v>28.7666</c:v>
                </c:pt>
                <c:pt idx="2">
                  <c:v>19.363299999999999</c:v>
                </c:pt>
                <c:pt idx="3">
                  <c:v>36.7239</c:v>
                </c:pt>
                <c:pt idx="4">
                  <c:v>54.503</c:v>
                </c:pt>
                <c:pt idx="5">
                  <c:v>71.403000000000006</c:v>
                </c:pt>
                <c:pt idx="6">
                  <c:v>44.1982</c:v>
                </c:pt>
                <c:pt idx="7">
                  <c:v>62.682299999999998</c:v>
                </c:pt>
                <c:pt idx="8">
                  <c:v>17.875499999999999</c:v>
                </c:pt>
                <c:pt idx="9">
                  <c:v>13.9773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0.52518424816124087</c:v>
                </c:pt>
                <c:pt idx="1">
                  <c:v>0.33109101849012956</c:v>
                </c:pt>
                <c:pt idx="2">
                  <c:v>0.14372473334862954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1141</c:v>
                </c:pt>
                <c:pt idx="7">
                  <c:v>0</c:v>
                </c:pt>
                <c:pt idx="8">
                  <c:v>1677</c:v>
                </c:pt>
                <c:pt idx="9">
                  <c:v>0</c:v>
                </c:pt>
                <c:pt idx="10">
                  <c:v>0</c:v>
                </c:pt>
                <c:pt idx="11">
                  <c:v>1953</c:v>
                </c:pt>
                <c:pt idx="12">
                  <c:v>0</c:v>
                </c:pt>
                <c:pt idx="13">
                  <c:v>1302</c:v>
                </c:pt>
                <c:pt idx="14">
                  <c:v>0</c:v>
                </c:pt>
                <c:pt idx="15">
                  <c:v>0</c:v>
                </c:pt>
                <c:pt idx="16">
                  <c:v>2428</c:v>
                </c:pt>
                <c:pt idx="17">
                  <c:v>0</c:v>
                </c:pt>
                <c:pt idx="18">
                  <c:v>0</c:v>
                </c:pt>
                <c:pt idx="19">
                  <c:v>1858</c:v>
                </c:pt>
                <c:pt idx="20">
                  <c:v>0</c:v>
                </c:pt>
                <c:pt idx="21">
                  <c:v>2289</c:v>
                </c:pt>
                <c:pt idx="22">
                  <c:v>0</c:v>
                </c:pt>
                <c:pt idx="23">
                  <c:v>0</c:v>
                </c:pt>
                <c:pt idx="24">
                  <c:v>3479</c:v>
                </c:pt>
                <c:pt idx="25">
                  <c:v>0</c:v>
                </c:pt>
                <c:pt idx="26">
                  <c:v>3933</c:v>
                </c:pt>
                <c:pt idx="27">
                  <c:v>0</c:v>
                </c:pt>
                <c:pt idx="28">
                  <c:v>0</c:v>
                </c:pt>
                <c:pt idx="29">
                  <c:v>7769</c:v>
                </c:pt>
                <c:pt idx="30">
                  <c:v>0</c:v>
                </c:pt>
                <c:pt idx="31">
                  <c:v>9408</c:v>
                </c:pt>
                <c:pt idx="32">
                  <c:v>0</c:v>
                </c:pt>
                <c:pt idx="33">
                  <c:v>0</c:v>
                </c:pt>
                <c:pt idx="34">
                  <c:v>12669</c:v>
                </c:pt>
                <c:pt idx="35">
                  <c:v>0</c:v>
                </c:pt>
                <c:pt idx="36">
                  <c:v>0</c:v>
                </c:pt>
                <c:pt idx="37">
                  <c:v>14701</c:v>
                </c:pt>
                <c:pt idx="38">
                  <c:v>0</c:v>
                </c:pt>
                <c:pt idx="39">
                  <c:v>19382</c:v>
                </c:pt>
                <c:pt idx="40">
                  <c:v>0</c:v>
                </c:pt>
                <c:pt idx="41">
                  <c:v>0</c:v>
                </c:pt>
                <c:pt idx="42">
                  <c:v>19530</c:v>
                </c:pt>
                <c:pt idx="43">
                  <c:v>0</c:v>
                </c:pt>
                <c:pt idx="44">
                  <c:v>19613</c:v>
                </c:pt>
                <c:pt idx="45">
                  <c:v>0</c:v>
                </c:pt>
                <c:pt idx="46">
                  <c:v>0</c:v>
                </c:pt>
                <c:pt idx="47">
                  <c:v>21797</c:v>
                </c:pt>
                <c:pt idx="48">
                  <c:v>0</c:v>
                </c:pt>
                <c:pt idx="49">
                  <c:v>24288</c:v>
                </c:pt>
                <c:pt idx="50">
                  <c:v>0</c:v>
                </c:pt>
                <c:pt idx="51">
                  <c:v>0</c:v>
                </c:pt>
                <c:pt idx="52">
                  <c:v>26134</c:v>
                </c:pt>
                <c:pt idx="53">
                  <c:v>0</c:v>
                </c:pt>
                <c:pt idx="54">
                  <c:v>0</c:v>
                </c:pt>
                <c:pt idx="55">
                  <c:v>29020</c:v>
                </c:pt>
                <c:pt idx="56">
                  <c:v>0</c:v>
                </c:pt>
                <c:pt idx="57">
                  <c:v>33337</c:v>
                </c:pt>
                <c:pt idx="58">
                  <c:v>0</c:v>
                </c:pt>
                <c:pt idx="59">
                  <c:v>0</c:v>
                </c:pt>
                <c:pt idx="60">
                  <c:v>35584</c:v>
                </c:pt>
                <c:pt idx="61">
                  <c:v>0</c:v>
                </c:pt>
                <c:pt idx="62">
                  <c:v>39750</c:v>
                </c:pt>
                <c:pt idx="63">
                  <c:v>0</c:v>
                </c:pt>
                <c:pt idx="64">
                  <c:v>0</c:v>
                </c:pt>
                <c:pt idx="65">
                  <c:v>43354</c:v>
                </c:pt>
                <c:pt idx="66">
                  <c:v>0</c:v>
                </c:pt>
                <c:pt idx="67">
                  <c:v>50369</c:v>
                </c:pt>
                <c:pt idx="68">
                  <c:v>0</c:v>
                </c:pt>
                <c:pt idx="69">
                  <c:v>0</c:v>
                </c:pt>
                <c:pt idx="70">
                  <c:v>50709</c:v>
                </c:pt>
                <c:pt idx="71">
                  <c:v>0</c:v>
                </c:pt>
                <c:pt idx="72">
                  <c:v>0</c:v>
                </c:pt>
                <c:pt idx="73">
                  <c:v>50353</c:v>
                </c:pt>
                <c:pt idx="74">
                  <c:v>0</c:v>
                </c:pt>
                <c:pt idx="75">
                  <c:v>52285</c:v>
                </c:pt>
                <c:pt idx="76">
                  <c:v>0</c:v>
                </c:pt>
                <c:pt idx="77">
                  <c:v>0</c:v>
                </c:pt>
                <c:pt idx="78">
                  <c:v>51692</c:v>
                </c:pt>
                <c:pt idx="79">
                  <c:v>0</c:v>
                </c:pt>
                <c:pt idx="80">
                  <c:v>52929</c:v>
                </c:pt>
                <c:pt idx="81">
                  <c:v>0</c:v>
                </c:pt>
                <c:pt idx="82">
                  <c:v>0</c:v>
                </c:pt>
                <c:pt idx="83">
                  <c:v>52277</c:v>
                </c:pt>
                <c:pt idx="84">
                  <c:v>0</c:v>
                </c:pt>
                <c:pt idx="85">
                  <c:v>0</c:v>
                </c:pt>
                <c:pt idx="86">
                  <c:v>53253</c:v>
                </c:pt>
                <c:pt idx="87">
                  <c:v>0</c:v>
                </c:pt>
                <c:pt idx="88">
                  <c:v>54456</c:v>
                </c:pt>
                <c:pt idx="89">
                  <c:v>0</c:v>
                </c:pt>
                <c:pt idx="90">
                  <c:v>0</c:v>
                </c:pt>
                <c:pt idx="91">
                  <c:v>52064</c:v>
                </c:pt>
                <c:pt idx="92">
                  <c:v>0</c:v>
                </c:pt>
                <c:pt idx="93">
                  <c:v>59163</c:v>
                </c:pt>
                <c:pt idx="94">
                  <c:v>0</c:v>
                </c:pt>
                <c:pt idx="95">
                  <c:v>0</c:v>
                </c:pt>
                <c:pt idx="96">
                  <c:v>59499</c:v>
                </c:pt>
                <c:pt idx="97">
                  <c:v>0</c:v>
                </c:pt>
                <c:pt idx="98">
                  <c:v>64829</c:v>
                </c:pt>
                <c:pt idx="99">
                  <c:v>0</c:v>
                </c:pt>
                <c:pt idx="100">
                  <c:v>0</c:v>
                </c:pt>
                <c:pt idx="101">
                  <c:v>62925</c:v>
                </c:pt>
                <c:pt idx="102">
                  <c:v>0</c:v>
                </c:pt>
                <c:pt idx="103">
                  <c:v>0</c:v>
                </c:pt>
                <c:pt idx="104">
                  <c:v>60822</c:v>
                </c:pt>
                <c:pt idx="105">
                  <c:v>0</c:v>
                </c:pt>
                <c:pt idx="106">
                  <c:v>61256</c:v>
                </c:pt>
                <c:pt idx="107">
                  <c:v>0</c:v>
                </c:pt>
                <c:pt idx="108">
                  <c:v>0</c:v>
                </c:pt>
                <c:pt idx="109">
                  <c:v>61624</c:v>
                </c:pt>
                <c:pt idx="110">
                  <c:v>0</c:v>
                </c:pt>
                <c:pt idx="111">
                  <c:v>63921</c:v>
                </c:pt>
                <c:pt idx="112">
                  <c:v>0</c:v>
                </c:pt>
                <c:pt idx="113">
                  <c:v>0</c:v>
                </c:pt>
                <c:pt idx="114">
                  <c:v>60012</c:v>
                </c:pt>
                <c:pt idx="115">
                  <c:v>0</c:v>
                </c:pt>
                <c:pt idx="116">
                  <c:v>61872</c:v>
                </c:pt>
                <c:pt idx="117">
                  <c:v>0</c:v>
                </c:pt>
                <c:pt idx="118">
                  <c:v>0</c:v>
                </c:pt>
                <c:pt idx="119">
                  <c:v>63057</c:v>
                </c:pt>
                <c:pt idx="120">
                  <c:v>0</c:v>
                </c:pt>
                <c:pt idx="121">
                  <c:v>0</c:v>
                </c:pt>
                <c:pt idx="122">
                  <c:v>63037</c:v>
                </c:pt>
                <c:pt idx="123">
                  <c:v>0</c:v>
                </c:pt>
                <c:pt idx="124">
                  <c:v>68069</c:v>
                </c:pt>
                <c:pt idx="125">
                  <c:v>0</c:v>
                </c:pt>
                <c:pt idx="126">
                  <c:v>0</c:v>
                </c:pt>
                <c:pt idx="127">
                  <c:v>67815</c:v>
                </c:pt>
                <c:pt idx="128">
                  <c:v>0</c:v>
                </c:pt>
                <c:pt idx="129">
                  <c:v>71674</c:v>
                </c:pt>
                <c:pt idx="130">
                  <c:v>0</c:v>
                </c:pt>
                <c:pt idx="131">
                  <c:v>0</c:v>
                </c:pt>
                <c:pt idx="132">
                  <c:v>69279</c:v>
                </c:pt>
                <c:pt idx="133">
                  <c:v>0</c:v>
                </c:pt>
                <c:pt idx="134">
                  <c:v>71001</c:v>
                </c:pt>
                <c:pt idx="135">
                  <c:v>0</c:v>
                </c:pt>
                <c:pt idx="136">
                  <c:v>0</c:v>
                </c:pt>
                <c:pt idx="137">
                  <c:v>67215</c:v>
                </c:pt>
                <c:pt idx="138">
                  <c:v>0</c:v>
                </c:pt>
                <c:pt idx="139">
                  <c:v>0</c:v>
                </c:pt>
                <c:pt idx="140">
                  <c:v>68733</c:v>
                </c:pt>
                <c:pt idx="141">
                  <c:v>0</c:v>
                </c:pt>
                <c:pt idx="142">
                  <c:v>67454</c:v>
                </c:pt>
                <c:pt idx="143">
                  <c:v>0</c:v>
                </c:pt>
                <c:pt idx="144">
                  <c:v>0</c:v>
                </c:pt>
                <c:pt idx="145">
                  <c:v>75273</c:v>
                </c:pt>
                <c:pt idx="146">
                  <c:v>0</c:v>
                </c:pt>
                <c:pt idx="147">
                  <c:v>84794</c:v>
                </c:pt>
                <c:pt idx="148">
                  <c:v>0</c:v>
                </c:pt>
                <c:pt idx="149">
                  <c:v>0</c:v>
                </c:pt>
                <c:pt idx="150">
                  <c:v>92022</c:v>
                </c:pt>
                <c:pt idx="151">
                  <c:v>0</c:v>
                </c:pt>
                <c:pt idx="152">
                  <c:v>100041</c:v>
                </c:pt>
                <c:pt idx="153">
                  <c:v>0</c:v>
                </c:pt>
                <c:pt idx="154">
                  <c:v>0</c:v>
                </c:pt>
                <c:pt idx="155">
                  <c:v>107981</c:v>
                </c:pt>
                <c:pt idx="156">
                  <c:v>0</c:v>
                </c:pt>
                <c:pt idx="157">
                  <c:v>0</c:v>
                </c:pt>
                <c:pt idx="158">
                  <c:v>116657</c:v>
                </c:pt>
                <c:pt idx="159">
                  <c:v>0</c:v>
                </c:pt>
                <c:pt idx="160">
                  <c:v>118544</c:v>
                </c:pt>
                <c:pt idx="161">
                  <c:v>0</c:v>
                </c:pt>
                <c:pt idx="162">
                  <c:v>0</c:v>
                </c:pt>
                <c:pt idx="163">
                  <c:v>120755</c:v>
                </c:pt>
                <c:pt idx="164">
                  <c:v>0</c:v>
                </c:pt>
                <c:pt idx="165">
                  <c:v>123780</c:v>
                </c:pt>
                <c:pt idx="166">
                  <c:v>0</c:v>
                </c:pt>
                <c:pt idx="167">
                  <c:v>0</c:v>
                </c:pt>
                <c:pt idx="168">
                  <c:v>121864</c:v>
                </c:pt>
                <c:pt idx="169">
                  <c:v>0</c:v>
                </c:pt>
                <c:pt idx="170">
                  <c:v>0</c:v>
                </c:pt>
                <c:pt idx="171">
                  <c:v>106490</c:v>
                </c:pt>
                <c:pt idx="172">
                  <c:v>0</c:v>
                </c:pt>
                <c:pt idx="173">
                  <c:v>101605</c:v>
                </c:pt>
                <c:pt idx="174">
                  <c:v>0</c:v>
                </c:pt>
                <c:pt idx="175">
                  <c:v>0</c:v>
                </c:pt>
                <c:pt idx="176">
                  <c:v>101397</c:v>
                </c:pt>
                <c:pt idx="177">
                  <c:v>0</c:v>
                </c:pt>
                <c:pt idx="178">
                  <c:v>89448</c:v>
                </c:pt>
                <c:pt idx="179">
                  <c:v>0</c:v>
                </c:pt>
                <c:pt idx="180">
                  <c:v>0</c:v>
                </c:pt>
                <c:pt idx="181">
                  <c:v>90068</c:v>
                </c:pt>
                <c:pt idx="182">
                  <c:v>0</c:v>
                </c:pt>
                <c:pt idx="183">
                  <c:v>89103</c:v>
                </c:pt>
                <c:pt idx="184">
                  <c:v>0</c:v>
                </c:pt>
                <c:pt idx="185">
                  <c:v>0</c:v>
                </c:pt>
                <c:pt idx="186">
                  <c:v>83861</c:v>
                </c:pt>
                <c:pt idx="187">
                  <c:v>0</c:v>
                </c:pt>
                <c:pt idx="188">
                  <c:v>0</c:v>
                </c:pt>
                <c:pt idx="189">
                  <c:v>72972</c:v>
                </c:pt>
                <c:pt idx="190">
                  <c:v>0</c:v>
                </c:pt>
                <c:pt idx="191">
                  <c:v>68714</c:v>
                </c:pt>
                <c:pt idx="192">
                  <c:v>0</c:v>
                </c:pt>
                <c:pt idx="193">
                  <c:v>0</c:v>
                </c:pt>
                <c:pt idx="194">
                  <c:v>67106</c:v>
                </c:pt>
                <c:pt idx="195">
                  <c:v>0</c:v>
                </c:pt>
                <c:pt idx="196">
                  <c:v>62376</c:v>
                </c:pt>
                <c:pt idx="197">
                  <c:v>0</c:v>
                </c:pt>
                <c:pt idx="198">
                  <c:v>0</c:v>
                </c:pt>
                <c:pt idx="199">
                  <c:v>51772</c:v>
                </c:pt>
                <c:pt idx="200">
                  <c:v>0</c:v>
                </c:pt>
                <c:pt idx="201">
                  <c:v>48024</c:v>
                </c:pt>
                <c:pt idx="202">
                  <c:v>0</c:v>
                </c:pt>
                <c:pt idx="203">
                  <c:v>0</c:v>
                </c:pt>
                <c:pt idx="204">
                  <c:v>53514</c:v>
                </c:pt>
                <c:pt idx="205">
                  <c:v>0</c:v>
                </c:pt>
                <c:pt idx="206">
                  <c:v>0</c:v>
                </c:pt>
                <c:pt idx="207">
                  <c:v>52712</c:v>
                </c:pt>
                <c:pt idx="208">
                  <c:v>0</c:v>
                </c:pt>
                <c:pt idx="209">
                  <c:v>32436</c:v>
                </c:pt>
                <c:pt idx="210">
                  <c:v>0</c:v>
                </c:pt>
                <c:pt idx="211">
                  <c:v>0</c:v>
                </c:pt>
                <c:pt idx="212">
                  <c:v>20876</c:v>
                </c:pt>
                <c:pt idx="213">
                  <c:v>0</c:v>
                </c:pt>
                <c:pt idx="214">
                  <c:v>14299</c:v>
                </c:pt>
                <c:pt idx="215">
                  <c:v>0</c:v>
                </c:pt>
                <c:pt idx="216">
                  <c:v>0</c:v>
                </c:pt>
                <c:pt idx="217">
                  <c:v>5036</c:v>
                </c:pt>
                <c:pt idx="218">
                  <c:v>0</c:v>
                </c:pt>
                <c:pt idx="219">
                  <c:v>6645</c:v>
                </c:pt>
                <c:pt idx="220">
                  <c:v>0</c:v>
                </c:pt>
                <c:pt idx="221">
                  <c:v>0</c:v>
                </c:pt>
                <c:pt idx="222">
                  <c:v>4053</c:v>
                </c:pt>
                <c:pt idx="223">
                  <c:v>0</c:v>
                </c:pt>
                <c:pt idx="224">
                  <c:v>0</c:v>
                </c:pt>
                <c:pt idx="225">
                  <c:v>2017</c:v>
                </c:pt>
                <c:pt idx="226">
                  <c:v>0</c:v>
                </c:pt>
                <c:pt idx="227">
                  <c:v>1041</c:v>
                </c:pt>
                <c:pt idx="228">
                  <c:v>0</c:v>
                </c:pt>
                <c:pt idx="229">
                  <c:v>0</c:v>
                </c:pt>
                <c:pt idx="230">
                  <c:v>350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5"/>
                <c:pt idx="0">
                  <c:v>3.6580000000000004</c:v>
                </c:pt>
                <c:pt idx="1">
                  <c:v>3.7588200000000001</c:v>
                </c:pt>
                <c:pt idx="2">
                  <c:v>3.8610699999999998</c:v>
                </c:pt>
                <c:pt idx="3">
                  <c:v>3.96523</c:v>
                </c:pt>
                <c:pt idx="4">
                  <c:v>4.0701499999999999</c:v>
                </c:pt>
                <c:pt idx="5">
                  <c:v>4.17354</c:v>
                </c:pt>
                <c:pt idx="6">
                  <c:v>4.2745100000000003</c:v>
                </c:pt>
                <c:pt idx="7">
                  <c:v>4.3776999999999999</c:v>
                </c:pt>
                <c:pt idx="8">
                  <c:v>4.4874299999999998</c:v>
                </c:pt>
                <c:pt idx="9">
                  <c:v>4.5946600000000002</c:v>
                </c:pt>
                <c:pt idx="10">
                  <c:v>4.6987800000000002</c:v>
                </c:pt>
                <c:pt idx="11">
                  <c:v>4.8066199999999997</c:v>
                </c:pt>
                <c:pt idx="12">
                  <c:v>4.9092900000000004</c:v>
                </c:pt>
                <c:pt idx="13">
                  <c:v>4.9804199999999996</c:v>
                </c:pt>
                <c:pt idx="14">
                  <c:v>5.0744599999999993</c:v>
                </c:pt>
                <c:pt idx="15">
                  <c:v>5.1632299999999995</c:v>
                </c:pt>
                <c:pt idx="16">
                  <c:v>5.2486299999999995</c:v>
                </c:pt>
                <c:pt idx="17">
                  <c:v>5.3481800000000002</c:v>
                </c:pt>
                <c:pt idx="18">
                  <c:v>5.4224799999999993</c:v>
                </c:pt>
                <c:pt idx="19">
                  <c:v>5.4797700000000003</c:v>
                </c:pt>
                <c:pt idx="20">
                  <c:v>5.5541499999999999</c:v>
                </c:pt>
                <c:pt idx="21">
                  <c:v>5.6098099999999995</c:v>
                </c:pt>
                <c:pt idx="22">
                  <c:v>5.6658499999999998</c:v>
                </c:pt>
                <c:pt idx="23">
                  <c:v>5.7180900000000001</c:v>
                </c:pt>
                <c:pt idx="24">
                  <c:v>5.7638699999999998</c:v>
                </c:pt>
                <c:pt idx="25">
                  <c:v>5.8134300000000003</c:v>
                </c:pt>
                <c:pt idx="26">
                  <c:v>5.8560599999999994</c:v>
                </c:pt>
                <c:pt idx="27">
                  <c:v>5.8928199999999995</c:v>
                </c:pt>
                <c:pt idx="28">
                  <c:v>5.9257299999999997</c:v>
                </c:pt>
                <c:pt idx="29">
                  <c:v>5.9549399999999997</c:v>
                </c:pt>
                <c:pt idx="30">
                  <c:v>5.9807500000000005</c:v>
                </c:pt>
                <c:pt idx="31">
                  <c:v>6.0057099999999997</c:v>
                </c:pt>
                <c:pt idx="32">
                  <c:v>6.0233800000000004</c:v>
                </c:pt>
                <c:pt idx="33">
                  <c:v>6.0319699999999994</c:v>
                </c:pt>
                <c:pt idx="34">
                  <c:v>6.0320799999999997</c:v>
                </c:pt>
                <c:pt idx="35">
                  <c:v>6.0342799999999999</c:v>
                </c:pt>
                <c:pt idx="36">
                  <c:v>6.0331500000000009</c:v>
                </c:pt>
                <c:pt idx="37">
                  <c:v>6.0324900000000001</c:v>
                </c:pt>
                <c:pt idx="38">
                  <c:v>6.03613</c:v>
                </c:pt>
                <c:pt idx="39">
                  <c:v>6.0392999999999999</c:v>
                </c:pt>
                <c:pt idx="40">
                  <c:v>6.0404599999999995</c:v>
                </c:pt>
                <c:pt idx="41">
                  <c:v>6.0408200000000001</c:v>
                </c:pt>
                <c:pt idx="42">
                  <c:v>6.0398800000000001</c:v>
                </c:pt>
                <c:pt idx="43">
                  <c:v>6.0401000000000007</c:v>
                </c:pt>
                <c:pt idx="44">
                  <c:v>6.0441500000000001</c:v>
                </c:pt>
                <c:pt idx="45">
                  <c:v>6.0527899999999999</c:v>
                </c:pt>
                <c:pt idx="46">
                  <c:v>6.0628599999999997</c:v>
                </c:pt>
                <c:pt idx="47">
                  <c:v>6.0667499999999999</c:v>
                </c:pt>
                <c:pt idx="48">
                  <c:v>6.0714800000000002</c:v>
                </c:pt>
                <c:pt idx="49">
                  <c:v>6.07531</c:v>
                </c:pt>
                <c:pt idx="50">
                  <c:v>6.077630000000001</c:v>
                </c:pt>
                <c:pt idx="51">
                  <c:v>6.0808600000000004</c:v>
                </c:pt>
                <c:pt idx="52">
                  <c:v>6.0848199999999997</c:v>
                </c:pt>
                <c:pt idx="53">
                  <c:v>6.0871200000000005</c:v>
                </c:pt>
                <c:pt idx="54">
                  <c:v>6.0916899999999998</c:v>
                </c:pt>
                <c:pt idx="55">
                  <c:v>6.0951399999999998</c:v>
                </c:pt>
                <c:pt idx="56">
                  <c:v>6.0968</c:v>
                </c:pt>
                <c:pt idx="57">
                  <c:v>6.1002500000000008</c:v>
                </c:pt>
                <c:pt idx="58">
                  <c:v>6.1093900000000003</c:v>
                </c:pt>
                <c:pt idx="59">
                  <c:v>6.1216299999999997</c:v>
                </c:pt>
                <c:pt idx="60">
                  <c:v>6.1319299999999997</c:v>
                </c:pt>
                <c:pt idx="61">
                  <c:v>6.1417299999999999</c:v>
                </c:pt>
                <c:pt idx="62">
                  <c:v>6.1487400000000001</c:v>
                </c:pt>
                <c:pt idx="63">
                  <c:v>6.1490799999999997</c:v>
                </c:pt>
                <c:pt idx="64">
                  <c:v>6.15001</c:v>
                </c:pt>
                <c:pt idx="65">
                  <c:v>6.15611</c:v>
                </c:pt>
                <c:pt idx="66">
                  <c:v>6.1604200000000002</c:v>
                </c:pt>
                <c:pt idx="67">
                  <c:v>6.1690800000000001</c:v>
                </c:pt>
                <c:pt idx="68">
                  <c:v>6.1755700000000004</c:v>
                </c:pt>
                <c:pt idx="69">
                  <c:v>6.1659799999999994</c:v>
                </c:pt>
                <c:pt idx="70">
                  <c:v>6.1523099999999999</c:v>
                </c:pt>
                <c:pt idx="71">
                  <c:v>6.1343700000000005</c:v>
                </c:pt>
                <c:pt idx="72">
                  <c:v>6.1431400000000007</c:v>
                </c:pt>
                <c:pt idx="73">
                  <c:v>6.1574099999999996</c:v>
                </c:pt>
                <c:pt idx="74">
                  <c:v>6.1563199999999991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40.731999999999999</c:v>
                </c:pt>
                <c:pt idx="1">
                  <c:v>39.6905</c:v>
                </c:pt>
                <c:pt idx="2">
                  <c:v>38.524000000000001</c:v>
                </c:pt>
                <c:pt idx="3">
                  <c:v>37.269000000000005</c:v>
                </c:pt>
                <c:pt idx="4">
                  <c:v>35.937899999999999</c:v>
                </c:pt>
                <c:pt idx="5">
                  <c:v>34.564499999999995</c:v>
                </c:pt>
                <c:pt idx="6">
                  <c:v>33.339999999999996</c:v>
                </c:pt>
                <c:pt idx="7">
                  <c:v>32.015599999999999</c:v>
                </c:pt>
                <c:pt idx="8">
                  <c:v>30.392499999999998</c:v>
                </c:pt>
                <c:pt idx="9">
                  <c:v>28.9862</c:v>
                </c:pt>
                <c:pt idx="10">
                  <c:v>27.6951</c:v>
                </c:pt>
                <c:pt idx="11">
                  <c:v>26.335199999999997</c:v>
                </c:pt>
                <c:pt idx="12">
                  <c:v>25.2257</c:v>
                </c:pt>
                <c:pt idx="13">
                  <c:v>24.885899999999999</c:v>
                </c:pt>
                <c:pt idx="14">
                  <c:v>24.153600000000001</c:v>
                </c:pt>
                <c:pt idx="15">
                  <c:v>23.543300000000002</c:v>
                </c:pt>
                <c:pt idx="16">
                  <c:v>23.121700000000001</c:v>
                </c:pt>
                <c:pt idx="17">
                  <c:v>22.565200000000001</c:v>
                </c:pt>
                <c:pt idx="18">
                  <c:v>22.351700000000001</c:v>
                </c:pt>
                <c:pt idx="19">
                  <c:v>22.3248</c:v>
                </c:pt>
                <c:pt idx="20">
                  <c:v>22.245200000000001</c:v>
                </c:pt>
                <c:pt idx="21">
                  <c:v>22.3782</c:v>
                </c:pt>
                <c:pt idx="22">
                  <c:v>22.452500000000001</c:v>
                </c:pt>
                <c:pt idx="23">
                  <c:v>22.521899999999999</c:v>
                </c:pt>
                <c:pt idx="24">
                  <c:v>22.6218</c:v>
                </c:pt>
                <c:pt idx="25">
                  <c:v>22.668700000000001</c:v>
                </c:pt>
                <c:pt idx="26">
                  <c:v>22.710100000000001</c:v>
                </c:pt>
                <c:pt idx="27">
                  <c:v>22.791700000000002</c:v>
                </c:pt>
                <c:pt idx="28">
                  <c:v>22.807500000000001</c:v>
                </c:pt>
                <c:pt idx="29">
                  <c:v>22.830500000000001</c:v>
                </c:pt>
                <c:pt idx="30">
                  <c:v>22.833400000000001</c:v>
                </c:pt>
                <c:pt idx="31">
                  <c:v>22.830500000000001</c:v>
                </c:pt>
                <c:pt idx="32">
                  <c:v>22.793399999999998</c:v>
                </c:pt>
                <c:pt idx="33">
                  <c:v>22.7714</c:v>
                </c:pt>
                <c:pt idx="34">
                  <c:v>22.777799999999999</c:v>
                </c:pt>
                <c:pt idx="35">
                  <c:v>22.7742</c:v>
                </c:pt>
                <c:pt idx="36">
                  <c:v>22.762999999999998</c:v>
                </c:pt>
                <c:pt idx="37">
                  <c:v>22.732800000000001</c:v>
                </c:pt>
                <c:pt idx="38">
                  <c:v>22.6813</c:v>
                </c:pt>
                <c:pt idx="39">
                  <c:v>22.670299999999997</c:v>
                </c:pt>
                <c:pt idx="40">
                  <c:v>22.6752</c:v>
                </c:pt>
                <c:pt idx="41">
                  <c:v>22.668600000000001</c:v>
                </c:pt>
                <c:pt idx="42">
                  <c:v>22.616199999999999</c:v>
                </c:pt>
                <c:pt idx="43">
                  <c:v>22.4983</c:v>
                </c:pt>
                <c:pt idx="44">
                  <c:v>22.3537</c:v>
                </c:pt>
                <c:pt idx="45">
                  <c:v>22.0947</c:v>
                </c:pt>
                <c:pt idx="46">
                  <c:v>21.8674</c:v>
                </c:pt>
                <c:pt idx="47">
                  <c:v>21.767400000000002</c:v>
                </c:pt>
                <c:pt idx="48">
                  <c:v>21.6952</c:v>
                </c:pt>
                <c:pt idx="49">
                  <c:v>21.681100000000001</c:v>
                </c:pt>
                <c:pt idx="50">
                  <c:v>21.677399999999999</c:v>
                </c:pt>
                <c:pt idx="51">
                  <c:v>21.637700000000002</c:v>
                </c:pt>
                <c:pt idx="52">
                  <c:v>21.576000000000001</c:v>
                </c:pt>
                <c:pt idx="53">
                  <c:v>21.5138</c:v>
                </c:pt>
                <c:pt idx="54">
                  <c:v>21.470800000000001</c:v>
                </c:pt>
                <c:pt idx="55">
                  <c:v>21.4251</c:v>
                </c:pt>
                <c:pt idx="56">
                  <c:v>21.379300000000001</c:v>
                </c:pt>
                <c:pt idx="57">
                  <c:v>21.296300000000002</c:v>
                </c:pt>
                <c:pt idx="58">
                  <c:v>21.179100000000002</c:v>
                </c:pt>
                <c:pt idx="59">
                  <c:v>21.049399999999999</c:v>
                </c:pt>
                <c:pt idx="60">
                  <c:v>20.910699999999999</c:v>
                </c:pt>
                <c:pt idx="61">
                  <c:v>20.798300000000001</c:v>
                </c:pt>
                <c:pt idx="62">
                  <c:v>20.724400000000003</c:v>
                </c:pt>
                <c:pt idx="63">
                  <c:v>20.621300000000002</c:v>
                </c:pt>
                <c:pt idx="64">
                  <c:v>20.435300000000002</c:v>
                </c:pt>
                <c:pt idx="65">
                  <c:v>20.199300000000001</c:v>
                </c:pt>
                <c:pt idx="66">
                  <c:v>20.008200000000002</c:v>
                </c:pt>
                <c:pt idx="67">
                  <c:v>19.8626</c:v>
                </c:pt>
                <c:pt idx="68">
                  <c:v>19.882999999999999</c:v>
                </c:pt>
                <c:pt idx="69">
                  <c:v>19.933400000000002</c:v>
                </c:pt>
                <c:pt idx="70">
                  <c:v>20.233599999999999</c:v>
                </c:pt>
                <c:pt idx="71">
                  <c:v>20.564599999999999</c:v>
                </c:pt>
                <c:pt idx="72">
                  <c:v>20.698800000000002</c:v>
                </c:pt>
                <c:pt idx="73">
                  <c:v>21.0261</c:v>
                </c:pt>
                <c:pt idx="74">
                  <c:v>20.939699999999998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8"/>
                <c:pt idx="0">
                  <c:v>3.6580000000000004</c:v>
                </c:pt>
                <c:pt idx="1">
                  <c:v>3.7588200000000001</c:v>
                </c:pt>
                <c:pt idx="2">
                  <c:v>3.8610699999999998</c:v>
                </c:pt>
                <c:pt idx="3">
                  <c:v>3.96523</c:v>
                </c:pt>
                <c:pt idx="4">
                  <c:v>4.0701499999999999</c:v>
                </c:pt>
                <c:pt idx="5">
                  <c:v>4.17354</c:v>
                </c:pt>
                <c:pt idx="6">
                  <c:v>4.2745100000000003</c:v>
                </c:pt>
                <c:pt idx="7">
                  <c:v>4.3776999999999999</c:v>
                </c:pt>
                <c:pt idx="8">
                  <c:v>4.4874299999999998</c:v>
                </c:pt>
                <c:pt idx="9">
                  <c:v>4.5946600000000002</c:v>
                </c:pt>
                <c:pt idx="10">
                  <c:v>4.6987800000000002</c:v>
                </c:pt>
                <c:pt idx="11">
                  <c:v>4.8066199999999997</c:v>
                </c:pt>
                <c:pt idx="12">
                  <c:v>4.9092900000000004</c:v>
                </c:pt>
                <c:pt idx="13">
                  <c:v>4.9804199999999996</c:v>
                </c:pt>
                <c:pt idx="14">
                  <c:v>5.0744599999999993</c:v>
                </c:pt>
                <c:pt idx="15">
                  <c:v>5.1632299999999995</c:v>
                </c:pt>
                <c:pt idx="16">
                  <c:v>5.2486299999999995</c:v>
                </c:pt>
                <c:pt idx="17">
                  <c:v>5.3481800000000002</c:v>
                </c:pt>
                <c:pt idx="18">
                  <c:v>5.4224799999999993</c:v>
                </c:pt>
                <c:pt idx="19">
                  <c:v>5.4797700000000003</c:v>
                </c:pt>
                <c:pt idx="20">
                  <c:v>5.5541499999999999</c:v>
                </c:pt>
                <c:pt idx="21">
                  <c:v>5.6098099999999995</c:v>
                </c:pt>
                <c:pt idx="22">
                  <c:v>5.6658499999999998</c:v>
                </c:pt>
                <c:pt idx="23">
                  <c:v>5.7180900000000001</c:v>
                </c:pt>
                <c:pt idx="24">
                  <c:v>5.7638699999999998</c:v>
                </c:pt>
                <c:pt idx="25">
                  <c:v>5.8134300000000003</c:v>
                </c:pt>
                <c:pt idx="26">
                  <c:v>5.8560599999999994</c:v>
                </c:pt>
                <c:pt idx="27">
                  <c:v>5.8928199999999995</c:v>
                </c:pt>
                <c:pt idx="28">
                  <c:v>5.9257299999999997</c:v>
                </c:pt>
                <c:pt idx="29">
                  <c:v>5.9549399999999997</c:v>
                </c:pt>
                <c:pt idx="30">
                  <c:v>5.9807500000000005</c:v>
                </c:pt>
                <c:pt idx="31">
                  <c:v>6.0057099999999997</c:v>
                </c:pt>
                <c:pt idx="32">
                  <c:v>6.0233800000000004</c:v>
                </c:pt>
                <c:pt idx="33">
                  <c:v>6.0319699999999994</c:v>
                </c:pt>
                <c:pt idx="34">
                  <c:v>6.0320799999999997</c:v>
                </c:pt>
                <c:pt idx="35">
                  <c:v>6.0342799999999999</c:v>
                </c:pt>
                <c:pt idx="36">
                  <c:v>6.0331500000000009</c:v>
                </c:pt>
                <c:pt idx="37">
                  <c:v>6.0324900000000001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40.731999999999999</c:v>
                </c:pt>
                <c:pt idx="1">
                  <c:v>39.6905</c:v>
                </c:pt>
                <c:pt idx="2">
                  <c:v>38.524000000000001</c:v>
                </c:pt>
                <c:pt idx="3">
                  <c:v>37.269000000000005</c:v>
                </c:pt>
                <c:pt idx="4">
                  <c:v>35.937899999999999</c:v>
                </c:pt>
                <c:pt idx="5">
                  <c:v>34.564499999999995</c:v>
                </c:pt>
                <c:pt idx="6">
                  <c:v>33.339999999999996</c:v>
                </c:pt>
                <c:pt idx="7">
                  <c:v>32.015599999999999</c:v>
                </c:pt>
                <c:pt idx="8">
                  <c:v>30.392499999999998</c:v>
                </c:pt>
                <c:pt idx="9">
                  <c:v>28.9862</c:v>
                </c:pt>
                <c:pt idx="10">
                  <c:v>27.6951</c:v>
                </c:pt>
                <c:pt idx="11">
                  <c:v>26.335199999999997</c:v>
                </c:pt>
                <c:pt idx="12">
                  <c:v>25.2257</c:v>
                </c:pt>
                <c:pt idx="13">
                  <c:v>24.885899999999999</c:v>
                </c:pt>
                <c:pt idx="14">
                  <c:v>24.153600000000001</c:v>
                </c:pt>
                <c:pt idx="15">
                  <c:v>23.543300000000002</c:v>
                </c:pt>
                <c:pt idx="16">
                  <c:v>23.121700000000001</c:v>
                </c:pt>
                <c:pt idx="17">
                  <c:v>22.565200000000001</c:v>
                </c:pt>
                <c:pt idx="18">
                  <c:v>22.351700000000001</c:v>
                </c:pt>
                <c:pt idx="19">
                  <c:v>22.3248</c:v>
                </c:pt>
                <c:pt idx="20">
                  <c:v>22.245200000000001</c:v>
                </c:pt>
                <c:pt idx="21">
                  <c:v>22.3782</c:v>
                </c:pt>
                <c:pt idx="22">
                  <c:v>22.452500000000001</c:v>
                </c:pt>
                <c:pt idx="23">
                  <c:v>22.521899999999999</c:v>
                </c:pt>
                <c:pt idx="24">
                  <c:v>22.6218</c:v>
                </c:pt>
                <c:pt idx="25">
                  <c:v>22.668700000000001</c:v>
                </c:pt>
                <c:pt idx="26">
                  <c:v>22.710100000000001</c:v>
                </c:pt>
                <c:pt idx="27">
                  <c:v>22.791700000000002</c:v>
                </c:pt>
                <c:pt idx="28">
                  <c:v>22.807500000000001</c:v>
                </c:pt>
                <c:pt idx="29">
                  <c:v>22.830500000000001</c:v>
                </c:pt>
                <c:pt idx="30">
                  <c:v>22.833400000000001</c:v>
                </c:pt>
                <c:pt idx="31">
                  <c:v>22.830500000000001</c:v>
                </c:pt>
                <c:pt idx="32">
                  <c:v>22.793399999999998</c:v>
                </c:pt>
                <c:pt idx="33">
                  <c:v>22.7714</c:v>
                </c:pt>
                <c:pt idx="34">
                  <c:v>22.777799999999999</c:v>
                </c:pt>
                <c:pt idx="35">
                  <c:v>22.7742</c:v>
                </c:pt>
                <c:pt idx="36">
                  <c:v>22.762999999999998</c:v>
                </c:pt>
                <c:pt idx="37">
                  <c:v>22.732800000000001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6.0324900000000001</c:v>
                </c:pt>
                <c:pt idx="1">
                  <c:v>6.03613</c:v>
                </c:pt>
                <c:pt idx="2">
                  <c:v>6.0392999999999999</c:v>
                </c:pt>
                <c:pt idx="3">
                  <c:v>6.0404599999999995</c:v>
                </c:pt>
                <c:pt idx="4">
                  <c:v>6.0408200000000001</c:v>
                </c:pt>
                <c:pt idx="5">
                  <c:v>6.0398800000000001</c:v>
                </c:pt>
                <c:pt idx="6">
                  <c:v>6.0401000000000007</c:v>
                </c:pt>
                <c:pt idx="7">
                  <c:v>6.0441500000000001</c:v>
                </c:pt>
                <c:pt idx="8">
                  <c:v>6.0527899999999999</c:v>
                </c:pt>
                <c:pt idx="9">
                  <c:v>6.0628599999999997</c:v>
                </c:pt>
                <c:pt idx="10">
                  <c:v>6.0667499999999999</c:v>
                </c:pt>
                <c:pt idx="11">
                  <c:v>6.0714800000000002</c:v>
                </c:pt>
                <c:pt idx="12">
                  <c:v>6.07531</c:v>
                </c:pt>
                <c:pt idx="13">
                  <c:v>6.077630000000001</c:v>
                </c:pt>
                <c:pt idx="14">
                  <c:v>6.0808600000000004</c:v>
                </c:pt>
                <c:pt idx="15">
                  <c:v>6.0848199999999997</c:v>
                </c:pt>
                <c:pt idx="16">
                  <c:v>6.0871200000000005</c:v>
                </c:pt>
                <c:pt idx="17">
                  <c:v>6.0916899999999998</c:v>
                </c:pt>
                <c:pt idx="18">
                  <c:v>6.0951399999999998</c:v>
                </c:pt>
                <c:pt idx="19">
                  <c:v>6.0968</c:v>
                </c:pt>
                <c:pt idx="20">
                  <c:v>6.1002500000000008</c:v>
                </c:pt>
                <c:pt idx="21">
                  <c:v>6.1093900000000003</c:v>
                </c:pt>
                <c:pt idx="22">
                  <c:v>6.1216299999999997</c:v>
                </c:pt>
                <c:pt idx="23">
                  <c:v>6.1319299999999997</c:v>
                </c:pt>
                <c:pt idx="24">
                  <c:v>6.1417299999999999</c:v>
                </c:pt>
                <c:pt idx="25">
                  <c:v>6.1487400000000001</c:v>
                </c:pt>
                <c:pt idx="26">
                  <c:v>6.1490799999999997</c:v>
                </c:pt>
                <c:pt idx="27">
                  <c:v>6.15001</c:v>
                </c:pt>
                <c:pt idx="28">
                  <c:v>6.15611</c:v>
                </c:pt>
                <c:pt idx="29">
                  <c:v>6.1604200000000002</c:v>
                </c:pt>
                <c:pt idx="30">
                  <c:v>6.1690800000000001</c:v>
                </c:pt>
                <c:pt idx="31">
                  <c:v>6.1755700000000004</c:v>
                </c:pt>
                <c:pt idx="32">
                  <c:v>6.1659799999999994</c:v>
                </c:pt>
                <c:pt idx="33">
                  <c:v>6.1523099999999999</c:v>
                </c:pt>
                <c:pt idx="34">
                  <c:v>6.1343700000000005</c:v>
                </c:pt>
                <c:pt idx="35">
                  <c:v>6.1431400000000007</c:v>
                </c:pt>
                <c:pt idx="36">
                  <c:v>6.1574099999999996</c:v>
                </c:pt>
                <c:pt idx="37">
                  <c:v>6.1563199999999991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22.732800000000001</c:v>
                </c:pt>
                <c:pt idx="1">
                  <c:v>22.6813</c:v>
                </c:pt>
                <c:pt idx="2">
                  <c:v>22.670299999999997</c:v>
                </c:pt>
                <c:pt idx="3">
                  <c:v>22.6752</c:v>
                </c:pt>
                <c:pt idx="4">
                  <c:v>22.668600000000001</c:v>
                </c:pt>
                <c:pt idx="5">
                  <c:v>22.616199999999999</c:v>
                </c:pt>
                <c:pt idx="6">
                  <c:v>22.4983</c:v>
                </c:pt>
                <c:pt idx="7">
                  <c:v>22.3537</c:v>
                </c:pt>
                <c:pt idx="8">
                  <c:v>22.0947</c:v>
                </c:pt>
                <c:pt idx="9">
                  <c:v>21.8674</c:v>
                </c:pt>
                <c:pt idx="10">
                  <c:v>21.767400000000002</c:v>
                </c:pt>
                <c:pt idx="11">
                  <c:v>21.6952</c:v>
                </c:pt>
                <c:pt idx="12">
                  <c:v>21.681100000000001</c:v>
                </c:pt>
                <c:pt idx="13">
                  <c:v>21.677399999999999</c:v>
                </c:pt>
                <c:pt idx="14">
                  <c:v>21.637700000000002</c:v>
                </c:pt>
                <c:pt idx="15">
                  <c:v>21.576000000000001</c:v>
                </c:pt>
                <c:pt idx="16">
                  <c:v>21.5138</c:v>
                </c:pt>
                <c:pt idx="17">
                  <c:v>21.470800000000001</c:v>
                </c:pt>
                <c:pt idx="18">
                  <c:v>21.4251</c:v>
                </c:pt>
                <c:pt idx="19">
                  <c:v>21.379300000000001</c:v>
                </c:pt>
                <c:pt idx="20">
                  <c:v>21.296300000000002</c:v>
                </c:pt>
                <c:pt idx="21">
                  <c:v>21.179100000000002</c:v>
                </c:pt>
                <c:pt idx="22">
                  <c:v>21.049399999999999</c:v>
                </c:pt>
                <c:pt idx="23">
                  <c:v>20.910699999999999</c:v>
                </c:pt>
                <c:pt idx="24">
                  <c:v>20.798300000000001</c:v>
                </c:pt>
                <c:pt idx="25">
                  <c:v>20.724400000000003</c:v>
                </c:pt>
                <c:pt idx="26">
                  <c:v>20.621300000000002</c:v>
                </c:pt>
                <c:pt idx="27">
                  <c:v>20.435300000000002</c:v>
                </c:pt>
                <c:pt idx="28">
                  <c:v>20.199300000000001</c:v>
                </c:pt>
                <c:pt idx="29">
                  <c:v>20.008200000000002</c:v>
                </c:pt>
                <c:pt idx="30">
                  <c:v>19.8626</c:v>
                </c:pt>
                <c:pt idx="31">
                  <c:v>19.882999999999999</c:v>
                </c:pt>
                <c:pt idx="32">
                  <c:v>19.933400000000002</c:v>
                </c:pt>
                <c:pt idx="33">
                  <c:v>20.233599999999999</c:v>
                </c:pt>
                <c:pt idx="34">
                  <c:v>20.564599999999999</c:v>
                </c:pt>
                <c:pt idx="35">
                  <c:v>20.698800000000002</c:v>
                </c:pt>
                <c:pt idx="36">
                  <c:v>21.0261</c:v>
                </c:pt>
                <c:pt idx="37">
                  <c:v>20.939699999999998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5.1959199999999992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26.465572972972971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6.1006413513513529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21.354235135135134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6.1006413513513529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21.354235135135134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0.23480051311327768</c:v>
                </c:pt>
                <c:pt idx="1">
                  <c:v>0.32702140846039318</c:v>
                </c:pt>
                <c:pt idx="2">
                  <c:v>0.43817807842632905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0.39998299999999998</c:v>
                </c:pt>
                <c:pt idx="2">
                  <c:v>0.807944</c:v>
                </c:pt>
                <c:pt idx="3">
                  <c:v>1.2147399999999999</c:v>
                </c:pt>
                <c:pt idx="4">
                  <c:v>1.62233</c:v>
                </c:pt>
                <c:pt idx="5">
                  <c:v>2.0251399999999999</c:v>
                </c:pt>
                <c:pt idx="6">
                  <c:v>2.43004</c:v>
                </c:pt>
                <c:pt idx="7">
                  <c:v>2.8397199999999998</c:v>
                </c:pt>
                <c:pt idx="8">
                  <c:v>3.2464300000000001</c:v>
                </c:pt>
                <c:pt idx="9">
                  <c:v>3.65455</c:v>
                </c:pt>
                <c:pt idx="10">
                  <c:v>4.0582599999999998</c:v>
                </c:pt>
                <c:pt idx="11">
                  <c:v>4.4641099999999998</c:v>
                </c:pt>
                <c:pt idx="12">
                  <c:v>4.8695199999999996</c:v>
                </c:pt>
                <c:pt idx="13">
                  <c:v>5.2762500000000001</c:v>
                </c:pt>
                <c:pt idx="14">
                  <c:v>5.6826400000000001</c:v>
                </c:pt>
                <c:pt idx="15">
                  <c:v>6.0923100000000003</c:v>
                </c:pt>
                <c:pt idx="16">
                  <c:v>6.4954299999999998</c:v>
                </c:pt>
                <c:pt idx="17">
                  <c:v>6.9037499999999996</c:v>
                </c:pt>
                <c:pt idx="18">
                  <c:v>7.3100399999999999</c:v>
                </c:pt>
                <c:pt idx="19">
                  <c:v>7.7149000000000001</c:v>
                </c:pt>
                <c:pt idx="20">
                  <c:v>8.1226299999999991</c:v>
                </c:pt>
                <c:pt idx="21">
                  <c:v>8.5257400000000008</c:v>
                </c:pt>
                <c:pt idx="22">
                  <c:v>8.9326899999999991</c:v>
                </c:pt>
                <c:pt idx="23">
                  <c:v>9.3414000000000001</c:v>
                </c:pt>
                <c:pt idx="24">
                  <c:v>9.7424199999999992</c:v>
                </c:pt>
                <c:pt idx="25">
                  <c:v>10.150499999999999</c:v>
                </c:pt>
                <c:pt idx="26">
                  <c:v>10.5572</c:v>
                </c:pt>
                <c:pt idx="27">
                  <c:v>10.9635</c:v>
                </c:pt>
                <c:pt idx="28">
                  <c:v>11.3697</c:v>
                </c:pt>
                <c:pt idx="29">
                  <c:v>11.775399999999999</c:v>
                </c:pt>
                <c:pt idx="30">
                  <c:v>12.1815</c:v>
                </c:pt>
                <c:pt idx="31">
                  <c:v>12.5916</c:v>
                </c:pt>
                <c:pt idx="32">
                  <c:v>12.997299999999999</c:v>
                </c:pt>
                <c:pt idx="33">
                  <c:v>13.403499999999999</c:v>
                </c:pt>
                <c:pt idx="34">
                  <c:v>13.808299999999999</c:v>
                </c:pt>
                <c:pt idx="35">
                  <c:v>14.215999999999999</c:v>
                </c:pt>
                <c:pt idx="36">
                  <c:v>14.6213</c:v>
                </c:pt>
                <c:pt idx="37">
                  <c:v>15.0318</c:v>
                </c:pt>
                <c:pt idx="38">
                  <c:v>15.561</c:v>
                </c:pt>
                <c:pt idx="39">
                  <c:v>15.9316</c:v>
                </c:pt>
                <c:pt idx="40">
                  <c:v>16.308900000000001</c:v>
                </c:pt>
                <c:pt idx="41">
                  <c:v>16.696999999999999</c:v>
                </c:pt>
                <c:pt idx="42">
                  <c:v>17.1065</c:v>
                </c:pt>
                <c:pt idx="43">
                  <c:v>17.5108</c:v>
                </c:pt>
                <c:pt idx="44">
                  <c:v>17.9192</c:v>
                </c:pt>
                <c:pt idx="45">
                  <c:v>18.325199999999999</c:v>
                </c:pt>
                <c:pt idx="46">
                  <c:v>18.728100000000001</c:v>
                </c:pt>
                <c:pt idx="47">
                  <c:v>19.134899999999998</c:v>
                </c:pt>
                <c:pt idx="48">
                  <c:v>19.541799999999999</c:v>
                </c:pt>
                <c:pt idx="49">
                  <c:v>19.952300000000001</c:v>
                </c:pt>
                <c:pt idx="50">
                  <c:v>20.354500000000002</c:v>
                </c:pt>
                <c:pt idx="51">
                  <c:v>20.760999999999999</c:v>
                </c:pt>
                <c:pt idx="52">
                  <c:v>21.167300000000001</c:v>
                </c:pt>
                <c:pt idx="53">
                  <c:v>21.572700000000001</c:v>
                </c:pt>
                <c:pt idx="54">
                  <c:v>21.977699999999999</c:v>
                </c:pt>
                <c:pt idx="55">
                  <c:v>22.386700000000001</c:v>
                </c:pt>
                <c:pt idx="56">
                  <c:v>22.792899999999999</c:v>
                </c:pt>
                <c:pt idx="57">
                  <c:v>23.198599999999999</c:v>
                </c:pt>
                <c:pt idx="58">
                  <c:v>23.603400000000001</c:v>
                </c:pt>
                <c:pt idx="59">
                  <c:v>24.0151</c:v>
                </c:pt>
                <c:pt idx="60">
                  <c:v>24.417999999999999</c:v>
                </c:pt>
                <c:pt idx="61">
                  <c:v>24.824300000000001</c:v>
                </c:pt>
                <c:pt idx="62">
                  <c:v>25.228300000000001</c:v>
                </c:pt>
                <c:pt idx="63">
                  <c:v>25.637499999999999</c:v>
                </c:pt>
                <c:pt idx="64">
                  <c:v>26.0441</c:v>
                </c:pt>
                <c:pt idx="65">
                  <c:v>26.451000000000001</c:v>
                </c:pt>
                <c:pt idx="66">
                  <c:v>26.854900000000001</c:v>
                </c:pt>
                <c:pt idx="67">
                  <c:v>27.261800000000001</c:v>
                </c:pt>
                <c:pt idx="68">
                  <c:v>27.665400000000002</c:v>
                </c:pt>
                <c:pt idx="69">
                  <c:v>28.0748</c:v>
                </c:pt>
                <c:pt idx="70">
                  <c:v>28.477599999999999</c:v>
                </c:pt>
                <c:pt idx="71">
                  <c:v>28.8873</c:v>
                </c:pt>
                <c:pt idx="72">
                  <c:v>29.289400000000001</c:v>
                </c:pt>
                <c:pt idx="73">
                  <c:v>29.699400000000001</c:v>
                </c:pt>
                <c:pt idx="74">
                  <c:v>30.103100000000001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5"/>
                <c:pt idx="0">
                  <c:v>3.6580000000000004</c:v>
                </c:pt>
                <c:pt idx="1">
                  <c:v>3.7588200000000001</c:v>
                </c:pt>
                <c:pt idx="2">
                  <c:v>3.8610699999999998</c:v>
                </c:pt>
                <c:pt idx="3">
                  <c:v>3.96523</c:v>
                </c:pt>
                <c:pt idx="4">
                  <c:v>4.0701499999999999</c:v>
                </c:pt>
                <c:pt idx="5">
                  <c:v>4.17354</c:v>
                </c:pt>
                <c:pt idx="6">
                  <c:v>4.2745100000000003</c:v>
                </c:pt>
                <c:pt idx="7">
                  <c:v>4.3776999999999999</c:v>
                </c:pt>
                <c:pt idx="8">
                  <c:v>4.4874299999999998</c:v>
                </c:pt>
                <c:pt idx="9">
                  <c:v>4.5946600000000002</c:v>
                </c:pt>
                <c:pt idx="10">
                  <c:v>4.6987800000000002</c:v>
                </c:pt>
                <c:pt idx="11">
                  <c:v>4.8066199999999997</c:v>
                </c:pt>
                <c:pt idx="12">
                  <c:v>4.9092900000000004</c:v>
                </c:pt>
                <c:pt idx="13">
                  <c:v>4.9804199999999996</c:v>
                </c:pt>
                <c:pt idx="14">
                  <c:v>5.0744599999999993</c:v>
                </c:pt>
                <c:pt idx="15">
                  <c:v>5.1632299999999995</c:v>
                </c:pt>
                <c:pt idx="16">
                  <c:v>5.2486299999999995</c:v>
                </c:pt>
                <c:pt idx="17">
                  <c:v>5.3481800000000002</c:v>
                </c:pt>
                <c:pt idx="18">
                  <c:v>5.4224799999999993</c:v>
                </c:pt>
                <c:pt idx="19">
                  <c:v>5.4797700000000003</c:v>
                </c:pt>
                <c:pt idx="20">
                  <c:v>5.5541499999999999</c:v>
                </c:pt>
                <c:pt idx="21">
                  <c:v>5.6098099999999995</c:v>
                </c:pt>
                <c:pt idx="22">
                  <c:v>5.6658499999999998</c:v>
                </c:pt>
                <c:pt idx="23">
                  <c:v>5.7180900000000001</c:v>
                </c:pt>
                <c:pt idx="24">
                  <c:v>5.7638699999999998</c:v>
                </c:pt>
                <c:pt idx="25">
                  <c:v>5.8134300000000003</c:v>
                </c:pt>
                <c:pt idx="26">
                  <c:v>5.8560599999999994</c:v>
                </c:pt>
                <c:pt idx="27">
                  <c:v>5.8928199999999995</c:v>
                </c:pt>
                <c:pt idx="28">
                  <c:v>5.9257299999999997</c:v>
                </c:pt>
                <c:pt idx="29">
                  <c:v>5.9549399999999997</c:v>
                </c:pt>
                <c:pt idx="30">
                  <c:v>5.9807500000000005</c:v>
                </c:pt>
                <c:pt idx="31">
                  <c:v>6.0057099999999997</c:v>
                </c:pt>
                <c:pt idx="32">
                  <c:v>6.0233800000000004</c:v>
                </c:pt>
                <c:pt idx="33">
                  <c:v>6.0319699999999994</c:v>
                </c:pt>
                <c:pt idx="34">
                  <c:v>6.0320799999999997</c:v>
                </c:pt>
                <c:pt idx="35">
                  <c:v>6.0342799999999999</c:v>
                </c:pt>
                <c:pt idx="36">
                  <c:v>6.0331500000000009</c:v>
                </c:pt>
                <c:pt idx="37">
                  <c:v>6.0324900000000001</c:v>
                </c:pt>
                <c:pt idx="38">
                  <c:v>6.03613</c:v>
                </c:pt>
                <c:pt idx="39">
                  <c:v>6.0392999999999999</c:v>
                </c:pt>
                <c:pt idx="40">
                  <c:v>6.0404599999999995</c:v>
                </c:pt>
                <c:pt idx="41">
                  <c:v>6.0408200000000001</c:v>
                </c:pt>
                <c:pt idx="42">
                  <c:v>6.0398800000000001</c:v>
                </c:pt>
                <c:pt idx="43">
                  <c:v>6.0401000000000007</c:v>
                </c:pt>
                <c:pt idx="44">
                  <c:v>6.0441500000000001</c:v>
                </c:pt>
                <c:pt idx="45">
                  <c:v>6.0527899999999999</c:v>
                </c:pt>
                <c:pt idx="46">
                  <c:v>6.0628599999999997</c:v>
                </c:pt>
                <c:pt idx="47">
                  <c:v>6.0667499999999999</c:v>
                </c:pt>
                <c:pt idx="48">
                  <c:v>6.0714800000000002</c:v>
                </c:pt>
                <c:pt idx="49">
                  <c:v>6.07531</c:v>
                </c:pt>
                <c:pt idx="50">
                  <c:v>6.077630000000001</c:v>
                </c:pt>
                <c:pt idx="51">
                  <c:v>6.0808600000000004</c:v>
                </c:pt>
                <c:pt idx="52">
                  <c:v>6.0848199999999997</c:v>
                </c:pt>
                <c:pt idx="53">
                  <c:v>6.0871200000000005</c:v>
                </c:pt>
                <c:pt idx="54">
                  <c:v>6.0916899999999998</c:v>
                </c:pt>
                <c:pt idx="55">
                  <c:v>6.0951399999999998</c:v>
                </c:pt>
                <c:pt idx="56">
                  <c:v>6.0968</c:v>
                </c:pt>
                <c:pt idx="57">
                  <c:v>6.1002500000000008</c:v>
                </c:pt>
                <c:pt idx="58">
                  <c:v>6.1093900000000003</c:v>
                </c:pt>
                <c:pt idx="59">
                  <c:v>6.1216299999999997</c:v>
                </c:pt>
                <c:pt idx="60">
                  <c:v>6.1319299999999997</c:v>
                </c:pt>
                <c:pt idx="61">
                  <c:v>6.1417299999999999</c:v>
                </c:pt>
                <c:pt idx="62">
                  <c:v>6.1487400000000001</c:v>
                </c:pt>
                <c:pt idx="63">
                  <c:v>6.1490799999999997</c:v>
                </c:pt>
                <c:pt idx="64">
                  <c:v>6.15001</c:v>
                </c:pt>
                <c:pt idx="65">
                  <c:v>6.15611</c:v>
                </c:pt>
                <c:pt idx="66">
                  <c:v>6.1604200000000002</c:v>
                </c:pt>
                <c:pt idx="67">
                  <c:v>6.1690800000000001</c:v>
                </c:pt>
                <c:pt idx="68">
                  <c:v>6.1755700000000004</c:v>
                </c:pt>
                <c:pt idx="69">
                  <c:v>6.1659799999999994</c:v>
                </c:pt>
                <c:pt idx="70">
                  <c:v>6.1523099999999999</c:v>
                </c:pt>
                <c:pt idx="71">
                  <c:v>6.1343700000000005</c:v>
                </c:pt>
                <c:pt idx="72">
                  <c:v>6.1431400000000007</c:v>
                </c:pt>
                <c:pt idx="73">
                  <c:v>6.1574099999999996</c:v>
                </c:pt>
                <c:pt idx="74">
                  <c:v>6.1563199999999991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0.39998299999999998</c:v>
                </c:pt>
                <c:pt idx="2">
                  <c:v>0.807944</c:v>
                </c:pt>
                <c:pt idx="3">
                  <c:v>1.2147399999999999</c:v>
                </c:pt>
                <c:pt idx="4">
                  <c:v>1.62233</c:v>
                </c:pt>
                <c:pt idx="5">
                  <c:v>2.0251399999999999</c:v>
                </c:pt>
                <c:pt idx="6">
                  <c:v>2.43004</c:v>
                </c:pt>
                <c:pt idx="7">
                  <c:v>2.8397199999999998</c:v>
                </c:pt>
                <c:pt idx="8">
                  <c:v>3.2464300000000001</c:v>
                </c:pt>
                <c:pt idx="9">
                  <c:v>3.65455</c:v>
                </c:pt>
                <c:pt idx="10">
                  <c:v>4.0582599999999998</c:v>
                </c:pt>
                <c:pt idx="11">
                  <c:v>4.4641099999999998</c:v>
                </c:pt>
                <c:pt idx="12">
                  <c:v>4.8695199999999996</c:v>
                </c:pt>
                <c:pt idx="13">
                  <c:v>5.2762500000000001</c:v>
                </c:pt>
                <c:pt idx="14">
                  <c:v>5.6826400000000001</c:v>
                </c:pt>
                <c:pt idx="15">
                  <c:v>6.0923100000000003</c:v>
                </c:pt>
                <c:pt idx="16">
                  <c:v>6.4954299999999998</c:v>
                </c:pt>
                <c:pt idx="17">
                  <c:v>6.9037499999999996</c:v>
                </c:pt>
                <c:pt idx="18">
                  <c:v>7.3100399999999999</c:v>
                </c:pt>
                <c:pt idx="19">
                  <c:v>7.7149000000000001</c:v>
                </c:pt>
                <c:pt idx="20">
                  <c:v>8.1226299999999991</c:v>
                </c:pt>
                <c:pt idx="21">
                  <c:v>8.5257400000000008</c:v>
                </c:pt>
                <c:pt idx="22">
                  <c:v>8.9326899999999991</c:v>
                </c:pt>
                <c:pt idx="23">
                  <c:v>9.3414000000000001</c:v>
                </c:pt>
                <c:pt idx="24">
                  <c:v>9.7424199999999992</c:v>
                </c:pt>
                <c:pt idx="25">
                  <c:v>10.150499999999999</c:v>
                </c:pt>
                <c:pt idx="26">
                  <c:v>10.5572</c:v>
                </c:pt>
                <c:pt idx="27">
                  <c:v>10.9635</c:v>
                </c:pt>
                <c:pt idx="28">
                  <c:v>11.3697</c:v>
                </c:pt>
                <c:pt idx="29">
                  <c:v>11.775399999999999</c:v>
                </c:pt>
                <c:pt idx="30">
                  <c:v>12.1815</c:v>
                </c:pt>
                <c:pt idx="31">
                  <c:v>12.5916</c:v>
                </c:pt>
                <c:pt idx="32">
                  <c:v>12.997299999999999</c:v>
                </c:pt>
                <c:pt idx="33">
                  <c:v>13.403499999999999</c:v>
                </c:pt>
                <c:pt idx="34">
                  <c:v>13.808299999999999</c:v>
                </c:pt>
                <c:pt idx="35">
                  <c:v>14.215999999999999</c:v>
                </c:pt>
                <c:pt idx="36">
                  <c:v>14.6213</c:v>
                </c:pt>
                <c:pt idx="37">
                  <c:v>15.0318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8"/>
                <c:pt idx="0">
                  <c:v>3.6580000000000004</c:v>
                </c:pt>
                <c:pt idx="1">
                  <c:v>3.7588200000000001</c:v>
                </c:pt>
                <c:pt idx="2">
                  <c:v>3.8610699999999998</c:v>
                </c:pt>
                <c:pt idx="3">
                  <c:v>3.96523</c:v>
                </c:pt>
                <c:pt idx="4">
                  <c:v>4.0701499999999999</c:v>
                </c:pt>
                <c:pt idx="5">
                  <c:v>4.17354</c:v>
                </c:pt>
                <c:pt idx="6">
                  <c:v>4.2745100000000003</c:v>
                </c:pt>
                <c:pt idx="7">
                  <c:v>4.3776999999999999</c:v>
                </c:pt>
                <c:pt idx="8">
                  <c:v>4.4874299999999998</c:v>
                </c:pt>
                <c:pt idx="9">
                  <c:v>4.5946600000000002</c:v>
                </c:pt>
                <c:pt idx="10">
                  <c:v>4.6987800000000002</c:v>
                </c:pt>
                <c:pt idx="11">
                  <c:v>4.8066199999999997</c:v>
                </c:pt>
                <c:pt idx="12">
                  <c:v>4.9092900000000004</c:v>
                </c:pt>
                <c:pt idx="13">
                  <c:v>4.9804199999999996</c:v>
                </c:pt>
                <c:pt idx="14">
                  <c:v>5.0744599999999993</c:v>
                </c:pt>
                <c:pt idx="15">
                  <c:v>5.1632299999999995</c:v>
                </c:pt>
                <c:pt idx="16">
                  <c:v>5.2486299999999995</c:v>
                </c:pt>
                <c:pt idx="17">
                  <c:v>5.3481800000000002</c:v>
                </c:pt>
                <c:pt idx="18">
                  <c:v>5.4224799999999993</c:v>
                </c:pt>
                <c:pt idx="19">
                  <c:v>5.4797700000000003</c:v>
                </c:pt>
                <c:pt idx="20">
                  <c:v>5.5541499999999999</c:v>
                </c:pt>
                <c:pt idx="21">
                  <c:v>5.6098099999999995</c:v>
                </c:pt>
                <c:pt idx="22">
                  <c:v>5.6658499999999998</c:v>
                </c:pt>
                <c:pt idx="23">
                  <c:v>5.7180900000000001</c:v>
                </c:pt>
                <c:pt idx="24">
                  <c:v>5.7638699999999998</c:v>
                </c:pt>
                <c:pt idx="25">
                  <c:v>5.8134300000000003</c:v>
                </c:pt>
                <c:pt idx="26">
                  <c:v>5.8560599999999994</c:v>
                </c:pt>
                <c:pt idx="27">
                  <c:v>5.8928199999999995</c:v>
                </c:pt>
                <c:pt idx="28">
                  <c:v>5.9257299999999997</c:v>
                </c:pt>
                <c:pt idx="29">
                  <c:v>5.9549399999999997</c:v>
                </c:pt>
                <c:pt idx="30">
                  <c:v>5.9807500000000005</c:v>
                </c:pt>
                <c:pt idx="31">
                  <c:v>6.0057099999999997</c:v>
                </c:pt>
                <c:pt idx="32">
                  <c:v>6.0233800000000004</c:v>
                </c:pt>
                <c:pt idx="33">
                  <c:v>6.0319699999999994</c:v>
                </c:pt>
                <c:pt idx="34">
                  <c:v>6.0320799999999997</c:v>
                </c:pt>
                <c:pt idx="35">
                  <c:v>6.0342799999999999</c:v>
                </c:pt>
                <c:pt idx="36">
                  <c:v>6.0331500000000009</c:v>
                </c:pt>
                <c:pt idx="37">
                  <c:v>6.0324900000000001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15.0318</c:v>
                </c:pt>
                <c:pt idx="1">
                  <c:v>15.561</c:v>
                </c:pt>
                <c:pt idx="2">
                  <c:v>15.9316</c:v>
                </c:pt>
                <c:pt idx="3">
                  <c:v>16.308900000000001</c:v>
                </c:pt>
                <c:pt idx="4">
                  <c:v>16.696999999999999</c:v>
                </c:pt>
                <c:pt idx="5">
                  <c:v>17.1065</c:v>
                </c:pt>
                <c:pt idx="6">
                  <c:v>17.5108</c:v>
                </c:pt>
                <c:pt idx="7">
                  <c:v>17.9192</c:v>
                </c:pt>
                <c:pt idx="8">
                  <c:v>18.325199999999999</c:v>
                </c:pt>
                <c:pt idx="9">
                  <c:v>18.728100000000001</c:v>
                </c:pt>
                <c:pt idx="10">
                  <c:v>19.134899999999998</c:v>
                </c:pt>
                <c:pt idx="11">
                  <c:v>19.541799999999999</c:v>
                </c:pt>
                <c:pt idx="12">
                  <c:v>19.952300000000001</c:v>
                </c:pt>
                <c:pt idx="13">
                  <c:v>20.354500000000002</c:v>
                </c:pt>
                <c:pt idx="14">
                  <c:v>20.760999999999999</c:v>
                </c:pt>
                <c:pt idx="15">
                  <c:v>21.167300000000001</c:v>
                </c:pt>
                <c:pt idx="16">
                  <c:v>21.572700000000001</c:v>
                </c:pt>
                <c:pt idx="17">
                  <c:v>21.977699999999999</c:v>
                </c:pt>
                <c:pt idx="18">
                  <c:v>22.386700000000001</c:v>
                </c:pt>
                <c:pt idx="19">
                  <c:v>22.792899999999999</c:v>
                </c:pt>
                <c:pt idx="20">
                  <c:v>23.198599999999999</c:v>
                </c:pt>
                <c:pt idx="21">
                  <c:v>23.603400000000001</c:v>
                </c:pt>
                <c:pt idx="22">
                  <c:v>24.0151</c:v>
                </c:pt>
                <c:pt idx="23">
                  <c:v>24.417999999999999</c:v>
                </c:pt>
                <c:pt idx="24">
                  <c:v>24.824300000000001</c:v>
                </c:pt>
                <c:pt idx="25">
                  <c:v>25.228300000000001</c:v>
                </c:pt>
                <c:pt idx="26">
                  <c:v>25.637499999999999</c:v>
                </c:pt>
                <c:pt idx="27">
                  <c:v>26.0441</c:v>
                </c:pt>
                <c:pt idx="28">
                  <c:v>26.451000000000001</c:v>
                </c:pt>
                <c:pt idx="29">
                  <c:v>26.854900000000001</c:v>
                </c:pt>
                <c:pt idx="30">
                  <c:v>27.261800000000001</c:v>
                </c:pt>
                <c:pt idx="31">
                  <c:v>27.665400000000002</c:v>
                </c:pt>
                <c:pt idx="32">
                  <c:v>28.0748</c:v>
                </c:pt>
                <c:pt idx="33">
                  <c:v>28.477599999999999</c:v>
                </c:pt>
                <c:pt idx="34">
                  <c:v>28.8873</c:v>
                </c:pt>
                <c:pt idx="35">
                  <c:v>29.289400000000001</c:v>
                </c:pt>
                <c:pt idx="36">
                  <c:v>29.699400000000001</c:v>
                </c:pt>
                <c:pt idx="37">
                  <c:v>30.103100000000001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6.0324900000000001</c:v>
                </c:pt>
                <c:pt idx="1">
                  <c:v>6.03613</c:v>
                </c:pt>
                <c:pt idx="2">
                  <c:v>6.0392999999999999</c:v>
                </c:pt>
                <c:pt idx="3">
                  <c:v>6.0404599999999995</c:v>
                </c:pt>
                <c:pt idx="4">
                  <c:v>6.0408200000000001</c:v>
                </c:pt>
                <c:pt idx="5">
                  <c:v>6.0398800000000001</c:v>
                </c:pt>
                <c:pt idx="6">
                  <c:v>6.0401000000000007</c:v>
                </c:pt>
                <c:pt idx="7">
                  <c:v>6.0441500000000001</c:v>
                </c:pt>
                <c:pt idx="8">
                  <c:v>6.0527899999999999</c:v>
                </c:pt>
                <c:pt idx="9">
                  <c:v>6.0628599999999997</c:v>
                </c:pt>
                <c:pt idx="10">
                  <c:v>6.0667499999999999</c:v>
                </c:pt>
                <c:pt idx="11">
                  <c:v>6.0714800000000002</c:v>
                </c:pt>
                <c:pt idx="12">
                  <c:v>6.07531</c:v>
                </c:pt>
                <c:pt idx="13">
                  <c:v>6.077630000000001</c:v>
                </c:pt>
                <c:pt idx="14">
                  <c:v>6.0808600000000004</c:v>
                </c:pt>
                <c:pt idx="15">
                  <c:v>6.0848199999999997</c:v>
                </c:pt>
                <c:pt idx="16">
                  <c:v>6.0871200000000005</c:v>
                </c:pt>
                <c:pt idx="17">
                  <c:v>6.0916899999999998</c:v>
                </c:pt>
                <c:pt idx="18">
                  <c:v>6.0951399999999998</c:v>
                </c:pt>
                <c:pt idx="19">
                  <c:v>6.0968</c:v>
                </c:pt>
                <c:pt idx="20">
                  <c:v>6.1002500000000008</c:v>
                </c:pt>
                <c:pt idx="21">
                  <c:v>6.1093900000000003</c:v>
                </c:pt>
                <c:pt idx="22">
                  <c:v>6.1216299999999997</c:v>
                </c:pt>
                <c:pt idx="23">
                  <c:v>6.1319299999999997</c:v>
                </c:pt>
                <c:pt idx="24">
                  <c:v>6.1417299999999999</c:v>
                </c:pt>
                <c:pt idx="25">
                  <c:v>6.1487400000000001</c:v>
                </c:pt>
                <c:pt idx="26">
                  <c:v>6.1490799999999997</c:v>
                </c:pt>
                <c:pt idx="27">
                  <c:v>6.15001</c:v>
                </c:pt>
                <c:pt idx="28">
                  <c:v>6.15611</c:v>
                </c:pt>
                <c:pt idx="29">
                  <c:v>6.1604200000000002</c:v>
                </c:pt>
                <c:pt idx="30">
                  <c:v>6.1690800000000001</c:v>
                </c:pt>
                <c:pt idx="31">
                  <c:v>6.1755700000000004</c:v>
                </c:pt>
                <c:pt idx="32">
                  <c:v>6.1659799999999994</c:v>
                </c:pt>
                <c:pt idx="33">
                  <c:v>6.1523099999999999</c:v>
                </c:pt>
                <c:pt idx="34">
                  <c:v>6.1343700000000005</c:v>
                </c:pt>
                <c:pt idx="35">
                  <c:v>6.1431400000000007</c:v>
                </c:pt>
                <c:pt idx="36">
                  <c:v>6.1574099999999996</c:v>
                </c:pt>
                <c:pt idx="37">
                  <c:v>6.1563199999999991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7.5257750000000003</c:v>
                </c:pt>
                <c:pt idx="1">
                  <c:v>22.577325000000002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5.1959199999999992</c:v>
                </c:pt>
                <c:pt idx="1">
                  <c:v>6.1006413513513529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0.39998299999999998</c:v>
                </c:pt>
                <c:pt idx="2">
                  <c:v>0.807944</c:v>
                </c:pt>
                <c:pt idx="3">
                  <c:v>1.2147399999999999</c:v>
                </c:pt>
                <c:pt idx="4">
                  <c:v>1.62233</c:v>
                </c:pt>
                <c:pt idx="5">
                  <c:v>2.0251399999999999</c:v>
                </c:pt>
                <c:pt idx="6">
                  <c:v>2.43004</c:v>
                </c:pt>
                <c:pt idx="7">
                  <c:v>2.8397199999999998</c:v>
                </c:pt>
                <c:pt idx="8">
                  <c:v>3.2464300000000001</c:v>
                </c:pt>
                <c:pt idx="9">
                  <c:v>3.65455</c:v>
                </c:pt>
                <c:pt idx="10">
                  <c:v>4.0582599999999998</c:v>
                </c:pt>
                <c:pt idx="11">
                  <c:v>4.4641099999999998</c:v>
                </c:pt>
                <c:pt idx="12">
                  <c:v>4.8695199999999996</c:v>
                </c:pt>
                <c:pt idx="13">
                  <c:v>5.2762500000000001</c:v>
                </c:pt>
                <c:pt idx="14">
                  <c:v>5.6826400000000001</c:v>
                </c:pt>
                <c:pt idx="15">
                  <c:v>6.0923100000000003</c:v>
                </c:pt>
                <c:pt idx="16">
                  <c:v>6.4954299999999998</c:v>
                </c:pt>
                <c:pt idx="17">
                  <c:v>6.9037499999999996</c:v>
                </c:pt>
                <c:pt idx="18">
                  <c:v>7.3100399999999999</c:v>
                </c:pt>
                <c:pt idx="19">
                  <c:v>7.7149000000000001</c:v>
                </c:pt>
                <c:pt idx="20">
                  <c:v>8.1226299999999991</c:v>
                </c:pt>
                <c:pt idx="21">
                  <c:v>8.5257400000000008</c:v>
                </c:pt>
                <c:pt idx="22">
                  <c:v>8.9326899999999991</c:v>
                </c:pt>
                <c:pt idx="23">
                  <c:v>9.3414000000000001</c:v>
                </c:pt>
                <c:pt idx="24">
                  <c:v>9.7424199999999992</c:v>
                </c:pt>
                <c:pt idx="25">
                  <c:v>10.150499999999999</c:v>
                </c:pt>
                <c:pt idx="26">
                  <c:v>10.5572</c:v>
                </c:pt>
                <c:pt idx="27">
                  <c:v>10.9635</c:v>
                </c:pt>
                <c:pt idx="28">
                  <c:v>11.3697</c:v>
                </c:pt>
                <c:pt idx="29">
                  <c:v>11.775399999999999</c:v>
                </c:pt>
                <c:pt idx="30">
                  <c:v>12.1815</c:v>
                </c:pt>
                <c:pt idx="31">
                  <c:v>12.5916</c:v>
                </c:pt>
                <c:pt idx="32">
                  <c:v>12.997299999999999</c:v>
                </c:pt>
                <c:pt idx="33">
                  <c:v>13.403499999999999</c:v>
                </c:pt>
                <c:pt idx="34">
                  <c:v>13.808299999999999</c:v>
                </c:pt>
                <c:pt idx="35">
                  <c:v>14.215999999999999</c:v>
                </c:pt>
                <c:pt idx="36">
                  <c:v>14.6213</c:v>
                </c:pt>
                <c:pt idx="37">
                  <c:v>15.0318</c:v>
                </c:pt>
                <c:pt idx="38">
                  <c:v>15.561</c:v>
                </c:pt>
                <c:pt idx="39">
                  <c:v>15.9316</c:v>
                </c:pt>
                <c:pt idx="40">
                  <c:v>16.308900000000001</c:v>
                </c:pt>
                <c:pt idx="41">
                  <c:v>16.696999999999999</c:v>
                </c:pt>
                <c:pt idx="42">
                  <c:v>17.1065</c:v>
                </c:pt>
                <c:pt idx="43">
                  <c:v>17.5108</c:v>
                </c:pt>
                <c:pt idx="44">
                  <c:v>17.9192</c:v>
                </c:pt>
                <c:pt idx="45">
                  <c:v>18.325199999999999</c:v>
                </c:pt>
                <c:pt idx="46">
                  <c:v>18.728100000000001</c:v>
                </c:pt>
                <c:pt idx="47">
                  <c:v>19.134899999999998</c:v>
                </c:pt>
                <c:pt idx="48">
                  <c:v>19.541799999999999</c:v>
                </c:pt>
                <c:pt idx="49">
                  <c:v>19.952300000000001</c:v>
                </c:pt>
                <c:pt idx="50">
                  <c:v>20.354500000000002</c:v>
                </c:pt>
                <c:pt idx="51">
                  <c:v>20.760999999999999</c:v>
                </c:pt>
                <c:pt idx="52">
                  <c:v>21.167300000000001</c:v>
                </c:pt>
                <c:pt idx="53">
                  <c:v>21.572700000000001</c:v>
                </c:pt>
                <c:pt idx="54">
                  <c:v>21.977699999999999</c:v>
                </c:pt>
                <c:pt idx="55">
                  <c:v>22.386700000000001</c:v>
                </c:pt>
                <c:pt idx="56">
                  <c:v>22.792899999999999</c:v>
                </c:pt>
                <c:pt idx="57">
                  <c:v>23.198599999999999</c:v>
                </c:pt>
                <c:pt idx="58">
                  <c:v>23.603400000000001</c:v>
                </c:pt>
                <c:pt idx="59">
                  <c:v>24.0151</c:v>
                </c:pt>
                <c:pt idx="60">
                  <c:v>24.417999999999999</c:v>
                </c:pt>
                <c:pt idx="61">
                  <c:v>24.824300000000001</c:v>
                </c:pt>
                <c:pt idx="62">
                  <c:v>25.228300000000001</c:v>
                </c:pt>
                <c:pt idx="63">
                  <c:v>25.637499999999999</c:v>
                </c:pt>
                <c:pt idx="64">
                  <c:v>26.0441</c:v>
                </c:pt>
                <c:pt idx="65">
                  <c:v>26.451000000000001</c:v>
                </c:pt>
                <c:pt idx="66">
                  <c:v>26.854900000000001</c:v>
                </c:pt>
                <c:pt idx="67">
                  <c:v>27.261800000000001</c:v>
                </c:pt>
                <c:pt idx="68">
                  <c:v>27.665400000000002</c:v>
                </c:pt>
                <c:pt idx="69">
                  <c:v>28.0748</c:v>
                </c:pt>
                <c:pt idx="70">
                  <c:v>28.477599999999999</c:v>
                </c:pt>
                <c:pt idx="71">
                  <c:v>28.8873</c:v>
                </c:pt>
                <c:pt idx="72">
                  <c:v>29.289400000000001</c:v>
                </c:pt>
                <c:pt idx="73">
                  <c:v>29.699400000000001</c:v>
                </c:pt>
                <c:pt idx="74">
                  <c:v>30.103100000000001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40.731999999999999</c:v>
                </c:pt>
                <c:pt idx="1">
                  <c:v>39.6905</c:v>
                </c:pt>
                <c:pt idx="2">
                  <c:v>38.524000000000001</c:v>
                </c:pt>
                <c:pt idx="3">
                  <c:v>37.269000000000005</c:v>
                </c:pt>
                <c:pt idx="4">
                  <c:v>35.937899999999999</c:v>
                </c:pt>
                <c:pt idx="5">
                  <c:v>34.564499999999995</c:v>
                </c:pt>
                <c:pt idx="6">
                  <c:v>33.339999999999996</c:v>
                </c:pt>
                <c:pt idx="7">
                  <c:v>32.015599999999999</c:v>
                </c:pt>
                <c:pt idx="8">
                  <c:v>30.392499999999998</c:v>
                </c:pt>
                <c:pt idx="9">
                  <c:v>28.9862</c:v>
                </c:pt>
                <c:pt idx="10">
                  <c:v>27.6951</c:v>
                </c:pt>
                <c:pt idx="11">
                  <c:v>26.335199999999997</c:v>
                </c:pt>
                <c:pt idx="12">
                  <c:v>25.2257</c:v>
                </c:pt>
                <c:pt idx="13">
                  <c:v>24.885899999999999</c:v>
                </c:pt>
                <c:pt idx="14">
                  <c:v>24.153600000000001</c:v>
                </c:pt>
                <c:pt idx="15">
                  <c:v>23.543300000000002</c:v>
                </c:pt>
                <c:pt idx="16">
                  <c:v>23.121700000000001</c:v>
                </c:pt>
                <c:pt idx="17">
                  <c:v>22.565200000000001</c:v>
                </c:pt>
                <c:pt idx="18">
                  <c:v>22.351700000000001</c:v>
                </c:pt>
                <c:pt idx="19">
                  <c:v>22.3248</c:v>
                </c:pt>
                <c:pt idx="20">
                  <c:v>22.245200000000001</c:v>
                </c:pt>
                <c:pt idx="21">
                  <c:v>22.3782</c:v>
                </c:pt>
                <c:pt idx="22">
                  <c:v>22.452500000000001</c:v>
                </c:pt>
                <c:pt idx="23">
                  <c:v>22.521899999999999</c:v>
                </c:pt>
                <c:pt idx="24">
                  <c:v>22.6218</c:v>
                </c:pt>
                <c:pt idx="25">
                  <c:v>22.668700000000001</c:v>
                </c:pt>
                <c:pt idx="26">
                  <c:v>22.710100000000001</c:v>
                </c:pt>
                <c:pt idx="27">
                  <c:v>22.791700000000002</c:v>
                </c:pt>
                <c:pt idx="28">
                  <c:v>22.807500000000001</c:v>
                </c:pt>
                <c:pt idx="29">
                  <c:v>22.830500000000001</c:v>
                </c:pt>
                <c:pt idx="30">
                  <c:v>22.833400000000001</c:v>
                </c:pt>
                <c:pt idx="31">
                  <c:v>22.830500000000001</c:v>
                </c:pt>
                <c:pt idx="32">
                  <c:v>22.793399999999998</c:v>
                </c:pt>
                <c:pt idx="33">
                  <c:v>22.7714</c:v>
                </c:pt>
                <c:pt idx="34">
                  <c:v>22.777799999999999</c:v>
                </c:pt>
                <c:pt idx="35">
                  <c:v>22.7742</c:v>
                </c:pt>
                <c:pt idx="36">
                  <c:v>22.762999999999998</c:v>
                </c:pt>
                <c:pt idx="37">
                  <c:v>22.732800000000001</c:v>
                </c:pt>
                <c:pt idx="38">
                  <c:v>22.6813</c:v>
                </c:pt>
                <c:pt idx="39">
                  <c:v>22.670299999999997</c:v>
                </c:pt>
                <c:pt idx="40">
                  <c:v>22.6752</c:v>
                </c:pt>
                <c:pt idx="41">
                  <c:v>22.668600000000001</c:v>
                </c:pt>
                <c:pt idx="42">
                  <c:v>22.616199999999999</c:v>
                </c:pt>
                <c:pt idx="43">
                  <c:v>22.4983</c:v>
                </c:pt>
                <c:pt idx="44">
                  <c:v>22.3537</c:v>
                </c:pt>
                <c:pt idx="45">
                  <c:v>22.0947</c:v>
                </c:pt>
                <c:pt idx="46">
                  <c:v>21.8674</c:v>
                </c:pt>
                <c:pt idx="47">
                  <c:v>21.767400000000002</c:v>
                </c:pt>
                <c:pt idx="48">
                  <c:v>21.6952</c:v>
                </c:pt>
                <c:pt idx="49">
                  <c:v>21.681100000000001</c:v>
                </c:pt>
                <c:pt idx="50">
                  <c:v>21.677399999999999</c:v>
                </c:pt>
                <c:pt idx="51">
                  <c:v>21.637700000000002</c:v>
                </c:pt>
                <c:pt idx="52">
                  <c:v>21.576000000000001</c:v>
                </c:pt>
                <c:pt idx="53">
                  <c:v>21.5138</c:v>
                </c:pt>
                <c:pt idx="54">
                  <c:v>21.470800000000001</c:v>
                </c:pt>
                <c:pt idx="55">
                  <c:v>21.4251</c:v>
                </c:pt>
                <c:pt idx="56">
                  <c:v>21.379300000000001</c:v>
                </c:pt>
                <c:pt idx="57">
                  <c:v>21.296300000000002</c:v>
                </c:pt>
                <c:pt idx="58">
                  <c:v>21.179100000000002</c:v>
                </c:pt>
                <c:pt idx="59">
                  <c:v>21.049399999999999</c:v>
                </c:pt>
                <c:pt idx="60">
                  <c:v>20.910699999999999</c:v>
                </c:pt>
                <c:pt idx="61">
                  <c:v>20.798300000000001</c:v>
                </c:pt>
                <c:pt idx="62">
                  <c:v>20.724400000000003</c:v>
                </c:pt>
                <c:pt idx="63">
                  <c:v>20.621300000000002</c:v>
                </c:pt>
                <c:pt idx="64">
                  <c:v>20.435300000000002</c:v>
                </c:pt>
                <c:pt idx="65">
                  <c:v>20.199300000000001</c:v>
                </c:pt>
                <c:pt idx="66">
                  <c:v>20.008200000000002</c:v>
                </c:pt>
                <c:pt idx="67">
                  <c:v>19.8626</c:v>
                </c:pt>
                <c:pt idx="68">
                  <c:v>19.882999999999999</c:v>
                </c:pt>
                <c:pt idx="69">
                  <c:v>19.933400000000002</c:v>
                </c:pt>
                <c:pt idx="70">
                  <c:v>20.233599999999999</c:v>
                </c:pt>
                <c:pt idx="71">
                  <c:v>20.564599999999999</c:v>
                </c:pt>
                <c:pt idx="72">
                  <c:v>20.698800000000002</c:v>
                </c:pt>
                <c:pt idx="73">
                  <c:v>21.0261</c:v>
                </c:pt>
                <c:pt idx="74">
                  <c:v>20.939699999999998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0.39998299999999998</c:v>
                </c:pt>
                <c:pt idx="2">
                  <c:v>0.807944</c:v>
                </c:pt>
                <c:pt idx="3">
                  <c:v>1.2147399999999999</c:v>
                </c:pt>
                <c:pt idx="4">
                  <c:v>1.62233</c:v>
                </c:pt>
                <c:pt idx="5">
                  <c:v>2.0251399999999999</c:v>
                </c:pt>
                <c:pt idx="6">
                  <c:v>2.43004</c:v>
                </c:pt>
                <c:pt idx="7">
                  <c:v>2.8397199999999998</c:v>
                </c:pt>
                <c:pt idx="8">
                  <c:v>3.2464300000000001</c:v>
                </c:pt>
                <c:pt idx="9">
                  <c:v>3.65455</c:v>
                </c:pt>
                <c:pt idx="10">
                  <c:v>4.0582599999999998</c:v>
                </c:pt>
                <c:pt idx="11">
                  <c:v>4.4641099999999998</c:v>
                </c:pt>
                <c:pt idx="12">
                  <c:v>4.8695199999999996</c:v>
                </c:pt>
                <c:pt idx="13">
                  <c:v>5.2762500000000001</c:v>
                </c:pt>
                <c:pt idx="14">
                  <c:v>5.6826400000000001</c:v>
                </c:pt>
                <c:pt idx="15">
                  <c:v>6.0923100000000003</c:v>
                </c:pt>
                <c:pt idx="16">
                  <c:v>6.4954299999999998</c:v>
                </c:pt>
                <c:pt idx="17">
                  <c:v>6.9037499999999996</c:v>
                </c:pt>
                <c:pt idx="18">
                  <c:v>7.3100399999999999</c:v>
                </c:pt>
                <c:pt idx="19">
                  <c:v>7.7149000000000001</c:v>
                </c:pt>
                <c:pt idx="20">
                  <c:v>8.1226299999999991</c:v>
                </c:pt>
                <c:pt idx="21">
                  <c:v>8.5257400000000008</c:v>
                </c:pt>
                <c:pt idx="22">
                  <c:v>8.9326899999999991</c:v>
                </c:pt>
                <c:pt idx="23">
                  <c:v>9.3414000000000001</c:v>
                </c:pt>
                <c:pt idx="24">
                  <c:v>9.7424199999999992</c:v>
                </c:pt>
                <c:pt idx="25">
                  <c:v>10.150499999999999</c:v>
                </c:pt>
                <c:pt idx="26">
                  <c:v>10.5572</c:v>
                </c:pt>
                <c:pt idx="27">
                  <c:v>10.9635</c:v>
                </c:pt>
                <c:pt idx="28">
                  <c:v>11.3697</c:v>
                </c:pt>
                <c:pt idx="29">
                  <c:v>11.775399999999999</c:v>
                </c:pt>
                <c:pt idx="30">
                  <c:v>12.1815</c:v>
                </c:pt>
                <c:pt idx="31">
                  <c:v>12.5916</c:v>
                </c:pt>
                <c:pt idx="32">
                  <c:v>12.997299999999999</c:v>
                </c:pt>
                <c:pt idx="33">
                  <c:v>13.403499999999999</c:v>
                </c:pt>
                <c:pt idx="34">
                  <c:v>13.808299999999999</c:v>
                </c:pt>
                <c:pt idx="35">
                  <c:v>14.215999999999999</c:v>
                </c:pt>
                <c:pt idx="36">
                  <c:v>14.6213</c:v>
                </c:pt>
                <c:pt idx="37">
                  <c:v>15.0318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40.731999999999999</c:v>
                </c:pt>
                <c:pt idx="1">
                  <c:v>39.6905</c:v>
                </c:pt>
                <c:pt idx="2">
                  <c:v>38.524000000000001</c:v>
                </c:pt>
                <c:pt idx="3">
                  <c:v>37.269000000000005</c:v>
                </c:pt>
                <c:pt idx="4">
                  <c:v>35.937899999999999</c:v>
                </c:pt>
                <c:pt idx="5">
                  <c:v>34.564499999999995</c:v>
                </c:pt>
                <c:pt idx="6">
                  <c:v>33.339999999999996</c:v>
                </c:pt>
                <c:pt idx="7">
                  <c:v>32.015599999999999</c:v>
                </c:pt>
                <c:pt idx="8">
                  <c:v>30.392499999999998</c:v>
                </c:pt>
                <c:pt idx="9">
                  <c:v>28.9862</c:v>
                </c:pt>
                <c:pt idx="10">
                  <c:v>27.6951</c:v>
                </c:pt>
                <c:pt idx="11">
                  <c:v>26.335199999999997</c:v>
                </c:pt>
                <c:pt idx="12">
                  <c:v>25.2257</c:v>
                </c:pt>
                <c:pt idx="13">
                  <c:v>24.885899999999999</c:v>
                </c:pt>
                <c:pt idx="14">
                  <c:v>24.153600000000001</c:v>
                </c:pt>
                <c:pt idx="15">
                  <c:v>23.543300000000002</c:v>
                </c:pt>
                <c:pt idx="16">
                  <c:v>23.121700000000001</c:v>
                </c:pt>
                <c:pt idx="17">
                  <c:v>22.565200000000001</c:v>
                </c:pt>
                <c:pt idx="18">
                  <c:v>22.351700000000001</c:v>
                </c:pt>
                <c:pt idx="19">
                  <c:v>22.3248</c:v>
                </c:pt>
                <c:pt idx="20">
                  <c:v>22.245200000000001</c:v>
                </c:pt>
                <c:pt idx="21">
                  <c:v>22.3782</c:v>
                </c:pt>
                <c:pt idx="22">
                  <c:v>22.452500000000001</c:v>
                </c:pt>
                <c:pt idx="23">
                  <c:v>22.521899999999999</c:v>
                </c:pt>
                <c:pt idx="24">
                  <c:v>22.6218</c:v>
                </c:pt>
                <c:pt idx="25">
                  <c:v>22.668700000000001</c:v>
                </c:pt>
                <c:pt idx="26">
                  <c:v>22.710100000000001</c:v>
                </c:pt>
                <c:pt idx="27">
                  <c:v>22.791700000000002</c:v>
                </c:pt>
                <c:pt idx="28">
                  <c:v>22.807500000000001</c:v>
                </c:pt>
                <c:pt idx="29">
                  <c:v>22.830500000000001</c:v>
                </c:pt>
                <c:pt idx="30">
                  <c:v>22.833400000000001</c:v>
                </c:pt>
                <c:pt idx="31">
                  <c:v>22.830500000000001</c:v>
                </c:pt>
                <c:pt idx="32">
                  <c:v>22.793399999999998</c:v>
                </c:pt>
                <c:pt idx="33">
                  <c:v>22.7714</c:v>
                </c:pt>
                <c:pt idx="34">
                  <c:v>22.777799999999999</c:v>
                </c:pt>
                <c:pt idx="35">
                  <c:v>22.7742</c:v>
                </c:pt>
                <c:pt idx="36">
                  <c:v>22.762999999999998</c:v>
                </c:pt>
                <c:pt idx="37">
                  <c:v>22.732800000000001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15.0318</c:v>
                </c:pt>
                <c:pt idx="1">
                  <c:v>15.561</c:v>
                </c:pt>
                <c:pt idx="2">
                  <c:v>15.9316</c:v>
                </c:pt>
                <c:pt idx="3">
                  <c:v>16.308900000000001</c:v>
                </c:pt>
                <c:pt idx="4">
                  <c:v>16.696999999999999</c:v>
                </c:pt>
                <c:pt idx="5">
                  <c:v>17.1065</c:v>
                </c:pt>
                <c:pt idx="6">
                  <c:v>17.5108</c:v>
                </c:pt>
                <c:pt idx="7">
                  <c:v>17.9192</c:v>
                </c:pt>
                <c:pt idx="8">
                  <c:v>18.325199999999999</c:v>
                </c:pt>
                <c:pt idx="9">
                  <c:v>18.728100000000001</c:v>
                </c:pt>
                <c:pt idx="10">
                  <c:v>19.134899999999998</c:v>
                </c:pt>
                <c:pt idx="11">
                  <c:v>19.541799999999999</c:v>
                </c:pt>
                <c:pt idx="12">
                  <c:v>19.952300000000001</c:v>
                </c:pt>
                <c:pt idx="13">
                  <c:v>20.354500000000002</c:v>
                </c:pt>
                <c:pt idx="14">
                  <c:v>20.760999999999999</c:v>
                </c:pt>
                <c:pt idx="15">
                  <c:v>21.167300000000001</c:v>
                </c:pt>
                <c:pt idx="16">
                  <c:v>21.572700000000001</c:v>
                </c:pt>
                <c:pt idx="17">
                  <c:v>21.977699999999999</c:v>
                </c:pt>
                <c:pt idx="18">
                  <c:v>22.386700000000001</c:v>
                </c:pt>
                <c:pt idx="19">
                  <c:v>22.792899999999999</c:v>
                </c:pt>
                <c:pt idx="20">
                  <c:v>23.198599999999999</c:v>
                </c:pt>
                <c:pt idx="21">
                  <c:v>23.603400000000001</c:v>
                </c:pt>
                <c:pt idx="22">
                  <c:v>24.0151</c:v>
                </c:pt>
                <c:pt idx="23">
                  <c:v>24.417999999999999</c:v>
                </c:pt>
                <c:pt idx="24">
                  <c:v>24.824300000000001</c:v>
                </c:pt>
                <c:pt idx="25">
                  <c:v>25.228300000000001</c:v>
                </c:pt>
                <c:pt idx="26">
                  <c:v>25.637499999999999</c:v>
                </c:pt>
                <c:pt idx="27">
                  <c:v>26.0441</c:v>
                </c:pt>
                <c:pt idx="28">
                  <c:v>26.451000000000001</c:v>
                </c:pt>
                <c:pt idx="29">
                  <c:v>26.854900000000001</c:v>
                </c:pt>
                <c:pt idx="30">
                  <c:v>27.261800000000001</c:v>
                </c:pt>
                <c:pt idx="31">
                  <c:v>27.665400000000002</c:v>
                </c:pt>
                <c:pt idx="32">
                  <c:v>28.0748</c:v>
                </c:pt>
                <c:pt idx="33">
                  <c:v>28.477599999999999</c:v>
                </c:pt>
                <c:pt idx="34">
                  <c:v>28.8873</c:v>
                </c:pt>
                <c:pt idx="35">
                  <c:v>29.289400000000001</c:v>
                </c:pt>
                <c:pt idx="36">
                  <c:v>29.699400000000001</c:v>
                </c:pt>
                <c:pt idx="37">
                  <c:v>30.103100000000001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22.732800000000001</c:v>
                </c:pt>
                <c:pt idx="1">
                  <c:v>22.6813</c:v>
                </c:pt>
                <c:pt idx="2">
                  <c:v>22.670299999999997</c:v>
                </c:pt>
                <c:pt idx="3">
                  <c:v>22.6752</c:v>
                </c:pt>
                <c:pt idx="4">
                  <c:v>22.668600000000001</c:v>
                </c:pt>
                <c:pt idx="5">
                  <c:v>22.616199999999999</c:v>
                </c:pt>
                <c:pt idx="6">
                  <c:v>22.4983</c:v>
                </c:pt>
                <c:pt idx="7">
                  <c:v>22.3537</c:v>
                </c:pt>
                <c:pt idx="8">
                  <c:v>22.0947</c:v>
                </c:pt>
                <c:pt idx="9">
                  <c:v>21.8674</c:v>
                </c:pt>
                <c:pt idx="10">
                  <c:v>21.767400000000002</c:v>
                </c:pt>
                <c:pt idx="11">
                  <c:v>21.6952</c:v>
                </c:pt>
                <c:pt idx="12">
                  <c:v>21.681100000000001</c:v>
                </c:pt>
                <c:pt idx="13">
                  <c:v>21.677399999999999</c:v>
                </c:pt>
                <c:pt idx="14">
                  <c:v>21.637700000000002</c:v>
                </c:pt>
                <c:pt idx="15">
                  <c:v>21.576000000000001</c:v>
                </c:pt>
                <c:pt idx="16">
                  <c:v>21.5138</c:v>
                </c:pt>
                <c:pt idx="17">
                  <c:v>21.470800000000001</c:v>
                </c:pt>
                <c:pt idx="18">
                  <c:v>21.4251</c:v>
                </c:pt>
                <c:pt idx="19">
                  <c:v>21.379300000000001</c:v>
                </c:pt>
                <c:pt idx="20">
                  <c:v>21.296300000000002</c:v>
                </c:pt>
                <c:pt idx="21">
                  <c:v>21.179100000000002</c:v>
                </c:pt>
                <c:pt idx="22">
                  <c:v>21.049399999999999</c:v>
                </c:pt>
                <c:pt idx="23">
                  <c:v>20.910699999999999</c:v>
                </c:pt>
                <c:pt idx="24">
                  <c:v>20.798300000000001</c:v>
                </c:pt>
                <c:pt idx="25">
                  <c:v>20.724400000000003</c:v>
                </c:pt>
                <c:pt idx="26">
                  <c:v>20.621300000000002</c:v>
                </c:pt>
                <c:pt idx="27">
                  <c:v>20.435300000000002</c:v>
                </c:pt>
                <c:pt idx="28">
                  <c:v>20.199300000000001</c:v>
                </c:pt>
                <c:pt idx="29">
                  <c:v>20.008200000000002</c:v>
                </c:pt>
                <c:pt idx="30">
                  <c:v>19.8626</c:v>
                </c:pt>
                <c:pt idx="31">
                  <c:v>19.882999999999999</c:v>
                </c:pt>
                <c:pt idx="32">
                  <c:v>19.933400000000002</c:v>
                </c:pt>
                <c:pt idx="33">
                  <c:v>20.233599999999999</c:v>
                </c:pt>
                <c:pt idx="34">
                  <c:v>20.564599999999999</c:v>
                </c:pt>
                <c:pt idx="35">
                  <c:v>20.698800000000002</c:v>
                </c:pt>
                <c:pt idx="36">
                  <c:v>21.0261</c:v>
                </c:pt>
                <c:pt idx="37">
                  <c:v>20.939699999999998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7.5257750000000003</c:v>
                </c:pt>
                <c:pt idx="1">
                  <c:v>22.577325000000002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26.465572972972971</c:v>
                </c:pt>
                <c:pt idx="1">
                  <c:v>21.354235135135134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45.661200000000001</c:v>
                </c:pt>
                <c:pt idx="1">
                  <c:v>27.869399999999999</c:v>
                </c:pt>
                <c:pt idx="2">
                  <c:v>19.3613</c:v>
                </c:pt>
                <c:pt idx="3">
                  <c:v>32.054499999999997</c:v>
                </c:pt>
                <c:pt idx="4">
                  <c:v>57.234699999999997</c:v>
                </c:pt>
                <c:pt idx="5">
                  <c:v>72.789299999999997</c:v>
                </c:pt>
                <c:pt idx="6">
                  <c:v>31.3704</c:v>
                </c:pt>
                <c:pt idx="7">
                  <c:v>64.637600000000006</c:v>
                </c:pt>
                <c:pt idx="8">
                  <c:v>18.384799999999998</c:v>
                </c:pt>
                <c:pt idx="9">
                  <c:v>12.6312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62.976399999999998</c:v>
                </c:pt>
                <c:pt idx="1">
                  <c:v>30.072399999999998</c:v>
                </c:pt>
                <c:pt idx="2">
                  <c:v>19.363299999999999</c:v>
                </c:pt>
                <c:pt idx="3">
                  <c:v>37.840699999999998</c:v>
                </c:pt>
                <c:pt idx="4">
                  <c:v>50.808</c:v>
                </c:pt>
                <c:pt idx="5">
                  <c:v>71.255600000000001</c:v>
                </c:pt>
                <c:pt idx="6">
                  <c:v>44.899799999999999</c:v>
                </c:pt>
                <c:pt idx="7">
                  <c:v>60.800600000000003</c:v>
                </c:pt>
                <c:pt idx="8">
                  <c:v>17.340900000000001</c:v>
                </c:pt>
                <c:pt idx="9">
                  <c:v>14.5383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0.54727919684346937</c:v>
                </c:pt>
                <c:pt idx="1">
                  <c:v>0.30252603808523948</c:v>
                </c:pt>
                <c:pt idx="2">
                  <c:v>0.1501947650712912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265</c:v>
                </c:pt>
                <c:pt idx="7">
                  <c:v>0</c:v>
                </c:pt>
                <c:pt idx="8">
                  <c:v>274</c:v>
                </c:pt>
                <c:pt idx="9">
                  <c:v>0</c:v>
                </c:pt>
                <c:pt idx="10">
                  <c:v>0</c:v>
                </c:pt>
                <c:pt idx="11">
                  <c:v>903</c:v>
                </c:pt>
                <c:pt idx="12">
                  <c:v>0</c:v>
                </c:pt>
                <c:pt idx="13">
                  <c:v>514</c:v>
                </c:pt>
                <c:pt idx="14">
                  <c:v>0</c:v>
                </c:pt>
                <c:pt idx="15">
                  <c:v>0</c:v>
                </c:pt>
                <c:pt idx="16">
                  <c:v>1247</c:v>
                </c:pt>
                <c:pt idx="17">
                  <c:v>0</c:v>
                </c:pt>
                <c:pt idx="18">
                  <c:v>0</c:v>
                </c:pt>
                <c:pt idx="19">
                  <c:v>1092</c:v>
                </c:pt>
                <c:pt idx="20">
                  <c:v>0</c:v>
                </c:pt>
                <c:pt idx="21">
                  <c:v>1644</c:v>
                </c:pt>
                <c:pt idx="22">
                  <c:v>0</c:v>
                </c:pt>
                <c:pt idx="23">
                  <c:v>0</c:v>
                </c:pt>
                <c:pt idx="24">
                  <c:v>3088</c:v>
                </c:pt>
                <c:pt idx="25">
                  <c:v>0</c:v>
                </c:pt>
                <c:pt idx="26">
                  <c:v>3619</c:v>
                </c:pt>
                <c:pt idx="27">
                  <c:v>0</c:v>
                </c:pt>
                <c:pt idx="28">
                  <c:v>0</c:v>
                </c:pt>
                <c:pt idx="29">
                  <c:v>6736</c:v>
                </c:pt>
                <c:pt idx="30">
                  <c:v>0</c:v>
                </c:pt>
                <c:pt idx="31">
                  <c:v>7820</c:v>
                </c:pt>
                <c:pt idx="32">
                  <c:v>0</c:v>
                </c:pt>
                <c:pt idx="33">
                  <c:v>0</c:v>
                </c:pt>
                <c:pt idx="34">
                  <c:v>9673</c:v>
                </c:pt>
                <c:pt idx="35">
                  <c:v>0</c:v>
                </c:pt>
                <c:pt idx="36">
                  <c:v>0</c:v>
                </c:pt>
                <c:pt idx="37">
                  <c:v>10265</c:v>
                </c:pt>
                <c:pt idx="38">
                  <c:v>0</c:v>
                </c:pt>
                <c:pt idx="39">
                  <c:v>14110</c:v>
                </c:pt>
                <c:pt idx="40">
                  <c:v>0</c:v>
                </c:pt>
                <c:pt idx="41">
                  <c:v>0</c:v>
                </c:pt>
                <c:pt idx="42">
                  <c:v>13897</c:v>
                </c:pt>
                <c:pt idx="43">
                  <c:v>0</c:v>
                </c:pt>
                <c:pt idx="44">
                  <c:v>13838</c:v>
                </c:pt>
                <c:pt idx="45">
                  <c:v>0</c:v>
                </c:pt>
                <c:pt idx="46">
                  <c:v>0</c:v>
                </c:pt>
                <c:pt idx="47">
                  <c:v>14896</c:v>
                </c:pt>
                <c:pt idx="48">
                  <c:v>0</c:v>
                </c:pt>
                <c:pt idx="49">
                  <c:v>17026</c:v>
                </c:pt>
                <c:pt idx="50">
                  <c:v>0</c:v>
                </c:pt>
                <c:pt idx="51">
                  <c:v>0</c:v>
                </c:pt>
                <c:pt idx="52">
                  <c:v>18883</c:v>
                </c:pt>
                <c:pt idx="53">
                  <c:v>0</c:v>
                </c:pt>
                <c:pt idx="54">
                  <c:v>0</c:v>
                </c:pt>
                <c:pt idx="55">
                  <c:v>21153</c:v>
                </c:pt>
                <c:pt idx="56">
                  <c:v>0</c:v>
                </c:pt>
                <c:pt idx="57">
                  <c:v>23698</c:v>
                </c:pt>
                <c:pt idx="58">
                  <c:v>0</c:v>
                </c:pt>
                <c:pt idx="59">
                  <c:v>0</c:v>
                </c:pt>
                <c:pt idx="60">
                  <c:v>26434</c:v>
                </c:pt>
                <c:pt idx="61">
                  <c:v>0</c:v>
                </c:pt>
                <c:pt idx="62">
                  <c:v>29735</c:v>
                </c:pt>
                <c:pt idx="63">
                  <c:v>0</c:v>
                </c:pt>
                <c:pt idx="64">
                  <c:v>0</c:v>
                </c:pt>
                <c:pt idx="65">
                  <c:v>31357</c:v>
                </c:pt>
                <c:pt idx="66">
                  <c:v>0</c:v>
                </c:pt>
                <c:pt idx="67">
                  <c:v>37945</c:v>
                </c:pt>
                <c:pt idx="68">
                  <c:v>0</c:v>
                </c:pt>
                <c:pt idx="69">
                  <c:v>0</c:v>
                </c:pt>
                <c:pt idx="70">
                  <c:v>38689</c:v>
                </c:pt>
                <c:pt idx="71">
                  <c:v>0</c:v>
                </c:pt>
                <c:pt idx="72">
                  <c:v>0</c:v>
                </c:pt>
                <c:pt idx="73">
                  <c:v>38774</c:v>
                </c:pt>
                <c:pt idx="74">
                  <c:v>0</c:v>
                </c:pt>
                <c:pt idx="75">
                  <c:v>39887</c:v>
                </c:pt>
                <c:pt idx="76">
                  <c:v>0</c:v>
                </c:pt>
                <c:pt idx="77">
                  <c:v>0</c:v>
                </c:pt>
                <c:pt idx="78">
                  <c:v>39146</c:v>
                </c:pt>
                <c:pt idx="79">
                  <c:v>0</c:v>
                </c:pt>
                <c:pt idx="80">
                  <c:v>40629</c:v>
                </c:pt>
                <c:pt idx="81">
                  <c:v>0</c:v>
                </c:pt>
                <c:pt idx="82">
                  <c:v>0</c:v>
                </c:pt>
                <c:pt idx="83">
                  <c:v>40431</c:v>
                </c:pt>
                <c:pt idx="84">
                  <c:v>0</c:v>
                </c:pt>
                <c:pt idx="85">
                  <c:v>0</c:v>
                </c:pt>
                <c:pt idx="86">
                  <c:v>39362</c:v>
                </c:pt>
                <c:pt idx="87">
                  <c:v>0</c:v>
                </c:pt>
                <c:pt idx="88">
                  <c:v>41202</c:v>
                </c:pt>
                <c:pt idx="89">
                  <c:v>0</c:v>
                </c:pt>
                <c:pt idx="90">
                  <c:v>0</c:v>
                </c:pt>
                <c:pt idx="91">
                  <c:v>38417</c:v>
                </c:pt>
                <c:pt idx="92">
                  <c:v>0</c:v>
                </c:pt>
                <c:pt idx="93">
                  <c:v>42696</c:v>
                </c:pt>
                <c:pt idx="94">
                  <c:v>0</c:v>
                </c:pt>
                <c:pt idx="95">
                  <c:v>0</c:v>
                </c:pt>
                <c:pt idx="96">
                  <c:v>42426</c:v>
                </c:pt>
                <c:pt idx="97">
                  <c:v>0</c:v>
                </c:pt>
                <c:pt idx="98">
                  <c:v>43755</c:v>
                </c:pt>
                <c:pt idx="99">
                  <c:v>0</c:v>
                </c:pt>
                <c:pt idx="100">
                  <c:v>0</c:v>
                </c:pt>
                <c:pt idx="101">
                  <c:v>41880</c:v>
                </c:pt>
                <c:pt idx="102">
                  <c:v>0</c:v>
                </c:pt>
                <c:pt idx="103">
                  <c:v>0</c:v>
                </c:pt>
                <c:pt idx="104">
                  <c:v>39982</c:v>
                </c:pt>
                <c:pt idx="105">
                  <c:v>0</c:v>
                </c:pt>
                <c:pt idx="106">
                  <c:v>40866</c:v>
                </c:pt>
                <c:pt idx="107">
                  <c:v>0</c:v>
                </c:pt>
                <c:pt idx="108">
                  <c:v>0</c:v>
                </c:pt>
                <c:pt idx="109">
                  <c:v>41934</c:v>
                </c:pt>
                <c:pt idx="110">
                  <c:v>0</c:v>
                </c:pt>
                <c:pt idx="111">
                  <c:v>43863</c:v>
                </c:pt>
                <c:pt idx="112">
                  <c:v>0</c:v>
                </c:pt>
                <c:pt idx="113">
                  <c:v>0</c:v>
                </c:pt>
                <c:pt idx="114">
                  <c:v>40537</c:v>
                </c:pt>
                <c:pt idx="115">
                  <c:v>0</c:v>
                </c:pt>
                <c:pt idx="116">
                  <c:v>43368</c:v>
                </c:pt>
                <c:pt idx="117">
                  <c:v>0</c:v>
                </c:pt>
                <c:pt idx="118">
                  <c:v>0</c:v>
                </c:pt>
                <c:pt idx="119">
                  <c:v>41548</c:v>
                </c:pt>
                <c:pt idx="120">
                  <c:v>0</c:v>
                </c:pt>
                <c:pt idx="121">
                  <c:v>0</c:v>
                </c:pt>
                <c:pt idx="122">
                  <c:v>40383</c:v>
                </c:pt>
                <c:pt idx="123">
                  <c:v>0</c:v>
                </c:pt>
                <c:pt idx="124">
                  <c:v>43750</c:v>
                </c:pt>
                <c:pt idx="125">
                  <c:v>0</c:v>
                </c:pt>
                <c:pt idx="126">
                  <c:v>0</c:v>
                </c:pt>
                <c:pt idx="127">
                  <c:v>39888</c:v>
                </c:pt>
                <c:pt idx="128">
                  <c:v>0</c:v>
                </c:pt>
                <c:pt idx="129">
                  <c:v>38544</c:v>
                </c:pt>
                <c:pt idx="130">
                  <c:v>0</c:v>
                </c:pt>
                <c:pt idx="131">
                  <c:v>0</c:v>
                </c:pt>
                <c:pt idx="132">
                  <c:v>37603</c:v>
                </c:pt>
                <c:pt idx="133">
                  <c:v>0</c:v>
                </c:pt>
                <c:pt idx="134">
                  <c:v>41023</c:v>
                </c:pt>
                <c:pt idx="135">
                  <c:v>0</c:v>
                </c:pt>
                <c:pt idx="136">
                  <c:v>0</c:v>
                </c:pt>
                <c:pt idx="137">
                  <c:v>36122</c:v>
                </c:pt>
                <c:pt idx="138">
                  <c:v>0</c:v>
                </c:pt>
                <c:pt idx="139">
                  <c:v>0</c:v>
                </c:pt>
                <c:pt idx="140">
                  <c:v>37472</c:v>
                </c:pt>
                <c:pt idx="141">
                  <c:v>0</c:v>
                </c:pt>
                <c:pt idx="142">
                  <c:v>32976</c:v>
                </c:pt>
                <c:pt idx="143">
                  <c:v>0</c:v>
                </c:pt>
                <c:pt idx="144">
                  <c:v>0</c:v>
                </c:pt>
                <c:pt idx="145">
                  <c:v>33803</c:v>
                </c:pt>
                <c:pt idx="146">
                  <c:v>0</c:v>
                </c:pt>
                <c:pt idx="147">
                  <c:v>33579</c:v>
                </c:pt>
                <c:pt idx="148">
                  <c:v>0</c:v>
                </c:pt>
                <c:pt idx="149">
                  <c:v>0</c:v>
                </c:pt>
                <c:pt idx="150">
                  <c:v>32125</c:v>
                </c:pt>
                <c:pt idx="151">
                  <c:v>0</c:v>
                </c:pt>
                <c:pt idx="152">
                  <c:v>34923</c:v>
                </c:pt>
                <c:pt idx="153">
                  <c:v>0</c:v>
                </c:pt>
                <c:pt idx="154">
                  <c:v>0</c:v>
                </c:pt>
                <c:pt idx="155">
                  <c:v>29543</c:v>
                </c:pt>
                <c:pt idx="156">
                  <c:v>0</c:v>
                </c:pt>
                <c:pt idx="157">
                  <c:v>0</c:v>
                </c:pt>
                <c:pt idx="158">
                  <c:v>28856</c:v>
                </c:pt>
                <c:pt idx="159">
                  <c:v>0</c:v>
                </c:pt>
                <c:pt idx="160">
                  <c:v>29466</c:v>
                </c:pt>
                <c:pt idx="161">
                  <c:v>0</c:v>
                </c:pt>
                <c:pt idx="162">
                  <c:v>0</c:v>
                </c:pt>
                <c:pt idx="163">
                  <c:v>28772</c:v>
                </c:pt>
                <c:pt idx="164">
                  <c:v>0</c:v>
                </c:pt>
                <c:pt idx="165">
                  <c:v>27731</c:v>
                </c:pt>
                <c:pt idx="166">
                  <c:v>0</c:v>
                </c:pt>
                <c:pt idx="167">
                  <c:v>0</c:v>
                </c:pt>
                <c:pt idx="168">
                  <c:v>25832</c:v>
                </c:pt>
                <c:pt idx="169">
                  <c:v>0</c:v>
                </c:pt>
                <c:pt idx="170">
                  <c:v>0</c:v>
                </c:pt>
                <c:pt idx="171">
                  <c:v>23459</c:v>
                </c:pt>
                <c:pt idx="172">
                  <c:v>0</c:v>
                </c:pt>
                <c:pt idx="173">
                  <c:v>22163</c:v>
                </c:pt>
                <c:pt idx="174">
                  <c:v>0</c:v>
                </c:pt>
                <c:pt idx="175">
                  <c:v>0</c:v>
                </c:pt>
                <c:pt idx="176">
                  <c:v>22530</c:v>
                </c:pt>
                <c:pt idx="177">
                  <c:v>0</c:v>
                </c:pt>
                <c:pt idx="178">
                  <c:v>16993</c:v>
                </c:pt>
                <c:pt idx="179">
                  <c:v>0</c:v>
                </c:pt>
                <c:pt idx="180">
                  <c:v>0</c:v>
                </c:pt>
                <c:pt idx="181">
                  <c:v>16976</c:v>
                </c:pt>
                <c:pt idx="182">
                  <c:v>0</c:v>
                </c:pt>
                <c:pt idx="183">
                  <c:v>17024</c:v>
                </c:pt>
                <c:pt idx="184">
                  <c:v>0</c:v>
                </c:pt>
                <c:pt idx="185">
                  <c:v>0</c:v>
                </c:pt>
                <c:pt idx="186">
                  <c:v>14770</c:v>
                </c:pt>
                <c:pt idx="187">
                  <c:v>0</c:v>
                </c:pt>
                <c:pt idx="188">
                  <c:v>0</c:v>
                </c:pt>
                <c:pt idx="189">
                  <c:v>10141</c:v>
                </c:pt>
                <c:pt idx="190">
                  <c:v>0</c:v>
                </c:pt>
                <c:pt idx="191">
                  <c:v>7642</c:v>
                </c:pt>
                <c:pt idx="192">
                  <c:v>0</c:v>
                </c:pt>
                <c:pt idx="193">
                  <c:v>0</c:v>
                </c:pt>
                <c:pt idx="194">
                  <c:v>11247</c:v>
                </c:pt>
                <c:pt idx="195">
                  <c:v>0</c:v>
                </c:pt>
                <c:pt idx="196">
                  <c:v>8410</c:v>
                </c:pt>
                <c:pt idx="197">
                  <c:v>0</c:v>
                </c:pt>
                <c:pt idx="198">
                  <c:v>0</c:v>
                </c:pt>
                <c:pt idx="199">
                  <c:v>6750</c:v>
                </c:pt>
                <c:pt idx="200">
                  <c:v>0</c:v>
                </c:pt>
                <c:pt idx="201">
                  <c:v>5898</c:v>
                </c:pt>
                <c:pt idx="202">
                  <c:v>0</c:v>
                </c:pt>
                <c:pt idx="203">
                  <c:v>0</c:v>
                </c:pt>
                <c:pt idx="204">
                  <c:v>5770</c:v>
                </c:pt>
                <c:pt idx="205">
                  <c:v>0</c:v>
                </c:pt>
                <c:pt idx="206">
                  <c:v>0</c:v>
                </c:pt>
                <c:pt idx="207">
                  <c:v>5925</c:v>
                </c:pt>
                <c:pt idx="208">
                  <c:v>0</c:v>
                </c:pt>
                <c:pt idx="209">
                  <c:v>2840</c:v>
                </c:pt>
                <c:pt idx="210">
                  <c:v>0</c:v>
                </c:pt>
                <c:pt idx="211">
                  <c:v>0</c:v>
                </c:pt>
                <c:pt idx="212">
                  <c:v>616</c:v>
                </c:pt>
                <c:pt idx="213">
                  <c:v>0</c:v>
                </c:pt>
                <c:pt idx="214">
                  <c:v>165</c:v>
                </c:pt>
                <c:pt idx="215">
                  <c:v>0</c:v>
                </c:pt>
                <c:pt idx="216">
                  <c:v>0</c:v>
                </c:pt>
                <c:pt idx="217">
                  <c:v>119</c:v>
                </c:pt>
                <c:pt idx="218">
                  <c:v>0</c:v>
                </c:pt>
                <c:pt idx="219">
                  <c:v>604</c:v>
                </c:pt>
                <c:pt idx="220">
                  <c:v>0</c:v>
                </c:pt>
                <c:pt idx="221">
                  <c:v>0</c:v>
                </c:pt>
                <c:pt idx="222">
                  <c:v>334</c:v>
                </c:pt>
                <c:pt idx="223">
                  <c:v>0</c:v>
                </c:pt>
                <c:pt idx="224">
                  <c:v>0</c:v>
                </c:pt>
                <c:pt idx="225">
                  <c:v>266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960</c:v>
                </c:pt>
                <c:pt idx="7">
                  <c:v>0</c:v>
                </c:pt>
                <c:pt idx="8">
                  <c:v>1476</c:v>
                </c:pt>
                <c:pt idx="9">
                  <c:v>0</c:v>
                </c:pt>
                <c:pt idx="10">
                  <c:v>0</c:v>
                </c:pt>
                <c:pt idx="11">
                  <c:v>1095</c:v>
                </c:pt>
                <c:pt idx="12">
                  <c:v>0</c:v>
                </c:pt>
                <c:pt idx="13">
                  <c:v>824</c:v>
                </c:pt>
                <c:pt idx="14">
                  <c:v>0</c:v>
                </c:pt>
                <c:pt idx="15">
                  <c:v>0</c:v>
                </c:pt>
                <c:pt idx="16">
                  <c:v>1208</c:v>
                </c:pt>
                <c:pt idx="17">
                  <c:v>0</c:v>
                </c:pt>
                <c:pt idx="18">
                  <c:v>0</c:v>
                </c:pt>
                <c:pt idx="19">
                  <c:v>863</c:v>
                </c:pt>
                <c:pt idx="20">
                  <c:v>0</c:v>
                </c:pt>
                <c:pt idx="21">
                  <c:v>656</c:v>
                </c:pt>
                <c:pt idx="22">
                  <c:v>0</c:v>
                </c:pt>
                <c:pt idx="23">
                  <c:v>0</c:v>
                </c:pt>
                <c:pt idx="24">
                  <c:v>413</c:v>
                </c:pt>
                <c:pt idx="25">
                  <c:v>0</c:v>
                </c:pt>
                <c:pt idx="26">
                  <c:v>321</c:v>
                </c:pt>
                <c:pt idx="27">
                  <c:v>0</c:v>
                </c:pt>
                <c:pt idx="28">
                  <c:v>0</c:v>
                </c:pt>
                <c:pt idx="29">
                  <c:v>1116</c:v>
                </c:pt>
                <c:pt idx="30">
                  <c:v>0</c:v>
                </c:pt>
                <c:pt idx="31">
                  <c:v>1588</c:v>
                </c:pt>
                <c:pt idx="32">
                  <c:v>0</c:v>
                </c:pt>
                <c:pt idx="33">
                  <c:v>0</c:v>
                </c:pt>
                <c:pt idx="34">
                  <c:v>3115</c:v>
                </c:pt>
                <c:pt idx="35">
                  <c:v>0</c:v>
                </c:pt>
                <c:pt idx="36">
                  <c:v>0</c:v>
                </c:pt>
                <c:pt idx="37">
                  <c:v>4726</c:v>
                </c:pt>
                <c:pt idx="38">
                  <c:v>0</c:v>
                </c:pt>
                <c:pt idx="39">
                  <c:v>5486</c:v>
                </c:pt>
                <c:pt idx="40">
                  <c:v>0</c:v>
                </c:pt>
                <c:pt idx="41">
                  <c:v>0</c:v>
                </c:pt>
                <c:pt idx="42">
                  <c:v>6000</c:v>
                </c:pt>
                <c:pt idx="43">
                  <c:v>0</c:v>
                </c:pt>
                <c:pt idx="44">
                  <c:v>6150</c:v>
                </c:pt>
                <c:pt idx="45">
                  <c:v>0</c:v>
                </c:pt>
                <c:pt idx="46">
                  <c:v>0</c:v>
                </c:pt>
                <c:pt idx="47">
                  <c:v>7243</c:v>
                </c:pt>
                <c:pt idx="48">
                  <c:v>0</c:v>
                </c:pt>
                <c:pt idx="49">
                  <c:v>7720</c:v>
                </c:pt>
                <c:pt idx="50">
                  <c:v>0</c:v>
                </c:pt>
                <c:pt idx="51">
                  <c:v>0</c:v>
                </c:pt>
                <c:pt idx="52">
                  <c:v>7641</c:v>
                </c:pt>
                <c:pt idx="53">
                  <c:v>0</c:v>
                </c:pt>
                <c:pt idx="54">
                  <c:v>0</c:v>
                </c:pt>
                <c:pt idx="55">
                  <c:v>8550</c:v>
                </c:pt>
                <c:pt idx="56">
                  <c:v>0</c:v>
                </c:pt>
                <c:pt idx="57">
                  <c:v>10273</c:v>
                </c:pt>
                <c:pt idx="58">
                  <c:v>0</c:v>
                </c:pt>
                <c:pt idx="59">
                  <c:v>0</c:v>
                </c:pt>
                <c:pt idx="60">
                  <c:v>9696</c:v>
                </c:pt>
                <c:pt idx="61">
                  <c:v>0</c:v>
                </c:pt>
                <c:pt idx="62">
                  <c:v>10336</c:v>
                </c:pt>
                <c:pt idx="63">
                  <c:v>0</c:v>
                </c:pt>
                <c:pt idx="64">
                  <c:v>0</c:v>
                </c:pt>
                <c:pt idx="65">
                  <c:v>12525</c:v>
                </c:pt>
                <c:pt idx="66">
                  <c:v>0</c:v>
                </c:pt>
                <c:pt idx="67">
                  <c:v>13009</c:v>
                </c:pt>
                <c:pt idx="68">
                  <c:v>0</c:v>
                </c:pt>
                <c:pt idx="69">
                  <c:v>0</c:v>
                </c:pt>
                <c:pt idx="70">
                  <c:v>12608</c:v>
                </c:pt>
                <c:pt idx="71">
                  <c:v>0</c:v>
                </c:pt>
                <c:pt idx="72">
                  <c:v>0</c:v>
                </c:pt>
                <c:pt idx="73">
                  <c:v>12408</c:v>
                </c:pt>
                <c:pt idx="74">
                  <c:v>0</c:v>
                </c:pt>
                <c:pt idx="75">
                  <c:v>12960</c:v>
                </c:pt>
                <c:pt idx="76">
                  <c:v>0</c:v>
                </c:pt>
                <c:pt idx="77">
                  <c:v>0</c:v>
                </c:pt>
                <c:pt idx="78">
                  <c:v>13161</c:v>
                </c:pt>
                <c:pt idx="79">
                  <c:v>0</c:v>
                </c:pt>
                <c:pt idx="80">
                  <c:v>13054</c:v>
                </c:pt>
                <c:pt idx="81">
                  <c:v>0</c:v>
                </c:pt>
                <c:pt idx="82">
                  <c:v>0</c:v>
                </c:pt>
                <c:pt idx="83">
                  <c:v>12567</c:v>
                </c:pt>
                <c:pt idx="84">
                  <c:v>0</c:v>
                </c:pt>
                <c:pt idx="85">
                  <c:v>0</c:v>
                </c:pt>
                <c:pt idx="86">
                  <c:v>14532</c:v>
                </c:pt>
                <c:pt idx="87">
                  <c:v>0</c:v>
                </c:pt>
                <c:pt idx="88">
                  <c:v>13886</c:v>
                </c:pt>
                <c:pt idx="89">
                  <c:v>0</c:v>
                </c:pt>
                <c:pt idx="90">
                  <c:v>0</c:v>
                </c:pt>
                <c:pt idx="91">
                  <c:v>14311</c:v>
                </c:pt>
                <c:pt idx="92">
                  <c:v>0</c:v>
                </c:pt>
                <c:pt idx="93">
                  <c:v>17053</c:v>
                </c:pt>
                <c:pt idx="94">
                  <c:v>0</c:v>
                </c:pt>
                <c:pt idx="95">
                  <c:v>0</c:v>
                </c:pt>
                <c:pt idx="96">
                  <c:v>18851</c:v>
                </c:pt>
                <c:pt idx="97">
                  <c:v>0</c:v>
                </c:pt>
                <c:pt idx="98">
                  <c:v>22076</c:v>
                </c:pt>
                <c:pt idx="99">
                  <c:v>0</c:v>
                </c:pt>
                <c:pt idx="100">
                  <c:v>0</c:v>
                </c:pt>
                <c:pt idx="101">
                  <c:v>22001</c:v>
                </c:pt>
                <c:pt idx="102">
                  <c:v>0</c:v>
                </c:pt>
                <c:pt idx="103">
                  <c:v>0</c:v>
                </c:pt>
                <c:pt idx="104">
                  <c:v>21446</c:v>
                </c:pt>
                <c:pt idx="105">
                  <c:v>0</c:v>
                </c:pt>
                <c:pt idx="106">
                  <c:v>21741</c:v>
                </c:pt>
                <c:pt idx="107">
                  <c:v>0</c:v>
                </c:pt>
                <c:pt idx="108">
                  <c:v>0</c:v>
                </c:pt>
                <c:pt idx="109">
                  <c:v>21171</c:v>
                </c:pt>
                <c:pt idx="110">
                  <c:v>0</c:v>
                </c:pt>
                <c:pt idx="111">
                  <c:v>21306</c:v>
                </c:pt>
                <c:pt idx="112">
                  <c:v>0</c:v>
                </c:pt>
                <c:pt idx="113">
                  <c:v>0</c:v>
                </c:pt>
                <c:pt idx="114">
                  <c:v>20940</c:v>
                </c:pt>
                <c:pt idx="115">
                  <c:v>0</c:v>
                </c:pt>
                <c:pt idx="116">
                  <c:v>19671</c:v>
                </c:pt>
                <c:pt idx="117">
                  <c:v>0</c:v>
                </c:pt>
                <c:pt idx="118">
                  <c:v>0</c:v>
                </c:pt>
                <c:pt idx="119">
                  <c:v>22948</c:v>
                </c:pt>
                <c:pt idx="120">
                  <c:v>0</c:v>
                </c:pt>
                <c:pt idx="121">
                  <c:v>0</c:v>
                </c:pt>
                <c:pt idx="122">
                  <c:v>23531</c:v>
                </c:pt>
                <c:pt idx="123">
                  <c:v>0</c:v>
                </c:pt>
                <c:pt idx="124">
                  <c:v>26072</c:v>
                </c:pt>
                <c:pt idx="125">
                  <c:v>0</c:v>
                </c:pt>
                <c:pt idx="126">
                  <c:v>0</c:v>
                </c:pt>
                <c:pt idx="127">
                  <c:v>30024</c:v>
                </c:pt>
                <c:pt idx="128">
                  <c:v>0</c:v>
                </c:pt>
                <c:pt idx="129">
                  <c:v>35505</c:v>
                </c:pt>
                <c:pt idx="130">
                  <c:v>0</c:v>
                </c:pt>
                <c:pt idx="131">
                  <c:v>0</c:v>
                </c:pt>
                <c:pt idx="132">
                  <c:v>33301</c:v>
                </c:pt>
                <c:pt idx="133">
                  <c:v>0</c:v>
                </c:pt>
                <c:pt idx="134">
                  <c:v>31694</c:v>
                </c:pt>
                <c:pt idx="135">
                  <c:v>0</c:v>
                </c:pt>
                <c:pt idx="136">
                  <c:v>0</c:v>
                </c:pt>
                <c:pt idx="137">
                  <c:v>33520</c:v>
                </c:pt>
                <c:pt idx="138">
                  <c:v>0</c:v>
                </c:pt>
                <c:pt idx="139">
                  <c:v>0</c:v>
                </c:pt>
                <c:pt idx="140">
                  <c:v>32754</c:v>
                </c:pt>
                <c:pt idx="141">
                  <c:v>0</c:v>
                </c:pt>
                <c:pt idx="142">
                  <c:v>36164</c:v>
                </c:pt>
                <c:pt idx="143">
                  <c:v>0</c:v>
                </c:pt>
                <c:pt idx="144">
                  <c:v>0</c:v>
                </c:pt>
                <c:pt idx="145">
                  <c:v>43850</c:v>
                </c:pt>
                <c:pt idx="146">
                  <c:v>0</c:v>
                </c:pt>
                <c:pt idx="147">
                  <c:v>54171</c:v>
                </c:pt>
                <c:pt idx="148">
                  <c:v>0</c:v>
                </c:pt>
                <c:pt idx="149">
                  <c:v>0</c:v>
                </c:pt>
                <c:pt idx="150">
                  <c:v>62627</c:v>
                </c:pt>
                <c:pt idx="151">
                  <c:v>0</c:v>
                </c:pt>
                <c:pt idx="152">
                  <c:v>68750</c:v>
                </c:pt>
                <c:pt idx="153">
                  <c:v>0</c:v>
                </c:pt>
                <c:pt idx="154">
                  <c:v>0</c:v>
                </c:pt>
                <c:pt idx="155">
                  <c:v>81936</c:v>
                </c:pt>
                <c:pt idx="156">
                  <c:v>0</c:v>
                </c:pt>
                <c:pt idx="157">
                  <c:v>0</c:v>
                </c:pt>
                <c:pt idx="158">
                  <c:v>90970</c:v>
                </c:pt>
                <c:pt idx="159">
                  <c:v>0</c:v>
                </c:pt>
                <c:pt idx="160">
                  <c:v>93648</c:v>
                </c:pt>
                <c:pt idx="161">
                  <c:v>0</c:v>
                </c:pt>
                <c:pt idx="162">
                  <c:v>0</c:v>
                </c:pt>
                <c:pt idx="163">
                  <c:v>96638</c:v>
                </c:pt>
                <c:pt idx="164">
                  <c:v>0</c:v>
                </c:pt>
                <c:pt idx="165">
                  <c:v>101525</c:v>
                </c:pt>
                <c:pt idx="166">
                  <c:v>0</c:v>
                </c:pt>
                <c:pt idx="167">
                  <c:v>0</c:v>
                </c:pt>
                <c:pt idx="168">
                  <c:v>101098</c:v>
                </c:pt>
                <c:pt idx="169">
                  <c:v>0</c:v>
                </c:pt>
                <c:pt idx="170">
                  <c:v>0</c:v>
                </c:pt>
                <c:pt idx="171">
                  <c:v>88938</c:v>
                </c:pt>
                <c:pt idx="172">
                  <c:v>0</c:v>
                </c:pt>
                <c:pt idx="173">
                  <c:v>84117</c:v>
                </c:pt>
                <c:pt idx="174">
                  <c:v>0</c:v>
                </c:pt>
                <c:pt idx="175">
                  <c:v>0</c:v>
                </c:pt>
                <c:pt idx="176">
                  <c:v>83701</c:v>
                </c:pt>
                <c:pt idx="177">
                  <c:v>0</c:v>
                </c:pt>
                <c:pt idx="178">
                  <c:v>76974</c:v>
                </c:pt>
                <c:pt idx="179">
                  <c:v>0</c:v>
                </c:pt>
                <c:pt idx="180">
                  <c:v>0</c:v>
                </c:pt>
                <c:pt idx="181">
                  <c:v>77994</c:v>
                </c:pt>
                <c:pt idx="182">
                  <c:v>0</c:v>
                </c:pt>
                <c:pt idx="183">
                  <c:v>76687</c:v>
                </c:pt>
                <c:pt idx="184">
                  <c:v>0</c:v>
                </c:pt>
                <c:pt idx="185">
                  <c:v>0</c:v>
                </c:pt>
                <c:pt idx="186">
                  <c:v>73520</c:v>
                </c:pt>
                <c:pt idx="187">
                  <c:v>0</c:v>
                </c:pt>
                <c:pt idx="188">
                  <c:v>0</c:v>
                </c:pt>
                <c:pt idx="189">
                  <c:v>65961</c:v>
                </c:pt>
                <c:pt idx="190">
                  <c:v>0</c:v>
                </c:pt>
                <c:pt idx="191">
                  <c:v>63550</c:v>
                </c:pt>
                <c:pt idx="192">
                  <c:v>0</c:v>
                </c:pt>
                <c:pt idx="193">
                  <c:v>0</c:v>
                </c:pt>
                <c:pt idx="194">
                  <c:v>59504</c:v>
                </c:pt>
                <c:pt idx="195">
                  <c:v>0</c:v>
                </c:pt>
                <c:pt idx="196">
                  <c:v>57764</c:v>
                </c:pt>
                <c:pt idx="197">
                  <c:v>0</c:v>
                </c:pt>
                <c:pt idx="198">
                  <c:v>0</c:v>
                </c:pt>
                <c:pt idx="199">
                  <c:v>47250</c:v>
                </c:pt>
                <c:pt idx="200">
                  <c:v>0</c:v>
                </c:pt>
                <c:pt idx="201">
                  <c:v>44032</c:v>
                </c:pt>
                <c:pt idx="202">
                  <c:v>0</c:v>
                </c:pt>
                <c:pt idx="203">
                  <c:v>0</c:v>
                </c:pt>
                <c:pt idx="204">
                  <c:v>50096</c:v>
                </c:pt>
                <c:pt idx="205">
                  <c:v>0</c:v>
                </c:pt>
                <c:pt idx="206">
                  <c:v>0</c:v>
                </c:pt>
                <c:pt idx="207">
                  <c:v>49745</c:v>
                </c:pt>
                <c:pt idx="208">
                  <c:v>0</c:v>
                </c:pt>
                <c:pt idx="209">
                  <c:v>31233</c:v>
                </c:pt>
                <c:pt idx="210">
                  <c:v>0</c:v>
                </c:pt>
                <c:pt idx="211">
                  <c:v>0</c:v>
                </c:pt>
                <c:pt idx="212">
                  <c:v>20761</c:v>
                </c:pt>
                <c:pt idx="213">
                  <c:v>0</c:v>
                </c:pt>
                <c:pt idx="214">
                  <c:v>14134</c:v>
                </c:pt>
                <c:pt idx="215">
                  <c:v>0</c:v>
                </c:pt>
                <c:pt idx="216">
                  <c:v>0</c:v>
                </c:pt>
                <c:pt idx="217">
                  <c:v>4917</c:v>
                </c:pt>
                <c:pt idx="218">
                  <c:v>0</c:v>
                </c:pt>
                <c:pt idx="219">
                  <c:v>6161</c:v>
                </c:pt>
                <c:pt idx="220">
                  <c:v>0</c:v>
                </c:pt>
                <c:pt idx="221">
                  <c:v>0</c:v>
                </c:pt>
                <c:pt idx="222">
                  <c:v>4053</c:v>
                </c:pt>
                <c:pt idx="223">
                  <c:v>0</c:v>
                </c:pt>
                <c:pt idx="224">
                  <c:v>0</c:v>
                </c:pt>
                <c:pt idx="225">
                  <c:v>1969</c:v>
                </c:pt>
                <c:pt idx="226">
                  <c:v>0</c:v>
                </c:pt>
                <c:pt idx="227">
                  <c:v>1041</c:v>
                </c:pt>
                <c:pt idx="228">
                  <c:v>0</c:v>
                </c:pt>
                <c:pt idx="229">
                  <c:v>0</c:v>
                </c:pt>
                <c:pt idx="230">
                  <c:v>350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0.22518062076023737</c:v>
                </c:pt>
                <c:pt idx="1">
                  <c:v>0.3652521502266331</c:v>
                </c:pt>
                <c:pt idx="2">
                  <c:v>0.40956722901312947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0.515565382574667</c:v>
                </c:pt>
                <c:pt idx="1">
                  <c:v>0.34011144129412424</c:v>
                </c:pt>
                <c:pt idx="2">
                  <c:v>0.14432317613120882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4.6063524999999998</c:v>
                </c:pt>
                <c:pt idx="1">
                  <c:v>4.6223375000000004</c:v>
                </c:pt>
                <c:pt idx="2">
                  <c:v>19.399080000000001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0.39998299999999998</c:v>
                </c:pt>
                <c:pt idx="2">
                  <c:v>0.807944</c:v>
                </c:pt>
                <c:pt idx="3">
                  <c:v>1.2147399999999999</c:v>
                </c:pt>
                <c:pt idx="4">
                  <c:v>1.62233</c:v>
                </c:pt>
                <c:pt idx="5">
                  <c:v>2.0251399999999999</c:v>
                </c:pt>
                <c:pt idx="6">
                  <c:v>2.43004</c:v>
                </c:pt>
                <c:pt idx="7">
                  <c:v>2.8397199999999998</c:v>
                </c:pt>
                <c:pt idx="8">
                  <c:v>3.2464300000000001</c:v>
                </c:pt>
                <c:pt idx="9">
                  <c:v>3.65455</c:v>
                </c:pt>
                <c:pt idx="10">
                  <c:v>4.0582599999999998</c:v>
                </c:pt>
                <c:pt idx="11">
                  <c:v>4.4641099999999998</c:v>
                </c:pt>
                <c:pt idx="12">
                  <c:v>4.8695199999999996</c:v>
                </c:pt>
                <c:pt idx="13">
                  <c:v>5.2762500000000001</c:v>
                </c:pt>
                <c:pt idx="14">
                  <c:v>5.6826400000000001</c:v>
                </c:pt>
                <c:pt idx="15">
                  <c:v>6.0923100000000003</c:v>
                </c:pt>
                <c:pt idx="16">
                  <c:v>6.4954299999999998</c:v>
                </c:pt>
                <c:pt idx="17">
                  <c:v>6.9037499999999996</c:v>
                </c:pt>
                <c:pt idx="18">
                  <c:v>7.3100399999999999</c:v>
                </c:pt>
                <c:pt idx="19">
                  <c:v>7.7149000000000001</c:v>
                </c:pt>
                <c:pt idx="20">
                  <c:v>8.1226299999999991</c:v>
                </c:pt>
                <c:pt idx="21">
                  <c:v>8.5257400000000008</c:v>
                </c:pt>
                <c:pt idx="22">
                  <c:v>8.9326899999999991</c:v>
                </c:pt>
                <c:pt idx="23">
                  <c:v>9.3414000000000001</c:v>
                </c:pt>
                <c:pt idx="24">
                  <c:v>9.7424199999999992</c:v>
                </c:pt>
                <c:pt idx="25">
                  <c:v>10.150499999999999</c:v>
                </c:pt>
                <c:pt idx="26">
                  <c:v>10.5572</c:v>
                </c:pt>
                <c:pt idx="27">
                  <c:v>10.9635</c:v>
                </c:pt>
                <c:pt idx="28">
                  <c:v>11.3697</c:v>
                </c:pt>
                <c:pt idx="29">
                  <c:v>11.775399999999999</c:v>
                </c:pt>
                <c:pt idx="30">
                  <c:v>12.1815</c:v>
                </c:pt>
                <c:pt idx="31">
                  <c:v>12.5916</c:v>
                </c:pt>
                <c:pt idx="32">
                  <c:v>12.997299999999999</c:v>
                </c:pt>
                <c:pt idx="33">
                  <c:v>13.403499999999999</c:v>
                </c:pt>
                <c:pt idx="34">
                  <c:v>13.808299999999999</c:v>
                </c:pt>
                <c:pt idx="35">
                  <c:v>14.215999999999999</c:v>
                </c:pt>
                <c:pt idx="36">
                  <c:v>14.6213</c:v>
                </c:pt>
                <c:pt idx="37">
                  <c:v>15.0318</c:v>
                </c:pt>
                <c:pt idx="38">
                  <c:v>15.561</c:v>
                </c:pt>
                <c:pt idx="39">
                  <c:v>15.9316</c:v>
                </c:pt>
                <c:pt idx="40">
                  <c:v>16.308900000000001</c:v>
                </c:pt>
                <c:pt idx="41">
                  <c:v>16.696999999999999</c:v>
                </c:pt>
                <c:pt idx="42">
                  <c:v>17.1065</c:v>
                </c:pt>
                <c:pt idx="43">
                  <c:v>17.5108</c:v>
                </c:pt>
                <c:pt idx="44">
                  <c:v>17.9192</c:v>
                </c:pt>
                <c:pt idx="45">
                  <c:v>18.325199999999999</c:v>
                </c:pt>
                <c:pt idx="46">
                  <c:v>18.728100000000001</c:v>
                </c:pt>
                <c:pt idx="47">
                  <c:v>19.134899999999998</c:v>
                </c:pt>
                <c:pt idx="48">
                  <c:v>19.541799999999999</c:v>
                </c:pt>
                <c:pt idx="49">
                  <c:v>19.952300000000001</c:v>
                </c:pt>
                <c:pt idx="50">
                  <c:v>20.354500000000002</c:v>
                </c:pt>
                <c:pt idx="51">
                  <c:v>20.760999999999999</c:v>
                </c:pt>
                <c:pt idx="52">
                  <c:v>21.167300000000001</c:v>
                </c:pt>
                <c:pt idx="53">
                  <c:v>21.572700000000001</c:v>
                </c:pt>
                <c:pt idx="54">
                  <c:v>21.977699999999999</c:v>
                </c:pt>
                <c:pt idx="55">
                  <c:v>22.386700000000001</c:v>
                </c:pt>
                <c:pt idx="56">
                  <c:v>22.792899999999999</c:v>
                </c:pt>
                <c:pt idx="57">
                  <c:v>23.198599999999999</c:v>
                </c:pt>
                <c:pt idx="58">
                  <c:v>23.603400000000001</c:v>
                </c:pt>
                <c:pt idx="59">
                  <c:v>24.0151</c:v>
                </c:pt>
                <c:pt idx="60">
                  <c:v>24.417999999999999</c:v>
                </c:pt>
                <c:pt idx="61">
                  <c:v>24.824300000000001</c:v>
                </c:pt>
                <c:pt idx="62">
                  <c:v>25.228300000000001</c:v>
                </c:pt>
                <c:pt idx="63">
                  <c:v>25.637499999999999</c:v>
                </c:pt>
                <c:pt idx="64">
                  <c:v>26.0441</c:v>
                </c:pt>
                <c:pt idx="65">
                  <c:v>26.451000000000001</c:v>
                </c:pt>
                <c:pt idx="66">
                  <c:v>26.854900000000001</c:v>
                </c:pt>
                <c:pt idx="67">
                  <c:v>27.261800000000001</c:v>
                </c:pt>
                <c:pt idx="68">
                  <c:v>27.665400000000002</c:v>
                </c:pt>
                <c:pt idx="69">
                  <c:v>28.0748</c:v>
                </c:pt>
                <c:pt idx="70">
                  <c:v>28.477599999999999</c:v>
                </c:pt>
                <c:pt idx="71">
                  <c:v>28.8873</c:v>
                </c:pt>
                <c:pt idx="72">
                  <c:v>29.289400000000001</c:v>
                </c:pt>
                <c:pt idx="73">
                  <c:v>29.699400000000001</c:v>
                </c:pt>
                <c:pt idx="74">
                  <c:v>30.103100000000001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5"/>
                <c:pt idx="0">
                  <c:v>3.6580000000000004</c:v>
                </c:pt>
                <c:pt idx="1">
                  <c:v>3.7588200000000001</c:v>
                </c:pt>
                <c:pt idx="2">
                  <c:v>3.8610699999999998</c:v>
                </c:pt>
                <c:pt idx="3">
                  <c:v>3.96523</c:v>
                </c:pt>
                <c:pt idx="4">
                  <c:v>4.0701499999999999</c:v>
                </c:pt>
                <c:pt idx="5">
                  <c:v>4.17354</c:v>
                </c:pt>
                <c:pt idx="6">
                  <c:v>4.2745100000000003</c:v>
                </c:pt>
                <c:pt idx="7">
                  <c:v>4.3776999999999999</c:v>
                </c:pt>
                <c:pt idx="8">
                  <c:v>4.4874299999999998</c:v>
                </c:pt>
                <c:pt idx="9">
                  <c:v>4.5946600000000002</c:v>
                </c:pt>
                <c:pt idx="10">
                  <c:v>4.6987800000000002</c:v>
                </c:pt>
                <c:pt idx="11">
                  <c:v>4.8066199999999997</c:v>
                </c:pt>
                <c:pt idx="12">
                  <c:v>4.9092900000000004</c:v>
                </c:pt>
                <c:pt idx="13">
                  <c:v>4.9804199999999996</c:v>
                </c:pt>
                <c:pt idx="14">
                  <c:v>5.0744599999999993</c:v>
                </c:pt>
                <c:pt idx="15">
                  <c:v>5.1632299999999995</c:v>
                </c:pt>
                <c:pt idx="16">
                  <c:v>5.2486299999999995</c:v>
                </c:pt>
                <c:pt idx="17">
                  <c:v>5.3481800000000002</c:v>
                </c:pt>
                <c:pt idx="18">
                  <c:v>5.4224799999999993</c:v>
                </c:pt>
                <c:pt idx="19">
                  <c:v>5.4797700000000003</c:v>
                </c:pt>
                <c:pt idx="20">
                  <c:v>5.5541499999999999</c:v>
                </c:pt>
                <c:pt idx="21">
                  <c:v>5.6098099999999995</c:v>
                </c:pt>
                <c:pt idx="22">
                  <c:v>5.6658499999999998</c:v>
                </c:pt>
                <c:pt idx="23">
                  <c:v>5.7180900000000001</c:v>
                </c:pt>
                <c:pt idx="24">
                  <c:v>5.7638699999999998</c:v>
                </c:pt>
                <c:pt idx="25">
                  <c:v>5.8134300000000003</c:v>
                </c:pt>
                <c:pt idx="26">
                  <c:v>5.8560599999999994</c:v>
                </c:pt>
                <c:pt idx="27">
                  <c:v>5.8928199999999995</c:v>
                </c:pt>
                <c:pt idx="28">
                  <c:v>5.9257299999999997</c:v>
                </c:pt>
                <c:pt idx="29">
                  <c:v>5.9549399999999997</c:v>
                </c:pt>
                <c:pt idx="30">
                  <c:v>5.9807500000000005</c:v>
                </c:pt>
                <c:pt idx="31">
                  <c:v>6.0057099999999997</c:v>
                </c:pt>
                <c:pt idx="32">
                  <c:v>6.0233800000000004</c:v>
                </c:pt>
                <c:pt idx="33">
                  <c:v>6.0319699999999994</c:v>
                </c:pt>
                <c:pt idx="34">
                  <c:v>6.0320799999999997</c:v>
                </c:pt>
                <c:pt idx="35">
                  <c:v>6.0342799999999999</c:v>
                </c:pt>
                <c:pt idx="36">
                  <c:v>6.0331500000000009</c:v>
                </c:pt>
                <c:pt idx="37">
                  <c:v>6.0324900000000001</c:v>
                </c:pt>
                <c:pt idx="38">
                  <c:v>6.03613</c:v>
                </c:pt>
                <c:pt idx="39">
                  <c:v>6.0392999999999999</c:v>
                </c:pt>
                <c:pt idx="40">
                  <c:v>6.0404599999999995</c:v>
                </c:pt>
                <c:pt idx="41">
                  <c:v>6.0408200000000001</c:v>
                </c:pt>
                <c:pt idx="42">
                  <c:v>6.0398800000000001</c:v>
                </c:pt>
                <c:pt idx="43">
                  <c:v>6.0401000000000007</c:v>
                </c:pt>
                <c:pt idx="44">
                  <c:v>6.0441500000000001</c:v>
                </c:pt>
                <c:pt idx="45">
                  <c:v>6.0527899999999999</c:v>
                </c:pt>
                <c:pt idx="46">
                  <c:v>6.0628599999999997</c:v>
                </c:pt>
                <c:pt idx="47">
                  <c:v>6.0667499999999999</c:v>
                </c:pt>
                <c:pt idx="48">
                  <c:v>6.0714800000000002</c:v>
                </c:pt>
                <c:pt idx="49">
                  <c:v>6.07531</c:v>
                </c:pt>
                <c:pt idx="50">
                  <c:v>6.077630000000001</c:v>
                </c:pt>
                <c:pt idx="51">
                  <c:v>6.0808600000000004</c:v>
                </c:pt>
                <c:pt idx="52">
                  <c:v>6.0848199999999997</c:v>
                </c:pt>
                <c:pt idx="53">
                  <c:v>6.0871200000000005</c:v>
                </c:pt>
                <c:pt idx="54">
                  <c:v>6.0916899999999998</c:v>
                </c:pt>
                <c:pt idx="55">
                  <c:v>6.0951399999999998</c:v>
                </c:pt>
                <c:pt idx="56">
                  <c:v>6.0968</c:v>
                </c:pt>
                <c:pt idx="57">
                  <c:v>6.1002500000000008</c:v>
                </c:pt>
                <c:pt idx="58">
                  <c:v>6.1093900000000003</c:v>
                </c:pt>
                <c:pt idx="59">
                  <c:v>6.1216299999999997</c:v>
                </c:pt>
                <c:pt idx="60">
                  <c:v>6.1319299999999997</c:v>
                </c:pt>
                <c:pt idx="61">
                  <c:v>6.1417299999999999</c:v>
                </c:pt>
                <c:pt idx="62">
                  <c:v>6.1487400000000001</c:v>
                </c:pt>
                <c:pt idx="63">
                  <c:v>6.1490799999999997</c:v>
                </c:pt>
                <c:pt idx="64">
                  <c:v>6.15001</c:v>
                </c:pt>
                <c:pt idx="65">
                  <c:v>6.15611</c:v>
                </c:pt>
                <c:pt idx="66">
                  <c:v>6.1604200000000002</c:v>
                </c:pt>
                <c:pt idx="67">
                  <c:v>6.1690800000000001</c:v>
                </c:pt>
                <c:pt idx="68">
                  <c:v>6.1755700000000004</c:v>
                </c:pt>
                <c:pt idx="69">
                  <c:v>6.1659799999999994</c:v>
                </c:pt>
                <c:pt idx="70">
                  <c:v>6.1523099999999999</c:v>
                </c:pt>
                <c:pt idx="71">
                  <c:v>6.1343700000000005</c:v>
                </c:pt>
                <c:pt idx="72">
                  <c:v>6.1431400000000007</c:v>
                </c:pt>
                <c:pt idx="73">
                  <c:v>6.1574099999999996</c:v>
                </c:pt>
                <c:pt idx="74">
                  <c:v>6.1563199999999991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0.39998299999999998</c:v>
                </c:pt>
                <c:pt idx="2">
                  <c:v>0.807944</c:v>
                </c:pt>
                <c:pt idx="3">
                  <c:v>1.2147399999999999</c:v>
                </c:pt>
                <c:pt idx="4">
                  <c:v>1.62233</c:v>
                </c:pt>
                <c:pt idx="5">
                  <c:v>2.0251399999999999</c:v>
                </c:pt>
                <c:pt idx="6">
                  <c:v>2.43004</c:v>
                </c:pt>
                <c:pt idx="7">
                  <c:v>2.8397199999999998</c:v>
                </c:pt>
                <c:pt idx="8">
                  <c:v>3.2464300000000001</c:v>
                </c:pt>
                <c:pt idx="9">
                  <c:v>3.65455</c:v>
                </c:pt>
                <c:pt idx="10">
                  <c:v>4.0582599999999998</c:v>
                </c:pt>
                <c:pt idx="11">
                  <c:v>4.4641099999999998</c:v>
                </c:pt>
                <c:pt idx="12">
                  <c:v>4.8695199999999996</c:v>
                </c:pt>
                <c:pt idx="13">
                  <c:v>5.2762500000000001</c:v>
                </c:pt>
                <c:pt idx="14">
                  <c:v>5.6826400000000001</c:v>
                </c:pt>
                <c:pt idx="15">
                  <c:v>6.0923100000000003</c:v>
                </c:pt>
                <c:pt idx="16">
                  <c:v>6.4954299999999998</c:v>
                </c:pt>
                <c:pt idx="17">
                  <c:v>6.9037499999999996</c:v>
                </c:pt>
                <c:pt idx="18">
                  <c:v>7.3100399999999999</c:v>
                </c:pt>
                <c:pt idx="19">
                  <c:v>7.7149000000000001</c:v>
                </c:pt>
                <c:pt idx="20">
                  <c:v>8.1226299999999991</c:v>
                </c:pt>
                <c:pt idx="21">
                  <c:v>8.5257400000000008</c:v>
                </c:pt>
                <c:pt idx="22">
                  <c:v>8.9326899999999991</c:v>
                </c:pt>
                <c:pt idx="23">
                  <c:v>9.3414000000000001</c:v>
                </c:pt>
                <c:pt idx="24">
                  <c:v>9.7424199999999992</c:v>
                </c:pt>
                <c:pt idx="25">
                  <c:v>10.150499999999999</c:v>
                </c:pt>
                <c:pt idx="26">
                  <c:v>10.5572</c:v>
                </c:pt>
                <c:pt idx="27">
                  <c:v>10.9635</c:v>
                </c:pt>
                <c:pt idx="28">
                  <c:v>11.3697</c:v>
                </c:pt>
                <c:pt idx="29">
                  <c:v>11.775399999999999</c:v>
                </c:pt>
                <c:pt idx="30">
                  <c:v>12.1815</c:v>
                </c:pt>
                <c:pt idx="31">
                  <c:v>12.5916</c:v>
                </c:pt>
                <c:pt idx="32">
                  <c:v>12.997299999999999</c:v>
                </c:pt>
                <c:pt idx="33">
                  <c:v>13.403499999999999</c:v>
                </c:pt>
                <c:pt idx="34">
                  <c:v>13.808299999999999</c:v>
                </c:pt>
                <c:pt idx="35">
                  <c:v>14.215999999999999</c:v>
                </c:pt>
                <c:pt idx="36">
                  <c:v>14.6213</c:v>
                </c:pt>
                <c:pt idx="37">
                  <c:v>15.0318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8"/>
                <c:pt idx="0">
                  <c:v>3.6580000000000004</c:v>
                </c:pt>
                <c:pt idx="1">
                  <c:v>3.7588200000000001</c:v>
                </c:pt>
                <c:pt idx="2">
                  <c:v>3.8610699999999998</c:v>
                </c:pt>
                <c:pt idx="3">
                  <c:v>3.96523</c:v>
                </c:pt>
                <c:pt idx="4">
                  <c:v>4.0701499999999999</c:v>
                </c:pt>
                <c:pt idx="5">
                  <c:v>4.17354</c:v>
                </c:pt>
                <c:pt idx="6">
                  <c:v>4.2745100000000003</c:v>
                </c:pt>
                <c:pt idx="7">
                  <c:v>4.3776999999999999</c:v>
                </c:pt>
                <c:pt idx="8">
                  <c:v>4.4874299999999998</c:v>
                </c:pt>
                <c:pt idx="9">
                  <c:v>4.5946600000000002</c:v>
                </c:pt>
                <c:pt idx="10">
                  <c:v>4.6987800000000002</c:v>
                </c:pt>
                <c:pt idx="11">
                  <c:v>4.8066199999999997</c:v>
                </c:pt>
                <c:pt idx="12">
                  <c:v>4.9092900000000004</c:v>
                </c:pt>
                <c:pt idx="13">
                  <c:v>4.9804199999999996</c:v>
                </c:pt>
                <c:pt idx="14">
                  <c:v>5.0744599999999993</c:v>
                </c:pt>
                <c:pt idx="15">
                  <c:v>5.1632299999999995</c:v>
                </c:pt>
                <c:pt idx="16">
                  <c:v>5.2486299999999995</c:v>
                </c:pt>
                <c:pt idx="17">
                  <c:v>5.3481800000000002</c:v>
                </c:pt>
                <c:pt idx="18">
                  <c:v>5.4224799999999993</c:v>
                </c:pt>
                <c:pt idx="19">
                  <c:v>5.4797700000000003</c:v>
                </c:pt>
                <c:pt idx="20">
                  <c:v>5.5541499999999999</c:v>
                </c:pt>
                <c:pt idx="21">
                  <c:v>5.6098099999999995</c:v>
                </c:pt>
                <c:pt idx="22">
                  <c:v>5.6658499999999998</c:v>
                </c:pt>
                <c:pt idx="23">
                  <c:v>5.7180900000000001</c:v>
                </c:pt>
                <c:pt idx="24">
                  <c:v>5.7638699999999998</c:v>
                </c:pt>
                <c:pt idx="25">
                  <c:v>5.8134300000000003</c:v>
                </c:pt>
                <c:pt idx="26">
                  <c:v>5.8560599999999994</c:v>
                </c:pt>
                <c:pt idx="27">
                  <c:v>5.8928199999999995</c:v>
                </c:pt>
                <c:pt idx="28">
                  <c:v>5.9257299999999997</c:v>
                </c:pt>
                <c:pt idx="29">
                  <c:v>5.9549399999999997</c:v>
                </c:pt>
                <c:pt idx="30">
                  <c:v>5.9807500000000005</c:v>
                </c:pt>
                <c:pt idx="31">
                  <c:v>6.0057099999999997</c:v>
                </c:pt>
                <c:pt idx="32">
                  <c:v>6.0233800000000004</c:v>
                </c:pt>
                <c:pt idx="33">
                  <c:v>6.0319699999999994</c:v>
                </c:pt>
                <c:pt idx="34">
                  <c:v>6.0320799999999997</c:v>
                </c:pt>
                <c:pt idx="35">
                  <c:v>6.0342799999999999</c:v>
                </c:pt>
                <c:pt idx="36">
                  <c:v>6.0331500000000009</c:v>
                </c:pt>
                <c:pt idx="37">
                  <c:v>6.0324900000000001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15.0318</c:v>
                </c:pt>
                <c:pt idx="1">
                  <c:v>15.561</c:v>
                </c:pt>
                <c:pt idx="2">
                  <c:v>15.9316</c:v>
                </c:pt>
                <c:pt idx="3">
                  <c:v>16.308900000000001</c:v>
                </c:pt>
                <c:pt idx="4">
                  <c:v>16.696999999999999</c:v>
                </c:pt>
                <c:pt idx="5">
                  <c:v>17.1065</c:v>
                </c:pt>
                <c:pt idx="6">
                  <c:v>17.5108</c:v>
                </c:pt>
                <c:pt idx="7">
                  <c:v>17.9192</c:v>
                </c:pt>
                <c:pt idx="8">
                  <c:v>18.325199999999999</c:v>
                </c:pt>
                <c:pt idx="9">
                  <c:v>18.728100000000001</c:v>
                </c:pt>
                <c:pt idx="10">
                  <c:v>19.134899999999998</c:v>
                </c:pt>
                <c:pt idx="11">
                  <c:v>19.541799999999999</c:v>
                </c:pt>
                <c:pt idx="12">
                  <c:v>19.952300000000001</c:v>
                </c:pt>
                <c:pt idx="13">
                  <c:v>20.354500000000002</c:v>
                </c:pt>
                <c:pt idx="14">
                  <c:v>20.760999999999999</c:v>
                </c:pt>
                <c:pt idx="15">
                  <c:v>21.167300000000001</c:v>
                </c:pt>
                <c:pt idx="16">
                  <c:v>21.572700000000001</c:v>
                </c:pt>
                <c:pt idx="17">
                  <c:v>21.977699999999999</c:v>
                </c:pt>
                <c:pt idx="18">
                  <c:v>22.386700000000001</c:v>
                </c:pt>
                <c:pt idx="19">
                  <c:v>22.792899999999999</c:v>
                </c:pt>
                <c:pt idx="20">
                  <c:v>23.198599999999999</c:v>
                </c:pt>
                <c:pt idx="21">
                  <c:v>23.603400000000001</c:v>
                </c:pt>
                <c:pt idx="22">
                  <c:v>24.0151</c:v>
                </c:pt>
                <c:pt idx="23">
                  <c:v>24.417999999999999</c:v>
                </c:pt>
                <c:pt idx="24">
                  <c:v>24.824300000000001</c:v>
                </c:pt>
                <c:pt idx="25">
                  <c:v>25.228300000000001</c:v>
                </c:pt>
                <c:pt idx="26">
                  <c:v>25.637499999999999</c:v>
                </c:pt>
                <c:pt idx="27">
                  <c:v>26.0441</c:v>
                </c:pt>
                <c:pt idx="28">
                  <c:v>26.451000000000001</c:v>
                </c:pt>
                <c:pt idx="29">
                  <c:v>26.854900000000001</c:v>
                </c:pt>
                <c:pt idx="30">
                  <c:v>27.261800000000001</c:v>
                </c:pt>
                <c:pt idx="31">
                  <c:v>27.665400000000002</c:v>
                </c:pt>
                <c:pt idx="32">
                  <c:v>28.0748</c:v>
                </c:pt>
                <c:pt idx="33">
                  <c:v>28.477599999999999</c:v>
                </c:pt>
                <c:pt idx="34">
                  <c:v>28.8873</c:v>
                </c:pt>
                <c:pt idx="35">
                  <c:v>29.289400000000001</c:v>
                </c:pt>
                <c:pt idx="36">
                  <c:v>29.699400000000001</c:v>
                </c:pt>
                <c:pt idx="37">
                  <c:v>30.103100000000001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6.0324900000000001</c:v>
                </c:pt>
                <c:pt idx="1">
                  <c:v>6.03613</c:v>
                </c:pt>
                <c:pt idx="2">
                  <c:v>6.0392999999999999</c:v>
                </c:pt>
                <c:pt idx="3">
                  <c:v>6.0404599999999995</c:v>
                </c:pt>
                <c:pt idx="4">
                  <c:v>6.0408200000000001</c:v>
                </c:pt>
                <c:pt idx="5">
                  <c:v>6.0398800000000001</c:v>
                </c:pt>
                <c:pt idx="6">
                  <c:v>6.0401000000000007</c:v>
                </c:pt>
                <c:pt idx="7">
                  <c:v>6.0441500000000001</c:v>
                </c:pt>
                <c:pt idx="8">
                  <c:v>6.0527899999999999</c:v>
                </c:pt>
                <c:pt idx="9">
                  <c:v>6.0628599999999997</c:v>
                </c:pt>
                <c:pt idx="10">
                  <c:v>6.0667499999999999</c:v>
                </c:pt>
                <c:pt idx="11">
                  <c:v>6.0714800000000002</c:v>
                </c:pt>
                <c:pt idx="12">
                  <c:v>6.07531</c:v>
                </c:pt>
                <c:pt idx="13">
                  <c:v>6.077630000000001</c:v>
                </c:pt>
                <c:pt idx="14">
                  <c:v>6.0808600000000004</c:v>
                </c:pt>
                <c:pt idx="15">
                  <c:v>6.0848199999999997</c:v>
                </c:pt>
                <c:pt idx="16">
                  <c:v>6.0871200000000005</c:v>
                </c:pt>
                <c:pt idx="17">
                  <c:v>6.0916899999999998</c:v>
                </c:pt>
                <c:pt idx="18">
                  <c:v>6.0951399999999998</c:v>
                </c:pt>
                <c:pt idx="19">
                  <c:v>6.0968</c:v>
                </c:pt>
                <c:pt idx="20">
                  <c:v>6.1002500000000008</c:v>
                </c:pt>
                <c:pt idx="21">
                  <c:v>6.1093900000000003</c:v>
                </c:pt>
                <c:pt idx="22">
                  <c:v>6.1216299999999997</c:v>
                </c:pt>
                <c:pt idx="23">
                  <c:v>6.1319299999999997</c:v>
                </c:pt>
                <c:pt idx="24">
                  <c:v>6.1417299999999999</c:v>
                </c:pt>
                <c:pt idx="25">
                  <c:v>6.1487400000000001</c:v>
                </c:pt>
                <c:pt idx="26">
                  <c:v>6.1490799999999997</c:v>
                </c:pt>
                <c:pt idx="27">
                  <c:v>6.15001</c:v>
                </c:pt>
                <c:pt idx="28">
                  <c:v>6.15611</c:v>
                </c:pt>
                <c:pt idx="29">
                  <c:v>6.1604200000000002</c:v>
                </c:pt>
                <c:pt idx="30">
                  <c:v>6.1690800000000001</c:v>
                </c:pt>
                <c:pt idx="31">
                  <c:v>6.1755700000000004</c:v>
                </c:pt>
                <c:pt idx="32">
                  <c:v>6.1659799999999994</c:v>
                </c:pt>
                <c:pt idx="33">
                  <c:v>6.1523099999999999</c:v>
                </c:pt>
                <c:pt idx="34">
                  <c:v>6.1343700000000005</c:v>
                </c:pt>
                <c:pt idx="35">
                  <c:v>6.1431400000000007</c:v>
                </c:pt>
                <c:pt idx="36">
                  <c:v>6.1574099999999996</c:v>
                </c:pt>
                <c:pt idx="37">
                  <c:v>6.1563199999999991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7.5257750000000003</c:v>
                </c:pt>
                <c:pt idx="1">
                  <c:v>22.577325000000002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5.1959199999999992</c:v>
                </c:pt>
                <c:pt idx="1">
                  <c:v>6.1006413513513529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0.39998299999999998</c:v>
                </c:pt>
                <c:pt idx="2">
                  <c:v>0.807944</c:v>
                </c:pt>
                <c:pt idx="3">
                  <c:v>1.2147399999999999</c:v>
                </c:pt>
                <c:pt idx="4">
                  <c:v>1.62233</c:v>
                </c:pt>
                <c:pt idx="5">
                  <c:v>2.0251399999999999</c:v>
                </c:pt>
                <c:pt idx="6">
                  <c:v>2.43004</c:v>
                </c:pt>
                <c:pt idx="7">
                  <c:v>2.8397199999999998</c:v>
                </c:pt>
                <c:pt idx="8">
                  <c:v>3.2464300000000001</c:v>
                </c:pt>
                <c:pt idx="9">
                  <c:v>3.65455</c:v>
                </c:pt>
                <c:pt idx="10">
                  <c:v>4.0582599999999998</c:v>
                </c:pt>
                <c:pt idx="11">
                  <c:v>4.4641099999999998</c:v>
                </c:pt>
                <c:pt idx="12">
                  <c:v>4.8695199999999996</c:v>
                </c:pt>
                <c:pt idx="13">
                  <c:v>5.2762500000000001</c:v>
                </c:pt>
                <c:pt idx="14">
                  <c:v>5.6826400000000001</c:v>
                </c:pt>
                <c:pt idx="15">
                  <c:v>6.0923100000000003</c:v>
                </c:pt>
                <c:pt idx="16">
                  <c:v>6.4954299999999998</c:v>
                </c:pt>
                <c:pt idx="17">
                  <c:v>6.9037499999999996</c:v>
                </c:pt>
                <c:pt idx="18">
                  <c:v>7.3100399999999999</c:v>
                </c:pt>
                <c:pt idx="19">
                  <c:v>7.7149000000000001</c:v>
                </c:pt>
                <c:pt idx="20">
                  <c:v>8.1226299999999991</c:v>
                </c:pt>
                <c:pt idx="21">
                  <c:v>8.5257400000000008</c:v>
                </c:pt>
                <c:pt idx="22">
                  <c:v>8.9326899999999991</c:v>
                </c:pt>
                <c:pt idx="23">
                  <c:v>9.3414000000000001</c:v>
                </c:pt>
                <c:pt idx="24">
                  <c:v>9.7424199999999992</c:v>
                </c:pt>
                <c:pt idx="25">
                  <c:v>10.150499999999999</c:v>
                </c:pt>
                <c:pt idx="26">
                  <c:v>10.5572</c:v>
                </c:pt>
                <c:pt idx="27">
                  <c:v>10.9635</c:v>
                </c:pt>
                <c:pt idx="28">
                  <c:v>11.3697</c:v>
                </c:pt>
                <c:pt idx="29">
                  <c:v>11.775399999999999</c:v>
                </c:pt>
                <c:pt idx="30">
                  <c:v>12.1815</c:v>
                </c:pt>
                <c:pt idx="31">
                  <c:v>12.5916</c:v>
                </c:pt>
                <c:pt idx="32">
                  <c:v>12.997299999999999</c:v>
                </c:pt>
                <c:pt idx="33">
                  <c:v>13.403499999999999</c:v>
                </c:pt>
                <c:pt idx="34">
                  <c:v>13.808299999999999</c:v>
                </c:pt>
                <c:pt idx="35">
                  <c:v>14.215999999999999</c:v>
                </c:pt>
                <c:pt idx="36">
                  <c:v>14.6213</c:v>
                </c:pt>
                <c:pt idx="37">
                  <c:v>15.0318</c:v>
                </c:pt>
                <c:pt idx="38">
                  <c:v>15.561</c:v>
                </c:pt>
                <c:pt idx="39">
                  <c:v>15.9316</c:v>
                </c:pt>
                <c:pt idx="40">
                  <c:v>16.308900000000001</c:v>
                </c:pt>
                <c:pt idx="41">
                  <c:v>16.696999999999999</c:v>
                </c:pt>
                <c:pt idx="42">
                  <c:v>17.1065</c:v>
                </c:pt>
                <c:pt idx="43">
                  <c:v>17.5108</c:v>
                </c:pt>
                <c:pt idx="44">
                  <c:v>17.9192</c:v>
                </c:pt>
                <c:pt idx="45">
                  <c:v>18.325199999999999</c:v>
                </c:pt>
                <c:pt idx="46">
                  <c:v>18.728100000000001</c:v>
                </c:pt>
                <c:pt idx="47">
                  <c:v>19.134899999999998</c:v>
                </c:pt>
                <c:pt idx="48">
                  <c:v>19.541799999999999</c:v>
                </c:pt>
                <c:pt idx="49">
                  <c:v>19.952300000000001</c:v>
                </c:pt>
                <c:pt idx="50">
                  <c:v>20.354500000000002</c:v>
                </c:pt>
                <c:pt idx="51">
                  <c:v>20.760999999999999</c:v>
                </c:pt>
                <c:pt idx="52">
                  <c:v>21.167300000000001</c:v>
                </c:pt>
                <c:pt idx="53">
                  <c:v>21.572700000000001</c:v>
                </c:pt>
                <c:pt idx="54">
                  <c:v>21.977699999999999</c:v>
                </c:pt>
                <c:pt idx="55">
                  <c:v>22.386700000000001</c:v>
                </c:pt>
                <c:pt idx="56">
                  <c:v>22.792899999999999</c:v>
                </c:pt>
                <c:pt idx="57">
                  <c:v>23.198599999999999</c:v>
                </c:pt>
                <c:pt idx="58">
                  <c:v>23.603400000000001</c:v>
                </c:pt>
                <c:pt idx="59">
                  <c:v>24.0151</c:v>
                </c:pt>
                <c:pt idx="60">
                  <c:v>24.417999999999999</c:v>
                </c:pt>
                <c:pt idx="61">
                  <c:v>24.824300000000001</c:v>
                </c:pt>
                <c:pt idx="62">
                  <c:v>25.228300000000001</c:v>
                </c:pt>
                <c:pt idx="63">
                  <c:v>25.637499999999999</c:v>
                </c:pt>
                <c:pt idx="64">
                  <c:v>26.0441</c:v>
                </c:pt>
                <c:pt idx="65">
                  <c:v>26.451000000000001</c:v>
                </c:pt>
                <c:pt idx="66">
                  <c:v>26.854900000000001</c:v>
                </c:pt>
                <c:pt idx="67">
                  <c:v>27.261800000000001</c:v>
                </c:pt>
                <c:pt idx="68">
                  <c:v>27.665400000000002</c:v>
                </c:pt>
                <c:pt idx="69">
                  <c:v>28.0748</c:v>
                </c:pt>
                <c:pt idx="70">
                  <c:v>28.477599999999999</c:v>
                </c:pt>
                <c:pt idx="71">
                  <c:v>28.8873</c:v>
                </c:pt>
                <c:pt idx="72">
                  <c:v>29.289400000000001</c:v>
                </c:pt>
                <c:pt idx="73">
                  <c:v>29.699400000000001</c:v>
                </c:pt>
                <c:pt idx="74">
                  <c:v>30.103100000000001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40.731999999999999</c:v>
                </c:pt>
                <c:pt idx="1">
                  <c:v>39.6905</c:v>
                </c:pt>
                <c:pt idx="2">
                  <c:v>38.524000000000001</c:v>
                </c:pt>
                <c:pt idx="3">
                  <c:v>37.269000000000005</c:v>
                </c:pt>
                <c:pt idx="4">
                  <c:v>35.937899999999999</c:v>
                </c:pt>
                <c:pt idx="5">
                  <c:v>34.564499999999995</c:v>
                </c:pt>
                <c:pt idx="6">
                  <c:v>33.339999999999996</c:v>
                </c:pt>
                <c:pt idx="7">
                  <c:v>32.015599999999999</c:v>
                </c:pt>
                <c:pt idx="8">
                  <c:v>30.392499999999998</c:v>
                </c:pt>
                <c:pt idx="9">
                  <c:v>28.9862</c:v>
                </c:pt>
                <c:pt idx="10">
                  <c:v>27.6951</c:v>
                </c:pt>
                <c:pt idx="11">
                  <c:v>26.335199999999997</c:v>
                </c:pt>
                <c:pt idx="12">
                  <c:v>25.2257</c:v>
                </c:pt>
                <c:pt idx="13">
                  <c:v>24.885899999999999</c:v>
                </c:pt>
                <c:pt idx="14">
                  <c:v>24.153600000000001</c:v>
                </c:pt>
                <c:pt idx="15">
                  <c:v>23.543300000000002</c:v>
                </c:pt>
                <c:pt idx="16">
                  <c:v>23.121700000000001</c:v>
                </c:pt>
                <c:pt idx="17">
                  <c:v>22.565200000000001</c:v>
                </c:pt>
                <c:pt idx="18">
                  <c:v>22.351700000000001</c:v>
                </c:pt>
                <c:pt idx="19">
                  <c:v>22.3248</c:v>
                </c:pt>
                <c:pt idx="20">
                  <c:v>22.245200000000001</c:v>
                </c:pt>
                <c:pt idx="21">
                  <c:v>22.3782</c:v>
                </c:pt>
                <c:pt idx="22">
                  <c:v>22.452500000000001</c:v>
                </c:pt>
                <c:pt idx="23">
                  <c:v>22.521899999999999</c:v>
                </c:pt>
                <c:pt idx="24">
                  <c:v>22.6218</c:v>
                </c:pt>
                <c:pt idx="25">
                  <c:v>22.668700000000001</c:v>
                </c:pt>
                <c:pt idx="26">
                  <c:v>22.710100000000001</c:v>
                </c:pt>
                <c:pt idx="27">
                  <c:v>22.791700000000002</c:v>
                </c:pt>
                <c:pt idx="28">
                  <c:v>22.807500000000001</c:v>
                </c:pt>
                <c:pt idx="29">
                  <c:v>22.830500000000001</c:v>
                </c:pt>
                <c:pt idx="30">
                  <c:v>22.833400000000001</c:v>
                </c:pt>
                <c:pt idx="31">
                  <c:v>22.830500000000001</c:v>
                </c:pt>
                <c:pt idx="32">
                  <c:v>22.793399999999998</c:v>
                </c:pt>
                <c:pt idx="33">
                  <c:v>22.7714</c:v>
                </c:pt>
                <c:pt idx="34">
                  <c:v>22.777799999999999</c:v>
                </c:pt>
                <c:pt idx="35">
                  <c:v>22.7742</c:v>
                </c:pt>
                <c:pt idx="36">
                  <c:v>22.762999999999998</c:v>
                </c:pt>
                <c:pt idx="37">
                  <c:v>22.732800000000001</c:v>
                </c:pt>
                <c:pt idx="38">
                  <c:v>22.6813</c:v>
                </c:pt>
                <c:pt idx="39">
                  <c:v>22.670299999999997</c:v>
                </c:pt>
                <c:pt idx="40">
                  <c:v>22.6752</c:v>
                </c:pt>
                <c:pt idx="41">
                  <c:v>22.668600000000001</c:v>
                </c:pt>
                <c:pt idx="42">
                  <c:v>22.616199999999999</c:v>
                </c:pt>
                <c:pt idx="43">
                  <c:v>22.4983</c:v>
                </c:pt>
                <c:pt idx="44">
                  <c:v>22.3537</c:v>
                </c:pt>
                <c:pt idx="45">
                  <c:v>22.0947</c:v>
                </c:pt>
                <c:pt idx="46">
                  <c:v>21.8674</c:v>
                </c:pt>
                <c:pt idx="47">
                  <c:v>21.767400000000002</c:v>
                </c:pt>
                <c:pt idx="48">
                  <c:v>21.6952</c:v>
                </c:pt>
                <c:pt idx="49">
                  <c:v>21.681100000000001</c:v>
                </c:pt>
                <c:pt idx="50">
                  <c:v>21.677399999999999</c:v>
                </c:pt>
                <c:pt idx="51">
                  <c:v>21.637700000000002</c:v>
                </c:pt>
                <c:pt idx="52">
                  <c:v>21.576000000000001</c:v>
                </c:pt>
                <c:pt idx="53">
                  <c:v>21.5138</c:v>
                </c:pt>
                <c:pt idx="54">
                  <c:v>21.470800000000001</c:v>
                </c:pt>
                <c:pt idx="55">
                  <c:v>21.4251</c:v>
                </c:pt>
                <c:pt idx="56">
                  <c:v>21.379300000000001</c:v>
                </c:pt>
                <c:pt idx="57">
                  <c:v>21.296300000000002</c:v>
                </c:pt>
                <c:pt idx="58">
                  <c:v>21.179100000000002</c:v>
                </c:pt>
                <c:pt idx="59">
                  <c:v>21.049399999999999</c:v>
                </c:pt>
                <c:pt idx="60">
                  <c:v>20.910699999999999</c:v>
                </c:pt>
                <c:pt idx="61">
                  <c:v>20.798300000000001</c:v>
                </c:pt>
                <c:pt idx="62">
                  <c:v>20.724400000000003</c:v>
                </c:pt>
                <c:pt idx="63">
                  <c:v>20.621300000000002</c:v>
                </c:pt>
                <c:pt idx="64">
                  <c:v>20.435300000000002</c:v>
                </c:pt>
                <c:pt idx="65">
                  <c:v>20.199300000000001</c:v>
                </c:pt>
                <c:pt idx="66">
                  <c:v>20.008200000000002</c:v>
                </c:pt>
                <c:pt idx="67">
                  <c:v>19.8626</c:v>
                </c:pt>
                <c:pt idx="68">
                  <c:v>19.882999999999999</c:v>
                </c:pt>
                <c:pt idx="69">
                  <c:v>19.933400000000002</c:v>
                </c:pt>
                <c:pt idx="70">
                  <c:v>20.233599999999999</c:v>
                </c:pt>
                <c:pt idx="71">
                  <c:v>20.564599999999999</c:v>
                </c:pt>
                <c:pt idx="72">
                  <c:v>20.698800000000002</c:v>
                </c:pt>
                <c:pt idx="73">
                  <c:v>21.0261</c:v>
                </c:pt>
                <c:pt idx="74">
                  <c:v>20.939699999999998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0.39998299999999998</c:v>
                </c:pt>
                <c:pt idx="2">
                  <c:v>0.807944</c:v>
                </c:pt>
                <c:pt idx="3">
                  <c:v>1.2147399999999999</c:v>
                </c:pt>
                <c:pt idx="4">
                  <c:v>1.62233</c:v>
                </c:pt>
                <c:pt idx="5">
                  <c:v>2.0251399999999999</c:v>
                </c:pt>
                <c:pt idx="6">
                  <c:v>2.43004</c:v>
                </c:pt>
                <c:pt idx="7">
                  <c:v>2.8397199999999998</c:v>
                </c:pt>
                <c:pt idx="8">
                  <c:v>3.2464300000000001</c:v>
                </c:pt>
                <c:pt idx="9">
                  <c:v>3.65455</c:v>
                </c:pt>
                <c:pt idx="10">
                  <c:v>4.0582599999999998</c:v>
                </c:pt>
                <c:pt idx="11">
                  <c:v>4.4641099999999998</c:v>
                </c:pt>
                <c:pt idx="12">
                  <c:v>4.8695199999999996</c:v>
                </c:pt>
                <c:pt idx="13">
                  <c:v>5.2762500000000001</c:v>
                </c:pt>
                <c:pt idx="14">
                  <c:v>5.6826400000000001</c:v>
                </c:pt>
                <c:pt idx="15">
                  <c:v>6.0923100000000003</c:v>
                </c:pt>
                <c:pt idx="16">
                  <c:v>6.4954299999999998</c:v>
                </c:pt>
                <c:pt idx="17">
                  <c:v>6.9037499999999996</c:v>
                </c:pt>
                <c:pt idx="18">
                  <c:v>7.3100399999999999</c:v>
                </c:pt>
                <c:pt idx="19">
                  <c:v>7.7149000000000001</c:v>
                </c:pt>
                <c:pt idx="20">
                  <c:v>8.1226299999999991</c:v>
                </c:pt>
                <c:pt idx="21">
                  <c:v>8.5257400000000008</c:v>
                </c:pt>
                <c:pt idx="22">
                  <c:v>8.9326899999999991</c:v>
                </c:pt>
                <c:pt idx="23">
                  <c:v>9.3414000000000001</c:v>
                </c:pt>
                <c:pt idx="24">
                  <c:v>9.7424199999999992</c:v>
                </c:pt>
                <c:pt idx="25">
                  <c:v>10.150499999999999</c:v>
                </c:pt>
                <c:pt idx="26">
                  <c:v>10.5572</c:v>
                </c:pt>
                <c:pt idx="27">
                  <c:v>10.9635</c:v>
                </c:pt>
                <c:pt idx="28">
                  <c:v>11.3697</c:v>
                </c:pt>
                <c:pt idx="29">
                  <c:v>11.775399999999999</c:v>
                </c:pt>
                <c:pt idx="30">
                  <c:v>12.1815</c:v>
                </c:pt>
                <c:pt idx="31">
                  <c:v>12.5916</c:v>
                </c:pt>
                <c:pt idx="32">
                  <c:v>12.997299999999999</c:v>
                </c:pt>
                <c:pt idx="33">
                  <c:v>13.403499999999999</c:v>
                </c:pt>
                <c:pt idx="34">
                  <c:v>13.808299999999999</c:v>
                </c:pt>
                <c:pt idx="35">
                  <c:v>14.215999999999999</c:v>
                </c:pt>
                <c:pt idx="36">
                  <c:v>14.6213</c:v>
                </c:pt>
                <c:pt idx="37">
                  <c:v>15.0318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40.731999999999999</c:v>
                </c:pt>
                <c:pt idx="1">
                  <c:v>39.6905</c:v>
                </c:pt>
                <c:pt idx="2">
                  <c:v>38.524000000000001</c:v>
                </c:pt>
                <c:pt idx="3">
                  <c:v>37.269000000000005</c:v>
                </c:pt>
                <c:pt idx="4">
                  <c:v>35.937899999999999</c:v>
                </c:pt>
                <c:pt idx="5">
                  <c:v>34.564499999999995</c:v>
                </c:pt>
                <c:pt idx="6">
                  <c:v>33.339999999999996</c:v>
                </c:pt>
                <c:pt idx="7">
                  <c:v>32.015599999999999</c:v>
                </c:pt>
                <c:pt idx="8">
                  <c:v>30.392499999999998</c:v>
                </c:pt>
                <c:pt idx="9">
                  <c:v>28.9862</c:v>
                </c:pt>
                <c:pt idx="10">
                  <c:v>27.6951</c:v>
                </c:pt>
                <c:pt idx="11">
                  <c:v>26.335199999999997</c:v>
                </c:pt>
                <c:pt idx="12">
                  <c:v>25.2257</c:v>
                </c:pt>
                <c:pt idx="13">
                  <c:v>24.885899999999999</c:v>
                </c:pt>
                <c:pt idx="14">
                  <c:v>24.153600000000001</c:v>
                </c:pt>
                <c:pt idx="15">
                  <c:v>23.543300000000002</c:v>
                </c:pt>
                <c:pt idx="16">
                  <c:v>23.121700000000001</c:v>
                </c:pt>
                <c:pt idx="17">
                  <c:v>22.565200000000001</c:v>
                </c:pt>
                <c:pt idx="18">
                  <c:v>22.351700000000001</c:v>
                </c:pt>
                <c:pt idx="19">
                  <c:v>22.3248</c:v>
                </c:pt>
                <c:pt idx="20">
                  <c:v>22.245200000000001</c:v>
                </c:pt>
                <c:pt idx="21">
                  <c:v>22.3782</c:v>
                </c:pt>
                <c:pt idx="22">
                  <c:v>22.452500000000001</c:v>
                </c:pt>
                <c:pt idx="23">
                  <c:v>22.521899999999999</c:v>
                </c:pt>
                <c:pt idx="24">
                  <c:v>22.6218</c:v>
                </c:pt>
                <c:pt idx="25">
                  <c:v>22.668700000000001</c:v>
                </c:pt>
                <c:pt idx="26">
                  <c:v>22.710100000000001</c:v>
                </c:pt>
                <c:pt idx="27">
                  <c:v>22.791700000000002</c:v>
                </c:pt>
                <c:pt idx="28">
                  <c:v>22.807500000000001</c:v>
                </c:pt>
                <c:pt idx="29">
                  <c:v>22.830500000000001</c:v>
                </c:pt>
                <c:pt idx="30">
                  <c:v>22.833400000000001</c:v>
                </c:pt>
                <c:pt idx="31">
                  <c:v>22.830500000000001</c:v>
                </c:pt>
                <c:pt idx="32">
                  <c:v>22.793399999999998</c:v>
                </c:pt>
                <c:pt idx="33">
                  <c:v>22.7714</c:v>
                </c:pt>
                <c:pt idx="34">
                  <c:v>22.777799999999999</c:v>
                </c:pt>
                <c:pt idx="35">
                  <c:v>22.7742</c:v>
                </c:pt>
                <c:pt idx="36">
                  <c:v>22.762999999999998</c:v>
                </c:pt>
                <c:pt idx="37">
                  <c:v>22.732800000000001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15.0318</c:v>
                </c:pt>
                <c:pt idx="1">
                  <c:v>15.561</c:v>
                </c:pt>
                <c:pt idx="2">
                  <c:v>15.9316</c:v>
                </c:pt>
                <c:pt idx="3">
                  <c:v>16.308900000000001</c:v>
                </c:pt>
                <c:pt idx="4">
                  <c:v>16.696999999999999</c:v>
                </c:pt>
                <c:pt idx="5">
                  <c:v>17.1065</c:v>
                </c:pt>
                <c:pt idx="6">
                  <c:v>17.5108</c:v>
                </c:pt>
                <c:pt idx="7">
                  <c:v>17.9192</c:v>
                </c:pt>
                <c:pt idx="8">
                  <c:v>18.325199999999999</c:v>
                </c:pt>
                <c:pt idx="9">
                  <c:v>18.728100000000001</c:v>
                </c:pt>
                <c:pt idx="10">
                  <c:v>19.134899999999998</c:v>
                </c:pt>
                <c:pt idx="11">
                  <c:v>19.541799999999999</c:v>
                </c:pt>
                <c:pt idx="12">
                  <c:v>19.952300000000001</c:v>
                </c:pt>
                <c:pt idx="13">
                  <c:v>20.354500000000002</c:v>
                </c:pt>
                <c:pt idx="14">
                  <c:v>20.760999999999999</c:v>
                </c:pt>
                <c:pt idx="15">
                  <c:v>21.167300000000001</c:v>
                </c:pt>
                <c:pt idx="16">
                  <c:v>21.572700000000001</c:v>
                </c:pt>
                <c:pt idx="17">
                  <c:v>21.977699999999999</c:v>
                </c:pt>
                <c:pt idx="18">
                  <c:v>22.386700000000001</c:v>
                </c:pt>
                <c:pt idx="19">
                  <c:v>22.792899999999999</c:v>
                </c:pt>
                <c:pt idx="20">
                  <c:v>23.198599999999999</c:v>
                </c:pt>
                <c:pt idx="21">
                  <c:v>23.603400000000001</c:v>
                </c:pt>
                <c:pt idx="22">
                  <c:v>24.0151</c:v>
                </c:pt>
                <c:pt idx="23">
                  <c:v>24.417999999999999</c:v>
                </c:pt>
                <c:pt idx="24">
                  <c:v>24.824300000000001</c:v>
                </c:pt>
                <c:pt idx="25">
                  <c:v>25.228300000000001</c:v>
                </c:pt>
                <c:pt idx="26">
                  <c:v>25.637499999999999</c:v>
                </c:pt>
                <c:pt idx="27">
                  <c:v>26.0441</c:v>
                </c:pt>
                <c:pt idx="28">
                  <c:v>26.451000000000001</c:v>
                </c:pt>
                <c:pt idx="29">
                  <c:v>26.854900000000001</c:v>
                </c:pt>
                <c:pt idx="30">
                  <c:v>27.261800000000001</c:v>
                </c:pt>
                <c:pt idx="31">
                  <c:v>27.665400000000002</c:v>
                </c:pt>
                <c:pt idx="32">
                  <c:v>28.0748</c:v>
                </c:pt>
                <c:pt idx="33">
                  <c:v>28.477599999999999</c:v>
                </c:pt>
                <c:pt idx="34">
                  <c:v>28.8873</c:v>
                </c:pt>
                <c:pt idx="35">
                  <c:v>29.289400000000001</c:v>
                </c:pt>
                <c:pt idx="36">
                  <c:v>29.699400000000001</c:v>
                </c:pt>
                <c:pt idx="37">
                  <c:v>30.103100000000001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22.732800000000001</c:v>
                </c:pt>
                <c:pt idx="1">
                  <c:v>22.6813</c:v>
                </c:pt>
                <c:pt idx="2">
                  <c:v>22.670299999999997</c:v>
                </c:pt>
                <c:pt idx="3">
                  <c:v>22.6752</c:v>
                </c:pt>
                <c:pt idx="4">
                  <c:v>22.668600000000001</c:v>
                </c:pt>
                <c:pt idx="5">
                  <c:v>22.616199999999999</c:v>
                </c:pt>
                <c:pt idx="6">
                  <c:v>22.4983</c:v>
                </c:pt>
                <c:pt idx="7">
                  <c:v>22.3537</c:v>
                </c:pt>
                <c:pt idx="8">
                  <c:v>22.0947</c:v>
                </c:pt>
                <c:pt idx="9">
                  <c:v>21.8674</c:v>
                </c:pt>
                <c:pt idx="10">
                  <c:v>21.767400000000002</c:v>
                </c:pt>
                <c:pt idx="11">
                  <c:v>21.6952</c:v>
                </c:pt>
                <c:pt idx="12">
                  <c:v>21.681100000000001</c:v>
                </c:pt>
                <c:pt idx="13">
                  <c:v>21.677399999999999</c:v>
                </c:pt>
                <c:pt idx="14">
                  <c:v>21.637700000000002</c:v>
                </c:pt>
                <c:pt idx="15">
                  <c:v>21.576000000000001</c:v>
                </c:pt>
                <c:pt idx="16">
                  <c:v>21.5138</c:v>
                </c:pt>
                <c:pt idx="17">
                  <c:v>21.470800000000001</c:v>
                </c:pt>
                <c:pt idx="18">
                  <c:v>21.4251</c:v>
                </c:pt>
                <c:pt idx="19">
                  <c:v>21.379300000000001</c:v>
                </c:pt>
                <c:pt idx="20">
                  <c:v>21.296300000000002</c:v>
                </c:pt>
                <c:pt idx="21">
                  <c:v>21.179100000000002</c:v>
                </c:pt>
                <c:pt idx="22">
                  <c:v>21.049399999999999</c:v>
                </c:pt>
                <c:pt idx="23">
                  <c:v>20.910699999999999</c:v>
                </c:pt>
                <c:pt idx="24">
                  <c:v>20.798300000000001</c:v>
                </c:pt>
                <c:pt idx="25">
                  <c:v>20.724400000000003</c:v>
                </c:pt>
                <c:pt idx="26">
                  <c:v>20.621300000000002</c:v>
                </c:pt>
                <c:pt idx="27">
                  <c:v>20.435300000000002</c:v>
                </c:pt>
                <c:pt idx="28">
                  <c:v>20.199300000000001</c:v>
                </c:pt>
                <c:pt idx="29">
                  <c:v>20.008200000000002</c:v>
                </c:pt>
                <c:pt idx="30">
                  <c:v>19.8626</c:v>
                </c:pt>
                <c:pt idx="31">
                  <c:v>19.882999999999999</c:v>
                </c:pt>
                <c:pt idx="32">
                  <c:v>19.933400000000002</c:v>
                </c:pt>
                <c:pt idx="33">
                  <c:v>20.233599999999999</c:v>
                </c:pt>
                <c:pt idx="34">
                  <c:v>20.564599999999999</c:v>
                </c:pt>
                <c:pt idx="35">
                  <c:v>20.698800000000002</c:v>
                </c:pt>
                <c:pt idx="36">
                  <c:v>21.0261</c:v>
                </c:pt>
                <c:pt idx="37">
                  <c:v>20.939699999999998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7.5257750000000003</c:v>
                </c:pt>
                <c:pt idx="1">
                  <c:v>22.577325000000002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26.465572972972971</c:v>
                </c:pt>
                <c:pt idx="1">
                  <c:v>21.354235135135134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5"/>
                <c:pt idx="0">
                  <c:v>3.6580000000000004</c:v>
                </c:pt>
                <c:pt idx="1">
                  <c:v>3.7588200000000001</c:v>
                </c:pt>
                <c:pt idx="2">
                  <c:v>3.8610699999999998</c:v>
                </c:pt>
                <c:pt idx="3">
                  <c:v>3.96523</c:v>
                </c:pt>
                <c:pt idx="4">
                  <c:v>4.0701499999999999</c:v>
                </c:pt>
                <c:pt idx="5">
                  <c:v>4.17354</c:v>
                </c:pt>
                <c:pt idx="6">
                  <c:v>4.2745100000000003</c:v>
                </c:pt>
                <c:pt idx="7">
                  <c:v>4.3776999999999999</c:v>
                </c:pt>
                <c:pt idx="8">
                  <c:v>4.4874299999999998</c:v>
                </c:pt>
                <c:pt idx="9">
                  <c:v>4.5946600000000002</c:v>
                </c:pt>
                <c:pt idx="10">
                  <c:v>4.6987800000000002</c:v>
                </c:pt>
                <c:pt idx="11">
                  <c:v>4.8066199999999997</c:v>
                </c:pt>
                <c:pt idx="12">
                  <c:v>4.9092900000000004</c:v>
                </c:pt>
                <c:pt idx="13">
                  <c:v>4.9804199999999996</c:v>
                </c:pt>
                <c:pt idx="14">
                  <c:v>5.0744599999999993</c:v>
                </c:pt>
                <c:pt idx="15">
                  <c:v>5.1632299999999995</c:v>
                </c:pt>
                <c:pt idx="16">
                  <c:v>5.2486299999999995</c:v>
                </c:pt>
                <c:pt idx="17">
                  <c:v>5.3481800000000002</c:v>
                </c:pt>
                <c:pt idx="18">
                  <c:v>5.4224799999999993</c:v>
                </c:pt>
                <c:pt idx="19">
                  <c:v>5.4797700000000003</c:v>
                </c:pt>
                <c:pt idx="20">
                  <c:v>5.5541499999999999</c:v>
                </c:pt>
                <c:pt idx="21">
                  <c:v>5.6098099999999995</c:v>
                </c:pt>
                <c:pt idx="22">
                  <c:v>5.6658499999999998</c:v>
                </c:pt>
                <c:pt idx="23">
                  <c:v>5.7180900000000001</c:v>
                </c:pt>
                <c:pt idx="24">
                  <c:v>5.7638699999999998</c:v>
                </c:pt>
                <c:pt idx="25">
                  <c:v>5.8134300000000003</c:v>
                </c:pt>
                <c:pt idx="26">
                  <c:v>5.8560599999999994</c:v>
                </c:pt>
                <c:pt idx="27">
                  <c:v>5.8928199999999995</c:v>
                </c:pt>
                <c:pt idx="28">
                  <c:v>5.9257299999999997</c:v>
                </c:pt>
                <c:pt idx="29">
                  <c:v>5.9549399999999997</c:v>
                </c:pt>
                <c:pt idx="30">
                  <c:v>5.9807500000000005</c:v>
                </c:pt>
                <c:pt idx="31">
                  <c:v>6.0057099999999997</c:v>
                </c:pt>
                <c:pt idx="32">
                  <c:v>6.0233800000000004</c:v>
                </c:pt>
                <c:pt idx="33">
                  <c:v>6.0319699999999994</c:v>
                </c:pt>
                <c:pt idx="34">
                  <c:v>6.0320799999999997</c:v>
                </c:pt>
                <c:pt idx="35">
                  <c:v>6.0342799999999999</c:v>
                </c:pt>
                <c:pt idx="36">
                  <c:v>6.0331500000000009</c:v>
                </c:pt>
                <c:pt idx="37">
                  <c:v>6.0324900000000001</c:v>
                </c:pt>
                <c:pt idx="38">
                  <c:v>6.03613</c:v>
                </c:pt>
                <c:pt idx="39">
                  <c:v>6.0392999999999999</c:v>
                </c:pt>
                <c:pt idx="40">
                  <c:v>6.0404599999999995</c:v>
                </c:pt>
                <c:pt idx="41">
                  <c:v>6.0408200000000001</c:v>
                </c:pt>
                <c:pt idx="42">
                  <c:v>6.0398800000000001</c:v>
                </c:pt>
                <c:pt idx="43">
                  <c:v>6.0401000000000007</c:v>
                </c:pt>
                <c:pt idx="44">
                  <c:v>6.0441500000000001</c:v>
                </c:pt>
                <c:pt idx="45">
                  <c:v>6.0527899999999999</c:v>
                </c:pt>
                <c:pt idx="46">
                  <c:v>6.0628599999999997</c:v>
                </c:pt>
                <c:pt idx="47">
                  <c:v>6.0667499999999999</c:v>
                </c:pt>
                <c:pt idx="48">
                  <c:v>6.0714800000000002</c:v>
                </c:pt>
                <c:pt idx="49">
                  <c:v>6.07531</c:v>
                </c:pt>
                <c:pt idx="50">
                  <c:v>6.077630000000001</c:v>
                </c:pt>
                <c:pt idx="51">
                  <c:v>6.0808600000000004</c:v>
                </c:pt>
                <c:pt idx="52">
                  <c:v>6.0848199999999997</c:v>
                </c:pt>
                <c:pt idx="53">
                  <c:v>6.0871200000000005</c:v>
                </c:pt>
                <c:pt idx="54">
                  <c:v>6.0916899999999998</c:v>
                </c:pt>
                <c:pt idx="55">
                  <c:v>6.0951399999999998</c:v>
                </c:pt>
                <c:pt idx="56">
                  <c:v>6.0968</c:v>
                </c:pt>
                <c:pt idx="57">
                  <c:v>6.1002500000000008</c:v>
                </c:pt>
                <c:pt idx="58">
                  <c:v>6.1093900000000003</c:v>
                </c:pt>
                <c:pt idx="59">
                  <c:v>6.1216299999999997</c:v>
                </c:pt>
                <c:pt idx="60">
                  <c:v>6.1319299999999997</c:v>
                </c:pt>
                <c:pt idx="61">
                  <c:v>6.1417299999999999</c:v>
                </c:pt>
                <c:pt idx="62">
                  <c:v>6.1487400000000001</c:v>
                </c:pt>
                <c:pt idx="63">
                  <c:v>6.1490799999999997</c:v>
                </c:pt>
                <c:pt idx="64">
                  <c:v>6.15001</c:v>
                </c:pt>
                <c:pt idx="65">
                  <c:v>6.15611</c:v>
                </c:pt>
                <c:pt idx="66">
                  <c:v>6.1604200000000002</c:v>
                </c:pt>
                <c:pt idx="67">
                  <c:v>6.1690800000000001</c:v>
                </c:pt>
                <c:pt idx="68">
                  <c:v>6.1755700000000004</c:v>
                </c:pt>
                <c:pt idx="69">
                  <c:v>6.1659799999999994</c:v>
                </c:pt>
                <c:pt idx="70">
                  <c:v>6.1523099999999999</c:v>
                </c:pt>
                <c:pt idx="71">
                  <c:v>6.1343700000000005</c:v>
                </c:pt>
                <c:pt idx="72">
                  <c:v>6.1431400000000007</c:v>
                </c:pt>
                <c:pt idx="73">
                  <c:v>6.1574099999999996</c:v>
                </c:pt>
                <c:pt idx="74">
                  <c:v>6.1563199999999991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40.731999999999999</c:v>
                </c:pt>
                <c:pt idx="1">
                  <c:v>39.6905</c:v>
                </c:pt>
                <c:pt idx="2">
                  <c:v>38.524000000000001</c:v>
                </c:pt>
                <c:pt idx="3">
                  <c:v>37.269000000000005</c:v>
                </c:pt>
                <c:pt idx="4">
                  <c:v>35.937899999999999</c:v>
                </c:pt>
                <c:pt idx="5">
                  <c:v>34.564499999999995</c:v>
                </c:pt>
                <c:pt idx="6">
                  <c:v>33.339999999999996</c:v>
                </c:pt>
                <c:pt idx="7">
                  <c:v>32.015599999999999</c:v>
                </c:pt>
                <c:pt idx="8">
                  <c:v>30.392499999999998</c:v>
                </c:pt>
                <c:pt idx="9">
                  <c:v>28.9862</c:v>
                </c:pt>
                <c:pt idx="10">
                  <c:v>27.6951</c:v>
                </c:pt>
                <c:pt idx="11">
                  <c:v>26.335199999999997</c:v>
                </c:pt>
                <c:pt idx="12">
                  <c:v>25.2257</c:v>
                </c:pt>
                <c:pt idx="13">
                  <c:v>24.885899999999999</c:v>
                </c:pt>
                <c:pt idx="14">
                  <c:v>24.153600000000001</c:v>
                </c:pt>
                <c:pt idx="15">
                  <c:v>23.543300000000002</c:v>
                </c:pt>
                <c:pt idx="16">
                  <c:v>23.121700000000001</c:v>
                </c:pt>
                <c:pt idx="17">
                  <c:v>22.565200000000001</c:v>
                </c:pt>
                <c:pt idx="18">
                  <c:v>22.351700000000001</c:v>
                </c:pt>
                <c:pt idx="19">
                  <c:v>22.3248</c:v>
                </c:pt>
                <c:pt idx="20">
                  <c:v>22.245200000000001</c:v>
                </c:pt>
                <c:pt idx="21">
                  <c:v>22.3782</c:v>
                </c:pt>
                <c:pt idx="22">
                  <c:v>22.452500000000001</c:v>
                </c:pt>
                <c:pt idx="23">
                  <c:v>22.521899999999999</c:v>
                </c:pt>
                <c:pt idx="24">
                  <c:v>22.6218</c:v>
                </c:pt>
                <c:pt idx="25">
                  <c:v>22.668700000000001</c:v>
                </c:pt>
                <c:pt idx="26">
                  <c:v>22.710100000000001</c:v>
                </c:pt>
                <c:pt idx="27">
                  <c:v>22.791700000000002</c:v>
                </c:pt>
                <c:pt idx="28">
                  <c:v>22.807500000000001</c:v>
                </c:pt>
                <c:pt idx="29">
                  <c:v>22.830500000000001</c:v>
                </c:pt>
                <c:pt idx="30">
                  <c:v>22.833400000000001</c:v>
                </c:pt>
                <c:pt idx="31">
                  <c:v>22.830500000000001</c:v>
                </c:pt>
                <c:pt idx="32">
                  <c:v>22.793399999999998</c:v>
                </c:pt>
                <c:pt idx="33">
                  <c:v>22.7714</c:v>
                </c:pt>
                <c:pt idx="34">
                  <c:v>22.777799999999999</c:v>
                </c:pt>
                <c:pt idx="35">
                  <c:v>22.7742</c:v>
                </c:pt>
                <c:pt idx="36">
                  <c:v>22.762999999999998</c:v>
                </c:pt>
                <c:pt idx="37">
                  <c:v>22.732800000000001</c:v>
                </c:pt>
                <c:pt idx="38">
                  <c:v>22.6813</c:v>
                </c:pt>
                <c:pt idx="39">
                  <c:v>22.670299999999997</c:v>
                </c:pt>
                <c:pt idx="40">
                  <c:v>22.6752</c:v>
                </c:pt>
                <c:pt idx="41">
                  <c:v>22.668600000000001</c:v>
                </c:pt>
                <c:pt idx="42">
                  <c:v>22.616199999999999</c:v>
                </c:pt>
                <c:pt idx="43">
                  <c:v>22.4983</c:v>
                </c:pt>
                <c:pt idx="44">
                  <c:v>22.3537</c:v>
                </c:pt>
                <c:pt idx="45">
                  <c:v>22.0947</c:v>
                </c:pt>
                <c:pt idx="46">
                  <c:v>21.8674</c:v>
                </c:pt>
                <c:pt idx="47">
                  <c:v>21.767400000000002</c:v>
                </c:pt>
                <c:pt idx="48">
                  <c:v>21.6952</c:v>
                </c:pt>
                <c:pt idx="49">
                  <c:v>21.681100000000001</c:v>
                </c:pt>
                <c:pt idx="50">
                  <c:v>21.677399999999999</c:v>
                </c:pt>
                <c:pt idx="51">
                  <c:v>21.637700000000002</c:v>
                </c:pt>
                <c:pt idx="52">
                  <c:v>21.576000000000001</c:v>
                </c:pt>
                <c:pt idx="53">
                  <c:v>21.5138</c:v>
                </c:pt>
                <c:pt idx="54">
                  <c:v>21.470800000000001</c:v>
                </c:pt>
                <c:pt idx="55">
                  <c:v>21.4251</c:v>
                </c:pt>
                <c:pt idx="56">
                  <c:v>21.379300000000001</c:v>
                </c:pt>
                <c:pt idx="57">
                  <c:v>21.296300000000002</c:v>
                </c:pt>
                <c:pt idx="58">
                  <c:v>21.179100000000002</c:v>
                </c:pt>
                <c:pt idx="59">
                  <c:v>21.049399999999999</c:v>
                </c:pt>
                <c:pt idx="60">
                  <c:v>20.910699999999999</c:v>
                </c:pt>
                <c:pt idx="61">
                  <c:v>20.798300000000001</c:v>
                </c:pt>
                <c:pt idx="62">
                  <c:v>20.724400000000003</c:v>
                </c:pt>
                <c:pt idx="63">
                  <c:v>20.621300000000002</c:v>
                </c:pt>
                <c:pt idx="64">
                  <c:v>20.435300000000002</c:v>
                </c:pt>
                <c:pt idx="65">
                  <c:v>20.199300000000001</c:v>
                </c:pt>
                <c:pt idx="66">
                  <c:v>20.008200000000002</c:v>
                </c:pt>
                <c:pt idx="67">
                  <c:v>19.8626</c:v>
                </c:pt>
                <c:pt idx="68">
                  <c:v>19.882999999999999</c:v>
                </c:pt>
                <c:pt idx="69">
                  <c:v>19.933400000000002</c:v>
                </c:pt>
                <c:pt idx="70">
                  <c:v>20.233599999999999</c:v>
                </c:pt>
                <c:pt idx="71">
                  <c:v>20.564599999999999</c:v>
                </c:pt>
                <c:pt idx="72">
                  <c:v>20.698800000000002</c:v>
                </c:pt>
                <c:pt idx="73">
                  <c:v>21.0261</c:v>
                </c:pt>
                <c:pt idx="74">
                  <c:v>20.939699999999998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8"/>
                <c:pt idx="0">
                  <c:v>3.6580000000000004</c:v>
                </c:pt>
                <c:pt idx="1">
                  <c:v>3.7588200000000001</c:v>
                </c:pt>
                <c:pt idx="2">
                  <c:v>3.8610699999999998</c:v>
                </c:pt>
                <c:pt idx="3">
                  <c:v>3.96523</c:v>
                </c:pt>
                <c:pt idx="4">
                  <c:v>4.0701499999999999</c:v>
                </c:pt>
                <c:pt idx="5">
                  <c:v>4.17354</c:v>
                </c:pt>
                <c:pt idx="6">
                  <c:v>4.2745100000000003</c:v>
                </c:pt>
                <c:pt idx="7">
                  <c:v>4.3776999999999999</c:v>
                </c:pt>
                <c:pt idx="8">
                  <c:v>4.4874299999999998</c:v>
                </c:pt>
                <c:pt idx="9">
                  <c:v>4.5946600000000002</c:v>
                </c:pt>
                <c:pt idx="10">
                  <c:v>4.6987800000000002</c:v>
                </c:pt>
                <c:pt idx="11">
                  <c:v>4.8066199999999997</c:v>
                </c:pt>
                <c:pt idx="12">
                  <c:v>4.9092900000000004</c:v>
                </c:pt>
                <c:pt idx="13">
                  <c:v>4.9804199999999996</c:v>
                </c:pt>
                <c:pt idx="14">
                  <c:v>5.0744599999999993</c:v>
                </c:pt>
                <c:pt idx="15">
                  <c:v>5.1632299999999995</c:v>
                </c:pt>
                <c:pt idx="16">
                  <c:v>5.2486299999999995</c:v>
                </c:pt>
                <c:pt idx="17">
                  <c:v>5.3481800000000002</c:v>
                </c:pt>
                <c:pt idx="18">
                  <c:v>5.4224799999999993</c:v>
                </c:pt>
                <c:pt idx="19">
                  <c:v>5.4797700000000003</c:v>
                </c:pt>
                <c:pt idx="20">
                  <c:v>5.5541499999999999</c:v>
                </c:pt>
                <c:pt idx="21">
                  <c:v>5.6098099999999995</c:v>
                </c:pt>
                <c:pt idx="22">
                  <c:v>5.6658499999999998</c:v>
                </c:pt>
                <c:pt idx="23">
                  <c:v>5.7180900000000001</c:v>
                </c:pt>
                <c:pt idx="24">
                  <c:v>5.7638699999999998</c:v>
                </c:pt>
                <c:pt idx="25">
                  <c:v>5.8134300000000003</c:v>
                </c:pt>
                <c:pt idx="26">
                  <c:v>5.8560599999999994</c:v>
                </c:pt>
                <c:pt idx="27">
                  <c:v>5.8928199999999995</c:v>
                </c:pt>
                <c:pt idx="28">
                  <c:v>5.9257299999999997</c:v>
                </c:pt>
                <c:pt idx="29">
                  <c:v>5.9549399999999997</c:v>
                </c:pt>
                <c:pt idx="30">
                  <c:v>5.9807500000000005</c:v>
                </c:pt>
                <c:pt idx="31">
                  <c:v>6.0057099999999997</c:v>
                </c:pt>
                <c:pt idx="32">
                  <c:v>6.0233800000000004</c:v>
                </c:pt>
                <c:pt idx="33">
                  <c:v>6.0319699999999994</c:v>
                </c:pt>
                <c:pt idx="34">
                  <c:v>6.0320799999999997</c:v>
                </c:pt>
                <c:pt idx="35">
                  <c:v>6.0342799999999999</c:v>
                </c:pt>
                <c:pt idx="36">
                  <c:v>6.0331500000000009</c:v>
                </c:pt>
                <c:pt idx="37">
                  <c:v>6.0324900000000001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40.731999999999999</c:v>
                </c:pt>
                <c:pt idx="1">
                  <c:v>39.6905</c:v>
                </c:pt>
                <c:pt idx="2">
                  <c:v>38.524000000000001</c:v>
                </c:pt>
                <c:pt idx="3">
                  <c:v>37.269000000000005</c:v>
                </c:pt>
                <c:pt idx="4">
                  <c:v>35.937899999999999</c:v>
                </c:pt>
                <c:pt idx="5">
                  <c:v>34.564499999999995</c:v>
                </c:pt>
                <c:pt idx="6">
                  <c:v>33.339999999999996</c:v>
                </c:pt>
                <c:pt idx="7">
                  <c:v>32.015599999999999</c:v>
                </c:pt>
                <c:pt idx="8">
                  <c:v>30.392499999999998</c:v>
                </c:pt>
                <c:pt idx="9">
                  <c:v>28.9862</c:v>
                </c:pt>
                <c:pt idx="10">
                  <c:v>27.6951</c:v>
                </c:pt>
                <c:pt idx="11">
                  <c:v>26.335199999999997</c:v>
                </c:pt>
                <c:pt idx="12">
                  <c:v>25.2257</c:v>
                </c:pt>
                <c:pt idx="13">
                  <c:v>24.885899999999999</c:v>
                </c:pt>
                <c:pt idx="14">
                  <c:v>24.153600000000001</c:v>
                </c:pt>
                <c:pt idx="15">
                  <c:v>23.543300000000002</c:v>
                </c:pt>
                <c:pt idx="16">
                  <c:v>23.121700000000001</c:v>
                </c:pt>
                <c:pt idx="17">
                  <c:v>22.565200000000001</c:v>
                </c:pt>
                <c:pt idx="18">
                  <c:v>22.351700000000001</c:v>
                </c:pt>
                <c:pt idx="19">
                  <c:v>22.3248</c:v>
                </c:pt>
                <c:pt idx="20">
                  <c:v>22.245200000000001</c:v>
                </c:pt>
                <c:pt idx="21">
                  <c:v>22.3782</c:v>
                </c:pt>
                <c:pt idx="22">
                  <c:v>22.452500000000001</c:v>
                </c:pt>
                <c:pt idx="23">
                  <c:v>22.521899999999999</c:v>
                </c:pt>
                <c:pt idx="24">
                  <c:v>22.6218</c:v>
                </c:pt>
                <c:pt idx="25">
                  <c:v>22.668700000000001</c:v>
                </c:pt>
                <c:pt idx="26">
                  <c:v>22.710100000000001</c:v>
                </c:pt>
                <c:pt idx="27">
                  <c:v>22.791700000000002</c:v>
                </c:pt>
                <c:pt idx="28">
                  <c:v>22.807500000000001</c:v>
                </c:pt>
                <c:pt idx="29">
                  <c:v>22.830500000000001</c:v>
                </c:pt>
                <c:pt idx="30">
                  <c:v>22.833400000000001</c:v>
                </c:pt>
                <c:pt idx="31">
                  <c:v>22.830500000000001</c:v>
                </c:pt>
                <c:pt idx="32">
                  <c:v>22.793399999999998</c:v>
                </c:pt>
                <c:pt idx="33">
                  <c:v>22.7714</c:v>
                </c:pt>
                <c:pt idx="34">
                  <c:v>22.777799999999999</c:v>
                </c:pt>
                <c:pt idx="35">
                  <c:v>22.7742</c:v>
                </c:pt>
                <c:pt idx="36">
                  <c:v>22.762999999999998</c:v>
                </c:pt>
                <c:pt idx="37">
                  <c:v>22.732800000000001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6.0324900000000001</c:v>
                </c:pt>
                <c:pt idx="1">
                  <c:v>6.03613</c:v>
                </c:pt>
                <c:pt idx="2">
                  <c:v>6.0392999999999999</c:v>
                </c:pt>
                <c:pt idx="3">
                  <c:v>6.0404599999999995</c:v>
                </c:pt>
                <c:pt idx="4">
                  <c:v>6.0408200000000001</c:v>
                </c:pt>
                <c:pt idx="5">
                  <c:v>6.0398800000000001</c:v>
                </c:pt>
                <c:pt idx="6">
                  <c:v>6.0401000000000007</c:v>
                </c:pt>
                <c:pt idx="7">
                  <c:v>6.0441500000000001</c:v>
                </c:pt>
                <c:pt idx="8">
                  <c:v>6.0527899999999999</c:v>
                </c:pt>
                <c:pt idx="9">
                  <c:v>6.0628599999999997</c:v>
                </c:pt>
                <c:pt idx="10">
                  <c:v>6.0667499999999999</c:v>
                </c:pt>
                <c:pt idx="11">
                  <c:v>6.0714800000000002</c:v>
                </c:pt>
                <c:pt idx="12">
                  <c:v>6.07531</c:v>
                </c:pt>
                <c:pt idx="13">
                  <c:v>6.077630000000001</c:v>
                </c:pt>
                <c:pt idx="14">
                  <c:v>6.0808600000000004</c:v>
                </c:pt>
                <c:pt idx="15">
                  <c:v>6.0848199999999997</c:v>
                </c:pt>
                <c:pt idx="16">
                  <c:v>6.0871200000000005</c:v>
                </c:pt>
                <c:pt idx="17">
                  <c:v>6.0916899999999998</c:v>
                </c:pt>
                <c:pt idx="18">
                  <c:v>6.0951399999999998</c:v>
                </c:pt>
                <c:pt idx="19">
                  <c:v>6.0968</c:v>
                </c:pt>
                <c:pt idx="20">
                  <c:v>6.1002500000000008</c:v>
                </c:pt>
                <c:pt idx="21">
                  <c:v>6.1093900000000003</c:v>
                </c:pt>
                <c:pt idx="22">
                  <c:v>6.1216299999999997</c:v>
                </c:pt>
                <c:pt idx="23">
                  <c:v>6.1319299999999997</c:v>
                </c:pt>
                <c:pt idx="24">
                  <c:v>6.1417299999999999</c:v>
                </c:pt>
                <c:pt idx="25">
                  <c:v>6.1487400000000001</c:v>
                </c:pt>
                <c:pt idx="26">
                  <c:v>6.1490799999999997</c:v>
                </c:pt>
                <c:pt idx="27">
                  <c:v>6.15001</c:v>
                </c:pt>
                <c:pt idx="28">
                  <c:v>6.15611</c:v>
                </c:pt>
                <c:pt idx="29">
                  <c:v>6.1604200000000002</c:v>
                </c:pt>
                <c:pt idx="30">
                  <c:v>6.1690800000000001</c:v>
                </c:pt>
                <c:pt idx="31">
                  <c:v>6.1755700000000004</c:v>
                </c:pt>
                <c:pt idx="32">
                  <c:v>6.1659799999999994</c:v>
                </c:pt>
                <c:pt idx="33">
                  <c:v>6.1523099999999999</c:v>
                </c:pt>
                <c:pt idx="34">
                  <c:v>6.1343700000000005</c:v>
                </c:pt>
                <c:pt idx="35">
                  <c:v>6.1431400000000007</c:v>
                </c:pt>
                <c:pt idx="36">
                  <c:v>6.1574099999999996</c:v>
                </c:pt>
                <c:pt idx="37">
                  <c:v>6.1563199999999991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22.732800000000001</c:v>
                </c:pt>
                <c:pt idx="1">
                  <c:v>22.6813</c:v>
                </c:pt>
                <c:pt idx="2">
                  <c:v>22.670299999999997</c:v>
                </c:pt>
                <c:pt idx="3">
                  <c:v>22.6752</c:v>
                </c:pt>
                <c:pt idx="4">
                  <c:v>22.668600000000001</c:v>
                </c:pt>
                <c:pt idx="5">
                  <c:v>22.616199999999999</c:v>
                </c:pt>
                <c:pt idx="6">
                  <c:v>22.4983</c:v>
                </c:pt>
                <c:pt idx="7">
                  <c:v>22.3537</c:v>
                </c:pt>
                <c:pt idx="8">
                  <c:v>22.0947</c:v>
                </c:pt>
                <c:pt idx="9">
                  <c:v>21.8674</c:v>
                </c:pt>
                <c:pt idx="10">
                  <c:v>21.767400000000002</c:v>
                </c:pt>
                <c:pt idx="11">
                  <c:v>21.6952</c:v>
                </c:pt>
                <c:pt idx="12">
                  <c:v>21.681100000000001</c:v>
                </c:pt>
                <c:pt idx="13">
                  <c:v>21.677399999999999</c:v>
                </c:pt>
                <c:pt idx="14">
                  <c:v>21.637700000000002</c:v>
                </c:pt>
                <c:pt idx="15">
                  <c:v>21.576000000000001</c:v>
                </c:pt>
                <c:pt idx="16">
                  <c:v>21.5138</c:v>
                </c:pt>
                <c:pt idx="17">
                  <c:v>21.470800000000001</c:v>
                </c:pt>
                <c:pt idx="18">
                  <c:v>21.4251</c:v>
                </c:pt>
                <c:pt idx="19">
                  <c:v>21.379300000000001</c:v>
                </c:pt>
                <c:pt idx="20">
                  <c:v>21.296300000000002</c:v>
                </c:pt>
                <c:pt idx="21">
                  <c:v>21.179100000000002</c:v>
                </c:pt>
                <c:pt idx="22">
                  <c:v>21.049399999999999</c:v>
                </c:pt>
                <c:pt idx="23">
                  <c:v>20.910699999999999</c:v>
                </c:pt>
                <c:pt idx="24">
                  <c:v>20.798300000000001</c:v>
                </c:pt>
                <c:pt idx="25">
                  <c:v>20.724400000000003</c:v>
                </c:pt>
                <c:pt idx="26">
                  <c:v>20.621300000000002</c:v>
                </c:pt>
                <c:pt idx="27">
                  <c:v>20.435300000000002</c:v>
                </c:pt>
                <c:pt idx="28">
                  <c:v>20.199300000000001</c:v>
                </c:pt>
                <c:pt idx="29">
                  <c:v>20.008200000000002</c:v>
                </c:pt>
                <c:pt idx="30">
                  <c:v>19.8626</c:v>
                </c:pt>
                <c:pt idx="31">
                  <c:v>19.882999999999999</c:v>
                </c:pt>
                <c:pt idx="32">
                  <c:v>19.933400000000002</c:v>
                </c:pt>
                <c:pt idx="33">
                  <c:v>20.233599999999999</c:v>
                </c:pt>
                <c:pt idx="34">
                  <c:v>20.564599999999999</c:v>
                </c:pt>
                <c:pt idx="35">
                  <c:v>20.698800000000002</c:v>
                </c:pt>
                <c:pt idx="36">
                  <c:v>21.0261</c:v>
                </c:pt>
                <c:pt idx="37">
                  <c:v>20.939699999999998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3.6580000000000004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40.731999999999999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5.1959199999999992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26.465572972972971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6.1006413513513529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21.354235135135134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6.1006413513513529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21.354235135135134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497</v>
      </c>
      <c r="D5" s="191"/>
      <c r="E5" s="191"/>
      <c r="F5" s="192"/>
      <c r="G5" s="48" t="str">
        <f>lang!B27</f>
        <v>编号</v>
      </c>
      <c r="H5" s="190">
        <v>7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496</v>
      </c>
      <c r="D6" s="145"/>
      <c r="E6" s="145"/>
      <c r="F6" s="146"/>
      <c r="G6" s="49" t="str">
        <f>lang!B28</f>
        <v xml:space="preserve"> 日期</v>
      </c>
      <c r="H6" s="129">
        <f>FH_info!A2</f>
        <v>43615.654861111114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57</v>
      </c>
      <c r="D7" s="148"/>
      <c r="E7" s="148"/>
      <c r="F7" s="149"/>
      <c r="G7" s="50" t="str">
        <f>lang!B29</f>
        <v>误差率（%）</v>
      </c>
      <c r="H7" s="132">
        <f>M!B17*1</f>
        <v>13.485900000000001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61.901400000000002</v>
      </c>
      <c r="O8" s="59">
        <f>M!C5*1</f>
        <v>13.1332</v>
      </c>
      <c r="P8" s="59">
        <f>M!D5*1</f>
        <v>21.2163</v>
      </c>
      <c r="Q8" s="59">
        <f>M!E5*1</f>
        <v>20</v>
      </c>
      <c r="R8" s="59">
        <f>M!F5*1</f>
        <v>23.221900000000002</v>
      </c>
      <c r="S8" s="59">
        <f>M!G5*1</f>
        <v>50</v>
      </c>
      <c r="T8" s="59">
        <f>M!H5*1</f>
        <v>71.344300000000004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28.7666</v>
      </c>
      <c r="O9" s="59">
        <f>M!C6*1</f>
        <v>1.9768399999999999</v>
      </c>
      <c r="P9" s="59">
        <f>M!D6*1</f>
        <v>6.8719999999999999</v>
      </c>
      <c r="Q9" s="59">
        <f>M!E6*1</f>
        <v>20</v>
      </c>
      <c r="R9" s="59">
        <f>M!F6*1</f>
        <v>24.2758</v>
      </c>
      <c r="S9" s="59">
        <f>M!G6*1</f>
        <v>40</v>
      </c>
      <c r="T9" s="59">
        <f>M!H6*1</f>
        <v>32.172199999999997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23.221900000000002</v>
      </c>
      <c r="D10" s="99">
        <f>N8</f>
        <v>61.901400000000002</v>
      </c>
      <c r="E10" s="100">
        <f>T8</f>
        <v>71.344300000000004</v>
      </c>
      <c r="F10" s="91">
        <f>P8</f>
        <v>21.2163</v>
      </c>
      <c r="G10" s="81" t="str">
        <f>CONCATENATE(M9,"
(20 ~ 40)")</f>
        <v>压力
(20 ~ 40)</v>
      </c>
      <c r="H10" s="98">
        <f>R9</f>
        <v>24.2758</v>
      </c>
      <c r="I10" s="108">
        <f>N9</f>
        <v>28.7666</v>
      </c>
      <c r="J10" s="98">
        <f>T9</f>
        <v>32.172199999999997</v>
      </c>
      <c r="K10" s="92">
        <f>P9</f>
        <v>6.8719999999999999</v>
      </c>
      <c r="L10" s="6"/>
      <c r="M10" s="27" t="str">
        <f>lang!B16</f>
        <v>焦虑</v>
      </c>
      <c r="N10" s="59">
        <f>M!B7*1</f>
        <v>19.363299999999999</v>
      </c>
      <c r="O10" s="59">
        <f>M!C7*1</f>
        <v>2.7259899999999999</v>
      </c>
      <c r="P10" s="59">
        <f>M!D7*1</f>
        <v>14.078099999999999</v>
      </c>
      <c r="Q10" s="59">
        <f>M!E7*1</f>
        <v>15</v>
      </c>
      <c r="R10" s="59">
        <f>M!F7*1</f>
        <v>15.7072</v>
      </c>
      <c r="S10" s="59">
        <f>M!G7*1</f>
        <v>40</v>
      </c>
      <c r="T10" s="59">
        <f>M!H7*1</f>
        <v>31.925799999999999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15.7072</v>
      </c>
      <c r="D11" s="102">
        <f>N10</f>
        <v>19.363299999999999</v>
      </c>
      <c r="E11" s="103">
        <f>T10</f>
        <v>31.925799999999999</v>
      </c>
      <c r="F11" s="94">
        <f>P10</f>
        <v>14.078099999999999</v>
      </c>
      <c r="G11" s="52" t="str">
        <f>CONCATENATE(M11,"
(20 ~ 50)")</f>
        <v>可疑
(20 ~ 50)</v>
      </c>
      <c r="H11" s="101">
        <f>R11</f>
        <v>20.739100000000001</v>
      </c>
      <c r="I11" s="104">
        <f>N11</f>
        <v>36.7239</v>
      </c>
      <c r="J11" s="101">
        <f>T11</f>
        <v>39.062899999999999</v>
      </c>
      <c r="K11" s="95">
        <f>P11</f>
        <v>14.3085</v>
      </c>
      <c r="L11" s="4"/>
      <c r="M11" s="27" t="str">
        <f>lang!B17</f>
        <v>可疑</v>
      </c>
      <c r="N11" s="59">
        <f>M!B8*1</f>
        <v>36.7239</v>
      </c>
      <c r="O11" s="59">
        <f>M!C8*1</f>
        <v>5.2546299999999997</v>
      </c>
      <c r="P11" s="59">
        <f>M!D8*1</f>
        <v>14.3085</v>
      </c>
      <c r="Q11" s="59">
        <f>M!E8*1</f>
        <v>20</v>
      </c>
      <c r="R11" s="59">
        <f>M!F8*1</f>
        <v>20.739100000000001</v>
      </c>
      <c r="S11" s="59">
        <f>M!G8*1</f>
        <v>50</v>
      </c>
      <c r="T11" s="59">
        <f>M!H8*1</f>
        <v>39.062899999999999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39.870399999999997</v>
      </c>
      <c r="D12" s="104">
        <f>N12</f>
        <v>54.503</v>
      </c>
      <c r="E12" s="101">
        <f>T12</f>
        <v>65.716700000000003</v>
      </c>
      <c r="F12" s="93">
        <f>P12</f>
        <v>8.8268799999999992</v>
      </c>
      <c r="G12" s="52" t="str">
        <f>CONCATENATE(M13,"
(40 ~ 100)")</f>
        <v>自信
(40 ~ 100)</v>
      </c>
      <c r="H12" s="101">
        <f>R13</f>
        <v>60.6937</v>
      </c>
      <c r="I12" s="104">
        <f>N13</f>
        <v>71.403000000000006</v>
      </c>
      <c r="J12" s="101">
        <f>T13</f>
        <v>75.866500000000002</v>
      </c>
      <c r="K12" s="95">
        <f>P13</f>
        <v>5.5016400000000001</v>
      </c>
      <c r="L12" s="4"/>
      <c r="M12" s="27" t="str">
        <f>lang!B18</f>
        <v>平衡</v>
      </c>
      <c r="N12" s="59">
        <f>M!B9*1</f>
        <v>54.503</v>
      </c>
      <c r="O12" s="59">
        <f>M!C9*1</f>
        <v>4.8109099999999998</v>
      </c>
      <c r="P12" s="59">
        <f>M!D9*1</f>
        <v>8.8268799999999992</v>
      </c>
      <c r="Q12" s="59">
        <f>M!E9*1</f>
        <v>50</v>
      </c>
      <c r="R12" s="59">
        <f>M!F9*1</f>
        <v>39.870399999999997</v>
      </c>
      <c r="S12" s="59">
        <f>M!G9*1</f>
        <v>100</v>
      </c>
      <c r="T12" s="59">
        <f>M!H9*1</f>
        <v>65.716700000000003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16.892199999999999</v>
      </c>
      <c r="D13" s="102">
        <f>N14</f>
        <v>44.1982</v>
      </c>
      <c r="E13" s="103">
        <f>T14</f>
        <v>46.128799999999998</v>
      </c>
      <c r="F13" s="94">
        <f>P14</f>
        <v>20.2043</v>
      </c>
      <c r="G13" s="52" t="str">
        <f>CONCATENATE(M15,"
(50 ~ 100)")</f>
        <v>自我调节
(50 ~ 100)</v>
      </c>
      <c r="H13" s="101">
        <f>R15</f>
        <v>51.822400000000002</v>
      </c>
      <c r="I13" s="104">
        <f>N15</f>
        <v>62.682299999999998</v>
      </c>
      <c r="J13" s="101">
        <f>T15</f>
        <v>70.791600000000003</v>
      </c>
      <c r="K13" s="95">
        <f>P15</f>
        <v>6.0160099999999996</v>
      </c>
      <c r="L13" s="4"/>
      <c r="M13" s="27" t="str">
        <f>lang!B19</f>
        <v>自信</v>
      </c>
      <c r="N13" s="59">
        <f>M!B10*1</f>
        <v>71.403000000000006</v>
      </c>
      <c r="O13" s="59">
        <f>M!C10*1</f>
        <v>3.9283399999999999</v>
      </c>
      <c r="P13" s="59">
        <f>M!D10*1</f>
        <v>5.5016400000000001</v>
      </c>
      <c r="Q13" s="59">
        <f>M!E10*1</f>
        <v>40</v>
      </c>
      <c r="R13" s="59">
        <f>M!F10*1</f>
        <v>60.6937</v>
      </c>
      <c r="S13" s="59">
        <f>M!G10*1</f>
        <v>100</v>
      </c>
      <c r="T13" s="59">
        <f>M!H10*1</f>
        <v>75.866500000000002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15.1587</v>
      </c>
      <c r="D14" s="106">
        <f>N16</f>
        <v>17.875499999999999</v>
      </c>
      <c r="E14" s="107">
        <f>T16</f>
        <v>20.932500000000001</v>
      </c>
      <c r="F14" s="96">
        <f>P16</f>
        <v>7.8192399999999997</v>
      </c>
      <c r="G14" s="112" t="str">
        <f>CONCATENATE(M17,"
(10 ~ 50)")</f>
        <v>神经质
(10 ~ 50)</v>
      </c>
      <c r="H14" s="105">
        <f>R17</f>
        <v>1.7085900000000001</v>
      </c>
      <c r="I14" s="106">
        <f>N17</f>
        <v>13.9773</v>
      </c>
      <c r="J14" s="107">
        <f>T17</f>
        <v>20.3247</v>
      </c>
      <c r="K14" s="97">
        <f>P17</f>
        <v>30.016300000000001</v>
      </c>
      <c r="M14" s="27" t="str">
        <f>lang!B20</f>
        <v>活力</v>
      </c>
      <c r="N14" s="59">
        <f>M!B11*1</f>
        <v>44.1982</v>
      </c>
      <c r="O14" s="59">
        <f>M!C11*1</f>
        <v>8.9299499999999998</v>
      </c>
      <c r="P14" s="59">
        <f>M!D11*1</f>
        <v>20.2043</v>
      </c>
      <c r="Q14" s="59">
        <f>M!E11*1</f>
        <v>10</v>
      </c>
      <c r="R14" s="59">
        <f>M!F11*1</f>
        <v>16.892199999999999</v>
      </c>
      <c r="S14" s="59">
        <f>M!G11*1</f>
        <v>50</v>
      </c>
      <c r="T14" s="59">
        <f>M!H11*1</f>
        <v>46.128799999999998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62.682299999999998</v>
      </c>
      <c r="O15" s="59">
        <f>M!C12*1</f>
        <v>3.7709700000000002</v>
      </c>
      <c r="P15" s="59">
        <f>M!D12*1</f>
        <v>6.0160099999999996</v>
      </c>
      <c r="Q15" s="59">
        <f>M!E12*1</f>
        <v>50</v>
      </c>
      <c r="R15" s="59">
        <f>M!F12*1</f>
        <v>51.822400000000002</v>
      </c>
      <c r="S15" s="59">
        <f>M!G12*1</f>
        <v>100</v>
      </c>
      <c r="T15" s="59">
        <f>M!H12*1</f>
        <v>70.791600000000003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17.875499999999999</v>
      </c>
      <c r="O16" s="59">
        <f>M!C13*1</f>
        <v>1.3977299999999999</v>
      </c>
      <c r="P16" s="59">
        <f>M!D13*1</f>
        <v>7.8192399999999997</v>
      </c>
      <c r="Q16" s="59">
        <f>M!E13*1</f>
        <v>10</v>
      </c>
      <c r="R16" s="59">
        <f>M!F13*1</f>
        <v>15.1587</v>
      </c>
      <c r="S16" s="59">
        <f>M!G13*1</f>
        <v>25</v>
      </c>
      <c r="T16" s="59">
        <f>M!H13*1</f>
        <v>20.932500000000001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13.9773</v>
      </c>
      <c r="O17" s="59">
        <f>M!C14*1</f>
        <v>4.1954700000000003</v>
      </c>
      <c r="P17" s="59">
        <f>M!D14*1</f>
        <v>30.016300000000001</v>
      </c>
      <c r="Q17" s="59">
        <f>M!E14*1</f>
        <v>10</v>
      </c>
      <c r="R17" s="59">
        <f>M!F14*1</f>
        <v>1.7085900000000001</v>
      </c>
      <c r="S17" s="59">
        <f>M!G14*1</f>
        <v>50</v>
      </c>
      <c r="T17" s="59">
        <f>M!H14*1</f>
        <v>20.3247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58.196624999999997</v>
      </c>
      <c r="O18" s="22">
        <f>N18/(N18+N19+N20)</f>
        <v>0.52518424816124087</v>
      </c>
      <c r="P18" s="65">
        <f>SUM(P12:P15)/4</f>
        <v>10.137207500000001</v>
      </c>
      <c r="Q18" s="22">
        <f>P18/(P18+P19+P20)</f>
        <v>0.23480051311327768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36.688800000000001</v>
      </c>
      <c r="O19" s="22">
        <f>N19/(N18+N19+N20)</f>
        <v>0.33109101849012956</v>
      </c>
      <c r="P19" s="18">
        <f>SUM(P8:P11)/4</f>
        <v>14.118725</v>
      </c>
      <c r="Q19" s="22">
        <f>P19/(P18+P19+P20)</f>
        <v>0.32702140846039318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15.926399999999999</v>
      </c>
      <c r="O20" s="22">
        <f>N20/(N18+N19+N20)</f>
        <v>0.14372473334862954</v>
      </c>
      <c r="P20" s="18">
        <f>(P16+P17)/2</f>
        <v>18.917770000000001</v>
      </c>
      <c r="Q20" s="22">
        <f>P20/(P18+P19+P20)</f>
        <v>0.43817807842632905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-0.14158551351351367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2.6322262304356867</v>
      </c>
      <c r="D25" s="44" t="str">
        <f>lang!B11</f>
        <v>频率方差</v>
      </c>
      <c r="E25" s="182">
        <f ca="1">FH!L3</f>
        <v>0.87808170492754889</v>
      </c>
      <c r="F25" s="183"/>
      <c r="G25" s="174" t="str">
        <f>lang!B12</f>
        <v>生理变化率</v>
      </c>
      <c r="H25" s="175"/>
      <c r="I25" s="62" t="str">
        <f ca="1">CONCATENATE(info!M7,"-",info!M8)</f>
        <v>19.9-40.7</v>
      </c>
      <c r="J25" s="42" t="str">
        <f>lang!B13</f>
        <v>千卡l/分钟</v>
      </c>
      <c r="K25" s="41" t="str">
        <f ca="1">CONCATENATE(info!M5,"-",info!M6)</f>
        <v>3.7-6.2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34.708199999999998</v>
      </c>
      <c r="F28" s="121"/>
      <c r="G28" s="135" t="str">
        <f>lang!B33</f>
        <v>稳定性</v>
      </c>
      <c r="H28" s="136"/>
      <c r="I28" s="137"/>
      <c r="J28" s="138">
        <f>M!B19*100</f>
        <v>43.062899999999999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43615.654861111114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17.315199999999997</v>
      </c>
      <c r="O7" s="59">
        <f t="shared" ref="O7:T7" si="2">AG7-X7</f>
        <v>-11.33404</v>
      </c>
      <c r="P7" s="59">
        <f t="shared" si="2"/>
        <v>-25.906410000000001</v>
      </c>
      <c r="Q7" s="59">
        <f t="shared" si="2"/>
        <v>0</v>
      </c>
      <c r="R7" s="59">
        <f t="shared" si="2"/>
        <v>37.377799999999993</v>
      </c>
      <c r="S7" s="59">
        <f t="shared" si="2"/>
        <v>0</v>
      </c>
      <c r="T7" s="59">
        <f t="shared" si="2"/>
        <v>4.6298999999999921</v>
      </c>
      <c r="U7" s="14"/>
      <c r="V7" s="27" t="str">
        <f>M7</f>
        <v>攻击性</v>
      </c>
      <c r="W7" s="59">
        <f>'M1'!B5*1</f>
        <v>45.661200000000001</v>
      </c>
      <c r="X7" s="59">
        <f>'M1'!C5*1</f>
        <v>13.1351</v>
      </c>
      <c r="Y7" s="59">
        <f>'M1'!D5*1</f>
        <v>28.766300000000001</v>
      </c>
      <c r="Z7" s="59">
        <f>'M1'!E5*1</f>
        <v>20</v>
      </c>
      <c r="AA7" s="59">
        <f>'M1'!F5*1</f>
        <v>23.221900000000002</v>
      </c>
      <c r="AB7" s="59">
        <f>'M1'!G5*1</f>
        <v>50</v>
      </c>
      <c r="AC7" s="59">
        <f>'M1'!H5*1</f>
        <v>66.705100000000002</v>
      </c>
      <c r="AE7" s="27" t="str">
        <f>V7</f>
        <v>攻击性</v>
      </c>
      <c r="AF7" s="59">
        <f>'M2'!B5*1</f>
        <v>62.976399999999998</v>
      </c>
      <c r="AG7" s="59">
        <f>'M2'!C5*1</f>
        <v>1.8010600000000001</v>
      </c>
      <c r="AH7" s="59">
        <f>'M2'!D5*1</f>
        <v>2.85989</v>
      </c>
      <c r="AI7" s="59">
        <f>'M2'!E5*1</f>
        <v>20</v>
      </c>
      <c r="AJ7" s="59">
        <f>'M2'!F5*1</f>
        <v>60.599699999999999</v>
      </c>
      <c r="AK7" s="59">
        <f>'M2'!G5*1</f>
        <v>50</v>
      </c>
      <c r="AL7" s="59">
        <f>'M2'!H5*1</f>
        <v>71.334999999999994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2.2029999999999994</v>
      </c>
      <c r="O8" s="59">
        <f t="shared" ref="O8:O16" si="5">AG8-X8</f>
        <v>-0.39107999999999987</v>
      </c>
      <c r="P8" s="59">
        <f t="shared" ref="P8:P16" si="6">AH8-Y8</f>
        <v>-1.75814</v>
      </c>
      <c r="Q8" s="59">
        <f t="shared" ref="Q8:Q16" si="7">AI8-Z8</f>
        <v>0</v>
      </c>
      <c r="R8" s="59">
        <f t="shared" ref="R8:R16" si="8">AJ8-AA8</f>
        <v>2.6108000000000011</v>
      </c>
      <c r="S8" s="59">
        <f t="shared" ref="S8:S16" si="9">AK8-AB8</f>
        <v>0</v>
      </c>
      <c r="T8" s="59">
        <f t="shared" ref="T8:T16" si="10">AL8-AC8</f>
        <v>2.2666999999999966</v>
      </c>
      <c r="U8" s="15"/>
      <c r="V8" s="27" t="str">
        <f t="shared" ref="V8:V16" si="11">M8</f>
        <v>压力</v>
      </c>
      <c r="W8" s="59">
        <f>'M1'!B6*1</f>
        <v>27.869399999999999</v>
      </c>
      <c r="X8" s="59">
        <f>'M1'!C6*1</f>
        <v>1.74115</v>
      </c>
      <c r="Y8" s="59">
        <f>'M1'!D6*1</f>
        <v>6.2475399999999999</v>
      </c>
      <c r="Z8" s="59">
        <f>'M1'!E6*1</f>
        <v>20</v>
      </c>
      <c r="AA8" s="59">
        <f>'M1'!F6*1</f>
        <v>24.2758</v>
      </c>
      <c r="AB8" s="59">
        <f>'M1'!G6*1</f>
        <v>40</v>
      </c>
      <c r="AC8" s="59">
        <f>'M1'!H6*1</f>
        <v>29.9055</v>
      </c>
      <c r="AE8" s="27" t="str">
        <f t="shared" ref="AE8:AE16" si="12">V8</f>
        <v>压力</v>
      </c>
      <c r="AF8" s="59">
        <f>'M2'!B6*1</f>
        <v>30.072399999999998</v>
      </c>
      <c r="AG8" s="59">
        <f>'M2'!C6*1</f>
        <v>1.3500700000000001</v>
      </c>
      <c r="AH8" s="59">
        <f>'M2'!D6*1</f>
        <v>4.4893999999999998</v>
      </c>
      <c r="AI8" s="59">
        <f>'M2'!E6*1</f>
        <v>20</v>
      </c>
      <c r="AJ8" s="59">
        <f>'M2'!F6*1</f>
        <v>26.886600000000001</v>
      </c>
      <c r="AK8" s="59">
        <f>'M2'!G6*1</f>
        <v>40</v>
      </c>
      <c r="AL8" s="59">
        <f>'M2'!H6*1</f>
        <v>32.172199999999997</v>
      </c>
    </row>
    <row r="9" spans="2:38" s="7" customFormat="1" ht="21" customHeight="1">
      <c r="B9" s="76" t="str">
        <f>CONCATENATE(M7,"
(20 ~ 50)")</f>
        <v>攻击性
(20 ~ 50)</v>
      </c>
      <c r="C9" s="77">
        <f>R7</f>
        <v>37.377799999999993</v>
      </c>
      <c r="D9" s="78">
        <f>N7</f>
        <v>17.315199999999997</v>
      </c>
      <c r="E9" s="79">
        <f>T7</f>
        <v>4.6298999999999921</v>
      </c>
      <c r="F9" s="79">
        <f>P7</f>
        <v>-25.906410000000001</v>
      </c>
      <c r="G9" s="80" t="str">
        <f>CONCATENATE(M8,"
(20 ~ 40)")</f>
        <v>压力
(20 ~ 40)</v>
      </c>
      <c r="H9" s="77">
        <f>R8</f>
        <v>2.6108000000000011</v>
      </c>
      <c r="I9" s="81">
        <f>N8</f>
        <v>2.2029999999999994</v>
      </c>
      <c r="J9" s="77">
        <f>T8</f>
        <v>2.2666999999999966</v>
      </c>
      <c r="K9" s="82">
        <f>P8</f>
        <v>-1.75814</v>
      </c>
      <c r="L9" s="6"/>
      <c r="M9" s="27" t="str">
        <f>lang!B16</f>
        <v>焦虑</v>
      </c>
      <c r="N9" s="59">
        <f t="shared" si="4"/>
        <v>1.9999999999988916E-3</v>
      </c>
      <c r="O9" s="59">
        <f t="shared" si="5"/>
        <v>-1.41804</v>
      </c>
      <c r="P9" s="59">
        <f t="shared" si="6"/>
        <v>-7.3250799999999998</v>
      </c>
      <c r="Q9" s="59">
        <f t="shared" si="7"/>
        <v>0</v>
      </c>
      <c r="R9" s="59">
        <f t="shared" si="8"/>
        <v>-0.41159999999999997</v>
      </c>
      <c r="S9" s="59">
        <f t="shared" si="9"/>
        <v>0</v>
      </c>
      <c r="T9" s="59">
        <f t="shared" si="10"/>
        <v>-4.6846999999999994</v>
      </c>
      <c r="U9" s="14"/>
      <c r="V9" s="27" t="str">
        <f t="shared" si="11"/>
        <v>焦虑</v>
      </c>
      <c r="W9" s="59">
        <f>'M1'!B7*1</f>
        <v>19.3613</v>
      </c>
      <c r="X9" s="59">
        <f>'M1'!C7*1</f>
        <v>3.2606999999999999</v>
      </c>
      <c r="Y9" s="59">
        <f>'M1'!D7*1</f>
        <v>16.8413</v>
      </c>
      <c r="Z9" s="59">
        <f>'M1'!E7*1</f>
        <v>15</v>
      </c>
      <c r="AA9" s="59">
        <f>'M1'!F7*1</f>
        <v>16.1188</v>
      </c>
      <c r="AB9" s="59">
        <f>'M1'!G7*1</f>
        <v>40</v>
      </c>
      <c r="AC9" s="59">
        <f>'M1'!H7*1</f>
        <v>31.925799999999999</v>
      </c>
      <c r="AE9" s="27" t="str">
        <f t="shared" si="12"/>
        <v>焦虑</v>
      </c>
      <c r="AF9" s="59">
        <f>'M2'!B7*1</f>
        <v>19.363299999999999</v>
      </c>
      <c r="AG9" s="59">
        <f>'M2'!C7*1</f>
        <v>1.84266</v>
      </c>
      <c r="AH9" s="59">
        <f>'M2'!D7*1</f>
        <v>9.5162200000000006</v>
      </c>
      <c r="AI9" s="59">
        <f>'M2'!E7*1</f>
        <v>15</v>
      </c>
      <c r="AJ9" s="59">
        <f>'M2'!F7*1</f>
        <v>15.7072</v>
      </c>
      <c r="AK9" s="59">
        <f>'M2'!G7*1</f>
        <v>40</v>
      </c>
      <c r="AL9" s="59">
        <f>'M2'!H7*1</f>
        <v>27.241099999999999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-0.41159999999999997</v>
      </c>
      <c r="D10" s="51">
        <f>N9</f>
        <v>1.9999999999988916E-3</v>
      </c>
      <c r="E10" s="53">
        <f>T9</f>
        <v>-4.6846999999999994</v>
      </c>
      <c r="F10" s="53">
        <f>P9</f>
        <v>-7.3250799999999998</v>
      </c>
      <c r="G10" s="73" t="str">
        <f>CONCATENATE(M10,"
(20 ~ 50)")</f>
        <v>可疑
(20 ~ 50)</v>
      </c>
      <c r="H10" s="24">
        <f>R10</f>
        <v>15.577199999999998</v>
      </c>
      <c r="I10" s="52">
        <f>N10</f>
        <v>5.7862000000000009</v>
      </c>
      <c r="J10" s="24">
        <f>T10</f>
        <v>1.6398999999999972</v>
      </c>
      <c r="K10" s="25">
        <f>P10</f>
        <v>-14.35436</v>
      </c>
      <c r="L10" s="4"/>
      <c r="M10" s="27" t="str">
        <f>lang!B17</f>
        <v>可疑</v>
      </c>
      <c r="N10" s="59">
        <f t="shared" si="4"/>
        <v>5.7862000000000009</v>
      </c>
      <c r="O10" s="59">
        <f t="shared" si="5"/>
        <v>-4.5072769999999993</v>
      </c>
      <c r="P10" s="59">
        <f t="shared" si="6"/>
        <v>-14.35436</v>
      </c>
      <c r="Q10" s="59">
        <f t="shared" si="7"/>
        <v>0</v>
      </c>
      <c r="R10" s="59">
        <f t="shared" si="8"/>
        <v>15.577199999999998</v>
      </c>
      <c r="S10" s="59">
        <f t="shared" si="9"/>
        <v>0</v>
      </c>
      <c r="T10" s="59">
        <f t="shared" si="10"/>
        <v>1.6398999999999972</v>
      </c>
      <c r="U10" s="14"/>
      <c r="V10" s="27" t="str">
        <f t="shared" si="11"/>
        <v>可疑</v>
      </c>
      <c r="W10" s="59">
        <f>'M1'!B8*1</f>
        <v>32.054499999999997</v>
      </c>
      <c r="X10" s="59">
        <f>'M1'!C8*1</f>
        <v>5.1217499999999996</v>
      </c>
      <c r="Y10" s="59">
        <f>'M1'!D8*1</f>
        <v>15.978199999999999</v>
      </c>
      <c r="Z10" s="59">
        <f>'M1'!E8*1</f>
        <v>20</v>
      </c>
      <c r="AA10" s="59">
        <f>'M1'!F8*1</f>
        <v>20.739100000000001</v>
      </c>
      <c r="AB10" s="59">
        <f>'M1'!G8*1</f>
        <v>50</v>
      </c>
      <c r="AC10" s="59">
        <f>'M1'!H8*1</f>
        <v>37.423000000000002</v>
      </c>
      <c r="AE10" s="27" t="str">
        <f t="shared" si="12"/>
        <v>可疑</v>
      </c>
      <c r="AF10" s="59">
        <f>'M2'!B8*1</f>
        <v>37.840699999999998</v>
      </c>
      <c r="AG10" s="59">
        <f>'M2'!C8*1</f>
        <v>0.61447300000000005</v>
      </c>
      <c r="AH10" s="59">
        <f>'M2'!D8*1</f>
        <v>1.62384</v>
      </c>
      <c r="AI10" s="59">
        <f>'M2'!E8*1</f>
        <v>20</v>
      </c>
      <c r="AJ10" s="59">
        <f>'M2'!F8*1</f>
        <v>36.316299999999998</v>
      </c>
      <c r="AK10" s="59">
        <f>'M2'!G8*1</f>
        <v>50</v>
      </c>
      <c r="AL10" s="59">
        <f>'M2'!H8*1</f>
        <v>39.062899999999999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-8.8919000000000068</v>
      </c>
      <c r="D11" s="52">
        <f>N11</f>
        <v>-6.4266999999999967</v>
      </c>
      <c r="E11" s="24">
        <f>T11</f>
        <v>-5.563600000000001</v>
      </c>
      <c r="F11" s="24">
        <f>P11</f>
        <v>0.35226000000000024</v>
      </c>
      <c r="G11" s="73" t="str">
        <f>CONCATENATE(M12,"
(40 ~ 100)")</f>
        <v>自信
(40 ~ 100)</v>
      </c>
      <c r="H11" s="24">
        <f>R12</f>
        <v>0.34150000000000347</v>
      </c>
      <c r="I11" s="52">
        <f>N12</f>
        <v>-1.5336999999999961</v>
      </c>
      <c r="J11" s="24">
        <f>T12</f>
        <v>-1.4996000000000009</v>
      </c>
      <c r="K11" s="25">
        <f>P12</f>
        <v>0.44898999999999933</v>
      </c>
      <c r="L11" s="4"/>
      <c r="M11" s="27" t="str">
        <f>lang!B18</f>
        <v>平衡</v>
      </c>
      <c r="N11" s="59">
        <f t="shared" si="4"/>
        <v>-6.4266999999999967</v>
      </c>
      <c r="O11" s="59">
        <f t="shared" si="5"/>
        <v>-0.22561000000000009</v>
      </c>
      <c r="P11" s="59">
        <f t="shared" si="6"/>
        <v>0.35226000000000024</v>
      </c>
      <c r="Q11" s="59">
        <f t="shared" si="7"/>
        <v>0</v>
      </c>
      <c r="R11" s="59">
        <f t="shared" si="8"/>
        <v>-8.8919000000000068</v>
      </c>
      <c r="S11" s="59">
        <f t="shared" si="9"/>
        <v>0</v>
      </c>
      <c r="T11" s="59">
        <f t="shared" si="10"/>
        <v>-5.563600000000001</v>
      </c>
      <c r="U11" s="14"/>
      <c r="V11" s="27" t="str">
        <f t="shared" si="11"/>
        <v>平衡</v>
      </c>
      <c r="W11" s="59">
        <f>'M1'!B9*1</f>
        <v>57.234699999999997</v>
      </c>
      <c r="X11" s="59">
        <f>'M1'!C9*1</f>
        <v>3.60317</v>
      </c>
      <c r="Y11" s="59">
        <f>'M1'!D9*1</f>
        <v>6.2954400000000001</v>
      </c>
      <c r="Z11" s="59">
        <f>'M1'!E9*1</f>
        <v>50</v>
      </c>
      <c r="AA11" s="59">
        <f>'M1'!F9*1</f>
        <v>48.762300000000003</v>
      </c>
      <c r="AB11" s="59">
        <f>'M1'!G9*1</f>
        <v>100</v>
      </c>
      <c r="AC11" s="59">
        <f>'M1'!H9*1</f>
        <v>65.716700000000003</v>
      </c>
      <c r="AE11" s="27" t="str">
        <f t="shared" si="12"/>
        <v>平衡</v>
      </c>
      <c r="AF11" s="59">
        <f>'M2'!B9*1</f>
        <v>50.808</v>
      </c>
      <c r="AG11" s="59">
        <f>'M2'!C9*1</f>
        <v>3.3775599999999999</v>
      </c>
      <c r="AH11" s="59">
        <f>'M2'!D9*1</f>
        <v>6.6477000000000004</v>
      </c>
      <c r="AI11" s="59">
        <f>'M2'!E9*1</f>
        <v>50</v>
      </c>
      <c r="AJ11" s="59">
        <f>'M2'!F9*1</f>
        <v>39.870399999999997</v>
      </c>
      <c r="AK11" s="59">
        <f>'M2'!G9*1</f>
        <v>100</v>
      </c>
      <c r="AL11" s="59">
        <f>'M2'!H9*1</f>
        <v>60.153100000000002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26.8886</v>
      </c>
      <c r="D12" s="51">
        <f>N13</f>
        <v>13.529399999999999</v>
      </c>
      <c r="E12" s="53">
        <f>T13</f>
        <v>1.1865999999999985</v>
      </c>
      <c r="F12" s="53">
        <f>P13</f>
        <v>-24.42858</v>
      </c>
      <c r="G12" s="73" t="str">
        <f>CONCATENATE(M14,"
(50 ~ 100)")</f>
        <v>自我调节
(50 ~ 100)</v>
      </c>
      <c r="H12" s="24">
        <f>R14</f>
        <v>-6.655699999999996</v>
      </c>
      <c r="I12" s="52">
        <f>N14</f>
        <v>-3.8370000000000033</v>
      </c>
      <c r="J12" s="24">
        <f>T14</f>
        <v>-4.0328999999999979</v>
      </c>
      <c r="K12" s="25">
        <f>P14</f>
        <v>0.23299000000000003</v>
      </c>
      <c r="L12" s="4"/>
      <c r="M12" s="27" t="str">
        <f>lang!B19</f>
        <v>自信</v>
      </c>
      <c r="N12" s="59">
        <f t="shared" si="4"/>
        <v>-1.5336999999999961</v>
      </c>
      <c r="O12" s="59">
        <f t="shared" si="5"/>
        <v>0.24293000000000031</v>
      </c>
      <c r="P12" s="59">
        <f t="shared" si="6"/>
        <v>0.44898999999999933</v>
      </c>
      <c r="Q12" s="59">
        <f t="shared" si="7"/>
        <v>0</v>
      </c>
      <c r="R12" s="59">
        <f t="shared" si="8"/>
        <v>0.34150000000000347</v>
      </c>
      <c r="S12" s="59">
        <f t="shared" si="9"/>
        <v>0</v>
      </c>
      <c r="T12" s="59">
        <f t="shared" si="10"/>
        <v>-1.4996000000000009</v>
      </c>
      <c r="U12" s="15"/>
      <c r="V12" s="27" t="str">
        <f t="shared" si="11"/>
        <v>自信</v>
      </c>
      <c r="W12" s="59">
        <f>'M1'!B10*1</f>
        <v>72.789299999999997</v>
      </c>
      <c r="X12" s="59">
        <f>'M1'!C10*1</f>
        <v>3.6547399999999999</v>
      </c>
      <c r="Y12" s="59">
        <f>'M1'!D10*1</f>
        <v>5.0209900000000003</v>
      </c>
      <c r="Z12" s="59">
        <f>'M1'!E10*1</f>
        <v>40</v>
      </c>
      <c r="AA12" s="59">
        <f>'M1'!F10*1</f>
        <v>60.6937</v>
      </c>
      <c r="AB12" s="59">
        <f>'M1'!G10*1</f>
        <v>100</v>
      </c>
      <c r="AC12" s="59">
        <f>'M1'!H10*1</f>
        <v>75.866500000000002</v>
      </c>
      <c r="AE12" s="27" t="str">
        <f t="shared" si="12"/>
        <v>自信</v>
      </c>
      <c r="AF12" s="59">
        <f>'M2'!B10*1</f>
        <v>71.255600000000001</v>
      </c>
      <c r="AG12" s="59">
        <f>'M2'!C10*1</f>
        <v>3.8976700000000002</v>
      </c>
      <c r="AH12" s="59">
        <f>'M2'!D10*1</f>
        <v>5.4699799999999996</v>
      </c>
      <c r="AI12" s="59">
        <f>'M2'!E10*1</f>
        <v>40</v>
      </c>
      <c r="AJ12" s="59">
        <f>'M2'!F10*1</f>
        <v>61.035200000000003</v>
      </c>
      <c r="AK12" s="59">
        <f>'M2'!G10*1</f>
        <v>100</v>
      </c>
      <c r="AL12" s="59">
        <f>'M2'!H10*1</f>
        <v>74.366900000000001</v>
      </c>
    </row>
    <row r="13" spans="2:38" ht="25.5" customHeight="1" thickBot="1">
      <c r="B13" s="72" t="str">
        <f>CONCATENATE(M15,"
(10 ~ 25)")</f>
        <v>抑郁
(10 ~ 25)</v>
      </c>
      <c r="C13" s="54">
        <f>R15</f>
        <v>0.2027000000000001</v>
      </c>
      <c r="D13" s="55">
        <f>N15</f>
        <v>-1.0438999999999972</v>
      </c>
      <c r="E13" s="56">
        <f>T15</f>
        <v>0.33689999999999998</v>
      </c>
      <c r="F13" s="56">
        <f>P15</f>
        <v>1.5133700000000001</v>
      </c>
      <c r="G13" s="74" t="str">
        <f>CONCATENATE(M16,"
(10 ~ 50)")</f>
        <v>神经质
(10 ~ 50)</v>
      </c>
      <c r="H13" s="54">
        <f>R16</f>
        <v>-1.9333499999999999</v>
      </c>
      <c r="I13" s="55">
        <f>N16</f>
        <v>1.9070999999999998</v>
      </c>
      <c r="J13" s="56">
        <f>T16</f>
        <v>3.1146999999999991</v>
      </c>
      <c r="K13" s="57">
        <f>P16</f>
        <v>-0.74690000000000012</v>
      </c>
      <c r="M13" s="27" t="str">
        <f>lang!B20</f>
        <v>活力</v>
      </c>
      <c r="N13" s="59">
        <f t="shared" si="4"/>
        <v>13.529399999999999</v>
      </c>
      <c r="O13" s="59">
        <f t="shared" si="5"/>
        <v>-7.4895890000000005</v>
      </c>
      <c r="P13" s="59">
        <f t="shared" si="6"/>
        <v>-24.42858</v>
      </c>
      <c r="Q13" s="59">
        <f t="shared" si="7"/>
        <v>0</v>
      </c>
      <c r="R13" s="59">
        <f t="shared" si="8"/>
        <v>26.8886</v>
      </c>
      <c r="S13" s="59">
        <f t="shared" si="9"/>
        <v>0</v>
      </c>
      <c r="T13" s="59">
        <f t="shared" si="10"/>
        <v>1.1865999999999985</v>
      </c>
      <c r="U13" s="14"/>
      <c r="V13" s="27" t="str">
        <f t="shared" si="11"/>
        <v>活力</v>
      </c>
      <c r="W13" s="59">
        <f>'M1'!B11*1</f>
        <v>31.3704</v>
      </c>
      <c r="X13" s="59">
        <f>'M1'!C11*1</f>
        <v>8.0662900000000004</v>
      </c>
      <c r="Y13" s="59">
        <f>'M1'!D11*1</f>
        <v>25.713000000000001</v>
      </c>
      <c r="Z13" s="59">
        <f>'M1'!E11*1</f>
        <v>10</v>
      </c>
      <c r="AA13" s="59">
        <f>'M1'!F11*1</f>
        <v>16.892199999999999</v>
      </c>
      <c r="AB13" s="59">
        <f>'M1'!G11*1</f>
        <v>50</v>
      </c>
      <c r="AC13" s="59">
        <f>'M1'!H11*1</f>
        <v>44.9422</v>
      </c>
      <c r="AE13" s="27" t="str">
        <f t="shared" si="12"/>
        <v>活力</v>
      </c>
      <c r="AF13" s="59">
        <f>'M2'!B11*1</f>
        <v>44.899799999999999</v>
      </c>
      <c r="AG13" s="59">
        <f>'M2'!C11*1</f>
        <v>0.57670100000000002</v>
      </c>
      <c r="AH13" s="59">
        <f>'M2'!D11*1</f>
        <v>1.2844199999999999</v>
      </c>
      <c r="AI13" s="59">
        <f>'M2'!E11*1</f>
        <v>10</v>
      </c>
      <c r="AJ13" s="59">
        <f>'M2'!F11*1</f>
        <v>43.780799999999999</v>
      </c>
      <c r="AK13" s="59">
        <f>'M2'!G11*1</f>
        <v>50</v>
      </c>
      <c r="AL13" s="59">
        <f>'M2'!H11*1</f>
        <v>46.128799999999998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-3.8370000000000033</v>
      </c>
      <c r="O14" s="59">
        <f t="shared" si="5"/>
        <v>-4.2150000000000354E-2</v>
      </c>
      <c r="P14" s="59">
        <f t="shared" si="6"/>
        <v>0.23299000000000003</v>
      </c>
      <c r="Q14" s="59">
        <f t="shared" si="7"/>
        <v>0</v>
      </c>
      <c r="R14" s="59">
        <f t="shared" si="8"/>
        <v>-6.655699999999996</v>
      </c>
      <c r="S14" s="59">
        <f t="shared" si="9"/>
        <v>0</v>
      </c>
      <c r="T14" s="59">
        <f t="shared" si="10"/>
        <v>-4.0328999999999979</v>
      </c>
      <c r="U14" s="14"/>
      <c r="V14" s="27" t="str">
        <f t="shared" si="11"/>
        <v>自我调节</v>
      </c>
      <c r="W14" s="59">
        <f>'M1'!B12*1</f>
        <v>64.637600000000006</v>
      </c>
      <c r="X14" s="59">
        <f>'M1'!C12*1</f>
        <v>3.0963500000000002</v>
      </c>
      <c r="Y14" s="59">
        <f>'M1'!D12*1</f>
        <v>4.7903200000000004</v>
      </c>
      <c r="Z14" s="59">
        <f>'M1'!E12*1</f>
        <v>50</v>
      </c>
      <c r="AA14" s="59">
        <f>'M1'!F12*1</f>
        <v>58.478099999999998</v>
      </c>
      <c r="AB14" s="59">
        <f>'M1'!G12*1</f>
        <v>100</v>
      </c>
      <c r="AC14" s="59">
        <f>'M1'!H12*1</f>
        <v>70.791600000000003</v>
      </c>
      <c r="AE14" s="27" t="str">
        <f t="shared" si="12"/>
        <v>自我调节</v>
      </c>
      <c r="AF14" s="59">
        <f>'M2'!B12*1</f>
        <v>60.800600000000003</v>
      </c>
      <c r="AG14" s="59">
        <f>'M2'!C12*1</f>
        <v>3.0541999999999998</v>
      </c>
      <c r="AH14" s="59">
        <f>'M2'!D12*1</f>
        <v>5.0233100000000004</v>
      </c>
      <c r="AI14" s="59">
        <f>'M2'!E12*1</f>
        <v>50</v>
      </c>
      <c r="AJ14" s="59">
        <f>'M2'!F12*1</f>
        <v>51.822400000000002</v>
      </c>
      <c r="AK14" s="59">
        <f>'M2'!G12*1</f>
        <v>100</v>
      </c>
      <c r="AL14" s="59">
        <f>'M2'!H12*1</f>
        <v>66.758700000000005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-1.0438999999999972</v>
      </c>
      <c r="O15" s="59">
        <f t="shared" si="5"/>
        <v>0.19070999999999994</v>
      </c>
      <c r="P15" s="59">
        <f t="shared" si="6"/>
        <v>1.5133700000000001</v>
      </c>
      <c r="Q15" s="59">
        <f t="shared" si="7"/>
        <v>0</v>
      </c>
      <c r="R15" s="59">
        <f t="shared" si="8"/>
        <v>0.2027000000000001</v>
      </c>
      <c r="S15" s="59">
        <f t="shared" si="9"/>
        <v>0</v>
      </c>
      <c r="T15" s="59">
        <f t="shared" si="10"/>
        <v>0.33689999999999998</v>
      </c>
      <c r="U15" s="14"/>
      <c r="V15" s="27" t="str">
        <f t="shared" si="11"/>
        <v>抑郁</v>
      </c>
      <c r="W15" s="59">
        <f>'M1'!B13*1</f>
        <v>18.384799999999998</v>
      </c>
      <c r="X15" s="59">
        <f>'M1'!C13*1</f>
        <v>1.26312</v>
      </c>
      <c r="Y15" s="59">
        <f>'M1'!D13*1</f>
        <v>6.8704900000000002</v>
      </c>
      <c r="Z15" s="59">
        <f>'M1'!E13*1</f>
        <v>10</v>
      </c>
      <c r="AA15" s="59">
        <f>'M1'!F13*1</f>
        <v>15.1587</v>
      </c>
      <c r="AB15" s="59">
        <f>'M1'!G13*1</f>
        <v>25</v>
      </c>
      <c r="AC15" s="59">
        <f>'M1'!H13*1</f>
        <v>20.595600000000001</v>
      </c>
      <c r="AE15" s="27" t="str">
        <f t="shared" si="12"/>
        <v>抑郁</v>
      </c>
      <c r="AF15" s="59">
        <f>'M2'!B13*1</f>
        <v>17.340900000000001</v>
      </c>
      <c r="AG15" s="59">
        <f>'M2'!C13*1</f>
        <v>1.45383</v>
      </c>
      <c r="AH15" s="59">
        <f>'M2'!D13*1</f>
        <v>8.3838600000000003</v>
      </c>
      <c r="AI15" s="59">
        <f>'M2'!E13*1</f>
        <v>10</v>
      </c>
      <c r="AJ15" s="59">
        <f>'M2'!F13*1</f>
        <v>15.3614</v>
      </c>
      <c r="AK15" s="59">
        <f>'M2'!G13*1</f>
        <v>25</v>
      </c>
      <c r="AL15" s="59">
        <f>'M2'!H13*1</f>
        <v>20.932500000000001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1.9070999999999998</v>
      </c>
      <c r="O16" s="59">
        <f t="shared" si="5"/>
        <v>0.48568000000000033</v>
      </c>
      <c r="P16" s="59">
        <f t="shared" si="6"/>
        <v>-0.74690000000000012</v>
      </c>
      <c r="Q16" s="59">
        <f t="shared" si="7"/>
        <v>0</v>
      </c>
      <c r="R16" s="59">
        <f t="shared" si="8"/>
        <v>-1.9333499999999999</v>
      </c>
      <c r="S16" s="59">
        <f t="shared" si="9"/>
        <v>0</v>
      </c>
      <c r="T16" s="59">
        <f t="shared" si="10"/>
        <v>3.1146999999999991</v>
      </c>
      <c r="U16" s="15"/>
      <c r="V16" s="27" t="str">
        <f t="shared" si="11"/>
        <v>神经质</v>
      </c>
      <c r="W16" s="59">
        <f>'M1'!B14*1</f>
        <v>12.6312</v>
      </c>
      <c r="X16" s="59">
        <f>'M1'!C14*1</f>
        <v>3.9360499999999998</v>
      </c>
      <c r="Y16" s="59">
        <f>'M1'!D14*1</f>
        <v>31.161200000000001</v>
      </c>
      <c r="Z16" s="59">
        <f>'M1'!E14*1</f>
        <v>10</v>
      </c>
      <c r="AA16" s="59">
        <f>'M1'!F14*1</f>
        <v>3.64194</v>
      </c>
      <c r="AB16" s="59">
        <f>'M1'!G14*1</f>
        <v>50</v>
      </c>
      <c r="AC16" s="59">
        <f>'M1'!H14*1</f>
        <v>17.21</v>
      </c>
      <c r="AE16" s="27" t="str">
        <f t="shared" si="12"/>
        <v>神经质</v>
      </c>
      <c r="AF16" s="59">
        <f>'M2'!B14*1</f>
        <v>14.5383</v>
      </c>
      <c r="AG16" s="59">
        <f>'M2'!C14*1</f>
        <v>4.4217300000000002</v>
      </c>
      <c r="AH16" s="59">
        <f>'M2'!D14*1</f>
        <v>30.414300000000001</v>
      </c>
      <c r="AI16" s="59">
        <f>'M2'!E14*1</f>
        <v>10</v>
      </c>
      <c r="AJ16" s="59">
        <f>'M2'!F14*1</f>
        <v>1.7085900000000001</v>
      </c>
      <c r="AK16" s="59">
        <f>'M2'!G14*1</f>
        <v>50</v>
      </c>
      <c r="AL16" s="59">
        <f>'M2'!H14*1</f>
        <v>20.3247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0.43300000000000072</v>
      </c>
      <c r="O17" s="22">
        <f>N17/(N17+N18+N19)</f>
        <v>6.0212481922349625E-2</v>
      </c>
      <c r="P17" s="65">
        <f>SUM(P11:P14)/4</f>
        <v>-5.8485849999999999</v>
      </c>
      <c r="Q17" s="22">
        <f>P17/(P17+P18+P19)</f>
        <v>0.32854731924086078</v>
      </c>
      <c r="R17" s="14"/>
      <c r="S17" s="14"/>
      <c r="T17" s="14"/>
      <c r="U17" s="14"/>
      <c r="V17" s="21" t="str">
        <f>M17</f>
        <v>Positive</v>
      </c>
      <c r="W17" s="65">
        <f>SUM(W11:W14)/4</f>
        <v>56.507999999999996</v>
      </c>
      <c r="X17" s="22">
        <f>W17/(W17+W18+W19)</f>
        <v>0.54727919684346937</v>
      </c>
      <c r="Y17" s="65">
        <f>SUM(Y11:Y14)/4</f>
        <v>10.454937500000002</v>
      </c>
      <c r="Z17" s="22">
        <f>Y17/(Y17+Y18+Y19)</f>
        <v>0.22518062076023737</v>
      </c>
      <c r="AA17" s="14"/>
      <c r="AB17" s="14"/>
      <c r="AC17" s="14"/>
      <c r="AE17" s="21" t="str">
        <f>V17</f>
        <v>Positive</v>
      </c>
      <c r="AF17" s="65">
        <f>SUM(AF11:AF14)/4</f>
        <v>56.941000000000003</v>
      </c>
      <c r="AG17" s="22">
        <f>AF17/(AF17+AF18+AF19)</f>
        <v>0.515565382574667</v>
      </c>
      <c r="AH17" s="65">
        <f>SUM(AH11:AH14)/4</f>
        <v>4.6063524999999998</v>
      </c>
      <c r="AI17" s="22">
        <f>AH17/(AH17+AH18+AH19)</f>
        <v>0.16090504080478499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6.3265999999999991</v>
      </c>
      <c r="O18" s="22">
        <f>N18/(N17+N18+N19)</f>
        <v>0.87976971854488795</v>
      </c>
      <c r="P18" s="18">
        <f>SUM(P7:P10)/4</f>
        <v>-12.335997500000001</v>
      </c>
      <c r="Q18" s="22">
        <f>P18/(P17+P18+P19)</f>
        <v>0.69298110718865524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31.236599999999996</v>
      </c>
      <c r="X18" s="22">
        <f>W18/(W17+W18+W19)</f>
        <v>0.30252603808523948</v>
      </c>
      <c r="Y18" s="18">
        <f>SUM(Y7:Y10)/4</f>
        <v>16.958335000000002</v>
      </c>
      <c r="Z18" s="22">
        <f>Y18/(Y17+Y18+Y19)</f>
        <v>0.3652521502266331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37.563199999999995</v>
      </c>
      <c r="AG18" s="22">
        <f>AF18/(AF17+AF18+AF19)</f>
        <v>0.34011144129412424</v>
      </c>
      <c r="AH18" s="18">
        <f>SUM(AH7:AH10)/4</f>
        <v>4.6223375000000004</v>
      </c>
      <c r="AI18" s="22">
        <f>AH18/(AH17+AH18+AH19)</f>
        <v>0.16146341471934419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0.43160000000000132</v>
      </c>
      <c r="O19" s="22">
        <f>N19/(N17+N18+N19)</f>
        <v>6.0017799532762435E-2</v>
      </c>
      <c r="P19" s="18">
        <f>(P15+P16)/2</f>
        <v>0.38323499999999999</v>
      </c>
      <c r="Q19" s="22">
        <f>P19/(P17+P18+P19)</f>
        <v>-2.1528426429516079E-2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15.507999999999999</v>
      </c>
      <c r="X19" s="22">
        <f>W19/(W17+W18+W19)</f>
        <v>0.1501947650712912</v>
      </c>
      <c r="Y19" s="18">
        <f>(Y15+Y16)/2</f>
        <v>19.015844999999999</v>
      </c>
      <c r="Z19" s="22">
        <f>Y19/(Y17+Y18+Y19)</f>
        <v>0.40956722901312947</v>
      </c>
      <c r="AA19" s="14"/>
      <c r="AB19" s="14"/>
      <c r="AC19" s="14"/>
      <c r="AE19" s="21" t="str">
        <f t="shared" si="14"/>
        <v>Physiological</v>
      </c>
      <c r="AF19" s="18">
        <f>(AF15+AF16)/2</f>
        <v>15.9396</v>
      </c>
      <c r="AG19" s="22">
        <f>AF19/(AF17+AF18+AF19)</f>
        <v>0.14432317613120882</v>
      </c>
      <c r="AH19" s="18">
        <f>(AH15+AH16)/2</f>
        <v>19.399080000000001</v>
      </c>
      <c r="AI19" s="22">
        <f>AH19/(AH17+AH18+AH19)</f>
        <v>0.67763154447587082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2.18/2.99</v>
      </c>
      <c r="D24" s="44" t="str">
        <f>lang!B11</f>
        <v>频率方差</v>
      </c>
      <c r="E24" s="182" t="str">
        <f ca="1">CONCATENATE(ROUND('FH1'!L3,2),"/",ROUND('FH2'!L3,2))</f>
        <v>0.8/0.77</v>
      </c>
      <c r="F24" s="183"/>
      <c r="G24" s="174" t="str">
        <f>lang!B12</f>
        <v>生理变化率</v>
      </c>
      <c r="H24" s="175"/>
      <c r="I24" s="62" t="str">
        <f ca="1">CONCATENATE(info!M7,"-",info!M8)</f>
        <v>19.9-40.7</v>
      </c>
      <c r="J24" s="42" t="str">
        <f>lang!B13</f>
        <v>千卡l/分钟</v>
      </c>
      <c r="K24" s="41" t="str">
        <f ca="1">CONCATENATE(info!M5,"-",info!M6)</f>
        <v>3.7-6.2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7.5377999999999998</v>
      </c>
      <c r="F27" s="121"/>
      <c r="G27" s="135" t="str">
        <f>lang!B33</f>
        <v>稳定性</v>
      </c>
      <c r="H27" s="136"/>
      <c r="I27" s="137"/>
      <c r="J27" s="138">
        <f>dM!B19*100</f>
        <v>19.097299999999997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-0.92824561786507587</v>
      </c>
      <c r="C2">
        <f t="array" aca="1" ref="C2" ca="1">CORREL(FT_E02,FT_PH02)</f>
        <v>-0.97059421914342103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3.6580000000000004</v>
      </c>
      <c r="G2" s="61">
        <f>IF(FT!B2&lt;&gt;"",FT!B2*100,"")</f>
        <v>40.731999999999999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3.7588200000000001</v>
      </c>
      <c r="G3" s="61">
        <f>IF(FT!B3&lt;&gt;"",FT!B3*100,"")</f>
        <v>39.6905</v>
      </c>
      <c r="H3" s="61">
        <f t="shared" ref="H3:H66" si="1">(IF(F3&lt;&gt;"",1,""))</f>
        <v>1</v>
      </c>
      <c r="I3" t="str">
        <f>IF(FT!B3&lt;&gt;"",FT!E3,"")</f>
        <v>1 [0.399983]</v>
      </c>
      <c r="J3">
        <f>IF(FT!B3&lt;&gt;"",FT!C3,"")</f>
        <v>0.39998299999999998</v>
      </c>
      <c r="K3" t="s">
        <v>52</v>
      </c>
      <c r="L3">
        <f>SUM(H2:H2005)</f>
        <v>75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0.26465572972972973</v>
      </c>
      <c r="V3">
        <f ca="1">AVERAGE(OFFSET(FT!B2,info!$L$3/2,0,info!$L$3/2,1))</f>
        <v>0.21354235135135136</v>
      </c>
      <c r="W3">
        <f ca="1">AVERAGE(OFFSET(FT!A2,0,0,info!$L$3/2,1))</f>
        <v>0.51959199999999994</v>
      </c>
      <c r="X3">
        <f ca="1">AVERAGE(OFFSET(FT!A2,info!$L$3/2,0,info!$L$3/2,1))</f>
        <v>0.61006413513513524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3.8610699999999998</v>
      </c>
      <c r="G4" s="61">
        <f>IF(FT!B4&lt;&gt;"",FT!B4*100,"")</f>
        <v>38.524000000000001</v>
      </c>
      <c r="H4" s="61">
        <f t="shared" si="1"/>
        <v>1</v>
      </c>
      <c r="I4" t="str">
        <f>IF(FT!B4&lt;&gt;"",FT!E4,"")</f>
        <v>1 [0.807944]</v>
      </c>
      <c r="J4">
        <f>IF(FT!B4&lt;&gt;"",FT!C4,"")</f>
        <v>0.807944</v>
      </c>
      <c r="O4">
        <f>O3+1</f>
        <v>1</v>
      </c>
      <c r="P4">
        <v>0</v>
      </c>
      <c r="Q4">
        <f>IF(R4=1998,0,R4)</f>
        <v>37</v>
      </c>
      <c r="R4">
        <f t="array" ref="R4">MAX(IF(ft_nq=O4,row_n))</f>
        <v>37</v>
      </c>
      <c r="S4">
        <f>Q4-P4+1</f>
        <v>38</v>
      </c>
      <c r="U4">
        <f>MAX(FT!C2:C4000)/4</f>
        <v>7.5257750000000003</v>
      </c>
      <c r="V4">
        <f>U4*3</f>
        <v>22.577325000000002</v>
      </c>
      <c r="W4">
        <f>U4</f>
        <v>7.5257750000000003</v>
      </c>
      <c r="X4">
        <f>V4</f>
        <v>22.577325000000002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3.96523</v>
      </c>
      <c r="G5" s="61">
        <f>IF(FT!B5&lt;&gt;"",FT!B5*100,"")</f>
        <v>37.269000000000005</v>
      </c>
      <c r="H5" s="61">
        <f t="shared" si="1"/>
        <v>1</v>
      </c>
      <c r="I5" t="str">
        <f>IF(FT!B5&lt;&gt;"",FT!E5,"")</f>
        <v>1 [1.214739]</v>
      </c>
      <c r="J5">
        <f>IF(FT!B5&lt;&gt;"",FT!C5,"")</f>
        <v>1.2147399999999999</v>
      </c>
      <c r="K5" t="s">
        <v>53</v>
      </c>
      <c r="L5" s="63">
        <f ca="1">MIN(FT_E)</f>
        <v>3.6580000000000004</v>
      </c>
      <c r="M5" s="63">
        <f ca="1">ROUND(L5,1)</f>
        <v>3.7</v>
      </c>
      <c r="O5">
        <f t="shared" ref="O5:O27" si="4">O4+1</f>
        <v>2</v>
      </c>
      <c r="P5">
        <f>IF(OR(R5=1998,R5=0),0,Q4)</f>
        <v>37</v>
      </c>
      <c r="Q5">
        <f>IF(R5=1998,0,R5)</f>
        <v>74</v>
      </c>
      <c r="R5">
        <f t="array" ref="R5">MAX(IF(ft_nq=O5,row_n))</f>
        <v>74</v>
      </c>
      <c r="S5">
        <f t="shared" ref="S5:S27" si="5">Q5-P5+1</f>
        <v>38</v>
      </c>
      <c r="U5">
        <f ca="1">U3*100</f>
        <v>26.465572972972971</v>
      </c>
      <c r="V5">
        <f ca="1">V3*100</f>
        <v>21.354235135135134</v>
      </c>
      <c r="W5">
        <f ca="1">W3*10</f>
        <v>5.1959199999999992</v>
      </c>
      <c r="X5">
        <f ca="1">X3*10</f>
        <v>6.1006413513513529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4.0701499999999999</v>
      </c>
      <c r="G6" s="61">
        <f>IF(FT!B6&lt;&gt;"",FT!B6*100,"")</f>
        <v>35.937899999999999</v>
      </c>
      <c r="H6" s="61">
        <f t="shared" si="1"/>
        <v>1</v>
      </c>
      <c r="I6" t="str">
        <f>IF(FT!B6&lt;&gt;"",FT!E6,"")</f>
        <v>1 [1.622329]</v>
      </c>
      <c r="J6">
        <f>IF(FT!B6&lt;&gt;"",FT!C6,"")</f>
        <v>1.62233</v>
      </c>
      <c r="K6" t="s">
        <v>54</v>
      </c>
      <c r="L6" s="63">
        <f ca="1">MAX(FT_E)</f>
        <v>6.1755700000000004</v>
      </c>
      <c r="M6" s="63">
        <f ca="1">ROUND(L6,1)</f>
        <v>6.2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4.17354</v>
      </c>
      <c r="G7" s="61">
        <f>IF(FT!B7&lt;&gt;"",FT!B7*100,"")</f>
        <v>34.564499999999995</v>
      </c>
      <c r="H7" s="61">
        <f t="shared" si="1"/>
        <v>1</v>
      </c>
      <c r="I7" t="str">
        <f>IF(FT!B7&lt;&gt;"",FT!E7,"")</f>
        <v>1 [2.025140]</v>
      </c>
      <c r="J7">
        <f>IF(FT!B7&lt;&gt;"",FT!C7,"")</f>
        <v>2.0251399999999999</v>
      </c>
      <c r="K7" t="s">
        <v>55</v>
      </c>
      <c r="L7" s="63">
        <f ca="1">MIN(FT_PH)</f>
        <v>19.8626</v>
      </c>
      <c r="M7" s="63">
        <f ca="1">ROUND(L7,1)</f>
        <v>19.899999999999999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1141</v>
      </c>
      <c r="D8" s="61">
        <f>FH!B8*1</f>
        <v>1141</v>
      </c>
      <c r="E8">
        <f t="shared" si="3"/>
        <v>6</v>
      </c>
      <c r="F8" s="61">
        <f>IF(FT!A8&lt;&gt;"",FT!A8*10,"")</f>
        <v>4.2745100000000003</v>
      </c>
      <c r="G8" s="61">
        <f>IF(FT!B8&lt;&gt;"",FT!B8*100,"")</f>
        <v>33.339999999999996</v>
      </c>
      <c r="H8" s="61">
        <f t="shared" si="1"/>
        <v>1</v>
      </c>
      <c r="I8" t="str">
        <f>IF(FT!B8&lt;&gt;"",FT!E8,"")</f>
        <v>1 [2.430040]</v>
      </c>
      <c r="J8">
        <f>IF(FT!B8&lt;&gt;"",FT!C8,"")</f>
        <v>2.43004</v>
      </c>
      <c r="K8" t="s">
        <v>56</v>
      </c>
      <c r="L8" s="63">
        <f ca="1">MAX(FT_PH)</f>
        <v>40.731999999999999</v>
      </c>
      <c r="M8" s="63">
        <f ca="1">ROUND(L8,1)</f>
        <v>40.700000000000003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4.3776999999999999</v>
      </c>
      <c r="G9" s="61">
        <f>IF(FT!B9&lt;&gt;"",FT!B9*100,"")</f>
        <v>32.015599999999999</v>
      </c>
      <c r="H9" s="61">
        <f t="shared" si="1"/>
        <v>1</v>
      </c>
      <c r="I9" t="str">
        <f>IF(FT!B9&lt;&gt;"",FT!E9,"")</f>
        <v>1 [2.839724]</v>
      </c>
      <c r="J9">
        <f>IF(FT!B9&lt;&gt;"",FT!C9,"")</f>
        <v>2.8397199999999998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1677</v>
      </c>
      <c r="D10" s="61">
        <f>FH!B10*1</f>
        <v>1677</v>
      </c>
      <c r="E10">
        <f t="shared" si="3"/>
        <v>8</v>
      </c>
      <c r="F10" s="61">
        <f>IF(FT!A10&lt;&gt;"",FT!A10*10,"")</f>
        <v>4.4874299999999998</v>
      </c>
      <c r="G10" s="61">
        <f>IF(FT!B10&lt;&gt;"",FT!B10*100,"")</f>
        <v>30.392499999999998</v>
      </c>
      <c r="H10" s="61">
        <f t="shared" si="1"/>
        <v>1</v>
      </c>
      <c r="I10" t="str">
        <f>IF(FT!B10&lt;&gt;"",FT!E10,"")</f>
        <v>1 [3.246429]</v>
      </c>
      <c r="J10">
        <f>IF(FT!B10&lt;&gt;"",FT!C10,"")</f>
        <v>3.2464300000000001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4.5946600000000002</v>
      </c>
      <c r="G11" s="61">
        <f>IF(FT!B11&lt;&gt;"",FT!B11*100,"")</f>
        <v>28.9862</v>
      </c>
      <c r="H11" s="61">
        <f t="shared" si="1"/>
        <v>1</v>
      </c>
      <c r="I11" t="str">
        <f>IF(FT!B11&lt;&gt;"",FT!E11,"")</f>
        <v>1 [3.654554]</v>
      </c>
      <c r="J11">
        <f>IF(FT!B11&lt;&gt;"",FT!C11,"")</f>
        <v>3.65455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4.6987800000000002</v>
      </c>
      <c r="G12" s="61">
        <f>IF(FT!B12&lt;&gt;"",FT!B12*100,"")</f>
        <v>27.6951</v>
      </c>
      <c r="H12" s="61">
        <f t="shared" si="1"/>
        <v>1</v>
      </c>
      <c r="I12" t="str">
        <f>IF(FT!B12&lt;&gt;"",FT!E12,"")</f>
        <v>1 [4.058258]</v>
      </c>
      <c r="J12">
        <f>IF(FT!B12&lt;&gt;"",FT!C12,"")</f>
        <v>4.0582599999999998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1953</v>
      </c>
      <c r="D13" s="61">
        <f>FH!B13*1</f>
        <v>1953</v>
      </c>
      <c r="E13">
        <f t="shared" si="3"/>
        <v>11</v>
      </c>
      <c r="F13" s="61">
        <f>IF(FT!A13&lt;&gt;"",FT!A13*10,"")</f>
        <v>4.8066199999999997</v>
      </c>
      <c r="G13" s="61">
        <f>IF(FT!B13&lt;&gt;"",FT!B13*100,"")</f>
        <v>26.335199999999997</v>
      </c>
      <c r="H13" s="61">
        <f t="shared" si="1"/>
        <v>1</v>
      </c>
      <c r="I13" t="str">
        <f>IF(FT!B13&lt;&gt;"",FT!E13,"")</f>
        <v>1 [4.464109]</v>
      </c>
      <c r="J13">
        <f>IF(FT!B13&lt;&gt;"",FT!C13,"")</f>
        <v>4.4641099999999998</v>
      </c>
      <c r="L13" s="67">
        <f t="array" ref="L13">MAX(IF(ft_nq=2,row_n))</f>
        <v>74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4.9092900000000004</v>
      </c>
      <c r="G14" s="61">
        <f>IF(FT!B14&lt;&gt;"",FT!B14*100,"")</f>
        <v>25.2257</v>
      </c>
      <c r="H14" s="61">
        <f t="shared" si="1"/>
        <v>1</v>
      </c>
      <c r="I14" t="str">
        <f>IF(FT!B14&lt;&gt;"",FT!E14,"")</f>
        <v>1 [4.869525]</v>
      </c>
      <c r="J14">
        <f>IF(FT!B14&lt;&gt;"",FT!C14,"")</f>
        <v>4.8695199999999996</v>
      </c>
      <c r="L14">
        <f>L13+1</f>
        <v>75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1302</v>
      </c>
      <c r="D15" s="61">
        <f>FH!B15*1</f>
        <v>1302</v>
      </c>
      <c r="E15">
        <f t="shared" si="3"/>
        <v>13</v>
      </c>
      <c r="F15" s="61">
        <f>IF(FT!A15&lt;&gt;"",FT!A15*10,"")</f>
        <v>4.9804199999999996</v>
      </c>
      <c r="G15" s="61">
        <f>IF(FT!B15&lt;&gt;"",FT!B15*100,"")</f>
        <v>24.885899999999999</v>
      </c>
      <c r="H15" s="61">
        <f t="shared" si="1"/>
        <v>1</v>
      </c>
      <c r="I15" t="str">
        <f>IF(FT!B15&lt;&gt;"",FT!E15,"")</f>
        <v>1 [5.276248]</v>
      </c>
      <c r="J15">
        <f>IF(FT!B15&lt;&gt;"",FT!C15,"")</f>
        <v>5.2762500000000001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5.0744599999999993</v>
      </c>
      <c r="G16" s="61">
        <f>IF(FT!B16&lt;&gt;"",FT!B16*100,"")</f>
        <v>24.153600000000001</v>
      </c>
      <c r="H16" s="61">
        <f t="shared" si="1"/>
        <v>1</v>
      </c>
      <c r="I16" t="str">
        <f>IF(FT!B16&lt;&gt;"",FT!E16,"")</f>
        <v>1 [5.682644]</v>
      </c>
      <c r="J16">
        <f>IF(FT!B16&lt;&gt;"",FT!C16,"")</f>
        <v>5.6826400000000001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5.1632299999999995</v>
      </c>
      <c r="G17" s="61">
        <f>IF(FT!B17&lt;&gt;"",FT!B17*100,"")</f>
        <v>23.543300000000002</v>
      </c>
      <c r="H17" s="61">
        <f t="shared" si="1"/>
        <v>1</v>
      </c>
      <c r="I17" t="str">
        <f>IF(FT!B17&lt;&gt;"",FT!E17,"")</f>
        <v>1 [6.092307]</v>
      </c>
      <c r="J17">
        <f>IF(FT!B17&lt;&gt;"",FT!C17,"")</f>
        <v>6.0923100000000003</v>
      </c>
      <c r="L17">
        <f>L3+1</f>
        <v>76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2428</v>
      </c>
      <c r="D18" s="61">
        <f>FH!B18*1</f>
        <v>2428</v>
      </c>
      <c r="E18">
        <f t="shared" si="3"/>
        <v>16</v>
      </c>
      <c r="F18" s="61">
        <f>IF(FT!A18&lt;&gt;"",FT!A18*10,"")</f>
        <v>5.2486299999999995</v>
      </c>
      <c r="G18" s="61">
        <f>IF(FT!B18&lt;&gt;"",FT!B18*100,"")</f>
        <v>23.121700000000001</v>
      </c>
      <c r="H18" s="61">
        <f t="shared" si="1"/>
        <v>1</v>
      </c>
      <c r="I18" t="str">
        <f>IF(FT!B18&lt;&gt;"",FT!E18,"")</f>
        <v>1 [6.495431]</v>
      </c>
      <c r="J18">
        <f>IF(FT!B18&lt;&gt;"",FT!C18,"")</f>
        <v>6.4954299999999998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5.3481800000000002</v>
      </c>
      <c r="G19" s="61">
        <f>IF(FT!B19&lt;&gt;"",FT!B19*100,"")</f>
        <v>22.565200000000001</v>
      </c>
      <c r="H19" s="61">
        <f t="shared" si="1"/>
        <v>1</v>
      </c>
      <c r="I19" t="str">
        <f>IF(FT!B19&lt;&gt;"",FT!E19,"")</f>
        <v>1 [6.903747]</v>
      </c>
      <c r="J19">
        <f>IF(FT!B19&lt;&gt;"",FT!C19,"")</f>
        <v>6.9037499999999996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5.4224799999999993</v>
      </c>
      <c r="G20" s="61">
        <f>IF(FT!B20&lt;&gt;"",FT!B20*100,"")</f>
        <v>22.351700000000001</v>
      </c>
      <c r="H20" s="61">
        <f t="shared" si="1"/>
        <v>1</v>
      </c>
      <c r="I20" t="str">
        <f>IF(FT!B20&lt;&gt;"",FT!E20,"")</f>
        <v>1 [7.310042]</v>
      </c>
      <c r="J20">
        <f>IF(FT!B20&lt;&gt;"",FT!C20,"")</f>
        <v>7.3100399999999999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1858</v>
      </c>
      <c r="D21" s="61">
        <f>FH!B21*1</f>
        <v>1858</v>
      </c>
      <c r="E21">
        <f t="shared" si="3"/>
        <v>19</v>
      </c>
      <c r="F21" s="61">
        <f>IF(FT!A21&lt;&gt;"",FT!A21*10,"")</f>
        <v>5.4797700000000003</v>
      </c>
      <c r="G21" s="61">
        <f>IF(FT!B21&lt;&gt;"",FT!B21*100,"")</f>
        <v>22.3248</v>
      </c>
      <c r="H21" s="61">
        <f t="shared" si="1"/>
        <v>1</v>
      </c>
      <c r="I21" t="str">
        <f>IF(FT!B21&lt;&gt;"",FT!E21,"")</f>
        <v>1 [7.714904]</v>
      </c>
      <c r="J21">
        <f>IF(FT!B21&lt;&gt;"",FT!C21,"")</f>
        <v>7.7149000000000001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5.5541499999999999</v>
      </c>
      <c r="G22" s="61">
        <f>IF(FT!B22&lt;&gt;"",FT!B22*100,"")</f>
        <v>22.245200000000001</v>
      </c>
      <c r="H22" s="61">
        <f t="shared" si="1"/>
        <v>1</v>
      </c>
      <c r="I22" t="str">
        <f>IF(FT!B22&lt;&gt;"",FT!E22,"")</f>
        <v>1 [8.122633]</v>
      </c>
      <c r="J22">
        <f>IF(FT!B22&lt;&gt;"",FT!C22,"")</f>
        <v>8.1226299999999991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2289</v>
      </c>
      <c r="D23" s="61">
        <f>FH!B23*1</f>
        <v>2289</v>
      </c>
      <c r="E23">
        <f t="shared" si="3"/>
        <v>21</v>
      </c>
      <c r="F23" s="61">
        <f>IF(FT!A23&lt;&gt;"",FT!A23*10,"")</f>
        <v>5.6098099999999995</v>
      </c>
      <c r="G23" s="61">
        <f>IF(FT!B23&lt;&gt;"",FT!B23*100,"")</f>
        <v>22.3782</v>
      </c>
      <c r="H23" s="61">
        <f t="shared" si="1"/>
        <v>1</v>
      </c>
      <c r="I23" t="str">
        <f>IF(FT!B23&lt;&gt;"",FT!E23,"")</f>
        <v>1 [8.525740]</v>
      </c>
      <c r="J23">
        <f>IF(FT!B23&lt;&gt;"",FT!C23,"")</f>
        <v>8.5257400000000008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5.6658499999999998</v>
      </c>
      <c r="G24" s="61">
        <f>IF(FT!B24&lt;&gt;"",FT!B24*100,"")</f>
        <v>22.452500000000001</v>
      </c>
      <c r="H24" s="61">
        <f t="shared" si="1"/>
        <v>1</v>
      </c>
      <c r="I24" t="str">
        <f>IF(FT!B24&lt;&gt;"",FT!E24,"")</f>
        <v>1 [8.932694]</v>
      </c>
      <c r="J24">
        <f>IF(FT!B24&lt;&gt;"",FT!C24,"")</f>
        <v>8.9326899999999991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5.7180900000000001</v>
      </c>
      <c r="G25" s="61">
        <f>IF(FT!B25&lt;&gt;"",FT!B25*100,"")</f>
        <v>22.521899999999999</v>
      </c>
      <c r="H25" s="61">
        <f t="shared" si="1"/>
        <v>1</v>
      </c>
      <c r="I25" t="str">
        <f>IF(FT!B25&lt;&gt;"",FT!E25,"")</f>
        <v>1 [9.341398]</v>
      </c>
      <c r="J25">
        <f>IF(FT!B25&lt;&gt;"",FT!C25,"")</f>
        <v>9.3414000000000001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3479</v>
      </c>
      <c r="D26" s="61">
        <f>FH!B26*1</f>
        <v>3479</v>
      </c>
      <c r="E26">
        <f t="shared" si="3"/>
        <v>24</v>
      </c>
      <c r="F26" s="61">
        <f>IF(FT!A26&lt;&gt;"",FT!A26*10,"")</f>
        <v>5.7638699999999998</v>
      </c>
      <c r="G26" s="61">
        <f>IF(FT!B26&lt;&gt;"",FT!B26*100,"")</f>
        <v>22.6218</v>
      </c>
      <c r="H26" s="61">
        <f t="shared" si="1"/>
        <v>1</v>
      </c>
      <c r="I26" t="str">
        <f>IF(FT!B26&lt;&gt;"",FT!E26,"")</f>
        <v>1 [9.742424]</v>
      </c>
      <c r="J26">
        <f>IF(FT!B26&lt;&gt;"",FT!C26,"")</f>
        <v>9.7424199999999992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5.8134300000000003</v>
      </c>
      <c r="G27" s="61">
        <f>IF(FT!B27&lt;&gt;"",FT!B27*100,"")</f>
        <v>22.668700000000001</v>
      </c>
      <c r="H27" s="61">
        <f t="shared" si="1"/>
        <v>1</v>
      </c>
      <c r="I27" t="str">
        <f>IF(FT!B27&lt;&gt;"",FT!E27,"")</f>
        <v>1 [10.150485]</v>
      </c>
      <c r="J27">
        <f>IF(FT!B27&lt;&gt;"",FT!C27,"")</f>
        <v>10.150499999999999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3933</v>
      </c>
      <c r="D28" s="61">
        <f>FH!B28*1</f>
        <v>3933</v>
      </c>
      <c r="E28">
        <f t="shared" si="3"/>
        <v>26</v>
      </c>
      <c r="F28" s="61">
        <f>IF(FT!A28&lt;&gt;"",FT!A28*10,"")</f>
        <v>5.8560599999999994</v>
      </c>
      <c r="G28" s="61">
        <f>IF(FT!B28&lt;&gt;"",FT!B28*100,"")</f>
        <v>22.710100000000001</v>
      </c>
      <c r="H28" s="61">
        <f t="shared" si="1"/>
        <v>1</v>
      </c>
      <c r="I28" t="str">
        <f>IF(FT!B28&lt;&gt;"",FT!E28,"")</f>
        <v>1 [10.557235]</v>
      </c>
      <c r="J28">
        <f>IF(FT!B28&lt;&gt;"",FT!C28,"")</f>
        <v>10.5572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5.8928199999999995</v>
      </c>
      <c r="G29" s="61">
        <f>IF(FT!B29&lt;&gt;"",FT!B29*100,"")</f>
        <v>22.791700000000002</v>
      </c>
      <c r="H29" s="61">
        <f t="shared" si="1"/>
        <v>1</v>
      </c>
      <c r="I29" t="str">
        <f>IF(FT!B29&lt;&gt;"",FT!E29,"")</f>
        <v>1 [10.963515]</v>
      </c>
      <c r="J29">
        <f>IF(FT!B29&lt;&gt;"",FT!C29,"")</f>
        <v>10.9635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5.9257299999999997</v>
      </c>
      <c r="G30" s="61">
        <f>IF(FT!B30&lt;&gt;"",FT!B30*100,"")</f>
        <v>22.807500000000001</v>
      </c>
      <c r="H30" s="61">
        <f t="shared" si="1"/>
        <v>1</v>
      </c>
      <c r="I30" t="str">
        <f>IF(FT!B30&lt;&gt;"",FT!E30,"")</f>
        <v>1 [11.369651]</v>
      </c>
      <c r="J30">
        <f>IF(FT!B30&lt;&gt;"",FT!C30,"")</f>
        <v>11.3697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7769</v>
      </c>
      <c r="D31" s="61">
        <f>FH!B31*1</f>
        <v>7769</v>
      </c>
      <c r="E31">
        <f t="shared" si="3"/>
        <v>29</v>
      </c>
      <c r="F31" s="61">
        <f>IF(FT!A31&lt;&gt;"",FT!A31*10,"")</f>
        <v>5.9549399999999997</v>
      </c>
      <c r="G31" s="61">
        <f>IF(FT!B31&lt;&gt;"",FT!B31*100,"")</f>
        <v>22.830500000000001</v>
      </c>
      <c r="H31" s="61">
        <f t="shared" si="1"/>
        <v>1</v>
      </c>
      <c r="I31" t="str">
        <f>IF(FT!B31&lt;&gt;"",FT!E31,"")</f>
        <v>1 [11.775445]</v>
      </c>
      <c r="J31">
        <f>IF(FT!B31&lt;&gt;"",FT!C31,"")</f>
        <v>11.775399999999999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5.9807500000000005</v>
      </c>
      <c r="G32" s="61">
        <f>IF(FT!B32&lt;&gt;"",FT!B32*100,"")</f>
        <v>22.833400000000001</v>
      </c>
      <c r="H32" s="61">
        <f t="shared" si="1"/>
        <v>1</v>
      </c>
      <c r="I32" t="str">
        <f>IF(FT!B32&lt;&gt;"",FT!E32,"")</f>
        <v>1 [12.181498]</v>
      </c>
      <c r="J32">
        <f>IF(FT!B32&lt;&gt;"",FT!C32,"")</f>
        <v>12.1815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9408</v>
      </c>
      <c r="D33" s="61">
        <f>FH!B33*1</f>
        <v>9408</v>
      </c>
      <c r="E33">
        <f t="shared" si="3"/>
        <v>31</v>
      </c>
      <c r="F33" s="61">
        <f>IF(FT!A33&lt;&gt;"",FT!A33*10,"")</f>
        <v>6.0057099999999997</v>
      </c>
      <c r="G33" s="61">
        <f>IF(FT!B33&lt;&gt;"",FT!B33*100,"")</f>
        <v>22.830500000000001</v>
      </c>
      <c r="H33" s="61">
        <f t="shared" si="1"/>
        <v>1</v>
      </c>
      <c r="I33" t="str">
        <f>IF(FT!B33&lt;&gt;"",FT!E33,"")</f>
        <v>1 [12.591601]</v>
      </c>
      <c r="J33">
        <f>IF(FT!B33&lt;&gt;"",FT!C33,"")</f>
        <v>12.5916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6.0233800000000004</v>
      </c>
      <c r="G34" s="61">
        <f>IF(FT!B34&lt;&gt;"",FT!B34*100,"")</f>
        <v>22.793399999999998</v>
      </c>
      <c r="H34" s="61">
        <f t="shared" si="1"/>
        <v>1</v>
      </c>
      <c r="I34" t="str">
        <f>IF(FT!B34&lt;&gt;"",FT!E34,"")</f>
        <v>1 [12.997323]</v>
      </c>
      <c r="J34">
        <f>IF(FT!B34&lt;&gt;"",FT!C34,"")</f>
        <v>12.997299999999999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6.0319699999999994</v>
      </c>
      <c r="G35" s="61">
        <f>IF(FT!B35&lt;&gt;"",FT!B35*100,"")</f>
        <v>22.7714</v>
      </c>
      <c r="H35" s="61">
        <f t="shared" si="1"/>
        <v>1</v>
      </c>
      <c r="I35" t="str">
        <f>IF(FT!B35&lt;&gt;"",FT!E35,"")</f>
        <v>1 [13.403454]</v>
      </c>
      <c r="J35">
        <f>IF(FT!B35&lt;&gt;"",FT!C35,"")</f>
        <v>13.403499999999999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12669</v>
      </c>
      <c r="D36" s="61">
        <f>FH!B36*1</f>
        <v>12669</v>
      </c>
      <c r="E36">
        <f t="shared" si="3"/>
        <v>34</v>
      </c>
      <c r="F36" s="61">
        <f>IF(FT!A36&lt;&gt;"",FT!A36*10,"")</f>
        <v>6.0320799999999997</v>
      </c>
      <c r="G36" s="61">
        <f>IF(FT!B36&lt;&gt;"",FT!B36*100,"")</f>
        <v>22.777799999999999</v>
      </c>
      <c r="H36" s="61">
        <f t="shared" si="1"/>
        <v>1</v>
      </c>
      <c r="I36" t="str">
        <f>IF(FT!B36&lt;&gt;"",FT!E36,"")</f>
        <v>1 [13.808281]</v>
      </c>
      <c r="J36">
        <f>IF(FT!B36&lt;&gt;"",FT!C36,"")</f>
        <v>13.808299999999999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6.0342799999999999</v>
      </c>
      <c r="G37" s="61">
        <f>IF(FT!B37&lt;&gt;"",FT!B37*100,"")</f>
        <v>22.7742</v>
      </c>
      <c r="H37" s="61">
        <f t="shared" si="1"/>
        <v>1</v>
      </c>
      <c r="I37" t="str">
        <f>IF(FT!B37&lt;&gt;"",FT!E37,"")</f>
        <v>1 [14.216004]</v>
      </c>
      <c r="J37">
        <f>IF(FT!B37&lt;&gt;"",FT!C37,"")</f>
        <v>14.215999999999999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6.0331500000000009</v>
      </c>
      <c r="G38" s="61">
        <f>IF(FT!B38&lt;&gt;"",FT!B38*100,"")</f>
        <v>22.762999999999998</v>
      </c>
      <c r="H38" s="61">
        <f t="shared" si="1"/>
        <v>1</v>
      </c>
      <c r="I38" t="str">
        <f>IF(FT!B38&lt;&gt;"",FT!E38,"")</f>
        <v>1 [14.621326]</v>
      </c>
      <c r="J38">
        <f>IF(FT!B38&lt;&gt;"",FT!C38,"")</f>
        <v>14.6213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14701</v>
      </c>
      <c r="D39" s="61">
        <f>FH!B39*1</f>
        <v>14701</v>
      </c>
      <c r="E39">
        <f t="shared" si="3"/>
        <v>37</v>
      </c>
      <c r="F39" s="61">
        <f>IF(FT!A39&lt;&gt;"",FT!A39*10,"")</f>
        <v>6.0324900000000001</v>
      </c>
      <c r="G39" s="61">
        <f>IF(FT!B39&lt;&gt;"",FT!B39*100,"")</f>
        <v>22.732800000000001</v>
      </c>
      <c r="H39" s="61">
        <f t="shared" si="1"/>
        <v>1</v>
      </c>
      <c r="I39" t="str">
        <f>IF(FT!B39&lt;&gt;"",FT!E39,"")</f>
        <v>1 [15.031810]</v>
      </c>
      <c r="J39">
        <f>IF(FT!B39&lt;&gt;"",FT!C39,"")</f>
        <v>15.0318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6.03613</v>
      </c>
      <c r="G40" s="61">
        <f>IF(FT!B40&lt;&gt;"",FT!B40*100,"")</f>
        <v>22.6813</v>
      </c>
      <c r="H40" s="61">
        <f t="shared" si="1"/>
        <v>1</v>
      </c>
      <c r="I40" t="str">
        <f>IF(FT!B40&lt;&gt;"",FT!E40,"")</f>
        <v>2 [15.561001]</v>
      </c>
      <c r="J40">
        <f>IF(FT!B40&lt;&gt;"",FT!C40,"")</f>
        <v>15.561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19382</v>
      </c>
      <c r="D41" s="61">
        <f>FH!B41*1</f>
        <v>19382</v>
      </c>
      <c r="E41">
        <f t="shared" si="3"/>
        <v>39</v>
      </c>
      <c r="F41" s="61">
        <f>IF(FT!A41&lt;&gt;"",FT!A41*10,"")</f>
        <v>6.0392999999999999</v>
      </c>
      <c r="G41" s="61">
        <f>IF(FT!B41&lt;&gt;"",FT!B41*100,"")</f>
        <v>22.670299999999997</v>
      </c>
      <c r="H41" s="61">
        <f t="shared" si="1"/>
        <v>1</v>
      </c>
      <c r="I41" t="str">
        <f>IF(FT!B41&lt;&gt;"",FT!E41,"")</f>
        <v>2 [15.931616]</v>
      </c>
      <c r="J41">
        <f>IF(FT!B41&lt;&gt;"",FT!C41,"")</f>
        <v>15.9316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6.0404599999999995</v>
      </c>
      <c r="G42" s="61">
        <f>IF(FT!B42&lt;&gt;"",FT!B42*100,"")</f>
        <v>22.6752</v>
      </c>
      <c r="H42" s="61">
        <f t="shared" si="1"/>
        <v>1</v>
      </c>
      <c r="I42" t="str">
        <f>IF(FT!B42&lt;&gt;"",FT!E42,"")</f>
        <v>2 [16.308921]</v>
      </c>
      <c r="J42">
        <f>IF(FT!B42&lt;&gt;"",FT!C42,"")</f>
        <v>16.308900000000001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6.0408200000000001</v>
      </c>
      <c r="G43" s="61">
        <f>IF(FT!B43&lt;&gt;"",FT!B43*100,"")</f>
        <v>22.668600000000001</v>
      </c>
      <c r="H43" s="61">
        <f t="shared" si="1"/>
        <v>1</v>
      </c>
      <c r="I43" t="str">
        <f>IF(FT!B43&lt;&gt;"",FT!E43,"")</f>
        <v>2 [16.696977]</v>
      </c>
      <c r="J43">
        <f>IF(FT!B43&lt;&gt;"",FT!C43,"")</f>
        <v>16.696999999999999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19530</v>
      </c>
      <c r="D44" s="61">
        <f>FH!B44*1</f>
        <v>19530</v>
      </c>
      <c r="E44">
        <f t="shared" si="3"/>
        <v>42</v>
      </c>
      <c r="F44" s="61">
        <f>IF(FT!A44&lt;&gt;"",FT!A44*10,"")</f>
        <v>6.0398800000000001</v>
      </c>
      <c r="G44" s="61">
        <f>IF(FT!B44&lt;&gt;"",FT!B44*100,"")</f>
        <v>22.616199999999999</v>
      </c>
      <c r="H44" s="61">
        <f t="shared" si="1"/>
        <v>1</v>
      </c>
      <c r="I44" t="str">
        <f>IF(FT!B44&lt;&gt;"",FT!E44,"")</f>
        <v>2 [17.106501]</v>
      </c>
      <c r="J44">
        <f>IF(FT!B44&lt;&gt;"",FT!C44,"")</f>
        <v>17.1065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6.0401000000000007</v>
      </c>
      <c r="G45" s="61">
        <f>IF(FT!B45&lt;&gt;"",FT!B45*100,"")</f>
        <v>22.4983</v>
      </c>
      <c r="H45" s="61">
        <f t="shared" si="1"/>
        <v>1</v>
      </c>
      <c r="I45" t="str">
        <f>IF(FT!B45&lt;&gt;"",FT!E45,"")</f>
        <v>2 [17.510817]</v>
      </c>
      <c r="J45">
        <f>IF(FT!B45&lt;&gt;"",FT!C45,"")</f>
        <v>17.5108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19613</v>
      </c>
      <c r="D46" s="61">
        <f>FH!B46*1</f>
        <v>19613</v>
      </c>
      <c r="E46">
        <f t="shared" si="3"/>
        <v>44</v>
      </c>
      <c r="F46" s="61">
        <f>IF(FT!A46&lt;&gt;"",FT!A46*10,"")</f>
        <v>6.0441500000000001</v>
      </c>
      <c r="G46" s="61">
        <f>IF(FT!B46&lt;&gt;"",FT!B46*100,"")</f>
        <v>22.3537</v>
      </c>
      <c r="H46" s="61">
        <f t="shared" si="1"/>
        <v>1</v>
      </c>
      <c r="I46" t="str">
        <f>IF(FT!B46&lt;&gt;"",FT!E46,"")</f>
        <v>2 [17.919241]</v>
      </c>
      <c r="J46">
        <f>IF(FT!B46&lt;&gt;"",FT!C46,"")</f>
        <v>17.9192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6.0527899999999999</v>
      </c>
      <c r="G47" s="61">
        <f>IF(FT!B47&lt;&gt;"",FT!B47*100,"")</f>
        <v>22.0947</v>
      </c>
      <c r="H47" s="61">
        <f t="shared" si="1"/>
        <v>1</v>
      </c>
      <c r="I47" t="str">
        <f>IF(FT!B47&lt;&gt;"",FT!E47,"")</f>
        <v>2 [18.325173]</v>
      </c>
      <c r="J47">
        <f>IF(FT!B47&lt;&gt;"",FT!C47,"")</f>
        <v>18.325199999999999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6.0628599999999997</v>
      </c>
      <c r="G48" s="61">
        <f>IF(FT!B48&lt;&gt;"",FT!B48*100,"")</f>
        <v>21.8674</v>
      </c>
      <c r="H48" s="61">
        <f t="shared" si="1"/>
        <v>1</v>
      </c>
      <c r="I48" t="str">
        <f>IF(FT!B48&lt;&gt;"",FT!E48,"")</f>
        <v>2 [18.728099]</v>
      </c>
      <c r="J48">
        <f>IF(FT!B48&lt;&gt;"",FT!C48,"")</f>
        <v>18.728100000000001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21797</v>
      </c>
      <c r="D49" s="61">
        <f>FH!B49*1</f>
        <v>21797</v>
      </c>
      <c r="E49">
        <f t="shared" si="3"/>
        <v>47</v>
      </c>
      <c r="F49" s="61">
        <f>IF(FT!A49&lt;&gt;"",FT!A49*10,"")</f>
        <v>6.0667499999999999</v>
      </c>
      <c r="G49" s="61">
        <f>IF(FT!B49&lt;&gt;"",FT!B49*100,"")</f>
        <v>21.767400000000002</v>
      </c>
      <c r="H49" s="61">
        <f t="shared" si="1"/>
        <v>1</v>
      </c>
      <c r="I49" t="str">
        <f>IF(FT!B49&lt;&gt;"",FT!E49,"")</f>
        <v>2 [19.134863]</v>
      </c>
      <c r="J49">
        <f>IF(FT!B49&lt;&gt;"",FT!C49,"")</f>
        <v>19.134899999999998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6.0714800000000002</v>
      </c>
      <c r="G50" s="61">
        <f>IF(FT!B50&lt;&gt;"",FT!B50*100,"")</f>
        <v>21.6952</v>
      </c>
      <c r="H50" s="61">
        <f t="shared" si="1"/>
        <v>1</v>
      </c>
      <c r="I50" t="str">
        <f>IF(FT!B50&lt;&gt;"",FT!E50,"")</f>
        <v>2 [19.541835]</v>
      </c>
      <c r="J50">
        <f>IF(FT!B50&lt;&gt;"",FT!C50,"")</f>
        <v>19.541799999999999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24288</v>
      </c>
      <c r="D51" s="61">
        <f>FH!B51*1</f>
        <v>24288</v>
      </c>
      <c r="E51">
        <f t="shared" si="3"/>
        <v>49</v>
      </c>
      <c r="F51" s="61">
        <f>IF(FT!A51&lt;&gt;"",FT!A51*10,"")</f>
        <v>6.07531</v>
      </c>
      <c r="G51" s="61">
        <f>IF(FT!B51&lt;&gt;"",FT!B51*100,"")</f>
        <v>21.681100000000001</v>
      </c>
      <c r="H51" s="61">
        <f t="shared" si="1"/>
        <v>1</v>
      </c>
      <c r="I51" t="str">
        <f>IF(FT!B51&lt;&gt;"",FT!E51,"")</f>
        <v>2 [19.952305]</v>
      </c>
      <c r="J51">
        <f>IF(FT!B51&lt;&gt;"",FT!C51,"")</f>
        <v>19.952300000000001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6.077630000000001</v>
      </c>
      <c r="G52" s="61">
        <f>IF(FT!B52&lt;&gt;"",FT!B52*100,"")</f>
        <v>21.677399999999999</v>
      </c>
      <c r="H52" s="61">
        <f t="shared" si="1"/>
        <v>1</v>
      </c>
      <c r="I52" t="str">
        <f>IF(FT!B52&lt;&gt;"",FT!E52,"")</f>
        <v>2 [20.354543]</v>
      </c>
      <c r="J52">
        <f>IF(FT!B52&lt;&gt;"",FT!C52,"")</f>
        <v>20.354500000000002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6.0808600000000004</v>
      </c>
      <c r="G53" s="61">
        <f>IF(FT!B53&lt;&gt;"",FT!B53*100,"")</f>
        <v>21.637700000000002</v>
      </c>
      <c r="H53" s="61">
        <f t="shared" si="1"/>
        <v>1</v>
      </c>
      <c r="I53" t="str">
        <f>IF(FT!B53&lt;&gt;"",FT!E53,"")</f>
        <v>2 [20.760973]</v>
      </c>
      <c r="J53">
        <f>IF(FT!B53&lt;&gt;"",FT!C53,"")</f>
        <v>20.760999999999999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26134</v>
      </c>
      <c r="D54" s="61">
        <f>FH!B54*1</f>
        <v>26134</v>
      </c>
      <c r="E54">
        <f t="shared" si="3"/>
        <v>52</v>
      </c>
      <c r="F54" s="61">
        <f>IF(FT!A54&lt;&gt;"",FT!A54*10,"")</f>
        <v>6.0848199999999997</v>
      </c>
      <c r="G54" s="61">
        <f>IF(FT!B54&lt;&gt;"",FT!B54*100,"")</f>
        <v>21.576000000000001</v>
      </c>
      <c r="H54" s="61">
        <f t="shared" si="1"/>
        <v>1</v>
      </c>
      <c r="I54" t="str">
        <f>IF(FT!B54&lt;&gt;"",FT!E54,"")</f>
        <v>2 [21.167297]</v>
      </c>
      <c r="J54">
        <f>IF(FT!B54&lt;&gt;"",FT!C54,"")</f>
        <v>21.167300000000001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6.0871200000000005</v>
      </c>
      <c r="G55" s="61">
        <f>IF(FT!B55&lt;&gt;"",FT!B55*100,"")</f>
        <v>21.5138</v>
      </c>
      <c r="H55" s="61">
        <f t="shared" si="1"/>
        <v>1</v>
      </c>
      <c r="I55" t="str">
        <f>IF(FT!B55&lt;&gt;"",FT!E55,"")</f>
        <v>2 [21.572665]</v>
      </c>
      <c r="J55">
        <f>IF(FT!B55&lt;&gt;"",FT!C55,"")</f>
        <v>21.572700000000001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6.0916899999999998</v>
      </c>
      <c r="G56" s="61">
        <f>IF(FT!B56&lt;&gt;"",FT!B56*100,"")</f>
        <v>21.470800000000001</v>
      </c>
      <c r="H56" s="61">
        <f t="shared" si="1"/>
        <v>1</v>
      </c>
      <c r="I56" t="str">
        <f>IF(FT!B56&lt;&gt;"",FT!E56,"")</f>
        <v>2 [21.977737]</v>
      </c>
      <c r="J56">
        <f>IF(FT!B56&lt;&gt;"",FT!C56,"")</f>
        <v>21.977699999999999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29020</v>
      </c>
      <c r="D57" s="61">
        <f>FH!B57*1</f>
        <v>29020</v>
      </c>
      <c r="E57">
        <f t="shared" si="3"/>
        <v>55</v>
      </c>
      <c r="F57" s="61">
        <f>IF(FT!A57&lt;&gt;"",FT!A57*10,"")</f>
        <v>6.0951399999999998</v>
      </c>
      <c r="G57" s="61">
        <f>IF(FT!B57&lt;&gt;"",FT!B57*100,"")</f>
        <v>21.4251</v>
      </c>
      <c r="H57" s="61">
        <f t="shared" si="1"/>
        <v>1</v>
      </c>
      <c r="I57" t="str">
        <f>IF(FT!B57&lt;&gt;"",FT!E57,"")</f>
        <v>2 [22.386718]</v>
      </c>
      <c r="J57">
        <f>IF(FT!B57&lt;&gt;"",FT!C57,"")</f>
        <v>22.386700000000001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6.0968</v>
      </c>
      <c r="G58" s="61">
        <f>IF(FT!B58&lt;&gt;"",FT!B58*100,"")</f>
        <v>21.379300000000001</v>
      </c>
      <c r="H58" s="61">
        <f t="shared" si="1"/>
        <v>1</v>
      </c>
      <c r="I58" t="str">
        <f>IF(FT!B58&lt;&gt;"",FT!E58,"")</f>
        <v>2 [22.792905]</v>
      </c>
      <c r="J58">
        <f>IF(FT!B58&lt;&gt;"",FT!C58,"")</f>
        <v>22.792899999999999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33337</v>
      </c>
      <c r="D59" s="61">
        <f>FH!B59*1</f>
        <v>33337</v>
      </c>
      <c r="E59">
        <f t="shared" si="3"/>
        <v>57</v>
      </c>
      <c r="F59" s="61">
        <f>IF(FT!A59&lt;&gt;"",FT!A59*10,"")</f>
        <v>6.1002500000000008</v>
      </c>
      <c r="G59" s="61">
        <f>IF(FT!B59&lt;&gt;"",FT!B59*100,"")</f>
        <v>21.296300000000002</v>
      </c>
      <c r="H59" s="61">
        <f t="shared" si="1"/>
        <v>1</v>
      </c>
      <c r="I59" t="str">
        <f>IF(FT!B59&lt;&gt;"",FT!E59,"")</f>
        <v>2 [23.198625]</v>
      </c>
      <c r="J59">
        <f>IF(FT!B59&lt;&gt;"",FT!C59,"")</f>
        <v>23.198599999999999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6.1093900000000003</v>
      </c>
      <c r="G60" s="61">
        <f>IF(FT!B60&lt;&gt;"",FT!B60*100,"")</f>
        <v>21.179100000000002</v>
      </c>
      <c r="H60" s="61">
        <f t="shared" si="1"/>
        <v>1</v>
      </c>
      <c r="I60" t="str">
        <f>IF(FT!B60&lt;&gt;"",FT!E60,"")</f>
        <v>2 [23.603364]</v>
      </c>
      <c r="J60">
        <f>IF(FT!B60&lt;&gt;"",FT!C60,"")</f>
        <v>23.603400000000001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6.1216299999999997</v>
      </c>
      <c r="G61" s="61">
        <f>IF(FT!B61&lt;&gt;"",FT!B61*100,"")</f>
        <v>21.049399999999999</v>
      </c>
      <c r="H61" s="61">
        <f t="shared" si="1"/>
        <v>1</v>
      </c>
      <c r="I61" t="str">
        <f>IF(FT!B61&lt;&gt;"",FT!E61,"")</f>
        <v>2 [24.015057]</v>
      </c>
      <c r="J61">
        <f>IF(FT!B61&lt;&gt;"",FT!C61,"")</f>
        <v>24.0151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35584</v>
      </c>
      <c r="D62" s="61">
        <f>FH!B62*1</f>
        <v>35584</v>
      </c>
      <c r="E62">
        <f t="shared" si="3"/>
        <v>60</v>
      </c>
      <c r="F62" s="61">
        <f>IF(FT!A62&lt;&gt;"",FT!A62*10,"")</f>
        <v>6.1319299999999997</v>
      </c>
      <c r="G62" s="61">
        <f>IF(FT!B62&lt;&gt;"",FT!B62*100,"")</f>
        <v>20.910699999999999</v>
      </c>
      <c r="H62" s="61">
        <f t="shared" si="1"/>
        <v>1</v>
      </c>
      <c r="I62" t="str">
        <f>IF(FT!B62&lt;&gt;"",FT!E62,"")</f>
        <v>2 [24.418034]</v>
      </c>
      <c r="J62">
        <f>IF(FT!B62&lt;&gt;"",FT!C62,"")</f>
        <v>24.417999999999999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6.1417299999999999</v>
      </c>
      <c r="G63" s="61">
        <f>IF(FT!B63&lt;&gt;"",FT!B63*100,"")</f>
        <v>20.798300000000001</v>
      </c>
      <c r="H63" s="61">
        <f t="shared" si="1"/>
        <v>1</v>
      </c>
      <c r="I63" t="str">
        <f>IF(FT!B63&lt;&gt;"",FT!E63,"")</f>
        <v>2 [24.824306]</v>
      </c>
      <c r="J63">
        <f>IF(FT!B63&lt;&gt;"",FT!C63,"")</f>
        <v>24.824300000000001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39750</v>
      </c>
      <c r="D64" s="61">
        <f>FH!B64*1</f>
        <v>39750</v>
      </c>
      <c r="E64">
        <f t="shared" si="3"/>
        <v>62</v>
      </c>
      <c r="F64" s="61">
        <f>IF(FT!A64&lt;&gt;"",FT!A64*10,"")</f>
        <v>6.1487400000000001</v>
      </c>
      <c r="G64" s="61">
        <f>IF(FT!B64&lt;&gt;"",FT!B64*100,"")</f>
        <v>20.724400000000003</v>
      </c>
      <c r="H64" s="61">
        <f t="shared" si="1"/>
        <v>1</v>
      </c>
      <c r="I64" t="str">
        <f>IF(FT!B64&lt;&gt;"",FT!E64,"")</f>
        <v>2 [25.228286]</v>
      </c>
      <c r="J64">
        <f>IF(FT!B64&lt;&gt;"",FT!C64,"")</f>
        <v>25.228300000000001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6.1490799999999997</v>
      </c>
      <c r="G65" s="61">
        <f>IF(FT!B65&lt;&gt;"",FT!B65*100,"")</f>
        <v>20.621300000000002</v>
      </c>
      <c r="H65" s="61">
        <f t="shared" si="1"/>
        <v>1</v>
      </c>
      <c r="I65" t="str">
        <f>IF(FT!B65&lt;&gt;"",FT!E65,"")</f>
        <v>2 [25.637517]</v>
      </c>
      <c r="J65">
        <f>IF(FT!B65&lt;&gt;"",FT!C65,"")</f>
        <v>25.637499999999999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6.15001</v>
      </c>
      <c r="G66" s="61">
        <f>IF(FT!B66&lt;&gt;"",FT!B66*100,"")</f>
        <v>20.435300000000002</v>
      </c>
      <c r="H66" s="61">
        <f t="shared" si="1"/>
        <v>1</v>
      </c>
      <c r="I66" t="str">
        <f>IF(FT!B66&lt;&gt;"",FT!E66,"")</f>
        <v>2 [26.044116]</v>
      </c>
      <c r="J66">
        <f>IF(FT!B66&lt;&gt;"",FT!C66,"")</f>
        <v>26.0441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43354</v>
      </c>
      <c r="D67" s="61">
        <f>FH!B67*1</f>
        <v>43354</v>
      </c>
      <c r="E67">
        <f t="shared" si="3"/>
        <v>65</v>
      </c>
      <c r="F67" s="61">
        <f>IF(FT!A67&lt;&gt;"",FT!A67*10,"")</f>
        <v>6.15611</v>
      </c>
      <c r="G67" s="61">
        <f>IF(FT!B67&lt;&gt;"",FT!B67*100,"")</f>
        <v>20.199300000000001</v>
      </c>
      <c r="H67" s="61">
        <f t="shared" ref="H67:H130" si="9">(IF(F67&lt;&gt;"",1,""))</f>
        <v>1</v>
      </c>
      <c r="I67" t="str">
        <f>IF(FT!B67&lt;&gt;"",FT!E67,"")</f>
        <v>2 [26.451005]</v>
      </c>
      <c r="J67">
        <f>IF(FT!B67&lt;&gt;"",FT!C67,"")</f>
        <v>26.451000000000001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6.1604200000000002</v>
      </c>
      <c r="G68" s="61">
        <f>IF(FT!B68&lt;&gt;"",FT!B68*100,"")</f>
        <v>20.008200000000002</v>
      </c>
      <c r="H68" s="61">
        <f t="shared" si="9"/>
        <v>1</v>
      </c>
      <c r="I68" t="str">
        <f>IF(FT!B68&lt;&gt;"",FT!E68,"")</f>
        <v>2 [26.854947]</v>
      </c>
      <c r="J68">
        <f>IF(FT!B68&lt;&gt;"",FT!C68,"")</f>
        <v>26.854900000000001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50369</v>
      </c>
      <c r="D69" s="61">
        <f>FH!B69*1</f>
        <v>50369</v>
      </c>
      <c r="E69">
        <f t="shared" si="11"/>
        <v>67</v>
      </c>
      <c r="F69" s="61">
        <f>IF(FT!A69&lt;&gt;"",FT!A69*10,"")</f>
        <v>6.1690800000000001</v>
      </c>
      <c r="G69" s="61">
        <f>IF(FT!B69&lt;&gt;"",FT!B69*100,"")</f>
        <v>19.8626</v>
      </c>
      <c r="H69" s="61">
        <f t="shared" si="9"/>
        <v>1</v>
      </c>
      <c r="I69" t="str">
        <f>IF(FT!B69&lt;&gt;"",FT!E69,"")</f>
        <v>2 [27.261825]</v>
      </c>
      <c r="J69">
        <f>IF(FT!B69&lt;&gt;"",FT!C69,"")</f>
        <v>27.261800000000001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6.1755700000000004</v>
      </c>
      <c r="G70" s="61">
        <f>IF(FT!B70&lt;&gt;"",FT!B70*100,"")</f>
        <v>19.882999999999999</v>
      </c>
      <c r="H70" s="61">
        <f t="shared" si="9"/>
        <v>1</v>
      </c>
      <c r="I70" t="str">
        <f>IF(FT!B70&lt;&gt;"",FT!E70,"")</f>
        <v>2 [27.665368]</v>
      </c>
      <c r="J70">
        <f>IF(FT!B70&lt;&gt;"",FT!C70,"")</f>
        <v>27.665400000000002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6.1659799999999994</v>
      </c>
      <c r="G71" s="61">
        <f>IF(FT!B71&lt;&gt;"",FT!B71*100,"")</f>
        <v>19.933400000000002</v>
      </c>
      <c r="H71" s="61">
        <f t="shared" si="9"/>
        <v>1</v>
      </c>
      <c r="I71" t="str">
        <f>IF(FT!B71&lt;&gt;"",FT!E71,"")</f>
        <v>2 [28.074835]</v>
      </c>
      <c r="J71">
        <f>IF(FT!B71&lt;&gt;"",FT!C71,"")</f>
        <v>28.0748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50709</v>
      </c>
      <c r="D72" s="61">
        <f>FH!B72*1</f>
        <v>50709</v>
      </c>
      <c r="E72">
        <f t="shared" si="11"/>
        <v>70</v>
      </c>
      <c r="F72" s="61">
        <f>IF(FT!A72&lt;&gt;"",FT!A72*10,"")</f>
        <v>6.1523099999999999</v>
      </c>
      <c r="G72" s="61">
        <f>IF(FT!B72&lt;&gt;"",FT!B72*100,"")</f>
        <v>20.233599999999999</v>
      </c>
      <c r="H72" s="61">
        <f t="shared" si="9"/>
        <v>1</v>
      </c>
      <c r="I72" t="str">
        <f>IF(FT!B72&lt;&gt;"",FT!E72,"")</f>
        <v>2 [28.477553]</v>
      </c>
      <c r="J72">
        <f>IF(FT!B72&lt;&gt;"",FT!C72,"")</f>
        <v>28.477599999999999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6.1343700000000005</v>
      </c>
      <c r="G73" s="61">
        <f>IF(FT!B73&lt;&gt;"",FT!B73*100,"")</f>
        <v>20.564599999999999</v>
      </c>
      <c r="H73" s="61">
        <f t="shared" si="9"/>
        <v>1</v>
      </c>
      <c r="I73" t="str">
        <f>IF(FT!B73&lt;&gt;"",FT!E73,"")</f>
        <v>2 [28.887291]</v>
      </c>
      <c r="J73">
        <f>IF(FT!B73&lt;&gt;"",FT!C73,"")</f>
        <v>28.8873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6.1431400000000007</v>
      </c>
      <c r="G74" s="61">
        <f>IF(FT!B74&lt;&gt;"",FT!B74*100,"")</f>
        <v>20.698800000000002</v>
      </c>
      <c r="H74" s="61">
        <f t="shared" si="9"/>
        <v>1</v>
      </c>
      <c r="I74" t="str">
        <f>IF(FT!B74&lt;&gt;"",FT!E74,"")</f>
        <v>2 [29.289413]</v>
      </c>
      <c r="J74">
        <f>IF(FT!B74&lt;&gt;"",FT!C74,"")</f>
        <v>29.289400000000001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50353</v>
      </c>
      <c r="D75" s="61">
        <f>FH!B75*1</f>
        <v>50353</v>
      </c>
      <c r="E75">
        <f t="shared" si="11"/>
        <v>73</v>
      </c>
      <c r="F75" s="61">
        <f>IF(FT!A75&lt;&gt;"",FT!A75*10,"")</f>
        <v>6.1574099999999996</v>
      </c>
      <c r="G75" s="61">
        <f>IF(FT!B75&lt;&gt;"",FT!B75*100,"")</f>
        <v>21.0261</v>
      </c>
      <c r="H75" s="61">
        <f t="shared" si="9"/>
        <v>1</v>
      </c>
      <c r="I75" t="str">
        <f>IF(FT!B75&lt;&gt;"",FT!E75,"")</f>
        <v>2 [29.699387]</v>
      </c>
      <c r="J75">
        <f>IF(FT!B75&lt;&gt;"",FT!C75,"")</f>
        <v>29.699400000000001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6.1563199999999991</v>
      </c>
      <c r="G76" s="61">
        <f>IF(FT!B76&lt;&gt;"",FT!B76*100,"")</f>
        <v>20.939699999999998</v>
      </c>
      <c r="H76" s="61">
        <f t="shared" si="9"/>
        <v>1</v>
      </c>
      <c r="I76" t="str">
        <f>IF(FT!B76&lt;&gt;"",FT!E76,"")</f>
        <v>2 [30.103148]</v>
      </c>
      <c r="J76">
        <f>IF(FT!B76&lt;&gt;"",FT!C76,"")</f>
        <v>30.103100000000001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52285</v>
      </c>
      <c r="D77" s="61">
        <f>FH!B77*1</f>
        <v>52285</v>
      </c>
      <c r="E77">
        <f t="shared" si="11"/>
        <v>75</v>
      </c>
      <c r="F77" s="61" t="str">
        <f>IF(FT!A77&lt;&gt;"",FT!A77*10,"")</f>
        <v/>
      </c>
      <c r="G77" s="61" t="str">
        <f>IF(FT!B77&lt;&gt;"",FT!B77*100,"")</f>
        <v/>
      </c>
      <c r="H77" s="61" t="str">
        <f t="shared" si="9"/>
        <v/>
      </c>
      <c r="I77" t="str">
        <f>IF(FT!B77&lt;&gt;"",FT!E77,"")</f>
        <v/>
      </c>
      <c r="J77" t="str">
        <f>IF(FT!B77&lt;&gt;"",FT!C77,"")</f>
        <v/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 t="str">
        <f>IF(FT!A78&lt;&gt;"",FT!A78*10,"")</f>
        <v/>
      </c>
      <c r="G78" s="61" t="str">
        <f>IF(FT!B78&lt;&gt;"",FT!B78*100,"")</f>
        <v/>
      </c>
      <c r="H78" s="61" t="str">
        <f t="shared" si="9"/>
        <v/>
      </c>
      <c r="I78" t="str">
        <f>IF(FT!B78&lt;&gt;"",FT!E78,"")</f>
        <v/>
      </c>
      <c r="J78" t="str">
        <f>IF(FT!B78&lt;&gt;"",FT!C78,"")</f>
        <v/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 t="str">
        <f>IF(FT!A79&lt;&gt;"",FT!A79*10,"")</f>
        <v/>
      </c>
      <c r="G79" s="61" t="str">
        <f>IF(FT!B79&lt;&gt;"",FT!B79*100,"")</f>
        <v/>
      </c>
      <c r="H79" s="61" t="str">
        <f t="shared" si="9"/>
        <v/>
      </c>
      <c r="I79" t="str">
        <f>IF(FT!B79&lt;&gt;"",FT!E79,"")</f>
        <v/>
      </c>
      <c r="J79" t="str">
        <f>IF(FT!B79&lt;&gt;"",FT!C79,"")</f>
        <v/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51692</v>
      </c>
      <c r="D80" s="61">
        <f>FH!B80*1</f>
        <v>51692</v>
      </c>
      <c r="E80">
        <f t="shared" si="11"/>
        <v>78</v>
      </c>
      <c r="F80" s="61" t="str">
        <f>IF(FT!A80&lt;&gt;"",FT!A80*10,"")</f>
        <v/>
      </c>
      <c r="G80" s="61" t="str">
        <f>IF(FT!B80&lt;&gt;"",FT!B80*100,"")</f>
        <v/>
      </c>
      <c r="H80" s="61" t="str">
        <f t="shared" si="9"/>
        <v/>
      </c>
      <c r="I80" t="str">
        <f>IF(FT!B80&lt;&gt;"",FT!E80,"")</f>
        <v/>
      </c>
      <c r="J80" t="str">
        <f>IF(FT!B80&lt;&gt;"",FT!C80,"")</f>
        <v/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 t="str">
        <f>IF(FT!A81&lt;&gt;"",FT!A81*10,"")</f>
        <v/>
      </c>
      <c r="G81" s="61" t="str">
        <f>IF(FT!B81&lt;&gt;"",FT!B81*100,"")</f>
        <v/>
      </c>
      <c r="H81" s="61" t="str">
        <f t="shared" si="9"/>
        <v/>
      </c>
      <c r="I81" t="str">
        <f>IF(FT!B81&lt;&gt;"",FT!E81,"")</f>
        <v/>
      </c>
      <c r="J81" t="str">
        <f>IF(FT!B81&lt;&gt;"",FT!C81,"")</f>
        <v/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52929</v>
      </c>
      <c r="D82" s="61">
        <f>FH!B82*1</f>
        <v>52929</v>
      </c>
      <c r="E82">
        <f t="shared" si="11"/>
        <v>80</v>
      </c>
      <c r="F82" s="61" t="str">
        <f>IF(FT!A82&lt;&gt;"",FT!A82*10,"")</f>
        <v/>
      </c>
      <c r="G82" s="61" t="str">
        <f>IF(FT!B82&lt;&gt;"",FT!B82*100,"")</f>
        <v/>
      </c>
      <c r="H82" s="61" t="str">
        <f t="shared" si="9"/>
        <v/>
      </c>
      <c r="I82" t="str">
        <f>IF(FT!B82&lt;&gt;"",FT!E82,"")</f>
        <v/>
      </c>
      <c r="J82" t="str">
        <f>IF(FT!B82&lt;&gt;"",FT!C82,"")</f>
        <v/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 t="str">
        <f>IF(FT!A83&lt;&gt;"",FT!A83*10,"")</f>
        <v/>
      </c>
      <c r="G83" s="61" t="str">
        <f>IF(FT!B83&lt;&gt;"",FT!B83*100,"")</f>
        <v/>
      </c>
      <c r="H83" s="61" t="str">
        <f t="shared" si="9"/>
        <v/>
      </c>
      <c r="I83" t="str">
        <f>IF(FT!B83&lt;&gt;"",FT!E83,"")</f>
        <v/>
      </c>
      <c r="J83" t="str">
        <f>IF(FT!B83&lt;&gt;"",FT!C83,"")</f>
        <v/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 t="str">
        <f>IF(FT!A84&lt;&gt;"",FT!A84*10,"")</f>
        <v/>
      </c>
      <c r="G84" s="61" t="str">
        <f>IF(FT!B84&lt;&gt;"",FT!B84*100,"")</f>
        <v/>
      </c>
      <c r="H84" s="61" t="str">
        <f t="shared" si="9"/>
        <v/>
      </c>
      <c r="I84" t="str">
        <f>IF(FT!B84&lt;&gt;"",FT!E84,"")</f>
        <v/>
      </c>
      <c r="J84" t="str">
        <f>IF(FT!B84&lt;&gt;"",FT!C84,"")</f>
        <v/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52277</v>
      </c>
      <c r="D85" s="61">
        <f>FH!B85*1</f>
        <v>52277</v>
      </c>
      <c r="E85">
        <f t="shared" si="11"/>
        <v>83</v>
      </c>
      <c r="F85" s="61" t="str">
        <f>IF(FT!A85&lt;&gt;"",FT!A85*10,"")</f>
        <v/>
      </c>
      <c r="G85" s="61" t="str">
        <f>IF(FT!B85&lt;&gt;"",FT!B85*100,"")</f>
        <v/>
      </c>
      <c r="H85" s="61" t="str">
        <f t="shared" si="9"/>
        <v/>
      </c>
      <c r="I85" t="str">
        <f>IF(FT!B85&lt;&gt;"",FT!E85,"")</f>
        <v/>
      </c>
      <c r="J85" t="str">
        <f>IF(FT!B85&lt;&gt;"",FT!C85,"")</f>
        <v/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 t="str">
        <f>IF(FT!A86&lt;&gt;"",FT!A86*10,"")</f>
        <v/>
      </c>
      <c r="G86" s="61" t="str">
        <f>IF(FT!B86&lt;&gt;"",FT!B86*100,"")</f>
        <v/>
      </c>
      <c r="H86" s="61" t="str">
        <f t="shared" si="9"/>
        <v/>
      </c>
      <c r="I86" t="str">
        <f>IF(FT!B86&lt;&gt;"",FT!E86,"")</f>
        <v/>
      </c>
      <c r="J86" t="str">
        <f>IF(FT!B86&lt;&gt;"",FT!C86,"")</f>
        <v/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 t="str">
        <f>IF(FT!A87&lt;&gt;"",FT!A87*10,"")</f>
        <v/>
      </c>
      <c r="G87" s="61" t="str">
        <f>IF(FT!B87&lt;&gt;"",FT!B87*100,"")</f>
        <v/>
      </c>
      <c r="H87" s="61" t="str">
        <f t="shared" si="9"/>
        <v/>
      </c>
      <c r="I87" t="str">
        <f>IF(FT!B87&lt;&gt;"",FT!E87,"")</f>
        <v/>
      </c>
      <c r="J87" t="str">
        <f>IF(FT!B87&lt;&gt;"",FT!C87,"")</f>
        <v/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53253</v>
      </c>
      <c r="D88" s="61">
        <f>FH!B88*1</f>
        <v>53253</v>
      </c>
      <c r="E88">
        <f t="shared" si="11"/>
        <v>86</v>
      </c>
      <c r="F88" s="61" t="str">
        <f>IF(FT!A88&lt;&gt;"",FT!A88*10,"")</f>
        <v/>
      </c>
      <c r="G88" s="61" t="str">
        <f>IF(FT!B88&lt;&gt;"",FT!B88*100,"")</f>
        <v/>
      </c>
      <c r="H88" s="61" t="str">
        <f t="shared" si="9"/>
        <v/>
      </c>
      <c r="I88" t="str">
        <f>IF(FT!B88&lt;&gt;"",FT!E88,"")</f>
        <v/>
      </c>
      <c r="J88" t="str">
        <f>IF(FT!B88&lt;&gt;"",FT!C88,"")</f>
        <v/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 t="str">
        <f>IF(FT!A89&lt;&gt;"",FT!A89*10,"")</f>
        <v/>
      </c>
      <c r="G89" s="61" t="str">
        <f>IF(FT!B89&lt;&gt;"",FT!B89*100,"")</f>
        <v/>
      </c>
      <c r="H89" s="61" t="str">
        <f t="shared" si="9"/>
        <v/>
      </c>
      <c r="I89" t="str">
        <f>IF(FT!B89&lt;&gt;"",FT!E89,"")</f>
        <v/>
      </c>
      <c r="J89" t="str">
        <f>IF(FT!B89&lt;&gt;"",FT!C89,"")</f>
        <v/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54456</v>
      </c>
      <c r="D90" s="61">
        <f>FH!B90*1</f>
        <v>54456</v>
      </c>
      <c r="E90">
        <f t="shared" si="11"/>
        <v>88</v>
      </c>
      <c r="F90" s="61" t="str">
        <f>IF(FT!A90&lt;&gt;"",FT!A90*10,"")</f>
        <v/>
      </c>
      <c r="G90" s="61" t="str">
        <f>IF(FT!B90&lt;&gt;"",FT!B90*100,"")</f>
        <v/>
      </c>
      <c r="H90" s="61" t="str">
        <f t="shared" si="9"/>
        <v/>
      </c>
      <c r="I90" t="str">
        <f>IF(FT!B90&lt;&gt;"",FT!E90,"")</f>
        <v/>
      </c>
      <c r="J90" t="str">
        <f>IF(FT!B90&lt;&gt;"",FT!C90,"")</f>
        <v/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 t="str">
        <f>IF(FT!A91&lt;&gt;"",FT!A91*10,"")</f>
        <v/>
      </c>
      <c r="G91" s="61" t="str">
        <f>IF(FT!B91&lt;&gt;"",FT!B91*100,"")</f>
        <v/>
      </c>
      <c r="H91" s="61" t="str">
        <f t="shared" si="9"/>
        <v/>
      </c>
      <c r="I91" t="str">
        <f>IF(FT!B91&lt;&gt;"",FT!E91,"")</f>
        <v/>
      </c>
      <c r="J91" t="str">
        <f>IF(FT!B91&lt;&gt;"",FT!C91,"")</f>
        <v/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 t="str">
        <f>IF(FT!A92&lt;&gt;"",FT!A92*10,"")</f>
        <v/>
      </c>
      <c r="G92" s="61" t="str">
        <f>IF(FT!B92&lt;&gt;"",FT!B92*100,"")</f>
        <v/>
      </c>
      <c r="H92" s="61" t="str">
        <f t="shared" si="9"/>
        <v/>
      </c>
      <c r="I92" t="str">
        <f>IF(FT!B92&lt;&gt;"",FT!E92,"")</f>
        <v/>
      </c>
      <c r="J92" t="str">
        <f>IF(FT!B92&lt;&gt;"",FT!C92,"")</f>
        <v/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52064</v>
      </c>
      <c r="D93" s="61">
        <f>FH!B93*1</f>
        <v>52064</v>
      </c>
      <c r="E93">
        <f t="shared" si="11"/>
        <v>91</v>
      </c>
      <c r="F93" s="61" t="str">
        <f>IF(FT!A93&lt;&gt;"",FT!A93*10,"")</f>
        <v/>
      </c>
      <c r="G93" s="61" t="str">
        <f>IF(FT!B93&lt;&gt;"",FT!B93*100,"")</f>
        <v/>
      </c>
      <c r="H93" s="61" t="str">
        <f t="shared" si="9"/>
        <v/>
      </c>
      <c r="I93" t="str">
        <f>IF(FT!B93&lt;&gt;"",FT!E93,"")</f>
        <v/>
      </c>
      <c r="J93" t="str">
        <f>IF(FT!B93&lt;&gt;"",FT!C93,"")</f>
        <v/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 t="str">
        <f>IF(FT!A94&lt;&gt;"",FT!A94*10,"")</f>
        <v/>
      </c>
      <c r="G94" s="61" t="str">
        <f>IF(FT!B94&lt;&gt;"",FT!B94*100,"")</f>
        <v/>
      </c>
      <c r="H94" s="61" t="str">
        <f t="shared" si="9"/>
        <v/>
      </c>
      <c r="I94" t="str">
        <f>IF(FT!B94&lt;&gt;"",FT!E94,"")</f>
        <v/>
      </c>
      <c r="J94" t="str">
        <f>IF(FT!B94&lt;&gt;"",FT!C94,"")</f>
        <v/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59163</v>
      </c>
      <c r="D95" s="61">
        <f>FH!B95*1</f>
        <v>59163</v>
      </c>
      <c r="E95">
        <f t="shared" si="11"/>
        <v>93</v>
      </c>
      <c r="F95" s="61" t="str">
        <f>IF(FT!A95&lt;&gt;"",FT!A95*10,"")</f>
        <v/>
      </c>
      <c r="G95" s="61" t="str">
        <f>IF(FT!B95&lt;&gt;"",FT!B95*100,"")</f>
        <v/>
      </c>
      <c r="H95" s="61" t="str">
        <f t="shared" si="9"/>
        <v/>
      </c>
      <c r="I95" t="str">
        <f>IF(FT!B95&lt;&gt;"",FT!E95,"")</f>
        <v/>
      </c>
      <c r="J95" t="str">
        <f>IF(FT!B95&lt;&gt;"",FT!C95,"")</f>
        <v/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 t="str">
        <f>IF(FT!A96&lt;&gt;"",FT!A96*10,"")</f>
        <v/>
      </c>
      <c r="G96" s="61" t="str">
        <f>IF(FT!B96&lt;&gt;"",FT!B96*100,"")</f>
        <v/>
      </c>
      <c r="H96" s="61" t="str">
        <f t="shared" si="9"/>
        <v/>
      </c>
      <c r="I96" t="str">
        <f>IF(FT!B96&lt;&gt;"",FT!E96,"")</f>
        <v/>
      </c>
      <c r="J96" t="str">
        <f>IF(FT!B96&lt;&gt;"",FT!C96,"")</f>
        <v/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 t="str">
        <f>IF(FT!A97&lt;&gt;"",FT!A97*10,"")</f>
        <v/>
      </c>
      <c r="G97" s="61" t="str">
        <f>IF(FT!B97&lt;&gt;"",FT!B97*100,"")</f>
        <v/>
      </c>
      <c r="H97" s="61" t="str">
        <f t="shared" si="9"/>
        <v/>
      </c>
      <c r="I97" t="str">
        <f>IF(FT!B97&lt;&gt;"",FT!E97,"")</f>
        <v/>
      </c>
      <c r="J97" t="str">
        <f>IF(FT!B97&lt;&gt;"",FT!C97,"")</f>
        <v/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59499</v>
      </c>
      <c r="D98" s="61">
        <f>FH!B98*1</f>
        <v>59499</v>
      </c>
      <c r="E98">
        <f t="shared" si="11"/>
        <v>96</v>
      </c>
      <c r="F98" s="61" t="str">
        <f>IF(FT!A98&lt;&gt;"",FT!A98*10,"")</f>
        <v/>
      </c>
      <c r="G98" s="61" t="str">
        <f>IF(FT!B98&lt;&gt;"",FT!B98*100,"")</f>
        <v/>
      </c>
      <c r="H98" s="61" t="str">
        <f t="shared" si="9"/>
        <v/>
      </c>
      <c r="I98" t="str">
        <f>IF(FT!B98&lt;&gt;"",FT!E98,"")</f>
        <v/>
      </c>
      <c r="J98" t="str">
        <f>IF(FT!B98&lt;&gt;"",FT!C98,"")</f>
        <v/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 t="str">
        <f>IF(FT!A99&lt;&gt;"",FT!A99*10,"")</f>
        <v/>
      </c>
      <c r="G99" s="61" t="str">
        <f>IF(FT!B99&lt;&gt;"",FT!B99*100,"")</f>
        <v/>
      </c>
      <c r="H99" s="61" t="str">
        <f t="shared" si="9"/>
        <v/>
      </c>
      <c r="I99" t="str">
        <f>IF(FT!B99&lt;&gt;"",FT!E99,"")</f>
        <v/>
      </c>
      <c r="J99" t="str">
        <f>IF(FT!B99&lt;&gt;"",FT!C99,"")</f>
        <v/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64829</v>
      </c>
      <c r="D100" s="61">
        <f>FH!B100*1</f>
        <v>64829</v>
      </c>
      <c r="E100">
        <f t="shared" si="11"/>
        <v>98</v>
      </c>
      <c r="F100" s="61" t="str">
        <f>IF(FT!A100&lt;&gt;"",FT!A100*10,"")</f>
        <v/>
      </c>
      <c r="G100" s="61" t="str">
        <f>IF(FT!B100&lt;&gt;"",FT!B100*100,"")</f>
        <v/>
      </c>
      <c r="H100" s="61" t="str">
        <f t="shared" si="9"/>
        <v/>
      </c>
      <c r="I100" t="str">
        <f>IF(FT!B100&lt;&gt;"",FT!E100,"")</f>
        <v/>
      </c>
      <c r="J100" t="str">
        <f>IF(FT!B100&lt;&gt;"",FT!C100,"")</f>
        <v/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 t="str">
        <f>IF(FT!A101&lt;&gt;"",FT!A101*10,"")</f>
        <v/>
      </c>
      <c r="G101" s="61" t="str">
        <f>IF(FT!B101&lt;&gt;"",FT!B101*100,"")</f>
        <v/>
      </c>
      <c r="H101" s="61" t="str">
        <f t="shared" si="9"/>
        <v/>
      </c>
      <c r="I101" t="str">
        <f>IF(FT!B101&lt;&gt;"",FT!E101,"")</f>
        <v/>
      </c>
      <c r="J101" t="str">
        <f>IF(FT!B101&lt;&gt;"",FT!C101,"")</f>
        <v/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 t="str">
        <f>IF(FT!A102&lt;&gt;"",FT!A102*10,"")</f>
        <v/>
      </c>
      <c r="G102" s="61" t="str">
        <f>IF(FT!B102&lt;&gt;"",FT!B102*100,"")</f>
        <v/>
      </c>
      <c r="H102" s="61" t="str">
        <f t="shared" si="9"/>
        <v/>
      </c>
      <c r="I102" t="str">
        <f>IF(FT!B102&lt;&gt;"",FT!E102,"")</f>
        <v/>
      </c>
      <c r="J102" t="str">
        <f>IF(FT!B102&lt;&gt;"",FT!C102,"")</f>
        <v/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62925</v>
      </c>
      <c r="D103" s="61">
        <f>FH!B103*1</f>
        <v>62925</v>
      </c>
      <c r="E103">
        <f t="shared" si="11"/>
        <v>101</v>
      </c>
      <c r="F103" s="61" t="str">
        <f>IF(FT!A103&lt;&gt;"",FT!A103*10,"")</f>
        <v/>
      </c>
      <c r="G103" s="61" t="str">
        <f>IF(FT!B103&lt;&gt;"",FT!B103*100,"")</f>
        <v/>
      </c>
      <c r="H103" s="61" t="str">
        <f t="shared" si="9"/>
        <v/>
      </c>
      <c r="I103" t="str">
        <f>IF(FT!B103&lt;&gt;"",FT!E103,"")</f>
        <v/>
      </c>
      <c r="J103" t="str">
        <f>IF(FT!B103&lt;&gt;"",FT!C103,"")</f>
        <v/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 t="str">
        <f>IF(FT!A104&lt;&gt;"",FT!A104*10,"")</f>
        <v/>
      </c>
      <c r="G104" s="61" t="str">
        <f>IF(FT!B104&lt;&gt;"",FT!B104*100,"")</f>
        <v/>
      </c>
      <c r="H104" s="61" t="str">
        <f t="shared" si="9"/>
        <v/>
      </c>
      <c r="I104" t="str">
        <f>IF(FT!B104&lt;&gt;"",FT!E104,"")</f>
        <v/>
      </c>
      <c r="J104" t="str">
        <f>IF(FT!B104&lt;&gt;"",FT!C104,"")</f>
        <v/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 t="str">
        <f>IF(FT!A105&lt;&gt;"",FT!A105*10,"")</f>
        <v/>
      </c>
      <c r="G105" s="61" t="str">
        <f>IF(FT!B105&lt;&gt;"",FT!B105*100,"")</f>
        <v/>
      </c>
      <c r="H105" s="61" t="str">
        <f t="shared" si="9"/>
        <v/>
      </c>
      <c r="I105" t="str">
        <f>IF(FT!B105&lt;&gt;"",FT!E105,"")</f>
        <v/>
      </c>
      <c r="J105" t="str">
        <f>IF(FT!B105&lt;&gt;"",FT!C105,"")</f>
        <v/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60822</v>
      </c>
      <c r="D106" s="61">
        <f>FH!B106*1</f>
        <v>60822</v>
      </c>
      <c r="E106">
        <f t="shared" si="11"/>
        <v>104</v>
      </c>
      <c r="F106" s="61" t="str">
        <f>IF(FT!A106&lt;&gt;"",FT!A106*10,"")</f>
        <v/>
      </c>
      <c r="G106" s="61" t="str">
        <f>IF(FT!B106&lt;&gt;"",FT!B106*100,"")</f>
        <v/>
      </c>
      <c r="H106" s="61" t="str">
        <f t="shared" si="9"/>
        <v/>
      </c>
      <c r="I106" t="str">
        <f>IF(FT!B106&lt;&gt;"",FT!E106,"")</f>
        <v/>
      </c>
      <c r="J106" t="str">
        <f>IF(FT!B106&lt;&gt;"",FT!C106,"")</f>
        <v/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 t="str">
        <f>IF(FT!A107&lt;&gt;"",FT!A107*10,"")</f>
        <v/>
      </c>
      <c r="G107" s="61" t="str">
        <f>IF(FT!B107&lt;&gt;"",FT!B107*100,"")</f>
        <v/>
      </c>
      <c r="H107" s="61" t="str">
        <f t="shared" si="9"/>
        <v/>
      </c>
      <c r="I107" t="str">
        <f>IF(FT!B107&lt;&gt;"",FT!E107,"")</f>
        <v/>
      </c>
      <c r="J107" t="str">
        <f>IF(FT!B107&lt;&gt;"",FT!C107,"")</f>
        <v/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61256</v>
      </c>
      <c r="D108" s="61">
        <f>FH!B108*1</f>
        <v>61256</v>
      </c>
      <c r="E108">
        <f t="shared" si="11"/>
        <v>106</v>
      </c>
      <c r="F108" s="61" t="str">
        <f>IF(FT!A108&lt;&gt;"",FT!A108*10,"")</f>
        <v/>
      </c>
      <c r="G108" s="61" t="str">
        <f>IF(FT!B108&lt;&gt;"",FT!B108*100,"")</f>
        <v/>
      </c>
      <c r="H108" s="61" t="str">
        <f t="shared" si="9"/>
        <v/>
      </c>
      <c r="I108" t="str">
        <f>IF(FT!B108&lt;&gt;"",FT!E108,"")</f>
        <v/>
      </c>
      <c r="J108" t="str">
        <f>IF(FT!B108&lt;&gt;"",FT!C108,"")</f>
        <v/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 t="str">
        <f>IF(FT!A109&lt;&gt;"",FT!A109*10,"")</f>
        <v/>
      </c>
      <c r="G109" s="61" t="str">
        <f>IF(FT!B109&lt;&gt;"",FT!B109*100,"")</f>
        <v/>
      </c>
      <c r="H109" s="61" t="str">
        <f t="shared" si="9"/>
        <v/>
      </c>
      <c r="I109" t="str">
        <f>IF(FT!B109&lt;&gt;"",FT!E109,"")</f>
        <v/>
      </c>
      <c r="J109" t="str">
        <f>IF(FT!B109&lt;&gt;"",FT!C109,"")</f>
        <v/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 t="str">
        <f>IF(FT!A110&lt;&gt;"",FT!A110*10,"")</f>
        <v/>
      </c>
      <c r="G110" s="61" t="str">
        <f>IF(FT!B110&lt;&gt;"",FT!B110*100,"")</f>
        <v/>
      </c>
      <c r="H110" s="61" t="str">
        <f t="shared" si="9"/>
        <v/>
      </c>
      <c r="I110" t="str">
        <f>IF(FT!B110&lt;&gt;"",FT!E110,"")</f>
        <v/>
      </c>
      <c r="J110" t="str">
        <f>IF(FT!B110&lt;&gt;"",FT!C110,"")</f>
        <v/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61624</v>
      </c>
      <c r="D111" s="61">
        <f>FH!B111*1</f>
        <v>61624</v>
      </c>
      <c r="E111">
        <f t="shared" si="11"/>
        <v>109</v>
      </c>
      <c r="F111" s="61" t="str">
        <f>IF(FT!A111&lt;&gt;"",FT!A111*10,"")</f>
        <v/>
      </c>
      <c r="G111" s="61" t="str">
        <f>IF(FT!B111&lt;&gt;"",FT!B111*100,"")</f>
        <v/>
      </c>
      <c r="H111" s="61" t="str">
        <f t="shared" si="9"/>
        <v/>
      </c>
      <c r="I111" t="str">
        <f>IF(FT!B111&lt;&gt;"",FT!E111,"")</f>
        <v/>
      </c>
      <c r="J111" t="str">
        <f>IF(FT!B111&lt;&gt;"",FT!C111,"")</f>
        <v/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 t="str">
        <f>IF(FT!A112&lt;&gt;"",FT!A112*10,"")</f>
        <v/>
      </c>
      <c r="G112" s="61" t="str">
        <f>IF(FT!B112&lt;&gt;"",FT!B112*100,"")</f>
        <v/>
      </c>
      <c r="H112" s="61" t="str">
        <f t="shared" si="9"/>
        <v/>
      </c>
      <c r="I112" t="str">
        <f>IF(FT!B112&lt;&gt;"",FT!E112,"")</f>
        <v/>
      </c>
      <c r="J112" t="str">
        <f>IF(FT!B112&lt;&gt;"",FT!C112,"")</f>
        <v/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63921</v>
      </c>
      <c r="D113" s="61">
        <f>FH!B113*1</f>
        <v>63921</v>
      </c>
      <c r="E113">
        <f t="shared" si="11"/>
        <v>111</v>
      </c>
      <c r="F113" s="61" t="str">
        <f>IF(FT!A113&lt;&gt;"",FT!A113*10,"")</f>
        <v/>
      </c>
      <c r="G113" s="61" t="str">
        <f>IF(FT!B113&lt;&gt;"",FT!B113*100,"")</f>
        <v/>
      </c>
      <c r="H113" s="61" t="str">
        <f t="shared" si="9"/>
        <v/>
      </c>
      <c r="I113" t="str">
        <f>IF(FT!B113&lt;&gt;"",FT!E113,"")</f>
        <v/>
      </c>
      <c r="J113" t="str">
        <f>IF(FT!B113&lt;&gt;"",FT!C113,"")</f>
        <v/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 t="str">
        <f>IF(FT!A114&lt;&gt;"",FT!A114*10,"")</f>
        <v/>
      </c>
      <c r="G114" s="61" t="str">
        <f>IF(FT!B114&lt;&gt;"",FT!B114*100,"")</f>
        <v/>
      </c>
      <c r="H114" s="61" t="str">
        <f t="shared" si="9"/>
        <v/>
      </c>
      <c r="I114" t="str">
        <f>IF(FT!B114&lt;&gt;"",FT!E114,"")</f>
        <v/>
      </c>
      <c r="J114" t="str">
        <f>IF(FT!B114&lt;&gt;"",FT!C114,"")</f>
        <v/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 t="str">
        <f>IF(FT!A115&lt;&gt;"",FT!A115*10,"")</f>
        <v/>
      </c>
      <c r="G115" s="61" t="str">
        <f>IF(FT!B115&lt;&gt;"",FT!B115*100,"")</f>
        <v/>
      </c>
      <c r="H115" s="61" t="str">
        <f t="shared" si="9"/>
        <v/>
      </c>
      <c r="I115" t="str">
        <f>IF(FT!B115&lt;&gt;"",FT!E115,"")</f>
        <v/>
      </c>
      <c r="J115" t="str">
        <f>IF(FT!B115&lt;&gt;"",FT!C115,"")</f>
        <v/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60012</v>
      </c>
      <c r="D116" s="61">
        <f>FH!B116*1</f>
        <v>60012</v>
      </c>
      <c r="E116">
        <f t="shared" si="11"/>
        <v>114</v>
      </c>
      <c r="F116" s="61" t="str">
        <f>IF(FT!A116&lt;&gt;"",FT!A116*10,"")</f>
        <v/>
      </c>
      <c r="G116" s="61" t="str">
        <f>IF(FT!B116&lt;&gt;"",FT!B116*100,"")</f>
        <v/>
      </c>
      <c r="H116" s="61" t="str">
        <f t="shared" si="9"/>
        <v/>
      </c>
      <c r="I116" t="str">
        <f>IF(FT!B116&lt;&gt;"",FT!E116,"")</f>
        <v/>
      </c>
      <c r="J116" t="str">
        <f>IF(FT!B116&lt;&gt;"",FT!C116,"")</f>
        <v/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 t="str">
        <f>IF(FT!A117&lt;&gt;"",FT!A117*10,"")</f>
        <v/>
      </c>
      <c r="G117" s="61" t="str">
        <f>IF(FT!B117&lt;&gt;"",FT!B117*100,"")</f>
        <v/>
      </c>
      <c r="H117" s="61" t="str">
        <f t="shared" si="9"/>
        <v/>
      </c>
      <c r="I117" t="str">
        <f>IF(FT!B117&lt;&gt;"",FT!E117,"")</f>
        <v/>
      </c>
      <c r="J117" t="str">
        <f>IF(FT!B117&lt;&gt;"",FT!C117,"")</f>
        <v/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61872</v>
      </c>
      <c r="D118" s="61">
        <f>FH!B118*1</f>
        <v>61872</v>
      </c>
      <c r="E118">
        <f t="shared" si="11"/>
        <v>116</v>
      </c>
      <c r="F118" s="61" t="str">
        <f>IF(FT!A118&lt;&gt;"",FT!A118*10,"")</f>
        <v/>
      </c>
      <c r="G118" s="61" t="str">
        <f>IF(FT!B118&lt;&gt;"",FT!B118*100,"")</f>
        <v/>
      </c>
      <c r="H118" s="61" t="str">
        <f t="shared" si="9"/>
        <v/>
      </c>
      <c r="I118" t="str">
        <f>IF(FT!B118&lt;&gt;"",FT!E118,"")</f>
        <v/>
      </c>
      <c r="J118" t="str">
        <f>IF(FT!B118&lt;&gt;"",FT!C118,"")</f>
        <v/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 t="str">
        <f>IF(FT!A119&lt;&gt;"",FT!A119*10,"")</f>
        <v/>
      </c>
      <c r="G119" s="61" t="str">
        <f>IF(FT!B119&lt;&gt;"",FT!B119*100,"")</f>
        <v/>
      </c>
      <c r="H119" s="61" t="str">
        <f t="shared" si="9"/>
        <v/>
      </c>
      <c r="I119" t="str">
        <f>IF(FT!B119&lt;&gt;"",FT!E119,"")</f>
        <v/>
      </c>
      <c r="J119" t="str">
        <f>IF(FT!B119&lt;&gt;"",FT!C119,"")</f>
        <v/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 t="str">
        <f>IF(FT!A120&lt;&gt;"",FT!A120*10,"")</f>
        <v/>
      </c>
      <c r="G120" s="61" t="str">
        <f>IF(FT!B120&lt;&gt;"",FT!B120*100,"")</f>
        <v/>
      </c>
      <c r="H120" s="61" t="str">
        <f t="shared" si="9"/>
        <v/>
      </c>
      <c r="I120" t="str">
        <f>IF(FT!B120&lt;&gt;"",FT!E120,"")</f>
        <v/>
      </c>
      <c r="J120" t="str">
        <f>IF(FT!B120&lt;&gt;"",FT!C120,"")</f>
        <v/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63057</v>
      </c>
      <c r="D121" s="61">
        <f>FH!B121*1</f>
        <v>63057</v>
      </c>
      <c r="E121">
        <f t="shared" si="11"/>
        <v>119</v>
      </c>
      <c r="F121" s="61" t="str">
        <f>IF(FT!A121&lt;&gt;"",FT!A121*10,"")</f>
        <v/>
      </c>
      <c r="G121" s="61" t="str">
        <f>IF(FT!B121&lt;&gt;"",FT!B121*100,"")</f>
        <v/>
      </c>
      <c r="H121" s="61" t="str">
        <f t="shared" si="9"/>
        <v/>
      </c>
      <c r="I121" t="str">
        <f>IF(FT!B121&lt;&gt;"",FT!E121,"")</f>
        <v/>
      </c>
      <c r="J121" t="str">
        <f>IF(FT!B121&lt;&gt;"",FT!C121,"")</f>
        <v/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 t="str">
        <f>IF(FT!A122&lt;&gt;"",FT!A122*10,"")</f>
        <v/>
      </c>
      <c r="G122" s="61" t="str">
        <f>IF(FT!B122&lt;&gt;"",FT!B122*100,"")</f>
        <v/>
      </c>
      <c r="H122" s="61" t="str">
        <f t="shared" si="9"/>
        <v/>
      </c>
      <c r="I122" t="str">
        <f>IF(FT!B122&lt;&gt;"",FT!E122,"")</f>
        <v/>
      </c>
      <c r="J122" t="str">
        <f>IF(FT!B122&lt;&gt;"",FT!C122,"")</f>
        <v/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 t="str">
        <f>IF(FT!A123&lt;&gt;"",FT!A123*10,"")</f>
        <v/>
      </c>
      <c r="G123" s="61" t="str">
        <f>IF(FT!B123&lt;&gt;"",FT!B123*100,"")</f>
        <v/>
      </c>
      <c r="H123" s="61" t="str">
        <f t="shared" si="9"/>
        <v/>
      </c>
      <c r="I123" t="str">
        <f>IF(FT!B123&lt;&gt;"",FT!E123,"")</f>
        <v/>
      </c>
      <c r="J123" t="str">
        <f>IF(FT!B123&lt;&gt;"",FT!C123,"")</f>
        <v/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63037</v>
      </c>
      <c r="D124" s="61">
        <f>FH!B124*1</f>
        <v>63037</v>
      </c>
      <c r="E124">
        <f t="shared" si="11"/>
        <v>122</v>
      </c>
      <c r="F124" s="61" t="str">
        <f>IF(FT!A124&lt;&gt;"",FT!A124*10,"")</f>
        <v/>
      </c>
      <c r="G124" s="61" t="str">
        <f>IF(FT!B124&lt;&gt;"",FT!B124*100,"")</f>
        <v/>
      </c>
      <c r="H124" s="61" t="str">
        <f t="shared" si="9"/>
        <v/>
      </c>
      <c r="I124" t="str">
        <f>IF(FT!B124&lt;&gt;"",FT!E124,"")</f>
        <v/>
      </c>
      <c r="J124" t="str">
        <f>IF(FT!B124&lt;&gt;"",FT!C124,"")</f>
        <v/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 t="str">
        <f>IF(FT!A125&lt;&gt;"",FT!A125*10,"")</f>
        <v/>
      </c>
      <c r="G125" s="61" t="str">
        <f>IF(FT!B125&lt;&gt;"",FT!B125*100,"")</f>
        <v/>
      </c>
      <c r="H125" s="61" t="str">
        <f t="shared" si="9"/>
        <v/>
      </c>
      <c r="I125" t="str">
        <f>IF(FT!B125&lt;&gt;"",FT!E125,"")</f>
        <v/>
      </c>
      <c r="J125" t="str">
        <f>IF(FT!B125&lt;&gt;"",FT!C125,"")</f>
        <v/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68069</v>
      </c>
      <c r="D126" s="61">
        <f>FH!B126*1</f>
        <v>68069</v>
      </c>
      <c r="E126">
        <f t="shared" si="11"/>
        <v>124</v>
      </c>
      <c r="F126" s="61" t="str">
        <f>IF(FT!A126&lt;&gt;"",FT!A126*10,"")</f>
        <v/>
      </c>
      <c r="G126" s="61" t="str">
        <f>IF(FT!B126&lt;&gt;"",FT!B126*100,"")</f>
        <v/>
      </c>
      <c r="H126" s="61" t="str">
        <f t="shared" si="9"/>
        <v/>
      </c>
      <c r="I126" t="str">
        <f>IF(FT!B126&lt;&gt;"",FT!E126,"")</f>
        <v/>
      </c>
      <c r="J126" t="str">
        <f>IF(FT!B126&lt;&gt;"",FT!C126,"")</f>
        <v/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 t="str">
        <f>IF(FT!A127&lt;&gt;"",FT!A127*10,"")</f>
        <v/>
      </c>
      <c r="G127" s="61" t="str">
        <f>IF(FT!B127&lt;&gt;"",FT!B127*100,"")</f>
        <v/>
      </c>
      <c r="H127" s="61" t="str">
        <f t="shared" si="9"/>
        <v/>
      </c>
      <c r="I127" t="str">
        <f>IF(FT!B127&lt;&gt;"",FT!E127,"")</f>
        <v/>
      </c>
      <c r="J127" t="str">
        <f>IF(FT!B127&lt;&gt;"",FT!C127,"")</f>
        <v/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 t="str">
        <f>IF(FT!A128&lt;&gt;"",FT!A128*10,"")</f>
        <v/>
      </c>
      <c r="G128" s="61" t="str">
        <f>IF(FT!B128&lt;&gt;"",FT!B128*100,"")</f>
        <v/>
      </c>
      <c r="H128" s="61" t="str">
        <f t="shared" si="9"/>
        <v/>
      </c>
      <c r="I128" t="str">
        <f>IF(FT!B128&lt;&gt;"",FT!E128,"")</f>
        <v/>
      </c>
      <c r="J128" t="str">
        <f>IF(FT!B128&lt;&gt;"",FT!C128,"")</f>
        <v/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67815</v>
      </c>
      <c r="D129" s="61">
        <f>FH!B129*1</f>
        <v>67815</v>
      </c>
      <c r="E129">
        <f t="shared" si="11"/>
        <v>127</v>
      </c>
      <c r="F129" s="61" t="str">
        <f>IF(FT!A129&lt;&gt;"",FT!A129*10,"")</f>
        <v/>
      </c>
      <c r="G129" s="61" t="str">
        <f>IF(FT!B129&lt;&gt;"",FT!B129*100,"")</f>
        <v/>
      </c>
      <c r="H129" s="61" t="str">
        <f t="shared" si="9"/>
        <v/>
      </c>
      <c r="I129" t="str">
        <f>IF(FT!B129&lt;&gt;"",FT!E129,"")</f>
        <v/>
      </c>
      <c r="J129" t="str">
        <f>IF(FT!B129&lt;&gt;"",FT!C129,"")</f>
        <v/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 t="str">
        <f>IF(FT!A130&lt;&gt;"",FT!A130*10,"")</f>
        <v/>
      </c>
      <c r="G130" s="61" t="str">
        <f>IF(FT!B130&lt;&gt;"",FT!B130*100,"")</f>
        <v/>
      </c>
      <c r="H130" s="61" t="str">
        <f t="shared" si="9"/>
        <v/>
      </c>
      <c r="I130" t="str">
        <f>IF(FT!B130&lt;&gt;"",FT!E130,"")</f>
        <v/>
      </c>
      <c r="J130" t="str">
        <f>IF(FT!B130&lt;&gt;"",FT!C130,"")</f>
        <v/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71674</v>
      </c>
      <c r="D131" s="61">
        <f>FH!B131*1</f>
        <v>71674</v>
      </c>
      <c r="E131">
        <f t="shared" si="11"/>
        <v>129</v>
      </c>
      <c r="F131" s="61" t="str">
        <f>IF(FT!A131&lt;&gt;"",FT!A131*10,"")</f>
        <v/>
      </c>
      <c r="G131" s="61" t="str">
        <f>IF(FT!B131&lt;&gt;"",FT!B131*100,"")</f>
        <v/>
      </c>
      <c r="H131" s="61" t="str">
        <f t="shared" ref="H131:H194" si="13">(IF(F131&lt;&gt;"",1,""))</f>
        <v/>
      </c>
      <c r="I131" t="str">
        <f>IF(FT!B131&lt;&gt;"",FT!E131,"")</f>
        <v/>
      </c>
      <c r="J131" t="str">
        <f>IF(FT!B131&lt;&gt;"",FT!C131,"")</f>
        <v/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 t="str">
        <f>IF(FT!A132&lt;&gt;"",FT!A132*10,"")</f>
        <v/>
      </c>
      <c r="G132" s="61" t="str">
        <f>IF(FT!B132&lt;&gt;"",FT!B132*100,"")</f>
        <v/>
      </c>
      <c r="H132" s="61" t="str">
        <f t="shared" si="13"/>
        <v/>
      </c>
      <c r="I132" t="str">
        <f>IF(FT!B132&lt;&gt;"",FT!E132,"")</f>
        <v/>
      </c>
      <c r="J132" t="str">
        <f>IF(FT!B132&lt;&gt;"",FT!C132,"")</f>
        <v/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 t="str">
        <f>IF(FT!A133&lt;&gt;"",FT!A133*10,"")</f>
        <v/>
      </c>
      <c r="G133" s="61" t="str">
        <f>IF(FT!B133&lt;&gt;"",FT!B133*100,"")</f>
        <v/>
      </c>
      <c r="H133" s="61" t="str">
        <f t="shared" si="13"/>
        <v/>
      </c>
      <c r="I133" t="str">
        <f>IF(FT!B133&lt;&gt;"",FT!E133,"")</f>
        <v/>
      </c>
      <c r="J133" t="str">
        <f>IF(FT!B133&lt;&gt;"",FT!C133,"")</f>
        <v/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69279</v>
      </c>
      <c r="D134" s="61">
        <f>FH!B134*1</f>
        <v>69279</v>
      </c>
      <c r="E134">
        <f t="shared" si="15"/>
        <v>132</v>
      </c>
      <c r="F134" s="61" t="str">
        <f>IF(FT!A134&lt;&gt;"",FT!A134*10,"")</f>
        <v/>
      </c>
      <c r="G134" s="61" t="str">
        <f>IF(FT!B134&lt;&gt;"",FT!B134*100,"")</f>
        <v/>
      </c>
      <c r="H134" s="61" t="str">
        <f t="shared" si="13"/>
        <v/>
      </c>
      <c r="I134" t="str">
        <f>IF(FT!B134&lt;&gt;"",FT!E134,"")</f>
        <v/>
      </c>
      <c r="J134" t="str">
        <f>IF(FT!B134&lt;&gt;"",FT!C134,"")</f>
        <v/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 t="str">
        <f>IF(FT!A135&lt;&gt;"",FT!A135*10,"")</f>
        <v/>
      </c>
      <c r="G135" s="61" t="str">
        <f>IF(FT!B135&lt;&gt;"",FT!B135*100,"")</f>
        <v/>
      </c>
      <c r="H135" s="61" t="str">
        <f t="shared" si="13"/>
        <v/>
      </c>
      <c r="I135" t="str">
        <f>IF(FT!B135&lt;&gt;"",FT!E135,"")</f>
        <v/>
      </c>
      <c r="J135" t="str">
        <f>IF(FT!B135&lt;&gt;"",FT!C135,"")</f>
        <v/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71001</v>
      </c>
      <c r="D136" s="61">
        <f>FH!B136*1</f>
        <v>71001</v>
      </c>
      <c r="E136">
        <f t="shared" si="15"/>
        <v>134</v>
      </c>
      <c r="F136" s="61" t="str">
        <f>IF(FT!A136&lt;&gt;"",FT!A136*10,"")</f>
        <v/>
      </c>
      <c r="G136" s="61" t="str">
        <f>IF(FT!B136&lt;&gt;"",FT!B136*100,"")</f>
        <v/>
      </c>
      <c r="H136" s="61" t="str">
        <f t="shared" si="13"/>
        <v/>
      </c>
      <c r="I136" t="str">
        <f>IF(FT!B136&lt;&gt;"",FT!E136,"")</f>
        <v/>
      </c>
      <c r="J136" t="str">
        <f>IF(FT!B136&lt;&gt;"",FT!C136,"")</f>
        <v/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 t="str">
        <f>IF(FT!A137&lt;&gt;"",FT!A137*10,"")</f>
        <v/>
      </c>
      <c r="G137" s="61" t="str">
        <f>IF(FT!B137&lt;&gt;"",FT!B137*100,"")</f>
        <v/>
      </c>
      <c r="H137" s="61" t="str">
        <f t="shared" si="13"/>
        <v/>
      </c>
      <c r="I137" t="str">
        <f>IF(FT!B137&lt;&gt;"",FT!E137,"")</f>
        <v/>
      </c>
      <c r="J137" t="str">
        <f>IF(FT!B137&lt;&gt;"",FT!C137,"")</f>
        <v/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 t="str">
        <f>IF(FT!A138&lt;&gt;"",FT!A138*10,"")</f>
        <v/>
      </c>
      <c r="G138" s="61" t="str">
        <f>IF(FT!B138&lt;&gt;"",FT!B138*100,"")</f>
        <v/>
      </c>
      <c r="H138" s="61" t="str">
        <f t="shared" si="13"/>
        <v/>
      </c>
      <c r="I138" t="str">
        <f>IF(FT!B138&lt;&gt;"",FT!E138,"")</f>
        <v/>
      </c>
      <c r="J138" t="str">
        <f>IF(FT!B138&lt;&gt;"",FT!C138,"")</f>
        <v/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67215</v>
      </c>
      <c r="D139" s="61">
        <f>FH!B139*1</f>
        <v>67215</v>
      </c>
      <c r="E139">
        <f t="shared" si="15"/>
        <v>137</v>
      </c>
      <c r="F139" s="61" t="str">
        <f>IF(FT!A139&lt;&gt;"",FT!A139*10,"")</f>
        <v/>
      </c>
      <c r="G139" s="61" t="str">
        <f>IF(FT!B139&lt;&gt;"",FT!B139*100,"")</f>
        <v/>
      </c>
      <c r="H139" s="61" t="str">
        <f t="shared" si="13"/>
        <v/>
      </c>
      <c r="I139" t="str">
        <f>IF(FT!B139&lt;&gt;"",FT!E139,"")</f>
        <v/>
      </c>
      <c r="J139" t="str">
        <f>IF(FT!B139&lt;&gt;"",FT!C139,"")</f>
        <v/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 t="str">
        <f>IF(FT!A140&lt;&gt;"",FT!A140*10,"")</f>
        <v/>
      </c>
      <c r="G140" s="61" t="str">
        <f>IF(FT!B140&lt;&gt;"",FT!B140*100,"")</f>
        <v/>
      </c>
      <c r="H140" s="61" t="str">
        <f t="shared" si="13"/>
        <v/>
      </c>
      <c r="I140" t="str">
        <f>IF(FT!B140&lt;&gt;"",FT!E140,"")</f>
        <v/>
      </c>
      <c r="J140" t="str">
        <f>IF(FT!B140&lt;&gt;"",FT!C140,"")</f>
        <v/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 t="str">
        <f>IF(FT!A141&lt;&gt;"",FT!A141*10,"")</f>
        <v/>
      </c>
      <c r="G141" s="61" t="str">
        <f>IF(FT!B141&lt;&gt;"",FT!B141*100,"")</f>
        <v/>
      </c>
      <c r="H141" s="61" t="str">
        <f t="shared" si="13"/>
        <v/>
      </c>
      <c r="I141" t="str">
        <f>IF(FT!B141&lt;&gt;"",FT!E141,"")</f>
        <v/>
      </c>
      <c r="J141" t="str">
        <f>IF(FT!B141&lt;&gt;"",FT!C141,"")</f>
        <v/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68733</v>
      </c>
      <c r="D142" s="61">
        <f>FH!B142*1</f>
        <v>68733</v>
      </c>
      <c r="E142">
        <f t="shared" si="15"/>
        <v>140</v>
      </c>
      <c r="F142" s="61" t="str">
        <f>IF(FT!A142&lt;&gt;"",FT!A142*10,"")</f>
        <v/>
      </c>
      <c r="G142" s="61" t="str">
        <f>IF(FT!B142&lt;&gt;"",FT!B142*100,"")</f>
        <v/>
      </c>
      <c r="H142" s="61" t="str">
        <f t="shared" si="13"/>
        <v/>
      </c>
      <c r="I142" t="str">
        <f>IF(FT!B142&lt;&gt;"",FT!E142,"")</f>
        <v/>
      </c>
      <c r="J142" t="str">
        <f>IF(FT!B142&lt;&gt;"",FT!C142,"")</f>
        <v/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 t="str">
        <f>IF(FT!A143&lt;&gt;"",FT!A143*10,"")</f>
        <v/>
      </c>
      <c r="G143" s="61" t="str">
        <f>IF(FT!B143&lt;&gt;"",FT!B143*100,"")</f>
        <v/>
      </c>
      <c r="H143" s="61" t="str">
        <f t="shared" si="13"/>
        <v/>
      </c>
      <c r="I143" t="str">
        <f>IF(FT!B143&lt;&gt;"",FT!E143,"")</f>
        <v/>
      </c>
      <c r="J143" t="str">
        <f>IF(FT!B143&lt;&gt;"",FT!C143,"")</f>
        <v/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67454</v>
      </c>
      <c r="D144" s="61">
        <f>FH!B144*1</f>
        <v>67454</v>
      </c>
      <c r="E144">
        <f t="shared" si="15"/>
        <v>142</v>
      </c>
      <c r="F144" s="61" t="str">
        <f>IF(FT!A144&lt;&gt;"",FT!A144*10,"")</f>
        <v/>
      </c>
      <c r="G144" s="61" t="str">
        <f>IF(FT!B144&lt;&gt;"",FT!B144*100,"")</f>
        <v/>
      </c>
      <c r="H144" s="61" t="str">
        <f t="shared" si="13"/>
        <v/>
      </c>
      <c r="I144" t="str">
        <f>IF(FT!B144&lt;&gt;"",FT!E144,"")</f>
        <v/>
      </c>
      <c r="J144" t="str">
        <f>IF(FT!B144&lt;&gt;"",FT!C144,"")</f>
        <v/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 t="str">
        <f>IF(FT!A145&lt;&gt;"",FT!A145*10,"")</f>
        <v/>
      </c>
      <c r="G145" s="61" t="str">
        <f>IF(FT!B145&lt;&gt;"",FT!B145*100,"")</f>
        <v/>
      </c>
      <c r="H145" s="61" t="str">
        <f t="shared" si="13"/>
        <v/>
      </c>
      <c r="I145" t="str">
        <f>IF(FT!B145&lt;&gt;"",FT!E145,"")</f>
        <v/>
      </c>
      <c r="J145" t="str">
        <f>IF(FT!B145&lt;&gt;"",FT!C145,"")</f>
        <v/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 t="str">
        <f>IF(FT!A146&lt;&gt;"",FT!A146*10,"")</f>
        <v/>
      </c>
      <c r="G146" s="61" t="str">
        <f>IF(FT!B146&lt;&gt;"",FT!B146*100,"")</f>
        <v/>
      </c>
      <c r="H146" s="61" t="str">
        <f t="shared" si="13"/>
        <v/>
      </c>
      <c r="I146" t="str">
        <f>IF(FT!B146&lt;&gt;"",FT!E146,"")</f>
        <v/>
      </c>
      <c r="J146" t="str">
        <f>IF(FT!B146&lt;&gt;"",FT!C146,"")</f>
        <v/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75273</v>
      </c>
      <c r="D147" s="61">
        <f>FH!B147*1</f>
        <v>75273</v>
      </c>
      <c r="E147">
        <f t="shared" si="15"/>
        <v>145</v>
      </c>
      <c r="F147" s="61" t="str">
        <f>IF(FT!A147&lt;&gt;"",FT!A147*10,"")</f>
        <v/>
      </c>
      <c r="G147" s="61" t="str">
        <f>IF(FT!B147&lt;&gt;"",FT!B147*100,"")</f>
        <v/>
      </c>
      <c r="H147" s="61" t="str">
        <f t="shared" si="13"/>
        <v/>
      </c>
      <c r="I147" t="str">
        <f>IF(FT!B147&lt;&gt;"",FT!E147,"")</f>
        <v/>
      </c>
      <c r="J147" t="str">
        <f>IF(FT!B147&lt;&gt;"",FT!C147,"")</f>
        <v/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 t="str">
        <f>IF(FT!A148&lt;&gt;"",FT!A148*10,"")</f>
        <v/>
      </c>
      <c r="G148" s="61" t="str">
        <f>IF(FT!B148&lt;&gt;"",FT!B148*100,"")</f>
        <v/>
      </c>
      <c r="H148" s="61" t="str">
        <f t="shared" si="13"/>
        <v/>
      </c>
      <c r="I148" t="str">
        <f>IF(FT!B148&lt;&gt;"",FT!E148,"")</f>
        <v/>
      </c>
      <c r="J148" t="str">
        <f>IF(FT!B148&lt;&gt;"",FT!C148,"")</f>
        <v/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84794</v>
      </c>
      <c r="D149" s="61">
        <f>FH!B149*1</f>
        <v>84794</v>
      </c>
      <c r="E149">
        <f t="shared" si="15"/>
        <v>147</v>
      </c>
      <c r="F149" s="61" t="str">
        <f>IF(FT!A149&lt;&gt;"",FT!A149*10,"")</f>
        <v/>
      </c>
      <c r="G149" s="61" t="str">
        <f>IF(FT!B149&lt;&gt;"",FT!B149*100,"")</f>
        <v/>
      </c>
      <c r="H149" s="61" t="str">
        <f t="shared" si="13"/>
        <v/>
      </c>
      <c r="I149" t="str">
        <f>IF(FT!B149&lt;&gt;"",FT!E149,"")</f>
        <v/>
      </c>
      <c r="J149" t="str">
        <f>IF(FT!B149&lt;&gt;"",FT!C149,"")</f>
        <v/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92022</v>
      </c>
      <c r="D152" s="61">
        <f>FH!B152*1</f>
        <v>92022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100041</v>
      </c>
      <c r="D154" s="61">
        <f>FH!B154*1</f>
        <v>100041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107981</v>
      </c>
      <c r="D157" s="61">
        <f>FH!B157*1</f>
        <v>107981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116657</v>
      </c>
      <c r="D160" s="61">
        <f>FH!B160*1</f>
        <v>116657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118544</v>
      </c>
      <c r="D162" s="61">
        <f>FH!B162*1</f>
        <v>118544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120755</v>
      </c>
      <c r="D165" s="61">
        <f>FH!B165*1</f>
        <v>120755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123780</v>
      </c>
      <c r="D167" s="61">
        <f>FH!B167*1</f>
        <v>123780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121864</v>
      </c>
      <c r="D170" s="61">
        <f>FH!B170*1</f>
        <v>121864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106490</v>
      </c>
      <c r="D173" s="61">
        <f>FH!B173*1</f>
        <v>106490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101605</v>
      </c>
      <c r="D175" s="61">
        <f>FH!B175*1</f>
        <v>101605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101397</v>
      </c>
      <c r="D178" s="61">
        <f>FH!B178*1</f>
        <v>101397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89448</v>
      </c>
      <c r="D180" s="61">
        <f>FH!B180*1</f>
        <v>89448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90068</v>
      </c>
      <c r="D183" s="61">
        <f>FH!B183*1</f>
        <v>90068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89103</v>
      </c>
      <c r="D185" s="61">
        <f>FH!B185*1</f>
        <v>89103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83861</v>
      </c>
      <c r="D188" s="61">
        <f>FH!B188*1</f>
        <v>83861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72972</v>
      </c>
      <c r="D191" s="61">
        <f>FH!B191*1</f>
        <v>72972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68714</v>
      </c>
      <c r="D193" s="61">
        <f>FH!B193*1</f>
        <v>68714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67106</v>
      </c>
      <c r="D196" s="61">
        <f>FH!B196*1</f>
        <v>67106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62376</v>
      </c>
      <c r="D198" s="61">
        <f>FH!B198*1</f>
        <v>62376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51772</v>
      </c>
      <c r="D201" s="61">
        <f>FH!B201*1</f>
        <v>51772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48024</v>
      </c>
      <c r="D203" s="61">
        <f>FH!B203*1</f>
        <v>48024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53514</v>
      </c>
      <c r="D206" s="61">
        <f>FH!B206*1</f>
        <v>53514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52712</v>
      </c>
      <c r="D209" s="61">
        <f>FH!B209*1</f>
        <v>52712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32436</v>
      </c>
      <c r="D211" s="61">
        <f>FH!B211*1</f>
        <v>32436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20876</v>
      </c>
      <c r="D214" s="61">
        <f>FH!B214*1</f>
        <v>20876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14299</v>
      </c>
      <c r="D216" s="61">
        <f>FH!B216*1</f>
        <v>14299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5036</v>
      </c>
      <c r="D219" s="61">
        <f>FH!B219*1</f>
        <v>5036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6645</v>
      </c>
      <c r="D221" s="61">
        <f>FH!B221*1</f>
        <v>6645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4053</v>
      </c>
      <c r="D224" s="61">
        <f>FH!B224*1</f>
        <v>4053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2017</v>
      </c>
      <c r="D227" s="61">
        <f>FH!B227*1</f>
        <v>2017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1041</v>
      </c>
      <c r="D229" s="61">
        <f>FH!B229*1</f>
        <v>1041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350</v>
      </c>
      <c r="D232" s="61">
        <f>FH!B232*1</f>
        <v>350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61.901400000000002</v>
      </c>
      <c r="C5" s="66">
        <v>13.1332</v>
      </c>
      <c r="D5" s="66">
        <v>21.2163</v>
      </c>
      <c r="E5" s="66">
        <v>20</v>
      </c>
      <c r="F5" s="66">
        <v>23.221900000000002</v>
      </c>
      <c r="G5" s="66">
        <v>50</v>
      </c>
      <c r="H5" s="66">
        <v>71.344300000000004</v>
      </c>
    </row>
    <row r="6" spans="1:8">
      <c r="A6" s="58" t="s">
        <v>303</v>
      </c>
      <c r="B6" s="66">
        <v>28.7666</v>
      </c>
      <c r="C6" s="66">
        <v>1.9768399999999999</v>
      </c>
      <c r="D6" s="66">
        <v>6.8719999999999999</v>
      </c>
      <c r="E6" s="66">
        <v>20</v>
      </c>
      <c r="F6" s="66">
        <v>24.2758</v>
      </c>
      <c r="G6" s="66">
        <v>40</v>
      </c>
      <c r="H6" s="66">
        <v>32.172199999999997</v>
      </c>
    </row>
    <row r="7" spans="1:8">
      <c r="A7" s="58" t="s">
        <v>304</v>
      </c>
      <c r="B7" s="66">
        <v>19.363299999999999</v>
      </c>
      <c r="C7" s="66">
        <v>2.7259899999999999</v>
      </c>
      <c r="D7" s="66">
        <v>14.078099999999999</v>
      </c>
      <c r="E7" s="66">
        <v>15</v>
      </c>
      <c r="F7" s="66">
        <v>15.7072</v>
      </c>
      <c r="G7" s="66">
        <v>40</v>
      </c>
      <c r="H7" s="66">
        <v>31.925799999999999</v>
      </c>
    </row>
    <row r="8" spans="1:8">
      <c r="A8" s="58" t="s">
        <v>305</v>
      </c>
      <c r="B8" s="66">
        <v>36.7239</v>
      </c>
      <c r="C8" s="66">
        <v>5.2546299999999997</v>
      </c>
      <c r="D8" s="66">
        <v>14.3085</v>
      </c>
      <c r="E8" s="66">
        <v>20</v>
      </c>
      <c r="F8" s="66">
        <v>20.739100000000001</v>
      </c>
      <c r="G8" s="66">
        <v>50</v>
      </c>
      <c r="H8" s="66">
        <v>39.062899999999999</v>
      </c>
    </row>
    <row r="9" spans="1:8">
      <c r="A9" s="58" t="s">
        <v>306</v>
      </c>
      <c r="B9" s="66">
        <v>54.503</v>
      </c>
      <c r="C9" s="66">
        <v>4.8109099999999998</v>
      </c>
      <c r="D9" s="66">
        <v>8.8268799999999992</v>
      </c>
      <c r="E9" s="66">
        <v>50</v>
      </c>
      <c r="F9" s="66">
        <v>39.870399999999997</v>
      </c>
      <c r="G9" s="66">
        <v>100</v>
      </c>
      <c r="H9" s="66">
        <v>65.716700000000003</v>
      </c>
    </row>
    <row r="10" spans="1:8">
      <c r="A10" s="58" t="s">
        <v>307</v>
      </c>
      <c r="B10" s="66">
        <v>71.403000000000006</v>
      </c>
      <c r="C10" s="66">
        <v>3.9283399999999999</v>
      </c>
      <c r="D10" s="66">
        <v>5.5016400000000001</v>
      </c>
      <c r="E10" s="66">
        <v>40</v>
      </c>
      <c r="F10" s="66">
        <v>60.6937</v>
      </c>
      <c r="G10" s="66">
        <v>100</v>
      </c>
      <c r="H10" s="66">
        <v>75.866500000000002</v>
      </c>
    </row>
    <row r="11" spans="1:8">
      <c r="A11" s="58" t="s">
        <v>308</v>
      </c>
      <c r="B11" s="66">
        <v>44.1982</v>
      </c>
      <c r="C11" s="66">
        <v>8.9299499999999998</v>
      </c>
      <c r="D11" s="66">
        <v>20.2043</v>
      </c>
      <c r="E11" s="66">
        <v>10</v>
      </c>
      <c r="F11" s="66">
        <v>16.892199999999999</v>
      </c>
      <c r="G11" s="66">
        <v>50</v>
      </c>
      <c r="H11" s="66">
        <v>46.128799999999998</v>
      </c>
    </row>
    <row r="12" spans="1:8">
      <c r="A12" s="58" t="s">
        <v>309</v>
      </c>
      <c r="B12" s="66">
        <v>62.682299999999998</v>
      </c>
      <c r="C12" s="66">
        <v>3.7709700000000002</v>
      </c>
      <c r="D12" s="66">
        <v>6.0160099999999996</v>
      </c>
      <c r="E12" s="66">
        <v>50</v>
      </c>
      <c r="F12" s="66">
        <v>51.822400000000002</v>
      </c>
      <c r="G12" s="66">
        <v>100</v>
      </c>
      <c r="H12" s="66">
        <v>70.791600000000003</v>
      </c>
    </row>
    <row r="13" spans="1:8">
      <c r="A13" s="58" t="s">
        <v>310</v>
      </c>
      <c r="B13" s="66">
        <v>17.875499999999999</v>
      </c>
      <c r="C13" s="66">
        <v>1.3977299999999999</v>
      </c>
      <c r="D13" s="66">
        <v>7.8192399999999997</v>
      </c>
      <c r="E13" s="66">
        <v>10</v>
      </c>
      <c r="F13" s="66">
        <v>15.1587</v>
      </c>
      <c r="G13" s="66">
        <v>25</v>
      </c>
      <c r="H13" s="66">
        <v>20.932500000000001</v>
      </c>
    </row>
    <row r="14" spans="1:8">
      <c r="A14" s="58" t="s">
        <v>311</v>
      </c>
      <c r="B14" s="66">
        <v>13.9773</v>
      </c>
      <c r="C14" s="66">
        <v>4.1954700000000003</v>
      </c>
      <c r="D14" s="66">
        <v>30.016300000000001</v>
      </c>
      <c r="E14" s="66">
        <v>10</v>
      </c>
      <c r="F14" s="66">
        <v>1.7085900000000001</v>
      </c>
      <c r="G14" s="66">
        <v>50</v>
      </c>
      <c r="H14" s="66">
        <v>20.3247</v>
      </c>
    </row>
    <row r="15" spans="1:8">
      <c r="A15" s="58" t="s">
        <v>312</v>
      </c>
      <c r="B15" s="66">
        <v>2.71227E-2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2.2402399999999999E-2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13.485900000000001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0.347082</v>
      </c>
      <c r="C18" s="66">
        <v>0.110722</v>
      </c>
      <c r="D18" s="66">
        <v>0.31900699999999999</v>
      </c>
      <c r="E18" s="66">
        <v>0</v>
      </c>
      <c r="F18" s="66">
        <v>0.23635999999999999</v>
      </c>
      <c r="G18" s="66">
        <v>0</v>
      </c>
      <c r="H18" s="66">
        <v>0.45780399999999999</v>
      </c>
    </row>
    <row r="19" spans="1:8">
      <c r="A19" s="58" t="s">
        <v>316</v>
      </c>
      <c r="B19" s="66">
        <v>0.43062899999999998</v>
      </c>
      <c r="C19" s="66">
        <v>2.52532E-2</v>
      </c>
      <c r="D19" s="66">
        <v>5.8642600000000003E-2</v>
      </c>
      <c r="E19" s="66">
        <v>0</v>
      </c>
      <c r="F19" s="66">
        <v>0.40537600000000001</v>
      </c>
      <c r="G19" s="66">
        <v>0</v>
      </c>
      <c r="H19" s="66">
        <v>0.45588200000000001</v>
      </c>
    </row>
    <row r="20" spans="1:8">
      <c r="A20" s="58" t="s">
        <v>317</v>
      </c>
      <c r="B20" s="66">
        <v>1.55082E-2</v>
      </c>
      <c r="C20" s="66">
        <v>1.41073E-2</v>
      </c>
      <c r="D20" s="66">
        <v>0.90966800000000003</v>
      </c>
      <c r="E20" s="66">
        <v>0</v>
      </c>
      <c r="F20" s="66">
        <v>4.64877E-3</v>
      </c>
      <c r="G20" s="66">
        <v>0</v>
      </c>
      <c r="H20" s="66">
        <v>9.60622E-2</v>
      </c>
    </row>
    <row r="21" spans="1:8">
      <c r="A21" s="58" t="s">
        <v>318</v>
      </c>
      <c r="B21" s="66">
        <v>0.49715700000000002</v>
      </c>
      <c r="C21" s="66">
        <v>0.28732600000000003</v>
      </c>
      <c r="D21" s="66">
        <v>0.57793799999999995</v>
      </c>
      <c r="E21" s="66">
        <v>0</v>
      </c>
      <c r="F21" s="66">
        <v>1.6118899999999999E-2</v>
      </c>
      <c r="G21" s="66">
        <v>0</v>
      </c>
      <c r="H21" s="66">
        <v>1.29318</v>
      </c>
    </row>
    <row r="22" spans="1:8">
      <c r="A22" s="58" t="s">
        <v>319</v>
      </c>
      <c r="B22" s="66">
        <v>56.164000000000001</v>
      </c>
      <c r="C22" s="66">
        <v>9.6212</v>
      </c>
      <c r="D22" s="66">
        <v>0.17130500000000001</v>
      </c>
      <c r="E22" s="66">
        <v>0</v>
      </c>
      <c r="F22" s="66">
        <v>35.221200000000003</v>
      </c>
      <c r="G22" s="66">
        <v>0</v>
      </c>
      <c r="H22" s="66">
        <v>80.262500000000003</v>
      </c>
    </row>
    <row r="23" spans="1:8">
      <c r="A23" s="58" t="s">
        <v>320</v>
      </c>
      <c r="B23" s="66">
        <v>34.338799999999999</v>
      </c>
      <c r="C23" s="66">
        <v>4.9617399999999998</v>
      </c>
      <c r="D23" s="66">
        <v>0.14449400000000001</v>
      </c>
      <c r="E23" s="66">
        <v>0</v>
      </c>
      <c r="F23" s="66">
        <v>20.715699999999998</v>
      </c>
      <c r="G23" s="66">
        <v>0</v>
      </c>
      <c r="H23" s="66">
        <v>38.777799999999999</v>
      </c>
    </row>
    <row r="24" spans="1:8">
      <c r="A24" s="58" t="s">
        <v>321</v>
      </c>
      <c r="B24" s="66">
        <v>1.7316499999999999E-2</v>
      </c>
      <c r="C24" s="66">
        <v>1.04729E-2</v>
      </c>
      <c r="D24" s="66">
        <v>0.60479300000000003</v>
      </c>
      <c r="E24" s="66">
        <v>0</v>
      </c>
      <c r="F24" s="66">
        <v>5.6169799999999997E-3</v>
      </c>
      <c r="G24" s="66">
        <v>0</v>
      </c>
      <c r="H24" s="66">
        <v>4.8931700000000002E-2</v>
      </c>
    </row>
    <row r="25" spans="1:8">
      <c r="A25" s="58" t="s">
        <v>322</v>
      </c>
      <c r="B25" s="66">
        <v>0.51369299999999996</v>
      </c>
      <c r="C25" s="66">
        <v>0.12873000000000001</v>
      </c>
      <c r="D25" s="66">
        <v>0.25059700000000001</v>
      </c>
      <c r="E25" s="66">
        <v>0</v>
      </c>
      <c r="F25" s="66">
        <v>0.249775</v>
      </c>
      <c r="G25" s="66">
        <v>0</v>
      </c>
      <c r="H25" s="66">
        <v>0.87386799999999998</v>
      </c>
    </row>
    <row r="26" spans="1:8">
      <c r="A26" s="58" t="s">
        <v>323</v>
      </c>
      <c r="B26" s="66">
        <v>3.08889E-3</v>
      </c>
      <c r="C26" s="66">
        <v>2.5840300000000002E-3</v>
      </c>
      <c r="D26" s="66">
        <v>0.83655400000000002</v>
      </c>
      <c r="E26" s="66">
        <v>0</v>
      </c>
      <c r="F26" s="66">
        <v>7.3857700000000003E-4</v>
      </c>
      <c r="G26" s="66">
        <v>0</v>
      </c>
      <c r="H26" s="66">
        <v>1.39706E-2</v>
      </c>
    </row>
    <row r="27" spans="1:8">
      <c r="A27" s="58" t="s">
        <v>324</v>
      </c>
      <c r="B27" s="196">
        <v>-1.64128E-5</v>
      </c>
      <c r="C27" s="66">
        <v>1.42246E-3</v>
      </c>
      <c r="D27" s="66">
        <v>-86.6678</v>
      </c>
      <c r="E27" s="66">
        <v>0</v>
      </c>
      <c r="F27" s="66">
        <v>-6.5093199999999999E-3</v>
      </c>
      <c r="G27" s="66">
        <v>0</v>
      </c>
      <c r="H27" s="66">
        <v>9.1780500000000001E-3</v>
      </c>
    </row>
    <row r="28" spans="1:8">
      <c r="A28" s="58" t="s">
        <v>325</v>
      </c>
      <c r="B28" s="66">
        <v>5.7340500000000003E-2</v>
      </c>
      <c r="C28" s="66">
        <v>2.2972599999999999E-2</v>
      </c>
      <c r="D28" s="66">
        <v>0.40063399999999999</v>
      </c>
      <c r="E28" s="66">
        <v>0</v>
      </c>
      <c r="F28" s="66">
        <v>4.2578099999999999E-3</v>
      </c>
      <c r="G28" s="66">
        <v>0</v>
      </c>
      <c r="H28" s="66">
        <v>0.105508</v>
      </c>
    </row>
    <row r="29" spans="1:8">
      <c r="A29" s="58" t="s">
        <v>326</v>
      </c>
      <c r="B29" s="66">
        <v>92.443100000000001</v>
      </c>
      <c r="C29" s="66">
        <v>8.6765600000000003</v>
      </c>
      <c r="D29" s="66">
        <v>9.3858300000000006E-2</v>
      </c>
      <c r="E29" s="66">
        <v>0</v>
      </c>
      <c r="F29" s="66">
        <v>74.868399999999994</v>
      </c>
      <c r="G29" s="66">
        <v>0</v>
      </c>
      <c r="H29" s="66">
        <v>118.292</v>
      </c>
    </row>
    <row r="30" spans="1:8">
      <c r="A30" s="58" t="s">
        <v>327</v>
      </c>
      <c r="B30" s="66">
        <v>48.212400000000002</v>
      </c>
      <c r="C30" s="66">
        <v>8.8293099999999995</v>
      </c>
      <c r="D30" s="66">
        <v>0.18313399999999999</v>
      </c>
      <c r="E30" s="66">
        <v>0</v>
      </c>
      <c r="F30" s="66">
        <v>23.8322</v>
      </c>
      <c r="G30" s="66">
        <v>0</v>
      </c>
      <c r="H30" s="66">
        <v>52.380800000000001</v>
      </c>
    </row>
    <row r="31" spans="1:8">
      <c r="A31" s="58" t="s">
        <v>328</v>
      </c>
      <c r="B31" s="66">
        <v>168.12799999999999</v>
      </c>
      <c r="C31" s="66">
        <v>34.179000000000002</v>
      </c>
      <c r="D31" s="66">
        <v>0.203292</v>
      </c>
      <c r="E31" s="66">
        <v>0</v>
      </c>
      <c r="F31" s="66">
        <v>72.753200000000007</v>
      </c>
      <c r="G31" s="66">
        <v>0</v>
      </c>
      <c r="H31" s="66">
        <v>187.23</v>
      </c>
    </row>
    <row r="32" spans="1:8">
      <c r="A32" s="58" t="s">
        <v>329</v>
      </c>
      <c r="B32" s="66">
        <v>0.193633</v>
      </c>
      <c r="C32" s="66">
        <v>2.72599E-2</v>
      </c>
      <c r="D32" s="66">
        <v>0.14078099999999999</v>
      </c>
      <c r="E32" s="66">
        <v>0.15</v>
      </c>
      <c r="F32" s="66">
        <v>0.15707199999999999</v>
      </c>
      <c r="G32" s="66">
        <v>0.4</v>
      </c>
      <c r="H32" s="66">
        <v>0.31925799999999999</v>
      </c>
    </row>
    <row r="33" spans="1:8">
      <c r="A33" s="58" t="s">
        <v>330</v>
      </c>
      <c r="B33" s="66">
        <v>0.31988699999999998</v>
      </c>
      <c r="C33" s="66">
        <v>3.3157499999999999E-2</v>
      </c>
      <c r="D33" s="66">
        <v>0.103654</v>
      </c>
      <c r="E33" s="66">
        <v>0</v>
      </c>
      <c r="F33" s="66">
        <v>0.263824</v>
      </c>
      <c r="G33" s="66">
        <v>0</v>
      </c>
      <c r="H33" s="66">
        <v>0.38844899999999999</v>
      </c>
    </row>
    <row r="34" spans="1:8">
      <c r="A34" s="58" t="s">
        <v>331</v>
      </c>
      <c r="B34" s="66">
        <v>0.178755</v>
      </c>
      <c r="C34" s="66">
        <v>1.39773E-2</v>
      </c>
      <c r="D34" s="66">
        <v>7.8192399999999995E-2</v>
      </c>
      <c r="E34" s="66">
        <v>0.1</v>
      </c>
      <c r="F34" s="66">
        <v>0.151587</v>
      </c>
      <c r="G34" s="66">
        <v>0.25</v>
      </c>
      <c r="H34" s="66">
        <v>0.20932500000000001</v>
      </c>
    </row>
    <row r="35" spans="1:8">
      <c r="A35" s="58" t="s">
        <v>332</v>
      </c>
      <c r="B35" s="66">
        <v>7.4802499999999994E-2</v>
      </c>
      <c r="C35" s="66">
        <v>2.2415600000000001E-2</v>
      </c>
      <c r="D35" s="66">
        <v>0.29966399999999999</v>
      </c>
      <c r="E35" s="66">
        <v>0</v>
      </c>
      <c r="F35" s="66">
        <v>2.3612999999999999E-2</v>
      </c>
      <c r="G35" s="66">
        <v>0</v>
      </c>
      <c r="H35" s="66">
        <v>0.119212</v>
      </c>
    </row>
    <row r="36" spans="1:8">
      <c r="A36" s="58" t="s">
        <v>333</v>
      </c>
      <c r="B36" s="66">
        <v>0.15806400000000001</v>
      </c>
      <c r="C36" s="66">
        <v>7.6175699999999999E-2</v>
      </c>
      <c r="D36" s="66">
        <v>0.481931</v>
      </c>
      <c r="E36" s="66">
        <v>0</v>
      </c>
      <c r="F36" s="66">
        <v>4.3752899999999997E-2</v>
      </c>
      <c r="G36" s="66">
        <v>0</v>
      </c>
      <c r="H36" s="66">
        <v>0.47013899999999997</v>
      </c>
    </row>
    <row r="37" spans="1:8">
      <c r="A37" s="58" t="s">
        <v>334</v>
      </c>
      <c r="B37" s="66">
        <v>0.13977300000000001</v>
      </c>
      <c r="C37" s="66">
        <v>4.1954699999999998E-2</v>
      </c>
      <c r="D37" s="66">
        <v>0.30016300000000001</v>
      </c>
      <c r="E37" s="66">
        <v>0.1</v>
      </c>
      <c r="F37" s="66">
        <v>1.7085900000000001E-2</v>
      </c>
      <c r="G37" s="66">
        <v>0.5</v>
      </c>
      <c r="H37" s="66">
        <v>0.20324700000000001</v>
      </c>
    </row>
    <row r="38" spans="1:8">
      <c r="A38" s="58" t="s">
        <v>335</v>
      </c>
      <c r="B38" s="66">
        <v>49.064900000000002</v>
      </c>
      <c r="C38" s="66">
        <v>22.660799999999998</v>
      </c>
      <c r="D38" s="66">
        <v>0.46185399999999999</v>
      </c>
      <c r="E38" s="66">
        <v>0</v>
      </c>
      <c r="F38" s="66">
        <v>-80.252600000000001</v>
      </c>
      <c r="G38" s="66">
        <v>0</v>
      </c>
      <c r="H38" s="66">
        <v>90.07</v>
      </c>
    </row>
    <row r="39" spans="1:8">
      <c r="A39" s="58" t="s">
        <v>336</v>
      </c>
      <c r="B39" s="66">
        <v>13.845599999999999</v>
      </c>
      <c r="C39" s="66">
        <v>4.7180099999999996</v>
      </c>
      <c r="D39" s="66">
        <v>0.34075699999999998</v>
      </c>
      <c r="E39" s="66">
        <v>0</v>
      </c>
      <c r="F39" s="66">
        <v>8.4328299999999992</v>
      </c>
      <c r="G39" s="66">
        <v>0</v>
      </c>
      <c r="H39" s="66">
        <v>49.1828</v>
      </c>
    </row>
    <row r="40" spans="1:8">
      <c r="A40" s="58" t="s">
        <v>337</v>
      </c>
      <c r="B40" s="66">
        <v>9.8942800000000002</v>
      </c>
      <c r="C40" s="66">
        <v>4.2114700000000003</v>
      </c>
      <c r="D40" s="66">
        <v>0.425647</v>
      </c>
      <c r="E40" s="66">
        <v>0</v>
      </c>
      <c r="F40" s="66">
        <v>4.4097099999999996</v>
      </c>
      <c r="G40" s="66">
        <v>0</v>
      </c>
      <c r="H40" s="66">
        <v>20.7742</v>
      </c>
    </row>
    <row r="41" spans="1:8">
      <c r="A41" s="58" t="s">
        <v>338</v>
      </c>
      <c r="B41" s="66">
        <v>0.25634499999999999</v>
      </c>
      <c r="C41" s="66">
        <v>0.12906799999999999</v>
      </c>
      <c r="D41" s="66">
        <v>0.50349200000000005</v>
      </c>
      <c r="E41" s="66">
        <v>0</v>
      </c>
      <c r="F41" s="66">
        <v>-0.23416000000000001</v>
      </c>
      <c r="G41" s="66">
        <v>0</v>
      </c>
      <c r="H41" s="66">
        <v>0.77142900000000003</v>
      </c>
    </row>
    <row r="42" spans="1:8">
      <c r="A42" s="58" t="s">
        <v>339</v>
      </c>
      <c r="B42" s="66">
        <v>0.16642999999999999</v>
      </c>
      <c r="C42" s="66">
        <v>5.2824400000000001E-2</v>
      </c>
      <c r="D42" s="66">
        <v>0.31739699999999998</v>
      </c>
      <c r="E42" s="66">
        <v>0</v>
      </c>
      <c r="F42" s="66">
        <v>5.59389E-2</v>
      </c>
      <c r="G42" s="66">
        <v>0</v>
      </c>
      <c r="H42" s="66">
        <v>0.51826000000000005</v>
      </c>
    </row>
    <row r="43" spans="1:8">
      <c r="A43" s="58" t="s">
        <v>340</v>
      </c>
      <c r="B43" s="66">
        <v>0.19350000000000001</v>
      </c>
      <c r="C43" s="66">
        <v>8.4876300000000002E-2</v>
      </c>
      <c r="D43" s="66">
        <v>0.43863799999999997</v>
      </c>
      <c r="E43" s="66">
        <v>0</v>
      </c>
      <c r="F43" s="66">
        <v>8.7150599999999995E-2</v>
      </c>
      <c r="G43" s="66">
        <v>0</v>
      </c>
      <c r="H43" s="66">
        <v>0.41089500000000001</v>
      </c>
    </row>
    <row r="44" spans="1:8">
      <c r="A44" s="58" t="s">
        <v>341</v>
      </c>
      <c r="B44" s="66">
        <v>19.5594</v>
      </c>
      <c r="C44" s="66">
        <v>8.9167500000000004</v>
      </c>
      <c r="D44" s="66">
        <v>0.45588200000000001</v>
      </c>
      <c r="E44" s="66">
        <v>0</v>
      </c>
      <c r="F44" s="66">
        <v>7.9394600000000004</v>
      </c>
      <c r="G44" s="66">
        <v>0</v>
      </c>
      <c r="H44" s="66">
        <v>44.872300000000003</v>
      </c>
    </row>
    <row r="45" spans="1:8">
      <c r="A45" s="58" t="s">
        <v>342</v>
      </c>
      <c r="B45" s="66">
        <v>57.724299999999999</v>
      </c>
      <c r="C45" s="66">
        <v>5.8312900000000001</v>
      </c>
      <c r="D45" s="66">
        <v>0.10102</v>
      </c>
      <c r="E45" s="66">
        <v>0</v>
      </c>
      <c r="F45" s="66">
        <v>44.8705</v>
      </c>
      <c r="G45" s="66">
        <v>0</v>
      </c>
      <c r="H45" s="66">
        <v>73.687200000000004</v>
      </c>
    </row>
    <row r="46" spans="1:8">
      <c r="A46" s="58" t="s">
        <v>343</v>
      </c>
      <c r="B46" s="66">
        <v>45.930199999999999</v>
      </c>
      <c r="C46" s="66">
        <v>10.538399999999999</v>
      </c>
      <c r="D46" s="66">
        <v>0.22944300000000001</v>
      </c>
      <c r="E46" s="66">
        <v>0</v>
      </c>
      <c r="F46" s="66">
        <v>15.122400000000001</v>
      </c>
      <c r="G46" s="66">
        <v>0</v>
      </c>
      <c r="H46" s="66">
        <v>49.578400000000002</v>
      </c>
    </row>
    <row r="47" spans="1:8">
      <c r="A47" s="58" t="s">
        <v>344</v>
      </c>
      <c r="B47" s="66">
        <v>1.6680699999999999</v>
      </c>
      <c r="C47" s="66">
        <v>0.50435399999999997</v>
      </c>
      <c r="D47" s="66">
        <v>0.30235800000000002</v>
      </c>
      <c r="E47" s="66">
        <v>0</v>
      </c>
      <c r="F47" s="66">
        <v>0.77449599999999996</v>
      </c>
      <c r="G47" s="66">
        <v>0</v>
      </c>
      <c r="H47" s="66">
        <v>3.1524000000000001</v>
      </c>
    </row>
    <row r="48" spans="1:8">
      <c r="A48" s="58" t="s">
        <v>345</v>
      </c>
      <c r="B48" s="66">
        <v>1.5538099999999999</v>
      </c>
      <c r="C48" s="66">
        <v>0.22928299999999999</v>
      </c>
      <c r="D48" s="66">
        <v>0.147562</v>
      </c>
      <c r="E48" s="66">
        <v>0</v>
      </c>
      <c r="F48" s="66">
        <v>1.40008</v>
      </c>
      <c r="G48" s="66">
        <v>0</v>
      </c>
      <c r="H48" s="66">
        <v>2.1918600000000001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17.315199999999997</v>
      </c>
      <c r="C5" s="66">
        <f>'M2'!C5-'M1'!C5</f>
        <v>-11.33404</v>
      </c>
      <c r="D5" s="66">
        <f>'M2'!D5-'M1'!D5</f>
        <v>-25.906410000000001</v>
      </c>
      <c r="E5" s="66">
        <f>'M2'!E5-'M1'!E5</f>
        <v>0</v>
      </c>
      <c r="F5" s="66">
        <f>'M2'!F5-'M1'!F5</f>
        <v>37.377799999999993</v>
      </c>
      <c r="G5" s="66">
        <f>'M2'!G5-'M1'!G5</f>
        <v>0</v>
      </c>
      <c r="H5" s="66">
        <f>'M2'!H5-'M1'!H5</f>
        <v>4.6298999999999921</v>
      </c>
    </row>
    <row r="6" spans="1:8">
      <c r="A6" s="66" t="s">
        <v>244</v>
      </c>
      <c r="B6" s="66">
        <f>'M2'!B6-'M1'!B6</f>
        <v>2.2029999999999994</v>
      </c>
      <c r="C6" s="66">
        <f>'M2'!C6-'M1'!C6</f>
        <v>-0.39107999999999987</v>
      </c>
      <c r="D6" s="66">
        <f>'M2'!D6-'M1'!D6</f>
        <v>-1.75814</v>
      </c>
      <c r="E6" s="66">
        <f>'M2'!E6-'M1'!E6</f>
        <v>0</v>
      </c>
      <c r="F6" s="66">
        <f>'M2'!F6-'M1'!F6</f>
        <v>2.6108000000000011</v>
      </c>
      <c r="G6" s="66">
        <f>'M2'!G6-'M1'!G6</f>
        <v>0</v>
      </c>
      <c r="H6" s="66">
        <f>'M2'!H6-'M1'!H6</f>
        <v>2.2666999999999966</v>
      </c>
    </row>
    <row r="7" spans="1:8">
      <c r="A7" s="66" t="s">
        <v>245</v>
      </c>
      <c r="B7" s="66">
        <f>'M2'!B7-'M1'!B7</f>
        <v>1.9999999999988916E-3</v>
      </c>
      <c r="C7" s="66">
        <f>'M2'!C7-'M1'!C7</f>
        <v>-1.41804</v>
      </c>
      <c r="D7" s="66">
        <f>'M2'!D7-'M1'!D7</f>
        <v>-7.3250799999999998</v>
      </c>
      <c r="E7" s="66">
        <f>'M2'!E7-'M1'!E7</f>
        <v>0</v>
      </c>
      <c r="F7" s="66">
        <f>'M2'!F7-'M1'!F7</f>
        <v>-0.41159999999999997</v>
      </c>
      <c r="G7" s="66">
        <f>'M2'!G7-'M1'!G7</f>
        <v>0</v>
      </c>
      <c r="H7" s="66">
        <f>'M2'!H7-'M1'!H7</f>
        <v>-4.6846999999999994</v>
      </c>
    </row>
    <row r="8" spans="1:8">
      <c r="A8" s="66" t="s">
        <v>246</v>
      </c>
      <c r="B8" s="66">
        <f>'M2'!B8-'M1'!B8</f>
        <v>5.7862000000000009</v>
      </c>
      <c r="C8" s="66">
        <f>'M2'!C8-'M1'!C8</f>
        <v>-4.5072769999999993</v>
      </c>
      <c r="D8" s="66">
        <f>'M2'!D8-'M1'!D8</f>
        <v>-14.35436</v>
      </c>
      <c r="E8" s="66">
        <f>'M2'!E8-'M1'!E8</f>
        <v>0</v>
      </c>
      <c r="F8" s="66">
        <f>'M2'!F8-'M1'!F8</f>
        <v>15.577199999999998</v>
      </c>
      <c r="G8" s="66">
        <f>'M2'!G8-'M1'!G8</f>
        <v>0</v>
      </c>
      <c r="H8" s="66">
        <f>'M2'!H8-'M1'!H8</f>
        <v>1.6398999999999972</v>
      </c>
    </row>
    <row r="9" spans="1:8">
      <c r="A9" s="66" t="s">
        <v>247</v>
      </c>
      <c r="B9" s="66">
        <f>'M2'!B9-'M1'!B9</f>
        <v>-6.4266999999999967</v>
      </c>
      <c r="C9" s="66">
        <f>'M2'!C9-'M1'!C9</f>
        <v>-0.22561000000000009</v>
      </c>
      <c r="D9" s="66">
        <f>'M2'!D9-'M1'!D9</f>
        <v>0.35226000000000024</v>
      </c>
      <c r="E9" s="66">
        <f>'M2'!E9-'M1'!E9</f>
        <v>0</v>
      </c>
      <c r="F9" s="66">
        <f>'M2'!F9-'M1'!F9</f>
        <v>-8.8919000000000068</v>
      </c>
      <c r="G9" s="66">
        <f>'M2'!G9-'M1'!G9</f>
        <v>0</v>
      </c>
      <c r="H9" s="66">
        <f>'M2'!H9-'M1'!H9</f>
        <v>-5.563600000000001</v>
      </c>
    </row>
    <row r="10" spans="1:8">
      <c r="A10" s="66" t="s">
        <v>248</v>
      </c>
      <c r="B10" s="66">
        <f>'M2'!B10-'M1'!B10</f>
        <v>-1.5336999999999961</v>
      </c>
      <c r="C10" s="66">
        <f>'M2'!C10-'M1'!C10</f>
        <v>0.24293000000000031</v>
      </c>
      <c r="D10" s="66">
        <f>'M2'!D10-'M1'!D10</f>
        <v>0.44898999999999933</v>
      </c>
      <c r="E10" s="66">
        <f>'M2'!E10-'M1'!E10</f>
        <v>0</v>
      </c>
      <c r="F10" s="66">
        <f>'M2'!F10-'M1'!F10</f>
        <v>0.34150000000000347</v>
      </c>
      <c r="G10" s="66">
        <f>'M2'!G10-'M1'!G10</f>
        <v>0</v>
      </c>
      <c r="H10" s="66">
        <f>'M2'!H10-'M1'!H10</f>
        <v>-1.4996000000000009</v>
      </c>
    </row>
    <row r="11" spans="1:8">
      <c r="A11" s="66" t="s">
        <v>249</v>
      </c>
      <c r="B11" s="66">
        <f>'M2'!B11-'M1'!B11</f>
        <v>13.529399999999999</v>
      </c>
      <c r="C11" s="66">
        <f>'M2'!C11-'M1'!C11</f>
        <v>-7.4895890000000005</v>
      </c>
      <c r="D11" s="66">
        <f>'M2'!D11-'M1'!D11</f>
        <v>-24.42858</v>
      </c>
      <c r="E11" s="66">
        <f>'M2'!E11-'M1'!E11</f>
        <v>0</v>
      </c>
      <c r="F11" s="66">
        <f>'M2'!F11-'M1'!F11</f>
        <v>26.8886</v>
      </c>
      <c r="G11" s="66">
        <f>'M2'!G11-'M1'!G11</f>
        <v>0</v>
      </c>
      <c r="H11" s="66">
        <f>'M2'!H11-'M1'!H11</f>
        <v>1.1865999999999985</v>
      </c>
    </row>
    <row r="12" spans="1:8">
      <c r="A12" s="66" t="s">
        <v>250</v>
      </c>
      <c r="B12" s="66">
        <f>'M2'!B12-'M1'!B12</f>
        <v>-3.8370000000000033</v>
      </c>
      <c r="C12" s="66">
        <f>'M2'!C12-'M1'!C12</f>
        <v>-4.2150000000000354E-2</v>
      </c>
      <c r="D12" s="66">
        <f>'M2'!D12-'M1'!D12</f>
        <v>0.23299000000000003</v>
      </c>
      <c r="E12" s="66">
        <f>'M2'!E12-'M1'!E12</f>
        <v>0</v>
      </c>
      <c r="F12" s="66">
        <f>'M2'!F12-'M1'!F12</f>
        <v>-6.655699999999996</v>
      </c>
      <c r="G12" s="66">
        <f>'M2'!G12-'M1'!G12</f>
        <v>0</v>
      </c>
      <c r="H12" s="66">
        <f>'M2'!H12-'M1'!H12</f>
        <v>-4.0328999999999979</v>
      </c>
    </row>
    <row r="13" spans="1:8">
      <c r="A13" s="66" t="s">
        <v>251</v>
      </c>
      <c r="B13" s="66">
        <f>'M2'!B13-'M1'!B13</f>
        <v>-1.0438999999999972</v>
      </c>
      <c r="C13" s="66">
        <f>'M2'!C13-'M1'!C13</f>
        <v>0.19070999999999994</v>
      </c>
      <c r="D13" s="66">
        <f>'M2'!D13-'M1'!D13</f>
        <v>1.5133700000000001</v>
      </c>
      <c r="E13" s="66">
        <f>'M2'!E13-'M1'!E13</f>
        <v>0</v>
      </c>
      <c r="F13" s="66">
        <f>'M2'!F13-'M1'!F13</f>
        <v>0.2027000000000001</v>
      </c>
      <c r="G13" s="66">
        <f>'M2'!G13-'M1'!G13</f>
        <v>0</v>
      </c>
      <c r="H13" s="66">
        <f>'M2'!H13-'M1'!H13</f>
        <v>0.33689999999999998</v>
      </c>
    </row>
    <row r="14" spans="1:8">
      <c r="A14" s="66" t="s">
        <v>252</v>
      </c>
      <c r="B14" s="66">
        <f>'M2'!B14-'M1'!B14</f>
        <v>1.9070999999999998</v>
      </c>
      <c r="C14" s="66">
        <f>'M2'!C14-'M1'!C14</f>
        <v>0.48568000000000033</v>
      </c>
      <c r="D14" s="66">
        <f>'M2'!D14-'M1'!D14</f>
        <v>-0.74690000000000012</v>
      </c>
      <c r="E14" s="66">
        <f>'M2'!E14-'M1'!E14</f>
        <v>0</v>
      </c>
      <c r="F14" s="66">
        <f>'M2'!F14-'M1'!F14</f>
        <v>-1.9333499999999999</v>
      </c>
      <c r="G14" s="66">
        <f>'M2'!G14-'M1'!G14</f>
        <v>0</v>
      </c>
      <c r="H14" s="66">
        <f>'M2'!H14-'M1'!H14</f>
        <v>3.1146999999999991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7.5378000000000001E-2</v>
      </c>
      <c r="C18" s="66">
        <f>'M2'!C18-'M1'!C18</f>
        <v>0.110722</v>
      </c>
      <c r="D18" s="66">
        <f>'M2'!D18-'M1'!D18</f>
        <v>0.31900699999999999</v>
      </c>
      <c r="E18" s="66">
        <f>'M2'!E18-'M1'!E18</f>
        <v>0</v>
      </c>
      <c r="F18" s="66">
        <f>'M2'!F18-'M1'!F18</f>
        <v>0.23635999999999999</v>
      </c>
      <c r="G18" s="66">
        <f>'M2'!G18-'M1'!G18</f>
        <v>0</v>
      </c>
      <c r="H18" s="66">
        <f>'M2'!H18-'M1'!H18</f>
        <v>0.45780399999999999</v>
      </c>
    </row>
    <row r="19" spans="1:8">
      <c r="A19" s="66" t="s">
        <v>256</v>
      </c>
      <c r="B19" s="66">
        <f>'M2'!B19-'M1'!B19</f>
        <v>0.19097299999999998</v>
      </c>
      <c r="C19" s="66">
        <f>'M2'!C19-'M1'!C19</f>
        <v>2.52532E-2</v>
      </c>
      <c r="D19" s="66">
        <f>'M2'!D19-'M1'!D19</f>
        <v>5.8642600000000003E-2</v>
      </c>
      <c r="E19" s="66">
        <f>'M2'!E19-'M1'!E19</f>
        <v>0</v>
      </c>
      <c r="F19" s="66">
        <f>'M2'!F19-'M1'!F19</f>
        <v>0.40537600000000001</v>
      </c>
      <c r="G19" s="66">
        <f>'M2'!G19-'M1'!G19</f>
        <v>0</v>
      </c>
      <c r="H19" s="66">
        <f>'M2'!H19-'M1'!H19</f>
        <v>0.45588200000000001</v>
      </c>
    </row>
    <row r="20" spans="1:8">
      <c r="A20" s="66" t="s">
        <v>63</v>
      </c>
      <c r="B20" s="66">
        <f>'M2'!B20-'M1'!B20</f>
        <v>5.3180999999999992E-3</v>
      </c>
      <c r="C20" s="66">
        <f>'M2'!C20-'M1'!C20</f>
        <v>9.2599999999999974E-5</v>
      </c>
      <c r="D20" s="66">
        <f>'M2'!D20-'M1'!D20</f>
        <v>-0.29355799999999999</v>
      </c>
      <c r="E20" s="66">
        <f>'M2'!E20-'M1'!E20</f>
        <v>0</v>
      </c>
      <c r="F20" s="66">
        <f>'M2'!F20-'M1'!F20</f>
        <v>-2.1172000000000031E-4</v>
      </c>
      <c r="G20" s="66">
        <f>'M2'!G20-'M1'!G20</f>
        <v>0</v>
      </c>
      <c r="H20" s="66">
        <f>'M2'!H20-'M1'!H20</f>
        <v>-3.9450000000000596E-4</v>
      </c>
    </row>
    <row r="21" spans="1:8">
      <c r="A21" s="66" t="s">
        <v>64</v>
      </c>
      <c r="B21" s="66">
        <f>'M2'!B21-'M1'!B21</f>
        <v>0.14555499999999999</v>
      </c>
      <c r="C21" s="66">
        <f>'M2'!C21-'M1'!C21</f>
        <v>2.5436999999999987E-2</v>
      </c>
      <c r="D21" s="66">
        <f>'M2'!D21-'M1'!D21</f>
        <v>-0.12925199999999992</v>
      </c>
      <c r="E21" s="66">
        <f>'M2'!E21-'M1'!E21</f>
        <v>0</v>
      </c>
      <c r="F21" s="66">
        <f>'M2'!F21-'M1'!F21</f>
        <v>-1.1684700000000003E-2</v>
      </c>
      <c r="G21" s="66">
        <f>'M2'!G21-'M1'!G21</f>
        <v>0</v>
      </c>
      <c r="H21" s="66">
        <f>'M2'!H21-'M1'!H21</f>
        <v>0.15304999999999991</v>
      </c>
    </row>
    <row r="22" spans="1:8">
      <c r="A22" s="66" t="s">
        <v>65</v>
      </c>
      <c r="B22" s="66">
        <f>'M2'!B22-'M1'!B22</f>
        <v>4.2964999999999947</v>
      </c>
      <c r="C22" s="66">
        <f>'M2'!C22-'M1'!C22</f>
        <v>-2.6114300000000004</v>
      </c>
      <c r="D22" s="66">
        <f>'M2'!D22-'M1'!D22</f>
        <v>-6.0296999999999989E-2</v>
      </c>
      <c r="E22" s="66">
        <f>'M2'!E22-'M1'!E22</f>
        <v>0</v>
      </c>
      <c r="F22" s="66">
        <f>'M2'!F22-'M1'!F22</f>
        <v>8.4561999999999955</v>
      </c>
      <c r="G22" s="66">
        <f>'M2'!G22-'M1'!G22</f>
        <v>0</v>
      </c>
      <c r="H22" s="66">
        <f>'M2'!H22-'M1'!H22</f>
        <v>-1.2318000000000069</v>
      </c>
    </row>
    <row r="23" spans="1:8">
      <c r="A23" s="66" t="s">
        <v>66</v>
      </c>
      <c r="B23" s="66">
        <f>'M2'!B23-'M1'!B23</f>
        <v>6.497200000000003</v>
      </c>
      <c r="C23" s="66">
        <f>'M2'!C23-'M1'!C23</f>
        <v>-3.1747200000000007</v>
      </c>
      <c r="D23" s="66">
        <f>'M2'!D23-'M1'!D23</f>
        <v>-0.11767610000000001</v>
      </c>
      <c r="E23" s="66">
        <f>'M2'!E23-'M1'!E23</f>
        <v>0</v>
      </c>
      <c r="F23" s="66">
        <f>'M2'!F23-'M1'!F23</f>
        <v>11.790700000000001</v>
      </c>
      <c r="G23" s="66">
        <f>'M2'!G23-'M1'!G23</f>
        <v>0</v>
      </c>
      <c r="H23" s="66">
        <f>'M2'!H23-'M1'!H23</f>
        <v>0.39209999999999923</v>
      </c>
    </row>
    <row r="24" spans="1:8">
      <c r="A24" s="66" t="s">
        <v>67</v>
      </c>
      <c r="B24" s="66">
        <f>'M2'!B24-'M1'!B24</f>
        <v>3.1833999999999994E-3</v>
      </c>
      <c r="C24" s="66">
        <f>'M2'!C24-'M1'!C24</f>
        <v>2.7130000000000036E-4</v>
      </c>
      <c r="D24" s="66">
        <f>'M2'!D24-'M1'!D24</f>
        <v>-8.9401999999999981E-2</v>
      </c>
      <c r="E24" s="66">
        <f>'M2'!E24-'M1'!E24</f>
        <v>0</v>
      </c>
      <c r="F24" s="66">
        <f>'M2'!F24-'M1'!F24</f>
        <v>-9.1000000000000022E-4</v>
      </c>
      <c r="G24" s="66">
        <f>'M2'!G24-'M1'!G24</f>
        <v>0</v>
      </c>
      <c r="H24" s="66">
        <f>'M2'!H24-'M1'!H24</f>
        <v>-4.7439999999999982E-3</v>
      </c>
    </row>
    <row r="25" spans="1:8">
      <c r="A25" s="66" t="s">
        <v>68</v>
      </c>
      <c r="B25" s="66">
        <f>'M2'!B25-'M1'!B25</f>
        <v>7.891999999999999E-2</v>
      </c>
      <c r="C25" s="66">
        <f>'M2'!C25-'M1'!C25</f>
        <v>-7.5594800000000018E-2</v>
      </c>
      <c r="D25" s="66">
        <f>'M2'!D25-'M1'!D25</f>
        <v>-0.18268399999999999</v>
      </c>
      <c r="E25" s="66">
        <f>'M2'!E25-'M1'!E25</f>
        <v>0</v>
      </c>
      <c r="F25" s="66">
        <f>'M2'!F25-'M1'!F25</f>
        <v>0.11003199999999999</v>
      </c>
      <c r="G25" s="66">
        <f>'M2'!G25-'M1'!G25</f>
        <v>0</v>
      </c>
      <c r="H25" s="66">
        <f>'M2'!H25-'M1'!H25</f>
        <v>-0.16648699999999994</v>
      </c>
    </row>
    <row r="26" spans="1:8">
      <c r="A26" s="66" t="s">
        <v>69</v>
      </c>
      <c r="B26" s="66">
        <f>'M2'!B26-'M1'!B26</f>
        <v>1.0701199999999999E-3</v>
      </c>
      <c r="C26" s="66">
        <f>'M2'!C26-'M1'!C26</f>
        <v>1.2519999999999979E-4</v>
      </c>
      <c r="D26" s="66">
        <f>'M2'!D26-'M1'!D26</f>
        <v>-0.25137799999999999</v>
      </c>
      <c r="E26" s="66">
        <f>'M2'!E26-'M1'!E26</f>
        <v>0</v>
      </c>
      <c r="F26" s="66">
        <f>'M2'!F26-'M1'!F26</f>
        <v>-4.5955999999999992E-5</v>
      </c>
      <c r="G26" s="66">
        <f>'M2'!G26-'M1'!G26</f>
        <v>0</v>
      </c>
      <c r="H26" s="66">
        <f>'M2'!H26-'M1'!H26</f>
        <v>-7.419000000000002E-4</v>
      </c>
    </row>
    <row r="27" spans="1:8">
      <c r="A27" s="66" t="s">
        <v>70</v>
      </c>
      <c r="B27" s="66">
        <f>'M2'!B27-'M1'!B27</f>
        <v>-2.2978070000000001E-5</v>
      </c>
      <c r="C27" s="66">
        <f>'M2'!C27-'M1'!C27</f>
        <v>5.20500000000001E-5</v>
      </c>
      <c r="D27" s="66">
        <f>'M2'!D27-'M1'!D27</f>
        <v>163.60090000000002</v>
      </c>
      <c r="E27" s="66">
        <f>'M2'!E27-'M1'!E27</f>
        <v>0</v>
      </c>
      <c r="F27" s="66">
        <f>'M2'!F27-'M1'!F27</f>
        <v>9.027000000000002E-4</v>
      </c>
      <c r="G27" s="66">
        <f>'M2'!G27-'M1'!G27</f>
        <v>0</v>
      </c>
      <c r="H27" s="66">
        <f>'M2'!H27-'M1'!H27</f>
        <v>-4.3165700000000005E-3</v>
      </c>
    </row>
    <row r="28" spans="1:8">
      <c r="A28" s="66" t="s">
        <v>71</v>
      </c>
      <c r="B28" s="66">
        <f>'M2'!B28-'M1'!B28</f>
        <v>9.7819000000000031E-3</v>
      </c>
      <c r="C28" s="66">
        <f>'M2'!C28-'M1'!C28</f>
        <v>2.0396999999999985E-3</v>
      </c>
      <c r="D28" s="66">
        <f>'M2'!D28-'M1'!D28</f>
        <v>-3.2732000000000039E-2</v>
      </c>
      <c r="E28" s="66">
        <f>'M2'!E28-'M1'!E28</f>
        <v>0</v>
      </c>
      <c r="F28" s="66">
        <f>'M2'!F28-'M1'!F28</f>
        <v>-1.3737000000000003E-3</v>
      </c>
      <c r="G28" s="66">
        <f>'M2'!G28-'M1'!G28</f>
        <v>0</v>
      </c>
      <c r="H28" s="66">
        <f>'M2'!H28-'M1'!H28</f>
        <v>-6.7743000000000109E-3</v>
      </c>
    </row>
    <row r="29" spans="1:8">
      <c r="A29" s="66" t="s">
        <v>72</v>
      </c>
      <c r="B29" s="66">
        <f>'M2'!B29-'M1'!B29</f>
        <v>2.9321000000000055</v>
      </c>
      <c r="C29" s="66">
        <f>'M2'!C29-'M1'!C29</f>
        <v>0.52739999999999831</v>
      </c>
      <c r="D29" s="66">
        <f>'M2'!D29-'M1'!D29</f>
        <v>2.7564000000000061E-3</v>
      </c>
      <c r="E29" s="66">
        <f>'M2'!E29-'M1'!E29</f>
        <v>0</v>
      </c>
      <c r="F29" s="66">
        <f>'M2'!F29-'M1'!F29</f>
        <v>2.9631000000000114</v>
      </c>
      <c r="G29" s="66">
        <f>'M2'!G29-'M1'!G29</f>
        <v>0</v>
      </c>
      <c r="H29" s="66">
        <f>'M2'!H29-'M1'!H29</f>
        <v>7.8689999999999998</v>
      </c>
    </row>
    <row r="30" spans="1:8">
      <c r="A30" s="66" t="s">
        <v>73</v>
      </c>
      <c r="B30" s="66">
        <f>'M2'!B30-'M1'!B30</f>
        <v>14.2059</v>
      </c>
      <c r="C30" s="66">
        <f>'M2'!C30-'M1'!C30</f>
        <v>-6.1458399999999997</v>
      </c>
      <c r="D30" s="66">
        <f>'M2'!D30-'M1'!D30</f>
        <v>-0.18021860000000001</v>
      </c>
      <c r="E30" s="66">
        <f>'M2'!E30-'M1'!E30</f>
        <v>0</v>
      </c>
      <c r="F30" s="66">
        <f>'M2'!F30-'M1'!F30</f>
        <v>22.212899999999998</v>
      </c>
      <c r="G30" s="66">
        <f>'M2'!G30-'M1'!G30</f>
        <v>0</v>
      </c>
      <c r="H30" s="66">
        <f>'M2'!H30-'M1'!H30</f>
        <v>1.2888000000000019</v>
      </c>
    </row>
    <row r="31" spans="1:8">
      <c r="A31" s="66" t="s">
        <v>74</v>
      </c>
      <c r="B31" s="66">
        <f>'M2'!B31-'M1'!B31</f>
        <v>50.942000000000007</v>
      </c>
      <c r="C31" s="66">
        <f>'M2'!C31-'M1'!C31</f>
        <v>-24.817889999999998</v>
      </c>
      <c r="D31" s="66">
        <f>'M2'!D31-'M1'!D31</f>
        <v>-0.21774679999999999</v>
      </c>
      <c r="E31" s="66">
        <f>'M2'!E31-'M1'!E31</f>
        <v>0</v>
      </c>
      <c r="F31" s="66">
        <f>'M2'!F31-'M1'!F31</f>
        <v>90.135800000000003</v>
      </c>
      <c r="G31" s="66">
        <f>'M2'!G31-'M1'!G31</f>
        <v>0</v>
      </c>
      <c r="H31" s="66">
        <f>'M2'!H31-'M1'!H31</f>
        <v>12.051999999999992</v>
      </c>
    </row>
    <row r="32" spans="1:8">
      <c r="A32" s="66" t="s">
        <v>75</v>
      </c>
      <c r="B32" s="66">
        <f>'M2'!B32-'M1'!B32</f>
        <v>1.9999999999992246E-5</v>
      </c>
      <c r="C32" s="66">
        <f>'M2'!C32-'M1'!C32</f>
        <v>-1.4180399999999996E-2</v>
      </c>
      <c r="D32" s="66">
        <f>'M2'!D32-'M1'!D32</f>
        <v>-7.3250800000000005E-2</v>
      </c>
      <c r="E32" s="66">
        <f>'M2'!E32-'M1'!E32</f>
        <v>0</v>
      </c>
      <c r="F32" s="66">
        <f>'M2'!F32-'M1'!F32</f>
        <v>-4.1160000000000085E-3</v>
      </c>
      <c r="G32" s="66">
        <f>'M2'!G32-'M1'!G32</f>
        <v>0</v>
      </c>
      <c r="H32" s="66">
        <f>'M2'!H32-'M1'!H32</f>
        <v>-4.6846999999999972E-2</v>
      </c>
    </row>
    <row r="33" spans="1:8">
      <c r="A33" s="66" t="s">
        <v>76</v>
      </c>
      <c r="B33" s="66">
        <f>'M2'!B33-'M1'!B33</f>
        <v>5.8894999999999975E-2</v>
      </c>
      <c r="C33" s="66">
        <f>'M2'!C33-'M1'!C33</f>
        <v>9.2323000000000006E-3</v>
      </c>
      <c r="D33" s="66">
        <f>'M2'!D33-'M1'!D33</f>
        <v>1.9719E-2</v>
      </c>
      <c r="E33" s="66">
        <f>'M2'!E33-'M1'!E33</f>
        <v>0</v>
      </c>
      <c r="F33" s="66">
        <f>'M2'!F33-'M1'!F33</f>
        <v>4.4509000000000021E-2</v>
      </c>
      <c r="G33" s="66">
        <f>'M2'!G33-'M1'!G33</f>
        <v>0</v>
      </c>
      <c r="H33" s="66">
        <f>'M2'!H33-'M1'!H33</f>
        <v>6.3967999999999969E-2</v>
      </c>
    </row>
    <row r="34" spans="1:8">
      <c r="A34" s="66" t="s">
        <v>77</v>
      </c>
      <c r="B34" s="66">
        <f>'M2'!B34-'M1'!B34</f>
        <v>-1.0439000000000004E-2</v>
      </c>
      <c r="C34" s="66">
        <f>'M2'!C34-'M1'!C34</f>
        <v>1.9071000000000001E-3</v>
      </c>
      <c r="D34" s="66">
        <f>'M2'!D34-'M1'!D34</f>
        <v>1.51337E-2</v>
      </c>
      <c r="E34" s="66">
        <f>'M2'!E34-'M1'!E34</f>
        <v>0</v>
      </c>
      <c r="F34" s="66">
        <f>'M2'!F34-'M1'!F34</f>
        <v>2.027000000000001E-3</v>
      </c>
      <c r="G34" s="66">
        <f>'M2'!G34-'M1'!G34</f>
        <v>0</v>
      </c>
      <c r="H34" s="66">
        <f>'M2'!H34-'M1'!H34</f>
        <v>3.3690000000000109E-3</v>
      </c>
    </row>
    <row r="35" spans="1:8">
      <c r="A35" s="66" t="s">
        <v>78</v>
      </c>
      <c r="B35" s="66">
        <f>'M2'!B35-'M1'!B35</f>
        <v>-7.6512000000000108E-3</v>
      </c>
      <c r="C35" s="66">
        <f>'M2'!C35-'M1'!C35</f>
        <v>-8.4459999999999986E-3</v>
      </c>
      <c r="D35" s="66">
        <f>'M2'!D35-'M1'!D35</f>
        <v>-8.5371999999999976E-2</v>
      </c>
      <c r="E35" s="66">
        <f>'M2'!E35-'M1'!E35</f>
        <v>0</v>
      </c>
      <c r="F35" s="66">
        <f>'M2'!F35-'M1'!F35</f>
        <v>6.6490000000000021E-3</v>
      </c>
      <c r="G35" s="66">
        <f>'M2'!G35-'M1'!G35</f>
        <v>0</v>
      </c>
      <c r="H35" s="66">
        <f>'M2'!H35-'M1'!H35</f>
        <v>-2.8178399999999992E-2</v>
      </c>
    </row>
    <row r="36" spans="1:8">
      <c r="A36" s="66" t="s">
        <v>79</v>
      </c>
      <c r="B36" s="66">
        <f>'M2'!B36-'M1'!B36</f>
        <v>-2.259000000000011E-3</v>
      </c>
      <c r="C36" s="66">
        <f>'M2'!C36-'M1'!C36</f>
        <v>-9.4115000000000032E-3</v>
      </c>
      <c r="D36" s="66">
        <f>'M2'!D36-'M1'!D36</f>
        <v>-5.2934000000000037E-2</v>
      </c>
      <c r="E36" s="66">
        <f>'M2'!E36-'M1'!E36</f>
        <v>0</v>
      </c>
      <c r="F36" s="66">
        <f>'M2'!F36-'M1'!F36</f>
        <v>1.4942700000000003E-2</v>
      </c>
      <c r="G36" s="66">
        <f>'M2'!G36-'M1'!G36</f>
        <v>0</v>
      </c>
      <c r="H36" s="66">
        <f>'M2'!H36-'M1'!H36</f>
        <v>-9.2151999999999956E-2</v>
      </c>
    </row>
    <row r="37" spans="1:8">
      <c r="A37" s="66" t="s">
        <v>80</v>
      </c>
      <c r="B37" s="66">
        <f>'M2'!B37-'M1'!B37</f>
        <v>1.9071000000000005E-2</v>
      </c>
      <c r="C37" s="66">
        <f>'M2'!C37-'M1'!C37</f>
        <v>4.8568000000000014E-3</v>
      </c>
      <c r="D37" s="66">
        <f>'M2'!D37-'M1'!D37</f>
        <v>-7.4690000000000034E-3</v>
      </c>
      <c r="E37" s="66">
        <f>'M2'!E37-'M1'!E37</f>
        <v>0</v>
      </c>
      <c r="F37" s="66">
        <f>'M2'!F37-'M1'!F37</f>
        <v>-1.9333499999999997E-2</v>
      </c>
      <c r="G37" s="66">
        <f>'M2'!G37-'M1'!G37</f>
        <v>0</v>
      </c>
      <c r="H37" s="66">
        <f>'M2'!H37-'M1'!H37</f>
        <v>3.1147000000000008E-2</v>
      </c>
    </row>
    <row r="38" spans="1:8">
      <c r="A38" s="66" t="s">
        <v>81</v>
      </c>
      <c r="B38" s="66">
        <f>'M2'!B38-'M1'!B38</f>
        <v>1.3832999999999984</v>
      </c>
      <c r="C38" s="66">
        <f>'M2'!C38-'M1'!C38</f>
        <v>-3.9354999999999976</v>
      </c>
      <c r="D38" s="66">
        <f>'M2'!D38-'M1'!D38</f>
        <v>-9.4472E-2</v>
      </c>
      <c r="E38" s="66">
        <f>'M2'!E38-'M1'!E38</f>
        <v>0</v>
      </c>
      <c r="F38" s="66">
        <f>'M2'!F38-'M1'!F38</f>
        <v>72.922210000000007</v>
      </c>
      <c r="G38" s="66">
        <f>'M2'!G38-'M1'!G38</f>
        <v>0</v>
      </c>
      <c r="H38" s="66">
        <f>'M2'!H38-'M1'!H38</f>
        <v>1.0707999999999913</v>
      </c>
    </row>
    <row r="39" spans="1:8">
      <c r="A39" s="66" t="s">
        <v>82</v>
      </c>
      <c r="B39" s="66">
        <f>'M2'!B39-'M1'!B39</f>
        <v>0.60609999999999964</v>
      </c>
      <c r="C39" s="66">
        <f>'M2'!C39-'M1'!C39</f>
        <v>-2.5128600000000003</v>
      </c>
      <c r="D39" s="66">
        <f>'M2'!D39-'M1'!D39</f>
        <v>-0.19504599999999997</v>
      </c>
      <c r="E39" s="66">
        <f>'M2'!E39-'M1'!E39</f>
        <v>0</v>
      </c>
      <c r="F39" s="66">
        <f>'M2'!F39-'M1'!F39</f>
        <v>1.0847600000000011</v>
      </c>
      <c r="G39" s="66">
        <f>'M2'!G39-'M1'!G39</f>
        <v>0</v>
      </c>
      <c r="H39" s="66">
        <f>'M2'!H39-'M1'!H39</f>
        <v>-25.4971</v>
      </c>
    </row>
    <row r="40" spans="1:8">
      <c r="A40" s="66" t="s">
        <v>83</v>
      </c>
      <c r="B40" s="66">
        <f>'M2'!B40-'M1'!B40</f>
        <v>2.3297899999999991</v>
      </c>
      <c r="C40" s="66">
        <f>'M2'!C40-'M1'!C40</f>
        <v>0.63731000000000027</v>
      </c>
      <c r="D40" s="66">
        <f>'M2'!D40-'M1'!D40</f>
        <v>-3.9210000000000023E-2</v>
      </c>
      <c r="E40" s="66">
        <f>'M2'!E40-'M1'!E40</f>
        <v>0</v>
      </c>
      <c r="F40" s="66">
        <f>'M2'!F40-'M1'!F40</f>
        <v>3.961850000000001</v>
      </c>
      <c r="G40" s="66">
        <f>'M2'!G40-'M1'!G40</f>
        <v>0</v>
      </c>
      <c r="H40" s="66">
        <f>'M2'!H40-'M1'!H40</f>
        <v>-2.5500000000000966E-2</v>
      </c>
    </row>
    <row r="41" spans="1:8">
      <c r="A41" s="66" t="s">
        <v>84</v>
      </c>
      <c r="B41" s="66">
        <f>'M2'!B41-'M1'!B41</f>
        <v>-1.5470000000000012E-2</v>
      </c>
      <c r="C41" s="66">
        <f>'M2'!C41-'M1'!C41</f>
        <v>2.5599999999997847E-4</v>
      </c>
      <c r="D41" s="66">
        <f>'M2'!D41-'M1'!D41</f>
        <v>3.1914999999999971E-2</v>
      </c>
      <c r="E41" s="66">
        <f>'M2'!E41-'M1'!E41</f>
        <v>0</v>
      </c>
      <c r="F41" s="66">
        <f>'M2'!F41-'M1'!F41</f>
        <v>0.24435460000000001</v>
      </c>
      <c r="G41" s="66">
        <f>'M2'!G41-'M1'!G41</f>
        <v>0</v>
      </c>
      <c r="H41" s="66">
        <f>'M2'!H41-'M1'!H41</f>
        <v>0.29121500000000006</v>
      </c>
    </row>
    <row r="42" spans="1:8">
      <c r="A42" s="66" t="s">
        <v>85</v>
      </c>
      <c r="B42" s="66">
        <f>'M2'!B42-'M1'!B42</f>
        <v>-2.6517000000000013E-2</v>
      </c>
      <c r="C42" s="66">
        <f>'M2'!C42-'M1'!C42</f>
        <v>-1.5280599999999998E-2</v>
      </c>
      <c r="D42" s="66">
        <f>'M2'!D42-'M1'!D42</f>
        <v>-4.8763000000000029E-2</v>
      </c>
      <c r="E42" s="66">
        <f>'M2'!E42-'M1'!E42</f>
        <v>0</v>
      </c>
      <c r="F42" s="66">
        <f>'M2'!F42-'M1'!F42</f>
        <v>-8.1091100000000013E-2</v>
      </c>
      <c r="G42" s="66">
        <f>'M2'!G42-'M1'!G42</f>
        <v>0</v>
      </c>
      <c r="H42" s="66">
        <f>'M2'!H42-'M1'!H42</f>
        <v>-0.30243600000000004</v>
      </c>
    </row>
    <row r="43" spans="1:8">
      <c r="A43" s="66" t="s">
        <v>86</v>
      </c>
      <c r="B43" s="66">
        <f>'M2'!B43-'M1'!B43</f>
        <v>-3.4514000000000017E-2</v>
      </c>
      <c r="C43" s="66">
        <f>'M2'!C43-'M1'!C43</f>
        <v>4.8368799999999997E-2</v>
      </c>
      <c r="D43" s="66">
        <f>'M2'!D43-'M1'!D43</f>
        <v>0.35126400000000002</v>
      </c>
      <c r="E43" s="66">
        <f>'M2'!E43-'M1'!E43</f>
        <v>0</v>
      </c>
      <c r="F43" s="66">
        <f>'M2'!F43-'M1'!F43</f>
        <v>-5.4781400000000008E-2</v>
      </c>
      <c r="G43" s="66">
        <f>'M2'!G43-'M1'!G43</f>
        <v>0</v>
      </c>
      <c r="H43" s="66">
        <f>'M2'!H43-'M1'!H43</f>
        <v>-3.4660000000000246E-3</v>
      </c>
    </row>
    <row r="44" spans="1:8">
      <c r="A44" s="66" t="s">
        <v>87</v>
      </c>
      <c r="B44" s="66">
        <f>'M2'!B44-'M1'!B44</f>
        <v>10.8703</v>
      </c>
      <c r="C44" s="66">
        <f>'M2'!C44-'M1'!C44</f>
        <v>0.48228999999999989</v>
      </c>
      <c r="D44" s="66">
        <f>'M2'!D44-'M1'!D44</f>
        <v>-0.23431399999999997</v>
      </c>
      <c r="E44" s="66">
        <f>'M2'!E44-'M1'!E44</f>
        <v>0</v>
      </c>
      <c r="F44" s="66">
        <f>'M2'!F44-'M1'!F44</f>
        <v>3.9435399999999987</v>
      </c>
      <c r="G44" s="66">
        <f>'M2'!G44-'M1'!G44</f>
        <v>0</v>
      </c>
      <c r="H44" s="66">
        <f>'M2'!H44-'M1'!H44</f>
        <v>6.3125</v>
      </c>
    </row>
    <row r="45" spans="1:8">
      <c r="A45" s="66" t="s">
        <v>88</v>
      </c>
      <c r="B45" s="66">
        <f>'M2'!B45-'M1'!B45</f>
        <v>-2.8515999999999977</v>
      </c>
      <c r="C45" s="66">
        <f>'M2'!C45-'M1'!C45</f>
        <v>0.69148000000000032</v>
      </c>
      <c r="D45" s="66">
        <f>'M2'!D45-'M1'!D45</f>
        <v>1.6827900000000007E-2</v>
      </c>
      <c r="E45" s="66">
        <f>'M2'!E45-'M1'!E45</f>
        <v>0</v>
      </c>
      <c r="F45" s="66">
        <f>'M2'!F45-'M1'!F45</f>
        <v>-6.833599999999997</v>
      </c>
      <c r="G45" s="66">
        <f>'M2'!G45-'M1'!G45</f>
        <v>0</v>
      </c>
      <c r="H45" s="66">
        <f>'M2'!H45-'M1'!H45</f>
        <v>-3.3568000000000069</v>
      </c>
    </row>
    <row r="46" spans="1:8">
      <c r="A46" s="66" t="s">
        <v>89</v>
      </c>
      <c r="B46" s="66">
        <f>'M2'!B46-'M1'!B46</f>
        <v>15.739999999999998</v>
      </c>
      <c r="C46" s="66">
        <f>'M2'!C46-'M1'!C46</f>
        <v>-8.7287800000000004</v>
      </c>
      <c r="D46" s="66">
        <f>'M2'!D46-'M1'!D46</f>
        <v>-0.28755360000000002</v>
      </c>
      <c r="E46" s="66">
        <f>'M2'!E46-'M1'!E46</f>
        <v>0</v>
      </c>
      <c r="F46" s="66">
        <f>'M2'!F46-'M1'!F46</f>
        <v>30.2121</v>
      </c>
      <c r="G46" s="66">
        <f>'M2'!G46-'M1'!G46</f>
        <v>0</v>
      </c>
      <c r="H46" s="66">
        <f>'M2'!H46-'M1'!H46</f>
        <v>1.4017000000000053</v>
      </c>
    </row>
    <row r="47" spans="1:8">
      <c r="A47" s="66" t="s">
        <v>90</v>
      </c>
      <c r="B47" s="66">
        <f>'M2'!B47-'M1'!B47</f>
        <v>0.16244999999999998</v>
      </c>
      <c r="C47" s="66">
        <f>'M2'!C47-'M1'!C47</f>
        <v>5.9107999999999938E-2</v>
      </c>
      <c r="D47" s="66">
        <f>'M2'!D47-'M1'!D47</f>
        <v>6.5150000000000485E-3</v>
      </c>
      <c r="E47" s="66">
        <f>'M2'!E47-'M1'!E47</f>
        <v>0</v>
      </c>
      <c r="F47" s="66">
        <f>'M2'!F47-'M1'!F47</f>
        <v>-0.25765399999999994</v>
      </c>
      <c r="G47" s="66">
        <f>'M2'!G47-'M1'!G47</f>
        <v>0</v>
      </c>
      <c r="H47" s="66">
        <f>'M2'!H47-'M1'!H47</f>
        <v>7.2599999999999998E-2</v>
      </c>
    </row>
    <row r="48" spans="1:8">
      <c r="A48" s="66" t="s">
        <v>91</v>
      </c>
      <c r="B48" s="66">
        <f>'M2'!B48-'M1'!B48</f>
        <v>-0.37673000000000001</v>
      </c>
      <c r="C48" s="66">
        <f>'M2'!C48-'M1'!C48</f>
        <v>-0.1705295</v>
      </c>
      <c r="D48" s="66">
        <f>'M2'!D48-'M1'!D48</f>
        <v>-8.3180500000000004E-2</v>
      </c>
      <c r="E48" s="66">
        <f>'M2'!E48-'M1'!E48</f>
        <v>0</v>
      </c>
      <c r="F48" s="66">
        <f>'M2'!F48-'M1'!F48</f>
        <v>-8.2680000000000087E-2</v>
      </c>
      <c r="G48" s="66">
        <f>'M2'!G48-'M1'!G48</f>
        <v>0</v>
      </c>
      <c r="H48" s="66">
        <f>'M2'!H48-'M1'!H48</f>
        <v>-0.56304000000000021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45.661200000000001</v>
      </c>
      <c r="C5" s="66">
        <v>13.1351</v>
      </c>
      <c r="D5" s="66">
        <v>28.766300000000001</v>
      </c>
      <c r="E5" s="66">
        <v>20</v>
      </c>
      <c r="F5" s="66">
        <v>23.221900000000002</v>
      </c>
      <c r="G5" s="66">
        <v>50</v>
      </c>
      <c r="H5" s="66">
        <v>66.705100000000002</v>
      </c>
    </row>
    <row r="6" spans="1:8">
      <c r="A6" s="66" t="s">
        <v>358</v>
      </c>
      <c r="B6" s="66">
        <v>27.869399999999999</v>
      </c>
      <c r="C6" s="66">
        <v>1.74115</v>
      </c>
      <c r="D6" s="66">
        <v>6.2475399999999999</v>
      </c>
      <c r="E6" s="66">
        <v>20</v>
      </c>
      <c r="F6" s="66">
        <v>24.2758</v>
      </c>
      <c r="G6" s="66">
        <v>40</v>
      </c>
      <c r="H6" s="66">
        <v>29.9055</v>
      </c>
    </row>
    <row r="7" spans="1:8">
      <c r="A7" s="66" t="s">
        <v>359</v>
      </c>
      <c r="B7" s="66">
        <v>19.3613</v>
      </c>
      <c r="C7" s="66">
        <v>3.2606999999999999</v>
      </c>
      <c r="D7" s="66">
        <v>16.8413</v>
      </c>
      <c r="E7" s="66">
        <v>15</v>
      </c>
      <c r="F7" s="66">
        <v>16.1188</v>
      </c>
      <c r="G7" s="66">
        <v>40</v>
      </c>
      <c r="H7" s="66">
        <v>31.925799999999999</v>
      </c>
    </row>
    <row r="8" spans="1:8">
      <c r="A8" s="66" t="s">
        <v>360</v>
      </c>
      <c r="B8" s="66">
        <v>32.054499999999997</v>
      </c>
      <c r="C8" s="66">
        <v>5.1217499999999996</v>
      </c>
      <c r="D8" s="66">
        <v>15.978199999999999</v>
      </c>
      <c r="E8" s="66">
        <v>20</v>
      </c>
      <c r="F8" s="66">
        <v>20.739100000000001</v>
      </c>
      <c r="G8" s="66">
        <v>50</v>
      </c>
      <c r="H8" s="66">
        <v>37.423000000000002</v>
      </c>
    </row>
    <row r="9" spans="1:8">
      <c r="A9" s="66" t="s">
        <v>361</v>
      </c>
      <c r="B9" s="66">
        <v>57.234699999999997</v>
      </c>
      <c r="C9" s="66">
        <v>3.60317</v>
      </c>
      <c r="D9" s="66">
        <v>6.2954400000000001</v>
      </c>
      <c r="E9" s="66">
        <v>50</v>
      </c>
      <c r="F9" s="66">
        <v>48.762300000000003</v>
      </c>
      <c r="G9" s="66">
        <v>100</v>
      </c>
      <c r="H9" s="66">
        <v>65.716700000000003</v>
      </c>
    </row>
    <row r="10" spans="1:8">
      <c r="A10" s="66" t="s">
        <v>362</v>
      </c>
      <c r="B10" s="66">
        <v>72.789299999999997</v>
      </c>
      <c r="C10" s="66">
        <v>3.6547399999999999</v>
      </c>
      <c r="D10" s="66">
        <v>5.0209900000000003</v>
      </c>
      <c r="E10" s="66">
        <v>40</v>
      </c>
      <c r="F10" s="66">
        <v>60.6937</v>
      </c>
      <c r="G10" s="66">
        <v>100</v>
      </c>
      <c r="H10" s="66">
        <v>75.866500000000002</v>
      </c>
    </row>
    <row r="11" spans="1:8">
      <c r="A11" s="66" t="s">
        <v>363</v>
      </c>
      <c r="B11" s="66">
        <v>31.3704</v>
      </c>
      <c r="C11" s="66">
        <v>8.0662900000000004</v>
      </c>
      <c r="D11" s="66">
        <v>25.713000000000001</v>
      </c>
      <c r="E11" s="66">
        <v>10</v>
      </c>
      <c r="F11" s="66">
        <v>16.892199999999999</v>
      </c>
      <c r="G11" s="66">
        <v>50</v>
      </c>
      <c r="H11" s="66">
        <v>44.9422</v>
      </c>
    </row>
    <row r="12" spans="1:8">
      <c r="A12" s="66" t="s">
        <v>364</v>
      </c>
      <c r="B12" s="66">
        <v>64.637600000000006</v>
      </c>
      <c r="C12" s="66">
        <v>3.0963500000000002</v>
      </c>
      <c r="D12" s="66">
        <v>4.7903200000000004</v>
      </c>
      <c r="E12" s="66">
        <v>50</v>
      </c>
      <c r="F12" s="66">
        <v>58.478099999999998</v>
      </c>
      <c r="G12" s="66">
        <v>100</v>
      </c>
      <c r="H12" s="66">
        <v>70.791600000000003</v>
      </c>
    </row>
    <row r="13" spans="1:8">
      <c r="A13" s="66" t="s">
        <v>365</v>
      </c>
      <c r="B13" s="66">
        <v>18.384799999999998</v>
      </c>
      <c r="C13" s="66">
        <v>1.26312</v>
      </c>
      <c r="D13" s="66">
        <v>6.8704900000000002</v>
      </c>
      <c r="E13" s="66">
        <v>10</v>
      </c>
      <c r="F13" s="66">
        <v>15.1587</v>
      </c>
      <c r="G13" s="66">
        <v>25</v>
      </c>
      <c r="H13" s="66">
        <v>20.595600000000001</v>
      </c>
    </row>
    <row r="14" spans="1:8">
      <c r="A14" s="66" t="s">
        <v>366</v>
      </c>
      <c r="B14" s="66">
        <v>12.6312</v>
      </c>
      <c r="C14" s="66">
        <v>3.9360499999999998</v>
      </c>
      <c r="D14" s="66">
        <v>31.161200000000001</v>
      </c>
      <c r="E14" s="66">
        <v>10</v>
      </c>
      <c r="F14" s="66">
        <v>3.64194</v>
      </c>
      <c r="G14" s="66">
        <v>50</v>
      </c>
      <c r="H14" s="66">
        <v>17.21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0.271704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0.23965600000000001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1.33204E-2</v>
      </c>
      <c r="C20" s="66">
        <v>1.39366E-2</v>
      </c>
      <c r="D20" s="66">
        <v>1.04626</v>
      </c>
      <c r="E20" s="66">
        <v>0</v>
      </c>
      <c r="F20" s="66">
        <v>4.8604900000000003E-3</v>
      </c>
      <c r="G20" s="66">
        <v>0</v>
      </c>
      <c r="H20" s="66">
        <v>9.60622E-2</v>
      </c>
    </row>
    <row r="21" spans="1:8">
      <c r="A21" s="66" t="s">
        <v>373</v>
      </c>
      <c r="B21" s="66">
        <v>0.40647100000000003</v>
      </c>
      <c r="C21" s="66">
        <v>0.270283</v>
      </c>
      <c r="D21" s="66">
        <v>0.66495099999999996</v>
      </c>
      <c r="E21" s="66">
        <v>0</v>
      </c>
      <c r="F21" s="66">
        <v>2.7803600000000001E-2</v>
      </c>
      <c r="G21" s="66">
        <v>0</v>
      </c>
      <c r="H21" s="66">
        <v>1.1401300000000001</v>
      </c>
    </row>
    <row r="22" spans="1:8">
      <c r="A22" s="66" t="s">
        <v>374</v>
      </c>
      <c r="B22" s="66">
        <v>53.291800000000002</v>
      </c>
      <c r="C22" s="66">
        <v>10.6785</v>
      </c>
      <c r="D22" s="66">
        <v>0.200379</v>
      </c>
      <c r="E22" s="66">
        <v>0</v>
      </c>
      <c r="F22" s="66">
        <v>35.221200000000003</v>
      </c>
      <c r="G22" s="66">
        <v>0</v>
      </c>
      <c r="H22" s="66">
        <v>80.262500000000003</v>
      </c>
    </row>
    <row r="23" spans="1:8">
      <c r="A23" s="66" t="s">
        <v>375</v>
      </c>
      <c r="B23" s="66">
        <v>29.6921</v>
      </c>
      <c r="C23" s="66">
        <v>4.9533500000000004</v>
      </c>
      <c r="D23" s="66">
        <v>0.166824</v>
      </c>
      <c r="E23" s="66">
        <v>0</v>
      </c>
      <c r="F23" s="66">
        <v>20.715699999999998</v>
      </c>
      <c r="G23" s="66">
        <v>0</v>
      </c>
      <c r="H23" s="66">
        <v>38.3857</v>
      </c>
    </row>
    <row r="24" spans="1:8">
      <c r="A24" s="66" t="s">
        <v>376</v>
      </c>
      <c r="B24" s="66">
        <v>1.6215500000000001E-2</v>
      </c>
      <c r="C24" s="66">
        <v>1.0215999999999999E-2</v>
      </c>
      <c r="D24" s="66">
        <v>0.63001600000000002</v>
      </c>
      <c r="E24" s="66">
        <v>0</v>
      </c>
      <c r="F24" s="66">
        <v>6.5269799999999999E-3</v>
      </c>
      <c r="G24" s="66">
        <v>0</v>
      </c>
      <c r="H24" s="66">
        <v>4.8931700000000002E-2</v>
      </c>
    </row>
    <row r="25" spans="1:8">
      <c r="A25" s="66" t="s">
        <v>377</v>
      </c>
      <c r="B25" s="66">
        <v>0.47822100000000001</v>
      </c>
      <c r="C25" s="66">
        <v>0.15867800000000001</v>
      </c>
      <c r="D25" s="66">
        <v>0.33180799999999999</v>
      </c>
      <c r="E25" s="66">
        <v>0</v>
      </c>
      <c r="F25" s="66">
        <v>0.249775</v>
      </c>
      <c r="G25" s="66">
        <v>0</v>
      </c>
      <c r="H25" s="66">
        <v>0.87386799999999998</v>
      </c>
    </row>
    <row r="26" spans="1:8">
      <c r="A26" s="66" t="s">
        <v>378</v>
      </c>
      <c r="B26" s="66">
        <v>2.56368E-3</v>
      </c>
      <c r="C26" s="66">
        <v>2.4883000000000001E-3</v>
      </c>
      <c r="D26" s="66">
        <v>0.97059799999999996</v>
      </c>
      <c r="E26" s="66">
        <v>0</v>
      </c>
      <c r="F26" s="66">
        <v>7.8453300000000002E-4</v>
      </c>
      <c r="G26" s="66">
        <v>0</v>
      </c>
      <c r="H26" s="66">
        <v>1.39706E-2</v>
      </c>
    </row>
    <row r="27" spans="1:8">
      <c r="A27" s="66" t="s">
        <v>379</v>
      </c>
      <c r="B27" s="196">
        <v>-6.5651299999999996E-6</v>
      </c>
      <c r="C27" s="66">
        <v>1.3958E-3</v>
      </c>
      <c r="D27" s="66">
        <v>-212.60900000000001</v>
      </c>
      <c r="E27" s="66">
        <v>0</v>
      </c>
      <c r="F27" s="66">
        <v>-6.5093199999999999E-3</v>
      </c>
      <c r="G27" s="66">
        <v>0</v>
      </c>
      <c r="H27" s="66">
        <v>9.1780500000000001E-3</v>
      </c>
    </row>
    <row r="28" spans="1:8">
      <c r="A28" s="66" t="s">
        <v>380</v>
      </c>
      <c r="B28" s="66">
        <v>5.21842E-2</v>
      </c>
      <c r="C28" s="66">
        <v>2.1702200000000001E-2</v>
      </c>
      <c r="D28" s="66">
        <v>0.41587600000000002</v>
      </c>
      <c r="E28" s="66">
        <v>0</v>
      </c>
      <c r="F28" s="66">
        <v>5.6315100000000002E-3</v>
      </c>
      <c r="G28" s="66">
        <v>0</v>
      </c>
      <c r="H28" s="66">
        <v>0.105508</v>
      </c>
    </row>
    <row r="29" spans="1:8">
      <c r="A29" s="66" t="s">
        <v>381</v>
      </c>
      <c r="B29" s="66">
        <v>91.159099999999995</v>
      </c>
      <c r="C29" s="66">
        <v>8.3339200000000009</v>
      </c>
      <c r="D29" s="66">
        <v>9.1421699999999995E-2</v>
      </c>
      <c r="E29" s="66">
        <v>0</v>
      </c>
      <c r="F29" s="66">
        <v>74.868399999999994</v>
      </c>
      <c r="G29" s="66">
        <v>0</v>
      </c>
      <c r="H29" s="66">
        <v>110.423</v>
      </c>
    </row>
    <row r="30" spans="1:8">
      <c r="A30" s="66" t="s">
        <v>382</v>
      </c>
      <c r="B30" s="66">
        <v>36.194499999999998</v>
      </c>
      <c r="C30" s="66">
        <v>7.4836900000000002</v>
      </c>
      <c r="D30" s="66">
        <v>0.206763</v>
      </c>
      <c r="E30" s="66">
        <v>0</v>
      </c>
      <c r="F30" s="66">
        <v>23.8322</v>
      </c>
      <c r="G30" s="66">
        <v>0</v>
      </c>
      <c r="H30" s="66">
        <v>51.091999999999999</v>
      </c>
    </row>
    <row r="31" spans="1:8">
      <c r="A31" s="66" t="s">
        <v>383</v>
      </c>
      <c r="B31" s="66">
        <v>122.167</v>
      </c>
      <c r="C31" s="66">
        <v>30.878299999999999</v>
      </c>
      <c r="D31" s="66">
        <v>0.25275599999999998</v>
      </c>
      <c r="E31" s="66">
        <v>0</v>
      </c>
      <c r="F31" s="66">
        <v>72.753200000000007</v>
      </c>
      <c r="G31" s="66">
        <v>0</v>
      </c>
      <c r="H31" s="66">
        <v>175.178</v>
      </c>
    </row>
    <row r="32" spans="1:8">
      <c r="A32" s="66" t="s">
        <v>384</v>
      </c>
      <c r="B32" s="66">
        <v>0.19361300000000001</v>
      </c>
      <c r="C32" s="66">
        <v>3.2606999999999997E-2</v>
      </c>
      <c r="D32" s="66">
        <v>0.16841300000000001</v>
      </c>
      <c r="E32" s="66">
        <v>0.15</v>
      </c>
      <c r="F32" s="66">
        <v>0.161188</v>
      </c>
      <c r="G32" s="66">
        <v>0.4</v>
      </c>
      <c r="H32" s="66">
        <v>0.31925799999999999</v>
      </c>
    </row>
    <row r="33" spans="1:8">
      <c r="A33" s="66" t="s">
        <v>385</v>
      </c>
      <c r="B33" s="66">
        <v>0.30028700000000003</v>
      </c>
      <c r="C33" s="66">
        <v>1.09604E-2</v>
      </c>
      <c r="D33" s="66">
        <v>3.64996E-2</v>
      </c>
      <c r="E33" s="66">
        <v>0</v>
      </c>
      <c r="F33" s="66">
        <v>0.263824</v>
      </c>
      <c r="G33" s="66">
        <v>0</v>
      </c>
      <c r="H33" s="66">
        <v>0.32448100000000002</v>
      </c>
    </row>
    <row r="34" spans="1:8">
      <c r="A34" s="66" t="s">
        <v>386</v>
      </c>
      <c r="B34" s="66">
        <v>0.18384800000000001</v>
      </c>
      <c r="C34" s="66">
        <v>1.26312E-2</v>
      </c>
      <c r="D34" s="66">
        <v>6.8704899999999999E-2</v>
      </c>
      <c r="E34" s="66">
        <v>0.1</v>
      </c>
      <c r="F34" s="66">
        <v>0.151587</v>
      </c>
      <c r="G34" s="66">
        <v>0.25</v>
      </c>
      <c r="H34" s="66">
        <v>0.205956</v>
      </c>
    </row>
    <row r="35" spans="1:8">
      <c r="A35" s="66" t="s">
        <v>387</v>
      </c>
      <c r="B35" s="66">
        <v>7.7078400000000005E-2</v>
      </c>
      <c r="C35" s="66">
        <v>2.5375399999999999E-2</v>
      </c>
      <c r="D35" s="66">
        <v>0.32921499999999998</v>
      </c>
      <c r="E35" s="66">
        <v>0</v>
      </c>
      <c r="F35" s="66">
        <v>2.3612999999999999E-2</v>
      </c>
      <c r="G35" s="66">
        <v>0</v>
      </c>
      <c r="H35" s="66">
        <v>0.119212</v>
      </c>
    </row>
    <row r="36" spans="1:8">
      <c r="A36" s="66" t="s">
        <v>388</v>
      </c>
      <c r="B36" s="66">
        <v>0.15828900000000001</v>
      </c>
      <c r="C36" s="66">
        <v>8.0747600000000003E-2</v>
      </c>
      <c r="D36" s="66">
        <v>0.51012800000000003</v>
      </c>
      <c r="E36" s="66">
        <v>0</v>
      </c>
      <c r="F36" s="66">
        <v>4.3752899999999997E-2</v>
      </c>
      <c r="G36" s="66">
        <v>0</v>
      </c>
      <c r="H36" s="66">
        <v>0.47013899999999997</v>
      </c>
    </row>
    <row r="37" spans="1:8">
      <c r="A37" s="66" t="s">
        <v>389</v>
      </c>
      <c r="B37" s="66">
        <v>0.12631200000000001</v>
      </c>
      <c r="C37" s="66">
        <v>3.93605E-2</v>
      </c>
      <c r="D37" s="66">
        <v>0.311612</v>
      </c>
      <c r="E37" s="66">
        <v>0.1</v>
      </c>
      <c r="F37" s="66">
        <v>3.6419399999999998E-2</v>
      </c>
      <c r="G37" s="66">
        <v>0.5</v>
      </c>
      <c r="H37" s="66">
        <v>0.1721</v>
      </c>
    </row>
    <row r="38" spans="1:8">
      <c r="A38" s="66" t="s">
        <v>390</v>
      </c>
      <c r="B38" s="66">
        <v>47.804400000000001</v>
      </c>
      <c r="C38" s="66">
        <v>24.582799999999999</v>
      </c>
      <c r="D38" s="66">
        <v>0.51423799999999997</v>
      </c>
      <c r="E38" s="66">
        <v>0</v>
      </c>
      <c r="F38" s="66">
        <v>-80.252600000000001</v>
      </c>
      <c r="G38" s="66">
        <v>0</v>
      </c>
      <c r="H38" s="66">
        <v>88.999200000000002</v>
      </c>
    </row>
    <row r="39" spans="1:8">
      <c r="A39" s="66" t="s">
        <v>391</v>
      </c>
      <c r="B39" s="66">
        <v>13.6052</v>
      </c>
      <c r="C39" s="66">
        <v>5.8137600000000003</v>
      </c>
      <c r="D39" s="66">
        <v>0.42731799999999998</v>
      </c>
      <c r="E39" s="66">
        <v>0</v>
      </c>
      <c r="F39" s="66">
        <v>8.4328299999999992</v>
      </c>
      <c r="G39" s="66">
        <v>0</v>
      </c>
      <c r="H39" s="66">
        <v>49.1828</v>
      </c>
    </row>
    <row r="40" spans="1:8">
      <c r="A40" s="66" t="s">
        <v>392</v>
      </c>
      <c r="B40" s="66">
        <v>8.1039100000000008</v>
      </c>
      <c r="C40" s="66">
        <v>3.6398999999999999</v>
      </c>
      <c r="D40" s="66">
        <v>0.449154</v>
      </c>
      <c r="E40" s="66">
        <v>0</v>
      </c>
      <c r="F40" s="66">
        <v>4.4097099999999996</v>
      </c>
      <c r="G40" s="66">
        <v>0</v>
      </c>
      <c r="H40" s="66">
        <v>20.7742</v>
      </c>
    </row>
    <row r="41" spans="1:8">
      <c r="A41" s="66" t="s">
        <v>393</v>
      </c>
      <c r="B41" s="66">
        <v>0.26209700000000002</v>
      </c>
      <c r="C41" s="66">
        <v>0.12900500000000001</v>
      </c>
      <c r="D41" s="66">
        <v>0.492203</v>
      </c>
      <c r="E41" s="66">
        <v>0</v>
      </c>
      <c r="F41" s="66">
        <v>-0.23416000000000001</v>
      </c>
      <c r="G41" s="66">
        <v>0</v>
      </c>
      <c r="H41" s="66">
        <v>0.48021399999999997</v>
      </c>
    </row>
    <row r="42" spans="1:8">
      <c r="A42" s="66" t="s">
        <v>394</v>
      </c>
      <c r="B42" s="66">
        <v>0.179844</v>
      </c>
      <c r="C42" s="66">
        <v>5.2926500000000001E-2</v>
      </c>
      <c r="D42" s="66">
        <v>0.29429100000000002</v>
      </c>
      <c r="E42" s="66">
        <v>0</v>
      </c>
      <c r="F42" s="66">
        <v>0.13703000000000001</v>
      </c>
      <c r="G42" s="66">
        <v>0</v>
      </c>
      <c r="H42" s="66">
        <v>0.51826000000000005</v>
      </c>
    </row>
    <row r="43" spans="1:8">
      <c r="A43" s="66" t="s">
        <v>395</v>
      </c>
      <c r="B43" s="66">
        <v>0.19983400000000001</v>
      </c>
      <c r="C43" s="66">
        <v>5.61732E-2</v>
      </c>
      <c r="D43" s="66">
        <v>0.28109899999999999</v>
      </c>
      <c r="E43" s="66">
        <v>0</v>
      </c>
      <c r="F43" s="66">
        <v>0.141932</v>
      </c>
      <c r="G43" s="66">
        <v>0</v>
      </c>
      <c r="H43" s="66">
        <v>0.41089500000000001</v>
      </c>
    </row>
    <row r="44" spans="1:8">
      <c r="A44" s="66" t="s">
        <v>396</v>
      </c>
      <c r="B44" s="66">
        <v>13.193300000000001</v>
      </c>
      <c r="C44" s="66">
        <v>7.4287000000000001</v>
      </c>
      <c r="D44" s="66">
        <v>0.56306699999999998</v>
      </c>
      <c r="E44" s="66">
        <v>0</v>
      </c>
      <c r="F44" s="66">
        <v>7.9394600000000004</v>
      </c>
      <c r="G44" s="66">
        <v>0</v>
      </c>
      <c r="H44" s="66">
        <v>38.559800000000003</v>
      </c>
    </row>
    <row r="45" spans="1:8">
      <c r="A45" s="66" t="s">
        <v>397</v>
      </c>
      <c r="B45" s="66">
        <v>58.809899999999999</v>
      </c>
      <c r="C45" s="66">
        <v>5.1598699999999997</v>
      </c>
      <c r="D45" s="66">
        <v>8.7738099999999999E-2</v>
      </c>
      <c r="E45" s="66">
        <v>0</v>
      </c>
      <c r="F45" s="66">
        <v>51.704099999999997</v>
      </c>
      <c r="G45" s="66">
        <v>0</v>
      </c>
      <c r="H45" s="66">
        <v>73.687200000000004</v>
      </c>
    </row>
    <row r="46" spans="1:8">
      <c r="A46" s="66" t="s">
        <v>398</v>
      </c>
      <c r="B46" s="66">
        <v>31.651399999999999</v>
      </c>
      <c r="C46" s="66">
        <v>9.85093</v>
      </c>
      <c r="D46" s="66">
        <v>0.31123200000000001</v>
      </c>
      <c r="E46" s="66">
        <v>0</v>
      </c>
      <c r="F46" s="66">
        <v>15.122400000000001</v>
      </c>
      <c r="G46" s="66">
        <v>0</v>
      </c>
      <c r="H46" s="66">
        <v>48.176699999999997</v>
      </c>
    </row>
    <row r="47" spans="1:8">
      <c r="A47" s="66" t="s">
        <v>399</v>
      </c>
      <c r="B47" s="66">
        <v>1.6148</v>
      </c>
      <c r="C47" s="66">
        <v>0.47245300000000001</v>
      </c>
      <c r="D47" s="66">
        <v>0.29257699999999998</v>
      </c>
      <c r="E47" s="66">
        <v>0</v>
      </c>
      <c r="F47" s="66">
        <v>1.0321499999999999</v>
      </c>
      <c r="G47" s="66">
        <v>0</v>
      </c>
      <c r="H47" s="66">
        <v>3.0798000000000001</v>
      </c>
    </row>
    <row r="48" spans="1:8">
      <c r="A48" s="66" t="s">
        <v>400</v>
      </c>
      <c r="B48" s="66">
        <v>1.8705499999999999</v>
      </c>
      <c r="C48" s="66">
        <v>0.22975400000000001</v>
      </c>
      <c r="D48" s="66">
        <v>0.12282700000000001</v>
      </c>
      <c r="E48" s="66">
        <v>0</v>
      </c>
      <c r="F48" s="66">
        <v>1.4827600000000001</v>
      </c>
      <c r="G48" s="66">
        <v>0</v>
      </c>
      <c r="H48" s="66">
        <v>2.1918600000000001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62.976399999999998</v>
      </c>
      <c r="C5" s="66">
        <v>1.8010600000000001</v>
      </c>
      <c r="D5" s="66">
        <v>2.85989</v>
      </c>
      <c r="E5" s="66">
        <v>20</v>
      </c>
      <c r="F5" s="66">
        <v>60.599699999999999</v>
      </c>
      <c r="G5" s="66">
        <v>50</v>
      </c>
      <c r="H5" s="66">
        <v>71.334999999999994</v>
      </c>
    </row>
    <row r="6" spans="1:8">
      <c r="A6" s="66" t="s">
        <v>358</v>
      </c>
      <c r="B6" s="66">
        <v>30.072399999999998</v>
      </c>
      <c r="C6" s="66">
        <v>1.3500700000000001</v>
      </c>
      <c r="D6" s="66">
        <v>4.4893999999999998</v>
      </c>
      <c r="E6" s="66">
        <v>20</v>
      </c>
      <c r="F6" s="66">
        <v>26.886600000000001</v>
      </c>
      <c r="G6" s="66">
        <v>40</v>
      </c>
      <c r="H6" s="66">
        <v>32.172199999999997</v>
      </c>
    </row>
    <row r="7" spans="1:8">
      <c r="A7" s="66" t="s">
        <v>359</v>
      </c>
      <c r="B7" s="66">
        <v>19.363299999999999</v>
      </c>
      <c r="C7" s="66">
        <v>1.84266</v>
      </c>
      <c r="D7" s="66">
        <v>9.5162200000000006</v>
      </c>
      <c r="E7" s="66">
        <v>15</v>
      </c>
      <c r="F7" s="66">
        <v>15.7072</v>
      </c>
      <c r="G7" s="66">
        <v>40</v>
      </c>
      <c r="H7" s="66">
        <v>27.241099999999999</v>
      </c>
    </row>
    <row r="8" spans="1:8">
      <c r="A8" s="66" t="s">
        <v>360</v>
      </c>
      <c r="B8" s="66">
        <v>37.840699999999998</v>
      </c>
      <c r="C8" s="66">
        <v>0.61447300000000005</v>
      </c>
      <c r="D8" s="66">
        <v>1.62384</v>
      </c>
      <c r="E8" s="66">
        <v>20</v>
      </c>
      <c r="F8" s="66">
        <v>36.316299999999998</v>
      </c>
      <c r="G8" s="66">
        <v>50</v>
      </c>
      <c r="H8" s="66">
        <v>39.062899999999999</v>
      </c>
    </row>
    <row r="9" spans="1:8">
      <c r="A9" s="66" t="s">
        <v>361</v>
      </c>
      <c r="B9" s="66">
        <v>50.808</v>
      </c>
      <c r="C9" s="66">
        <v>3.3775599999999999</v>
      </c>
      <c r="D9" s="66">
        <v>6.6477000000000004</v>
      </c>
      <c r="E9" s="66">
        <v>50</v>
      </c>
      <c r="F9" s="66">
        <v>39.870399999999997</v>
      </c>
      <c r="G9" s="66">
        <v>100</v>
      </c>
      <c r="H9" s="66">
        <v>60.153100000000002</v>
      </c>
    </row>
    <row r="10" spans="1:8">
      <c r="A10" s="66" t="s">
        <v>362</v>
      </c>
      <c r="B10" s="66">
        <v>71.255600000000001</v>
      </c>
      <c r="C10" s="66">
        <v>3.8976700000000002</v>
      </c>
      <c r="D10" s="66">
        <v>5.4699799999999996</v>
      </c>
      <c r="E10" s="66">
        <v>40</v>
      </c>
      <c r="F10" s="66">
        <v>61.035200000000003</v>
      </c>
      <c r="G10" s="66">
        <v>100</v>
      </c>
      <c r="H10" s="66">
        <v>74.366900000000001</v>
      </c>
    </row>
    <row r="11" spans="1:8">
      <c r="A11" s="66" t="s">
        <v>363</v>
      </c>
      <c r="B11" s="66">
        <v>44.899799999999999</v>
      </c>
      <c r="C11" s="66">
        <v>0.57670100000000002</v>
      </c>
      <c r="D11" s="66">
        <v>1.2844199999999999</v>
      </c>
      <c r="E11" s="66">
        <v>10</v>
      </c>
      <c r="F11" s="66">
        <v>43.780799999999999</v>
      </c>
      <c r="G11" s="66">
        <v>50</v>
      </c>
      <c r="H11" s="66">
        <v>46.128799999999998</v>
      </c>
    </row>
    <row r="12" spans="1:8">
      <c r="A12" s="66" t="s">
        <v>364</v>
      </c>
      <c r="B12" s="66">
        <v>60.800600000000003</v>
      </c>
      <c r="C12" s="66">
        <v>3.0541999999999998</v>
      </c>
      <c r="D12" s="66">
        <v>5.0233100000000004</v>
      </c>
      <c r="E12" s="66">
        <v>50</v>
      </c>
      <c r="F12" s="66">
        <v>51.822400000000002</v>
      </c>
      <c r="G12" s="66">
        <v>100</v>
      </c>
      <c r="H12" s="66">
        <v>66.758700000000005</v>
      </c>
    </row>
    <row r="13" spans="1:8">
      <c r="A13" s="66" t="s">
        <v>365</v>
      </c>
      <c r="B13" s="66">
        <v>17.340900000000001</v>
      </c>
      <c r="C13" s="66">
        <v>1.45383</v>
      </c>
      <c r="D13" s="66">
        <v>8.3838600000000003</v>
      </c>
      <c r="E13" s="66">
        <v>10</v>
      </c>
      <c r="F13" s="66">
        <v>15.3614</v>
      </c>
      <c r="G13" s="66">
        <v>25</v>
      </c>
      <c r="H13" s="66">
        <v>20.932500000000001</v>
      </c>
    </row>
    <row r="14" spans="1:8">
      <c r="A14" s="66" t="s">
        <v>366</v>
      </c>
      <c r="B14" s="66">
        <v>14.5383</v>
      </c>
      <c r="C14" s="66">
        <v>4.4217300000000002</v>
      </c>
      <c r="D14" s="66">
        <v>30.414300000000001</v>
      </c>
      <c r="E14" s="66">
        <v>10</v>
      </c>
      <c r="F14" s="66">
        <v>1.7085900000000001</v>
      </c>
      <c r="G14" s="66">
        <v>50</v>
      </c>
      <c r="H14" s="66">
        <v>20.3247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0.347082</v>
      </c>
      <c r="C18" s="66">
        <v>0.110722</v>
      </c>
      <c r="D18" s="66">
        <v>0.31900699999999999</v>
      </c>
      <c r="E18" s="66">
        <v>0</v>
      </c>
      <c r="F18" s="66">
        <v>0.23635999999999999</v>
      </c>
      <c r="G18" s="66">
        <v>0</v>
      </c>
      <c r="H18" s="66">
        <v>0.45780399999999999</v>
      </c>
    </row>
    <row r="19" spans="1:8">
      <c r="A19" s="66" t="s">
        <v>371</v>
      </c>
      <c r="B19" s="66">
        <v>0.43062899999999998</v>
      </c>
      <c r="C19" s="66">
        <v>2.52532E-2</v>
      </c>
      <c r="D19" s="66">
        <v>5.8642600000000003E-2</v>
      </c>
      <c r="E19" s="66">
        <v>0</v>
      </c>
      <c r="F19" s="66">
        <v>0.40537600000000001</v>
      </c>
      <c r="G19" s="66">
        <v>0</v>
      </c>
      <c r="H19" s="66">
        <v>0.45588200000000001</v>
      </c>
    </row>
    <row r="20" spans="1:8">
      <c r="A20" s="66" t="s">
        <v>372</v>
      </c>
      <c r="B20" s="66">
        <v>1.8638499999999999E-2</v>
      </c>
      <c r="C20" s="66">
        <v>1.40292E-2</v>
      </c>
      <c r="D20" s="66">
        <v>0.75270199999999998</v>
      </c>
      <c r="E20" s="66">
        <v>0</v>
      </c>
      <c r="F20" s="66">
        <v>4.64877E-3</v>
      </c>
      <c r="G20" s="66">
        <v>0</v>
      </c>
      <c r="H20" s="66">
        <v>9.5667699999999994E-2</v>
      </c>
    </row>
    <row r="21" spans="1:8">
      <c r="A21" s="66" t="s">
        <v>373</v>
      </c>
      <c r="B21" s="66">
        <v>0.55202600000000002</v>
      </c>
      <c r="C21" s="66">
        <v>0.29571999999999998</v>
      </c>
      <c r="D21" s="66">
        <v>0.53569900000000004</v>
      </c>
      <c r="E21" s="66">
        <v>0</v>
      </c>
      <c r="F21" s="66">
        <v>1.6118899999999999E-2</v>
      </c>
      <c r="G21" s="66">
        <v>0</v>
      </c>
      <c r="H21" s="66">
        <v>1.29318</v>
      </c>
    </row>
    <row r="22" spans="1:8">
      <c r="A22" s="66" t="s">
        <v>374</v>
      </c>
      <c r="B22" s="66">
        <v>57.588299999999997</v>
      </c>
      <c r="C22" s="66">
        <v>8.0670699999999993</v>
      </c>
      <c r="D22" s="66">
        <v>0.14008200000000001</v>
      </c>
      <c r="E22" s="66">
        <v>0</v>
      </c>
      <c r="F22" s="66">
        <v>43.677399999999999</v>
      </c>
      <c r="G22" s="66">
        <v>0</v>
      </c>
      <c r="H22" s="66">
        <v>79.030699999999996</v>
      </c>
    </row>
    <row r="23" spans="1:8">
      <c r="A23" s="66" t="s">
        <v>375</v>
      </c>
      <c r="B23" s="66">
        <v>36.189300000000003</v>
      </c>
      <c r="C23" s="66">
        <v>1.7786299999999999</v>
      </c>
      <c r="D23" s="66">
        <v>4.9147900000000001E-2</v>
      </c>
      <c r="E23" s="66">
        <v>0</v>
      </c>
      <c r="F23" s="66">
        <v>32.506399999999999</v>
      </c>
      <c r="G23" s="66">
        <v>0</v>
      </c>
      <c r="H23" s="66">
        <v>38.777799999999999</v>
      </c>
    </row>
    <row r="24" spans="1:8">
      <c r="A24" s="66" t="s">
        <v>376</v>
      </c>
      <c r="B24" s="66">
        <v>1.93989E-2</v>
      </c>
      <c r="C24" s="66">
        <v>1.04873E-2</v>
      </c>
      <c r="D24" s="66">
        <v>0.54061400000000004</v>
      </c>
      <c r="E24" s="66">
        <v>0</v>
      </c>
      <c r="F24" s="66">
        <v>5.6169799999999997E-3</v>
      </c>
      <c r="G24" s="66">
        <v>0</v>
      </c>
      <c r="H24" s="66">
        <v>4.4187700000000003E-2</v>
      </c>
    </row>
    <row r="25" spans="1:8">
      <c r="A25" s="66" t="s">
        <v>377</v>
      </c>
      <c r="B25" s="66">
        <v>0.557141</v>
      </c>
      <c r="C25" s="66">
        <v>8.3083199999999996E-2</v>
      </c>
      <c r="D25" s="66">
        <v>0.14912400000000001</v>
      </c>
      <c r="E25" s="66">
        <v>0</v>
      </c>
      <c r="F25" s="66">
        <v>0.35980699999999999</v>
      </c>
      <c r="G25" s="66">
        <v>0</v>
      </c>
      <c r="H25" s="66">
        <v>0.70738100000000004</v>
      </c>
    </row>
    <row r="26" spans="1:8">
      <c r="A26" s="66" t="s">
        <v>378</v>
      </c>
      <c r="B26" s="66">
        <v>3.6338E-3</v>
      </c>
      <c r="C26" s="66">
        <v>2.6134999999999999E-3</v>
      </c>
      <c r="D26" s="66">
        <v>0.71921999999999997</v>
      </c>
      <c r="E26" s="66">
        <v>0</v>
      </c>
      <c r="F26" s="66">
        <v>7.3857700000000003E-4</v>
      </c>
      <c r="G26" s="66">
        <v>0</v>
      </c>
      <c r="H26" s="66">
        <v>1.3228699999999999E-2</v>
      </c>
    </row>
    <row r="27" spans="1:8">
      <c r="A27" s="66" t="s">
        <v>379</v>
      </c>
      <c r="B27" s="196">
        <v>-2.9543199999999999E-5</v>
      </c>
      <c r="C27" s="66">
        <v>1.4478500000000001E-3</v>
      </c>
      <c r="D27" s="66">
        <v>-49.008099999999999</v>
      </c>
      <c r="E27" s="66">
        <v>0</v>
      </c>
      <c r="F27" s="66">
        <v>-5.6066199999999997E-3</v>
      </c>
      <c r="G27" s="66">
        <v>0</v>
      </c>
      <c r="H27" s="66">
        <v>4.8614799999999996E-3</v>
      </c>
    </row>
    <row r="28" spans="1:8">
      <c r="A28" s="66" t="s">
        <v>380</v>
      </c>
      <c r="B28" s="66">
        <v>6.1966100000000003E-2</v>
      </c>
      <c r="C28" s="66">
        <v>2.37419E-2</v>
      </c>
      <c r="D28" s="66">
        <v>0.38314399999999998</v>
      </c>
      <c r="E28" s="66">
        <v>0</v>
      </c>
      <c r="F28" s="66">
        <v>4.2578099999999999E-3</v>
      </c>
      <c r="G28" s="66">
        <v>0</v>
      </c>
      <c r="H28" s="66">
        <v>9.8733699999999994E-2</v>
      </c>
    </row>
    <row r="29" spans="1:8">
      <c r="A29" s="66" t="s">
        <v>381</v>
      </c>
      <c r="B29" s="66">
        <v>94.091200000000001</v>
      </c>
      <c r="C29" s="66">
        <v>8.8613199999999992</v>
      </c>
      <c r="D29" s="66">
        <v>9.4178100000000001E-2</v>
      </c>
      <c r="E29" s="66">
        <v>0</v>
      </c>
      <c r="F29" s="66">
        <v>77.831500000000005</v>
      </c>
      <c r="G29" s="66">
        <v>0</v>
      </c>
      <c r="H29" s="66">
        <v>118.292</v>
      </c>
    </row>
    <row r="30" spans="1:8">
      <c r="A30" s="66" t="s">
        <v>382</v>
      </c>
      <c r="B30" s="66">
        <v>50.400399999999998</v>
      </c>
      <c r="C30" s="66">
        <v>1.33785</v>
      </c>
      <c r="D30" s="66">
        <v>2.6544399999999999E-2</v>
      </c>
      <c r="E30" s="66">
        <v>0</v>
      </c>
      <c r="F30" s="66">
        <v>46.045099999999998</v>
      </c>
      <c r="G30" s="66">
        <v>0</v>
      </c>
      <c r="H30" s="66">
        <v>52.380800000000001</v>
      </c>
    </row>
    <row r="31" spans="1:8">
      <c r="A31" s="66" t="s">
        <v>383</v>
      </c>
      <c r="B31" s="66">
        <v>173.10900000000001</v>
      </c>
      <c r="C31" s="66">
        <v>6.0604100000000001</v>
      </c>
      <c r="D31" s="66">
        <v>3.5009199999999997E-2</v>
      </c>
      <c r="E31" s="66">
        <v>0</v>
      </c>
      <c r="F31" s="66">
        <v>162.88900000000001</v>
      </c>
      <c r="G31" s="66">
        <v>0</v>
      </c>
      <c r="H31" s="66">
        <v>187.23</v>
      </c>
    </row>
    <row r="32" spans="1:8">
      <c r="A32" s="66" t="s">
        <v>384</v>
      </c>
      <c r="B32" s="66">
        <v>0.193633</v>
      </c>
      <c r="C32" s="66">
        <v>1.8426600000000001E-2</v>
      </c>
      <c r="D32" s="66">
        <v>9.5162200000000002E-2</v>
      </c>
      <c r="E32" s="66">
        <v>0.15</v>
      </c>
      <c r="F32" s="66">
        <v>0.15707199999999999</v>
      </c>
      <c r="G32" s="66">
        <v>0.4</v>
      </c>
      <c r="H32" s="66">
        <v>0.27241100000000001</v>
      </c>
    </row>
    <row r="33" spans="1:8">
      <c r="A33" s="66" t="s">
        <v>385</v>
      </c>
      <c r="B33" s="66">
        <v>0.359182</v>
      </c>
      <c r="C33" s="66">
        <v>2.0192700000000001E-2</v>
      </c>
      <c r="D33" s="66">
        <v>5.6218600000000001E-2</v>
      </c>
      <c r="E33" s="66">
        <v>0</v>
      </c>
      <c r="F33" s="66">
        <v>0.30833300000000002</v>
      </c>
      <c r="G33" s="66">
        <v>0</v>
      </c>
      <c r="H33" s="66">
        <v>0.38844899999999999</v>
      </c>
    </row>
    <row r="34" spans="1:8">
      <c r="A34" s="66" t="s">
        <v>386</v>
      </c>
      <c r="B34" s="66">
        <v>0.17340900000000001</v>
      </c>
      <c r="C34" s="66">
        <v>1.4538300000000001E-2</v>
      </c>
      <c r="D34" s="66">
        <v>8.3838599999999999E-2</v>
      </c>
      <c r="E34" s="66">
        <v>0.1</v>
      </c>
      <c r="F34" s="66">
        <v>0.153614</v>
      </c>
      <c r="G34" s="66">
        <v>0.25</v>
      </c>
      <c r="H34" s="66">
        <v>0.20932500000000001</v>
      </c>
    </row>
    <row r="35" spans="1:8">
      <c r="A35" s="66" t="s">
        <v>387</v>
      </c>
      <c r="B35" s="66">
        <v>6.9427199999999994E-2</v>
      </c>
      <c r="C35" s="66">
        <v>1.6929400000000001E-2</v>
      </c>
      <c r="D35" s="66">
        <v>0.243843</v>
      </c>
      <c r="E35" s="66">
        <v>0</v>
      </c>
      <c r="F35" s="66">
        <v>3.0262000000000001E-2</v>
      </c>
      <c r="G35" s="66">
        <v>0</v>
      </c>
      <c r="H35" s="66">
        <v>9.1033600000000006E-2</v>
      </c>
    </row>
    <row r="36" spans="1:8">
      <c r="A36" s="66" t="s">
        <v>388</v>
      </c>
      <c r="B36" s="66">
        <v>0.15603</v>
      </c>
      <c r="C36" s="66">
        <v>7.13361E-2</v>
      </c>
      <c r="D36" s="66">
        <v>0.45719399999999999</v>
      </c>
      <c r="E36" s="66">
        <v>0</v>
      </c>
      <c r="F36" s="66">
        <v>5.8695600000000001E-2</v>
      </c>
      <c r="G36" s="66">
        <v>0</v>
      </c>
      <c r="H36" s="66">
        <v>0.37798700000000002</v>
      </c>
    </row>
    <row r="37" spans="1:8">
      <c r="A37" s="66" t="s">
        <v>389</v>
      </c>
      <c r="B37" s="66">
        <v>0.14538300000000001</v>
      </c>
      <c r="C37" s="66">
        <v>4.4217300000000001E-2</v>
      </c>
      <c r="D37" s="66">
        <v>0.304143</v>
      </c>
      <c r="E37" s="66">
        <v>0.1</v>
      </c>
      <c r="F37" s="66">
        <v>1.7085900000000001E-2</v>
      </c>
      <c r="G37" s="66">
        <v>0.5</v>
      </c>
      <c r="H37" s="66">
        <v>0.20324700000000001</v>
      </c>
    </row>
    <row r="38" spans="1:8">
      <c r="A38" s="66" t="s">
        <v>390</v>
      </c>
      <c r="B38" s="66">
        <v>49.1877</v>
      </c>
      <c r="C38" s="66">
        <v>20.647300000000001</v>
      </c>
      <c r="D38" s="66">
        <v>0.41976599999999997</v>
      </c>
      <c r="E38" s="66">
        <v>0</v>
      </c>
      <c r="F38" s="66">
        <v>-7.3303900000000004</v>
      </c>
      <c r="G38" s="66">
        <v>0</v>
      </c>
      <c r="H38" s="66">
        <v>90.07</v>
      </c>
    </row>
    <row r="39" spans="1:8">
      <c r="A39" s="66" t="s">
        <v>391</v>
      </c>
      <c r="B39" s="66">
        <v>14.2113</v>
      </c>
      <c r="C39" s="66">
        <v>3.3008999999999999</v>
      </c>
      <c r="D39" s="66">
        <v>0.23227200000000001</v>
      </c>
      <c r="E39" s="66">
        <v>0</v>
      </c>
      <c r="F39" s="66">
        <v>9.5175900000000002</v>
      </c>
      <c r="G39" s="66">
        <v>0</v>
      </c>
      <c r="H39" s="66">
        <v>23.685700000000001</v>
      </c>
    </row>
    <row r="40" spans="1:8">
      <c r="A40" s="66" t="s">
        <v>392</v>
      </c>
      <c r="B40" s="66">
        <v>10.4337</v>
      </c>
      <c r="C40" s="66">
        <v>4.2772100000000002</v>
      </c>
      <c r="D40" s="66">
        <v>0.40994399999999998</v>
      </c>
      <c r="E40" s="66">
        <v>0</v>
      </c>
      <c r="F40" s="66">
        <v>8.3715600000000006</v>
      </c>
      <c r="G40" s="66">
        <v>0</v>
      </c>
      <c r="H40" s="66">
        <v>20.748699999999999</v>
      </c>
    </row>
    <row r="41" spans="1:8">
      <c r="A41" s="66" t="s">
        <v>393</v>
      </c>
      <c r="B41" s="66">
        <v>0.24662700000000001</v>
      </c>
      <c r="C41" s="66">
        <v>0.12926099999999999</v>
      </c>
      <c r="D41" s="66">
        <v>0.52411799999999997</v>
      </c>
      <c r="E41" s="66">
        <v>0</v>
      </c>
      <c r="F41" s="66">
        <v>1.01946E-2</v>
      </c>
      <c r="G41" s="66">
        <v>0</v>
      </c>
      <c r="H41" s="66">
        <v>0.77142900000000003</v>
      </c>
    </row>
    <row r="42" spans="1:8">
      <c r="A42" s="66" t="s">
        <v>394</v>
      </c>
      <c r="B42" s="66">
        <v>0.15332699999999999</v>
      </c>
      <c r="C42" s="66">
        <v>3.7645900000000003E-2</v>
      </c>
      <c r="D42" s="66">
        <v>0.245528</v>
      </c>
      <c r="E42" s="66">
        <v>0</v>
      </c>
      <c r="F42" s="66">
        <v>5.59389E-2</v>
      </c>
      <c r="G42" s="66">
        <v>0</v>
      </c>
      <c r="H42" s="66">
        <v>0.21582399999999999</v>
      </c>
    </row>
    <row r="43" spans="1:8">
      <c r="A43" s="66" t="s">
        <v>395</v>
      </c>
      <c r="B43" s="66">
        <v>0.16531999999999999</v>
      </c>
      <c r="C43" s="66">
        <v>0.104542</v>
      </c>
      <c r="D43" s="66">
        <v>0.63236300000000001</v>
      </c>
      <c r="E43" s="66">
        <v>0</v>
      </c>
      <c r="F43" s="66">
        <v>8.7150599999999995E-2</v>
      </c>
      <c r="G43" s="66">
        <v>0</v>
      </c>
      <c r="H43" s="66">
        <v>0.40742899999999999</v>
      </c>
    </row>
    <row r="44" spans="1:8">
      <c r="A44" s="66" t="s">
        <v>396</v>
      </c>
      <c r="B44" s="66">
        <v>24.063600000000001</v>
      </c>
      <c r="C44" s="66">
        <v>7.91099</v>
      </c>
      <c r="D44" s="66">
        <v>0.32875300000000002</v>
      </c>
      <c r="E44" s="66">
        <v>0</v>
      </c>
      <c r="F44" s="66">
        <v>11.882999999999999</v>
      </c>
      <c r="G44" s="66">
        <v>0</v>
      </c>
      <c r="H44" s="66">
        <v>44.872300000000003</v>
      </c>
    </row>
    <row r="45" spans="1:8">
      <c r="A45" s="66" t="s">
        <v>397</v>
      </c>
      <c r="B45" s="66">
        <v>55.958300000000001</v>
      </c>
      <c r="C45" s="66">
        <v>5.8513500000000001</v>
      </c>
      <c r="D45" s="66">
        <v>0.10456600000000001</v>
      </c>
      <c r="E45" s="66">
        <v>0</v>
      </c>
      <c r="F45" s="66">
        <v>44.8705</v>
      </c>
      <c r="G45" s="66">
        <v>0</v>
      </c>
      <c r="H45" s="66">
        <v>70.330399999999997</v>
      </c>
    </row>
    <row r="46" spans="1:8">
      <c r="A46" s="66" t="s">
        <v>398</v>
      </c>
      <c r="B46" s="66">
        <v>47.391399999999997</v>
      </c>
      <c r="C46" s="66">
        <v>1.12215</v>
      </c>
      <c r="D46" s="66">
        <v>2.3678399999999999E-2</v>
      </c>
      <c r="E46" s="66">
        <v>0</v>
      </c>
      <c r="F46" s="66">
        <v>45.334499999999998</v>
      </c>
      <c r="G46" s="66">
        <v>0</v>
      </c>
      <c r="H46" s="66">
        <v>49.578400000000002</v>
      </c>
    </row>
    <row r="47" spans="1:8">
      <c r="A47" s="66" t="s">
        <v>399</v>
      </c>
      <c r="B47" s="66">
        <v>1.77725</v>
      </c>
      <c r="C47" s="66">
        <v>0.53156099999999995</v>
      </c>
      <c r="D47" s="66">
        <v>0.29909200000000002</v>
      </c>
      <c r="E47" s="66">
        <v>0</v>
      </c>
      <c r="F47" s="66">
        <v>0.77449599999999996</v>
      </c>
      <c r="G47" s="66">
        <v>0</v>
      </c>
      <c r="H47" s="66">
        <v>3.1524000000000001</v>
      </c>
    </row>
    <row r="48" spans="1:8">
      <c r="A48" s="66" t="s">
        <v>400</v>
      </c>
      <c r="B48" s="66">
        <v>1.4938199999999999</v>
      </c>
      <c r="C48" s="66">
        <v>5.9224499999999999E-2</v>
      </c>
      <c r="D48" s="66">
        <v>3.9646500000000001E-2</v>
      </c>
      <c r="E48" s="66">
        <v>0</v>
      </c>
      <c r="F48" s="66">
        <v>1.40008</v>
      </c>
      <c r="G48" s="66">
        <v>0</v>
      </c>
      <c r="H48" s="66">
        <v>1.6288199999999999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136.33186932656434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2.6322262304356867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0.87808170492754889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1141</v>
      </c>
      <c r="B8" s="66">
        <v>1141</v>
      </c>
      <c r="D8">
        <f t="shared" si="0"/>
        <v>9.2179673614477299E-3</v>
      </c>
      <c r="E8">
        <f t="shared" si="0"/>
        <v>9.2179673614477299E-3</v>
      </c>
      <c r="G8">
        <f t="shared" ca="1" si="1"/>
        <v>6</v>
      </c>
      <c r="H8">
        <f t="shared" ca="1" si="2"/>
        <v>5.5307804168686379E-2</v>
      </c>
      <c r="I8">
        <f t="shared" ca="1" si="3"/>
        <v>156.58004541138092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1677</v>
      </c>
      <c r="B10" s="66">
        <v>1677</v>
      </c>
      <c r="D10">
        <f t="shared" si="0"/>
        <v>1.3548230731943771E-2</v>
      </c>
      <c r="E10">
        <f t="shared" si="0"/>
        <v>1.3548230731943771E-2</v>
      </c>
      <c r="G10">
        <f t="shared" ca="1" si="1"/>
        <v>8</v>
      </c>
      <c r="H10">
        <f t="shared" ca="1" si="2"/>
        <v>0.10838584585555017</v>
      </c>
      <c r="I10">
        <f t="shared" ca="1" si="3"/>
        <v>223.12674248258278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1953</v>
      </c>
      <c r="B13" s="66">
        <v>1953</v>
      </c>
      <c r="D13">
        <f t="shared" si="0"/>
        <v>1.5777993213766359E-2</v>
      </c>
      <c r="E13">
        <f t="shared" si="0"/>
        <v>1.5777993213766359E-2</v>
      </c>
      <c r="G13">
        <f t="shared" ca="1" si="1"/>
        <v>11</v>
      </c>
      <c r="H13">
        <f t="shared" ca="1" si="2"/>
        <v>0.17355792535142994</v>
      </c>
      <c r="I13">
        <f t="shared" ca="1" si="3"/>
        <v>247.84193970547847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1302</v>
      </c>
      <c r="B15" s="66">
        <v>1302</v>
      </c>
      <c r="D15">
        <f t="shared" si="0"/>
        <v>1.0518662142510906E-2</v>
      </c>
      <c r="E15">
        <f t="shared" si="0"/>
        <v>1.0518662142510906E-2</v>
      </c>
      <c r="G15">
        <f t="shared" ca="1" si="1"/>
        <v>13</v>
      </c>
      <c r="H15">
        <f t="shared" ca="1" si="2"/>
        <v>0.13674260785264178</v>
      </c>
      <c r="I15">
        <f t="shared" ca="1" si="3"/>
        <v>159.99674009568051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2428</v>
      </c>
      <c r="B18" s="66">
        <v>2428</v>
      </c>
      <c r="D18">
        <f t="shared" si="0"/>
        <v>1.9615446760381322E-2</v>
      </c>
      <c r="E18">
        <f t="shared" si="0"/>
        <v>1.9615446760381322E-2</v>
      </c>
      <c r="G18">
        <f t="shared" ca="1" si="1"/>
        <v>16</v>
      </c>
      <c r="H18">
        <f t="shared" ca="1" si="2"/>
        <v>0.31384714816610115</v>
      </c>
      <c r="I18">
        <f t="shared" ca="1" si="3"/>
        <v>284.02693736644346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1858</v>
      </c>
      <c r="B21" s="66">
        <v>1858</v>
      </c>
      <c r="D21">
        <f t="shared" si="0"/>
        <v>1.5010502504443368E-2</v>
      </c>
      <c r="E21">
        <f t="shared" si="0"/>
        <v>1.5010502504443368E-2</v>
      </c>
      <c r="G21">
        <f t="shared" ca="1" si="1"/>
        <v>19</v>
      </c>
      <c r="H21">
        <f t="shared" ca="1" si="2"/>
        <v>0.28519954758442401</v>
      </c>
      <c r="I21">
        <f t="shared" ca="1" si="3"/>
        <v>206.64609893245574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2289</v>
      </c>
      <c r="B23" s="66">
        <v>2289</v>
      </c>
      <c r="D23">
        <f t="shared" si="0"/>
        <v>1.8492486669898205E-2</v>
      </c>
      <c r="E23">
        <f t="shared" si="0"/>
        <v>1.8492486669898205E-2</v>
      </c>
      <c r="G23">
        <f t="shared" ca="1" si="1"/>
        <v>21</v>
      </c>
      <c r="H23">
        <f t="shared" ca="1" si="2"/>
        <v>0.38834222006786229</v>
      </c>
      <c r="I23">
        <f t="shared" ca="1" si="3"/>
        <v>245.97670341348669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3479</v>
      </c>
      <c r="B26" s="66">
        <v>3479</v>
      </c>
      <c r="D26">
        <f t="shared" si="0"/>
        <v>2.8106317660365164E-2</v>
      </c>
      <c r="E26">
        <f t="shared" si="0"/>
        <v>2.8106317660365164E-2</v>
      </c>
      <c r="G26">
        <f t="shared" ca="1" si="1"/>
        <v>24</v>
      </c>
      <c r="H26">
        <f t="shared" ca="1" si="2"/>
        <v>0.67455162384876388</v>
      </c>
      <c r="I26">
        <f t="shared" ca="1" si="3"/>
        <v>354.6581322201223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3933</v>
      </c>
      <c r="B28" s="66">
        <v>3933</v>
      </c>
      <c r="D28">
        <f t="shared" si="0"/>
        <v>3.1774115365971883E-2</v>
      </c>
      <c r="E28">
        <f t="shared" si="0"/>
        <v>3.1774115365971883E-2</v>
      </c>
      <c r="G28">
        <f t="shared" ca="1" si="1"/>
        <v>26</v>
      </c>
      <c r="H28">
        <f t="shared" ca="1" si="2"/>
        <v>0.82612699951526891</v>
      </c>
      <c r="I28">
        <f t="shared" ca="1" si="3"/>
        <v>386.79016338105492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7769</v>
      </c>
      <c r="B31" s="66">
        <v>7769</v>
      </c>
      <c r="D31">
        <f t="shared" si="0"/>
        <v>6.2764582323477133E-2</v>
      </c>
      <c r="E31">
        <f t="shared" si="0"/>
        <v>6.2764582323477133E-2</v>
      </c>
      <c r="G31">
        <f t="shared" ca="1" si="1"/>
        <v>29</v>
      </c>
      <c r="H31">
        <f t="shared" ca="1" si="2"/>
        <v>1.8201728873808369</v>
      </c>
      <c r="I31">
        <f t="shared" ca="1" si="3"/>
        <v>723.05615862888476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9408</v>
      </c>
      <c r="B33" s="66">
        <v>9408</v>
      </c>
      <c r="D33">
        <f t="shared" si="0"/>
        <v>7.6005816771691714E-2</v>
      </c>
      <c r="E33">
        <f t="shared" si="0"/>
        <v>7.6005816771691714E-2</v>
      </c>
      <c r="G33">
        <f t="shared" ca="1" si="1"/>
        <v>31</v>
      </c>
      <c r="H33">
        <f t="shared" ca="1" si="2"/>
        <v>2.3561803199224434</v>
      </c>
      <c r="I33">
        <f t="shared" ca="1" si="3"/>
        <v>843.26954081720669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12669</v>
      </c>
      <c r="B36" s="66">
        <v>12669</v>
      </c>
      <c r="D36">
        <f t="shared" si="0"/>
        <v>0.10235094522539991</v>
      </c>
      <c r="E36">
        <f t="shared" si="0"/>
        <v>0.10235094522539991</v>
      </c>
      <c r="G36">
        <f t="shared" ca="1" si="1"/>
        <v>34</v>
      </c>
      <c r="H36">
        <f t="shared" ca="1" si="2"/>
        <v>3.4799321376635968</v>
      </c>
      <c r="I36">
        <f t="shared" ca="1" si="3"/>
        <v>1071.7998031867901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14701</v>
      </c>
      <c r="B39" s="66">
        <v>14701</v>
      </c>
      <c r="D39">
        <f t="shared" si="0"/>
        <v>0.11876716755534011</v>
      </c>
      <c r="E39">
        <f t="shared" si="0"/>
        <v>0.11876716755534011</v>
      </c>
      <c r="G39">
        <f t="shared" ca="1" si="1"/>
        <v>37</v>
      </c>
      <c r="H39">
        <f t="shared" ca="1" si="2"/>
        <v>4.3943851995475844</v>
      </c>
      <c r="I39">
        <f t="shared" ca="1" si="3"/>
        <v>1171.8542955221831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19382</v>
      </c>
      <c r="B41" s="66">
        <v>19382</v>
      </c>
      <c r="D41">
        <f t="shared" si="0"/>
        <v>0.1565842624010341</v>
      </c>
      <c r="E41">
        <f t="shared" si="0"/>
        <v>0.1565842624010341</v>
      </c>
      <c r="G41">
        <f t="shared" ca="1" si="1"/>
        <v>39</v>
      </c>
      <c r="H41">
        <f t="shared" ca="1" si="2"/>
        <v>6.1067862336403298</v>
      </c>
      <c r="I41">
        <f t="shared" ca="1" si="3"/>
        <v>1483.3998803518102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19530</v>
      </c>
      <c r="B44" s="66">
        <v>19530</v>
      </c>
      <c r="D44">
        <f t="shared" si="0"/>
        <v>0.15777993213766359</v>
      </c>
      <c r="E44">
        <f t="shared" si="0"/>
        <v>0.15777993213766359</v>
      </c>
      <c r="G44">
        <f t="shared" ca="1" si="1"/>
        <v>42</v>
      </c>
      <c r="H44">
        <f t="shared" ca="1" si="2"/>
        <v>6.6267571497818709</v>
      </c>
      <c r="I44">
        <f t="shared" ca="1" si="3"/>
        <v>1404.0049739431049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19613</v>
      </c>
      <c r="B46" s="66">
        <v>19613</v>
      </c>
      <c r="D46">
        <f t="shared" si="0"/>
        <v>0.15845047665212475</v>
      </c>
      <c r="E46">
        <f t="shared" si="0"/>
        <v>0.15845047665212475</v>
      </c>
      <c r="G46">
        <f t="shared" ca="1" si="1"/>
        <v>44</v>
      </c>
      <c r="H46">
        <f t="shared" ca="1" si="2"/>
        <v>6.9718209726934894</v>
      </c>
      <c r="I46">
        <f t="shared" ca="1" si="3"/>
        <v>1350.8178986317125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21797</v>
      </c>
      <c r="B49" s="66">
        <v>21797</v>
      </c>
      <c r="D49">
        <f t="shared" si="0"/>
        <v>0.17609468411698173</v>
      </c>
      <c r="E49">
        <f t="shared" si="0"/>
        <v>0.17609468411698173</v>
      </c>
      <c r="G49">
        <f t="shared" ca="1" si="1"/>
        <v>47</v>
      </c>
      <c r="H49">
        <f t="shared" ca="1" si="2"/>
        <v>8.2764501534981409</v>
      </c>
      <c r="I49">
        <f t="shared" ca="1" si="3"/>
        <v>1405.26778298769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24288</v>
      </c>
      <c r="B51" s="66">
        <v>24288</v>
      </c>
      <c r="D51">
        <f t="shared" si="0"/>
        <v>0.19621909840038779</v>
      </c>
      <c r="E51">
        <f t="shared" si="0"/>
        <v>0.19621909840038779</v>
      </c>
      <c r="G51">
        <f t="shared" ca="1" si="1"/>
        <v>49</v>
      </c>
      <c r="H51">
        <f t="shared" ca="1" si="2"/>
        <v>9.6147358216190018</v>
      </c>
      <c r="I51">
        <f t="shared" ca="1" si="3"/>
        <v>1496.5346902322785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26134</v>
      </c>
      <c r="B54" s="66">
        <v>26134</v>
      </c>
      <c r="D54">
        <f t="shared" si="0"/>
        <v>0.21113265470996931</v>
      </c>
      <c r="E54">
        <f t="shared" si="0"/>
        <v>0.21113265470996931</v>
      </c>
      <c r="G54">
        <f t="shared" ca="1" si="1"/>
        <v>52</v>
      </c>
      <c r="H54">
        <f t="shared" ca="1" si="2"/>
        <v>10.978898044918404</v>
      </c>
      <c r="I54">
        <f t="shared" ca="1" si="3"/>
        <v>1501.5467651284696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29020</v>
      </c>
      <c r="B57" s="66">
        <v>29020</v>
      </c>
      <c r="D57">
        <f t="shared" si="0"/>
        <v>0.23444821457424464</v>
      </c>
      <c r="E57">
        <f t="shared" si="0"/>
        <v>0.23444821457424464</v>
      </c>
      <c r="G57">
        <f t="shared" ca="1" si="1"/>
        <v>55</v>
      </c>
      <c r="H57">
        <f t="shared" ca="1" si="2"/>
        <v>12.894651801583455</v>
      </c>
      <c r="I57">
        <f t="shared" ca="1" si="3"/>
        <v>1550.8451570189843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33337</v>
      </c>
      <c r="B59" s="66">
        <v>33337</v>
      </c>
      <c r="D59">
        <f t="shared" si="0"/>
        <v>0.26932460817579579</v>
      </c>
      <c r="E59">
        <f t="shared" si="0"/>
        <v>0.26932460817579579</v>
      </c>
      <c r="G59">
        <f t="shared" ca="1" si="1"/>
        <v>57</v>
      </c>
      <c r="H59">
        <f t="shared" ca="1" si="2"/>
        <v>15.351502666020361</v>
      </c>
      <c r="I59">
        <f t="shared" ca="1" si="3"/>
        <v>1695.0066733589365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35584</v>
      </c>
      <c r="B62" s="66">
        <v>35584</v>
      </c>
      <c r="D62">
        <f t="shared" si="0"/>
        <v>0.2874777831636775</v>
      </c>
      <c r="E62">
        <f t="shared" si="0"/>
        <v>0.2874777831636775</v>
      </c>
      <c r="G62">
        <f t="shared" ca="1" si="1"/>
        <v>60</v>
      </c>
      <c r="H62">
        <f t="shared" ca="1" si="2"/>
        <v>17.248666989820649</v>
      </c>
      <c r="I62">
        <f t="shared" ca="1" si="3"/>
        <v>1675.0049064275631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39750</v>
      </c>
      <c r="B64" s="66">
        <v>39750</v>
      </c>
      <c r="D64">
        <f t="shared" si="0"/>
        <v>0.32113427047988369</v>
      </c>
      <c r="E64">
        <f t="shared" si="0"/>
        <v>0.32113427047988369</v>
      </c>
      <c r="G64">
        <f t="shared" ca="1" si="1"/>
        <v>62</v>
      </c>
      <c r="H64">
        <f t="shared" ca="1" si="2"/>
        <v>19.910324769752787</v>
      </c>
      <c r="I64">
        <f t="shared" ca="1" si="3"/>
        <v>1774.3396768772188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43354</v>
      </c>
      <c r="B67" s="66">
        <v>43354</v>
      </c>
      <c r="D67">
        <f t="shared" ref="D67:E130" si="4">IFERROR( A67/MAX(A$2:A$257), 0 )</f>
        <v>0.35025044433672647</v>
      </c>
      <c r="E67">
        <f t="shared" si="4"/>
        <v>0.35025044433672647</v>
      </c>
      <c r="G67">
        <f t="shared" ref="G67:G130" ca="1" si="5">CELL("row",D67)-2</f>
        <v>65</v>
      </c>
      <c r="H67">
        <f t="shared" ref="H67:H130" ca="1" si="6">D67*G67</f>
        <v>22.766278881887221</v>
      </c>
      <c r="I67">
        <f t="shared" ref="I67:I130" ca="1" si="7">D67*((G67-$L$1)^2)</f>
        <v>1782.1567733530653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50369</v>
      </c>
      <c r="B69" s="66">
        <v>50369</v>
      </c>
      <c r="D69">
        <f t="shared" si="4"/>
        <v>0.40692357408305058</v>
      </c>
      <c r="E69">
        <f t="shared" si="4"/>
        <v>0.40692357408305058</v>
      </c>
      <c r="G69">
        <f t="shared" ca="1" si="5"/>
        <v>67</v>
      </c>
      <c r="H69">
        <f t="shared" ca="1" si="6"/>
        <v>27.26387946356439</v>
      </c>
      <c r="I69">
        <f t="shared" ca="1" si="7"/>
        <v>1956.0442260969642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50709</v>
      </c>
      <c r="B72" s="66">
        <v>50709</v>
      </c>
      <c r="D72">
        <f t="shared" si="4"/>
        <v>0.40967038293746971</v>
      </c>
      <c r="E72">
        <f t="shared" si="4"/>
        <v>0.40967038293746971</v>
      </c>
      <c r="G72">
        <f t="shared" ca="1" si="5"/>
        <v>70</v>
      </c>
      <c r="H72">
        <f t="shared" ca="1" si="6"/>
        <v>28.67692680562288</v>
      </c>
      <c r="I72">
        <f t="shared" ca="1" si="7"/>
        <v>1802.5156365460098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50353</v>
      </c>
      <c r="B75" s="66">
        <v>50353</v>
      </c>
      <c r="D75">
        <f t="shared" si="4"/>
        <v>0.40679431248990144</v>
      </c>
      <c r="E75">
        <f t="shared" si="4"/>
        <v>0.40679431248990144</v>
      </c>
      <c r="G75">
        <f t="shared" ca="1" si="5"/>
        <v>73</v>
      </c>
      <c r="H75">
        <f t="shared" ca="1" si="6"/>
        <v>29.695984811762806</v>
      </c>
      <c r="I75">
        <f t="shared" ca="1" si="7"/>
        <v>1631.621751350842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52285</v>
      </c>
      <c r="B77" s="66">
        <v>52285</v>
      </c>
      <c r="D77">
        <f t="shared" si="4"/>
        <v>0.42240264986265957</v>
      </c>
      <c r="E77">
        <f t="shared" si="4"/>
        <v>0.42240264986265957</v>
      </c>
      <c r="G77">
        <f t="shared" ca="1" si="5"/>
        <v>75</v>
      </c>
      <c r="H77">
        <f t="shared" ca="1" si="6"/>
        <v>31.680198739699467</v>
      </c>
      <c r="I77">
        <f t="shared" ca="1" si="7"/>
        <v>1588.9090453249364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51692</v>
      </c>
      <c r="B80" s="66">
        <v>51692</v>
      </c>
      <c r="D80">
        <f t="shared" si="4"/>
        <v>0.41761189206656973</v>
      </c>
      <c r="E80">
        <f t="shared" si="4"/>
        <v>0.41761189206656973</v>
      </c>
      <c r="G80">
        <f t="shared" ca="1" si="5"/>
        <v>78</v>
      </c>
      <c r="H80">
        <f t="shared" ca="1" si="6"/>
        <v>32.573727581192436</v>
      </c>
      <c r="I80">
        <f t="shared" ca="1" si="7"/>
        <v>1420.9691385139702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52929</v>
      </c>
      <c r="B82" s="66">
        <v>52929</v>
      </c>
      <c r="D82">
        <f t="shared" si="4"/>
        <v>0.42760542898691228</v>
      </c>
      <c r="E82">
        <f t="shared" si="4"/>
        <v>0.42760542898691228</v>
      </c>
      <c r="G82">
        <f t="shared" ca="1" si="5"/>
        <v>80</v>
      </c>
      <c r="H82">
        <f t="shared" ca="1" si="6"/>
        <v>34.208434318952982</v>
      </c>
      <c r="I82">
        <f t="shared" ca="1" si="7"/>
        <v>1356.911542673306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52277</v>
      </c>
      <c r="B85" s="66">
        <v>52277</v>
      </c>
      <c r="D85">
        <f t="shared" si="4"/>
        <v>0.42233801906608498</v>
      </c>
      <c r="E85">
        <f t="shared" si="4"/>
        <v>0.42233801906608498</v>
      </c>
      <c r="G85">
        <f t="shared" ca="1" si="5"/>
        <v>83</v>
      </c>
      <c r="H85">
        <f t="shared" ca="1" si="6"/>
        <v>35.054055582485056</v>
      </c>
      <c r="I85">
        <f t="shared" ca="1" si="7"/>
        <v>1201.2510803054049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53253</v>
      </c>
      <c r="B88" s="66">
        <v>53253</v>
      </c>
      <c r="D88">
        <f t="shared" si="4"/>
        <v>0.43022297624818223</v>
      </c>
      <c r="E88">
        <f t="shared" si="4"/>
        <v>0.43022297624818223</v>
      </c>
      <c r="G88">
        <f t="shared" ca="1" si="5"/>
        <v>86</v>
      </c>
      <c r="H88">
        <f t="shared" ca="1" si="6"/>
        <v>36.999175957343674</v>
      </c>
      <c r="I88">
        <f t="shared" ca="1" si="7"/>
        <v>1089.8826051359088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54456</v>
      </c>
      <c r="B90" s="66">
        <v>54456</v>
      </c>
      <c r="D90">
        <f t="shared" si="4"/>
        <v>0.43994183228308287</v>
      </c>
      <c r="E90">
        <f t="shared" si="4"/>
        <v>0.43994183228308287</v>
      </c>
      <c r="G90">
        <f t="shared" ca="1" si="5"/>
        <v>88</v>
      </c>
      <c r="H90">
        <f t="shared" ca="1" si="6"/>
        <v>38.714881240911289</v>
      </c>
      <c r="I90">
        <f t="shared" ca="1" si="7"/>
        <v>1027.6907427260508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52064</v>
      </c>
      <c r="B93" s="66">
        <v>52064</v>
      </c>
      <c r="D93">
        <f t="shared" si="4"/>
        <v>0.42061722410728714</v>
      </c>
      <c r="E93">
        <f t="shared" si="4"/>
        <v>0.42061722410728714</v>
      </c>
      <c r="G93">
        <f t="shared" ca="1" si="5"/>
        <v>91</v>
      </c>
      <c r="H93">
        <f t="shared" ca="1" si="6"/>
        <v>38.276167393763131</v>
      </c>
      <c r="I93">
        <f t="shared" ca="1" si="7"/>
        <v>864.35930038311267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59163</v>
      </c>
      <c r="B95" s="66">
        <v>59163</v>
      </c>
      <c r="D95">
        <f t="shared" si="4"/>
        <v>0.4779689772176442</v>
      </c>
      <c r="E95">
        <f t="shared" si="4"/>
        <v>0.4779689772176442</v>
      </c>
      <c r="G95">
        <f t="shared" ca="1" si="5"/>
        <v>93</v>
      </c>
      <c r="H95">
        <f t="shared" ca="1" si="6"/>
        <v>44.451114881240912</v>
      </c>
      <c r="I95">
        <f t="shared" ca="1" si="7"/>
        <v>897.45887992667588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59499</v>
      </c>
      <c r="B98" s="66">
        <v>59499</v>
      </c>
      <c r="D98">
        <f t="shared" si="4"/>
        <v>0.48068347067377604</v>
      </c>
      <c r="E98">
        <f t="shared" si="4"/>
        <v>0.48068347067377604</v>
      </c>
      <c r="G98">
        <f t="shared" ca="1" si="5"/>
        <v>96</v>
      </c>
      <c r="H98">
        <f t="shared" ca="1" si="6"/>
        <v>46.145613184682503</v>
      </c>
      <c r="I98">
        <f t="shared" ca="1" si="7"/>
        <v>781.90842220983029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64829</v>
      </c>
      <c r="B100" s="66">
        <v>64829</v>
      </c>
      <c r="D100">
        <f t="shared" si="4"/>
        <v>0.52374373889158188</v>
      </c>
      <c r="E100">
        <f t="shared" si="4"/>
        <v>0.52374373889158188</v>
      </c>
      <c r="G100">
        <f t="shared" ca="1" si="5"/>
        <v>98</v>
      </c>
      <c r="H100">
        <f t="shared" ca="1" si="6"/>
        <v>51.326886411375021</v>
      </c>
      <c r="I100">
        <f t="shared" ca="1" si="7"/>
        <v>769.55354328029193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62925</v>
      </c>
      <c r="B103" s="66">
        <v>62925</v>
      </c>
      <c r="D103">
        <f t="shared" si="4"/>
        <v>0.50836160930683472</v>
      </c>
      <c r="E103">
        <f t="shared" si="4"/>
        <v>0.50836160930683472</v>
      </c>
      <c r="G103">
        <f t="shared" ca="1" si="5"/>
        <v>101</v>
      </c>
      <c r="H103">
        <f t="shared" ca="1" si="6"/>
        <v>51.344522539990308</v>
      </c>
      <c r="I103">
        <f t="shared" ca="1" si="7"/>
        <v>634.60863469571143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60822</v>
      </c>
      <c r="B106" s="66">
        <v>60822</v>
      </c>
      <c r="D106">
        <f t="shared" si="4"/>
        <v>0.49137178865729519</v>
      </c>
      <c r="E106">
        <f t="shared" si="4"/>
        <v>0.49137178865729519</v>
      </c>
      <c r="G106">
        <f t="shared" ca="1" si="5"/>
        <v>104</v>
      </c>
      <c r="H106">
        <f t="shared" ca="1" si="6"/>
        <v>51.102666020358697</v>
      </c>
      <c r="I106">
        <f t="shared" ca="1" si="7"/>
        <v>513.6553882966009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61256</v>
      </c>
      <c r="B108" s="66">
        <v>61256</v>
      </c>
      <c r="D108">
        <f t="shared" si="4"/>
        <v>0.49487800937146548</v>
      </c>
      <c r="E108">
        <f t="shared" si="4"/>
        <v>0.49487800937146548</v>
      </c>
      <c r="G108">
        <f t="shared" ca="1" si="5"/>
        <v>106</v>
      </c>
      <c r="H108">
        <f t="shared" ca="1" si="6"/>
        <v>52.457068993375337</v>
      </c>
      <c r="I108">
        <f t="shared" ca="1" si="7"/>
        <v>455.29880283941083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61624</v>
      </c>
      <c r="B111" s="66">
        <v>61624</v>
      </c>
      <c r="D111">
        <f t="shared" si="4"/>
        <v>0.49785102601389564</v>
      </c>
      <c r="E111">
        <f t="shared" si="4"/>
        <v>0.49785102601389564</v>
      </c>
      <c r="G111">
        <f t="shared" ca="1" si="5"/>
        <v>109</v>
      </c>
      <c r="H111">
        <f t="shared" ca="1" si="6"/>
        <v>54.265761835514624</v>
      </c>
      <c r="I111">
        <f t="shared" ca="1" si="7"/>
        <v>371.91019008256245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63921</v>
      </c>
      <c r="B113" s="66">
        <v>63921</v>
      </c>
      <c r="D113">
        <f t="shared" si="4"/>
        <v>0.51640814348036834</v>
      </c>
      <c r="E113">
        <f t="shared" si="4"/>
        <v>0.51640814348036834</v>
      </c>
      <c r="G113">
        <f t="shared" ca="1" si="5"/>
        <v>111</v>
      </c>
      <c r="H113">
        <f t="shared" ca="1" si="6"/>
        <v>57.321303926320887</v>
      </c>
      <c r="I113">
        <f t="shared" ca="1" si="7"/>
        <v>331.38096658844512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60012</v>
      </c>
      <c r="B116" s="66">
        <v>60012</v>
      </c>
      <c r="D116">
        <f t="shared" si="4"/>
        <v>0.48482792050412021</v>
      </c>
      <c r="E116">
        <f t="shared" si="4"/>
        <v>0.48482792050412021</v>
      </c>
      <c r="G116">
        <f t="shared" ca="1" si="5"/>
        <v>114</v>
      </c>
      <c r="H116">
        <f t="shared" ca="1" si="6"/>
        <v>55.270382937469705</v>
      </c>
      <c r="I116">
        <f t="shared" ca="1" si="7"/>
        <v>241.78968981884108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61872</v>
      </c>
      <c r="B118" s="66">
        <v>61872</v>
      </c>
      <c r="D118">
        <f t="shared" si="4"/>
        <v>0.49985458070770722</v>
      </c>
      <c r="E118">
        <f t="shared" si="4"/>
        <v>0.49985458070770722</v>
      </c>
      <c r="G118">
        <f t="shared" ca="1" si="5"/>
        <v>116</v>
      </c>
      <c r="H118">
        <f t="shared" ca="1" si="6"/>
        <v>57.983131362094035</v>
      </c>
      <c r="I118">
        <f t="shared" ca="1" si="7"/>
        <v>206.63234101514186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63057</v>
      </c>
      <c r="B121" s="66">
        <v>63057</v>
      </c>
      <c r="D121">
        <f t="shared" si="4"/>
        <v>0.50942801745031507</v>
      </c>
      <c r="E121">
        <f t="shared" si="4"/>
        <v>0.50942801745031507</v>
      </c>
      <c r="G121">
        <f t="shared" ca="1" si="5"/>
        <v>119</v>
      </c>
      <c r="H121">
        <f t="shared" ca="1" si="6"/>
        <v>60.621934076587493</v>
      </c>
      <c r="I121">
        <f t="shared" ca="1" si="7"/>
        <v>153.02896416887666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63037</v>
      </c>
      <c r="B124" s="66">
        <v>63037</v>
      </c>
      <c r="D124">
        <f t="shared" si="4"/>
        <v>0.5092664404588787</v>
      </c>
      <c r="E124">
        <f t="shared" si="4"/>
        <v>0.5092664404588787</v>
      </c>
      <c r="G124">
        <f t="shared" ca="1" si="5"/>
        <v>122</v>
      </c>
      <c r="H124">
        <f t="shared" ca="1" si="6"/>
        <v>62.130505735983199</v>
      </c>
      <c r="I124">
        <f t="shared" ca="1" si="7"/>
        <v>104.60458903299944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68069</v>
      </c>
      <c r="B126" s="66">
        <v>68069</v>
      </c>
      <c r="D126">
        <f t="shared" si="4"/>
        <v>0.5499192115042818</v>
      </c>
      <c r="E126">
        <f t="shared" si="4"/>
        <v>0.5499192115042818</v>
      </c>
      <c r="G126">
        <f t="shared" ca="1" si="5"/>
        <v>124</v>
      </c>
      <c r="H126">
        <f t="shared" ca="1" si="6"/>
        <v>68.189982226530944</v>
      </c>
      <c r="I126">
        <f t="shared" ca="1" si="7"/>
        <v>83.628964687527997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67815</v>
      </c>
      <c r="B129" s="66">
        <v>67815</v>
      </c>
      <c r="D129">
        <f t="shared" si="4"/>
        <v>0.54786718371303922</v>
      </c>
      <c r="E129">
        <f t="shared" si="4"/>
        <v>0.54786718371303922</v>
      </c>
      <c r="G129">
        <f t="shared" ca="1" si="5"/>
        <v>127</v>
      </c>
      <c r="H129">
        <f t="shared" ca="1" si="6"/>
        <v>69.579132331555982</v>
      </c>
      <c r="I129">
        <f t="shared" ca="1" si="7"/>
        <v>47.710348105188515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71674</v>
      </c>
      <c r="B131" s="66">
        <v>71674</v>
      </c>
      <c r="D131">
        <f t="shared" ref="D131:E194" si="8">IFERROR( A131/MAX(A$2:A$257), 0 )</f>
        <v>0.57904346421069641</v>
      </c>
      <c r="E131">
        <f t="shared" si="8"/>
        <v>0.57904346421069641</v>
      </c>
      <c r="G131">
        <f t="shared" ref="G131:G194" ca="1" si="9">CELL("row",D131)-2</f>
        <v>129</v>
      </c>
      <c r="H131">
        <f t="shared" ref="H131:H194" ca="1" si="10">D131*G131</f>
        <v>74.69660688317984</v>
      </c>
      <c r="I131">
        <f t="shared" ref="I131:I194" ca="1" si="11">D131*((G131-$L$1)^2)</f>
        <v>31.127238704320369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69279</v>
      </c>
      <c r="B134" s="66">
        <v>69279</v>
      </c>
      <c r="D134">
        <f t="shared" si="8"/>
        <v>0.55969461948618515</v>
      </c>
      <c r="E134">
        <f t="shared" si="8"/>
        <v>0.55969461948618515</v>
      </c>
      <c r="G134">
        <f t="shared" ca="1" si="9"/>
        <v>132</v>
      </c>
      <c r="H134">
        <f t="shared" ca="1" si="10"/>
        <v>73.879689772176434</v>
      </c>
      <c r="I134">
        <f t="shared" ca="1" si="11"/>
        <v>10.502720949565525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71001</v>
      </c>
      <c r="B136" s="66">
        <v>71001</v>
      </c>
      <c r="D136">
        <f t="shared" si="8"/>
        <v>0.57360639844886085</v>
      </c>
      <c r="E136">
        <f t="shared" si="8"/>
        <v>0.57360639844886085</v>
      </c>
      <c r="G136">
        <f t="shared" ca="1" si="9"/>
        <v>134</v>
      </c>
      <c r="H136">
        <f t="shared" ca="1" si="10"/>
        <v>76.863257392147361</v>
      </c>
      <c r="I136">
        <f t="shared" ca="1" si="11"/>
        <v>3.1190505017187213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67215</v>
      </c>
      <c r="B139" s="66">
        <v>67215</v>
      </c>
      <c r="D139">
        <f t="shared" si="8"/>
        <v>0.54301987396994666</v>
      </c>
      <c r="E139">
        <f t="shared" si="8"/>
        <v>0.54301987396994666</v>
      </c>
      <c r="G139">
        <f t="shared" ca="1" si="9"/>
        <v>137</v>
      </c>
      <c r="H139">
        <f t="shared" ca="1" si="10"/>
        <v>74.393722733882697</v>
      </c>
      <c r="I139">
        <f t="shared" ca="1" si="11"/>
        <v>0.24240330976686797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68733</v>
      </c>
      <c r="B142" s="66">
        <v>68733</v>
      </c>
      <c r="D142">
        <f t="shared" si="8"/>
        <v>0.55528356761997089</v>
      </c>
      <c r="E142">
        <f t="shared" si="8"/>
        <v>0.55528356761997089</v>
      </c>
      <c r="G142">
        <f t="shared" ca="1" si="9"/>
        <v>140</v>
      </c>
      <c r="H142">
        <f t="shared" ca="1" si="10"/>
        <v>77.739699466795926</v>
      </c>
      <c r="I142">
        <f t="shared" ca="1" si="11"/>
        <v>7.471441817873492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67454</v>
      </c>
      <c r="B144" s="66">
        <v>67454</v>
      </c>
      <c r="D144">
        <f t="shared" si="8"/>
        <v>0.54495071901761194</v>
      </c>
      <c r="E144">
        <f t="shared" si="8"/>
        <v>0.54495071901761194</v>
      </c>
      <c r="G144">
        <f t="shared" ca="1" si="9"/>
        <v>142</v>
      </c>
      <c r="H144">
        <f t="shared" ca="1" si="10"/>
        <v>77.383002100500889</v>
      </c>
      <c r="I144">
        <f t="shared" ca="1" si="11"/>
        <v>17.508016120591872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75273</v>
      </c>
      <c r="B147" s="66">
        <v>75273</v>
      </c>
      <c r="D147">
        <f t="shared" si="8"/>
        <v>0.60811924381968008</v>
      </c>
      <c r="E147">
        <f t="shared" si="8"/>
        <v>0.60811924381968008</v>
      </c>
      <c r="G147">
        <f t="shared" ca="1" si="9"/>
        <v>145</v>
      </c>
      <c r="H147">
        <f t="shared" ca="1" si="10"/>
        <v>88.177290353853607</v>
      </c>
      <c r="I147">
        <f t="shared" ca="1" si="11"/>
        <v>45.691945100017733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84794</v>
      </c>
      <c r="B149" s="66">
        <v>84794</v>
      </c>
      <c r="D149">
        <f t="shared" si="8"/>
        <v>0.68503797059298754</v>
      </c>
      <c r="E149">
        <f t="shared" si="8"/>
        <v>0.68503797059298754</v>
      </c>
      <c r="G149">
        <f t="shared" ca="1" si="9"/>
        <v>147</v>
      </c>
      <c r="H149">
        <f t="shared" ca="1" si="10"/>
        <v>100.70058167716917</v>
      </c>
      <c r="I149">
        <f t="shared" ca="1" si="11"/>
        <v>77.963494660542054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92022</v>
      </c>
      <c r="B152" s="66">
        <v>92022</v>
      </c>
      <c r="D152">
        <f t="shared" si="8"/>
        <v>0.7434318952981096</v>
      </c>
      <c r="E152">
        <f t="shared" si="8"/>
        <v>0.7434318952981096</v>
      </c>
      <c r="G152">
        <f t="shared" ca="1" si="9"/>
        <v>150</v>
      </c>
      <c r="H152">
        <f t="shared" ca="1" si="10"/>
        <v>111.51478429471643</v>
      </c>
      <c r="I152">
        <f t="shared" ca="1" si="11"/>
        <v>138.88630823458308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100041</v>
      </c>
      <c r="B154" s="66">
        <v>100041</v>
      </c>
      <c r="D154">
        <f t="shared" si="8"/>
        <v>0.80821619001454192</v>
      </c>
      <c r="E154">
        <f t="shared" si="8"/>
        <v>0.80821619001454192</v>
      </c>
      <c r="G154">
        <f t="shared" ca="1" si="9"/>
        <v>152</v>
      </c>
      <c r="H154">
        <f t="shared" ca="1" si="10"/>
        <v>122.84886088221037</v>
      </c>
      <c r="I154">
        <f t="shared" ca="1" si="11"/>
        <v>198.40925014587427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107981</v>
      </c>
      <c r="B157" s="66">
        <v>107981</v>
      </c>
      <c r="D157">
        <f t="shared" si="8"/>
        <v>0.87236225561480041</v>
      </c>
      <c r="E157">
        <f t="shared" si="8"/>
        <v>0.87236225561480041</v>
      </c>
      <c r="G157">
        <f t="shared" ca="1" si="9"/>
        <v>155</v>
      </c>
      <c r="H157">
        <f t="shared" ca="1" si="10"/>
        <v>135.21614962029406</v>
      </c>
      <c r="I157">
        <f t="shared" ca="1" si="11"/>
        <v>304.01746343364596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116657</v>
      </c>
      <c r="B160" s="66">
        <v>116657</v>
      </c>
      <c r="D160">
        <f t="shared" si="8"/>
        <v>0.94245435449991921</v>
      </c>
      <c r="E160">
        <f t="shared" si="8"/>
        <v>0.94245435449991921</v>
      </c>
      <c r="G160">
        <f t="shared" ca="1" si="9"/>
        <v>158</v>
      </c>
      <c r="H160">
        <f t="shared" ca="1" si="10"/>
        <v>148.90778801098725</v>
      </c>
      <c r="I160">
        <f t="shared" ca="1" si="11"/>
        <v>442.48975246313228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118544</v>
      </c>
      <c r="B162" s="66">
        <v>118544</v>
      </c>
      <c r="D162">
        <f t="shared" si="8"/>
        <v>0.95769914364194542</v>
      </c>
      <c r="E162">
        <f t="shared" si="8"/>
        <v>0.95769914364194542</v>
      </c>
      <c r="G162">
        <f t="shared" ca="1" si="9"/>
        <v>160</v>
      </c>
      <c r="H162">
        <f t="shared" ca="1" si="10"/>
        <v>153.23186298271128</v>
      </c>
      <c r="I162">
        <f t="shared" ca="1" si="11"/>
        <v>536.48429853480479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120755</v>
      </c>
      <c r="B165" s="66">
        <v>120755</v>
      </c>
      <c r="D165">
        <f t="shared" si="8"/>
        <v>0.97556148004524157</v>
      </c>
      <c r="E165">
        <f t="shared" si="8"/>
        <v>0.97556148004524157</v>
      </c>
      <c r="G165">
        <f t="shared" ca="1" si="9"/>
        <v>163</v>
      </c>
      <c r="H165">
        <f t="shared" ca="1" si="10"/>
        <v>159.01652124737438</v>
      </c>
      <c r="I165">
        <f t="shared" ca="1" si="11"/>
        <v>693.80878231566021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123780</v>
      </c>
      <c r="B167" s="66">
        <v>123780</v>
      </c>
      <c r="D167">
        <f t="shared" si="8"/>
        <v>1</v>
      </c>
      <c r="E167">
        <f t="shared" si="8"/>
        <v>1</v>
      </c>
      <c r="G167">
        <f t="shared" ca="1" si="9"/>
        <v>165</v>
      </c>
      <c r="H167">
        <f t="shared" ca="1" si="10"/>
        <v>165</v>
      </c>
      <c r="I167">
        <f t="shared" ca="1" si="11"/>
        <v>821.86171630918227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121864</v>
      </c>
      <c r="B170" s="66">
        <v>121864</v>
      </c>
      <c r="D170">
        <f t="shared" si="8"/>
        <v>0.98452092422039106</v>
      </c>
      <c r="E170">
        <f t="shared" si="8"/>
        <v>0.98452092422039106</v>
      </c>
      <c r="G170">
        <f t="shared" ca="1" si="9"/>
        <v>168</v>
      </c>
      <c r="H170">
        <f t="shared" ca="1" si="10"/>
        <v>165.3995152690257</v>
      </c>
      <c r="I170">
        <f t="shared" ca="1" si="11"/>
        <v>987.34699187774743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106490</v>
      </c>
      <c r="B173" s="66">
        <v>106490</v>
      </c>
      <c r="D173">
        <f t="shared" si="8"/>
        <v>0.86031669090321539</v>
      </c>
      <c r="E173">
        <f t="shared" si="8"/>
        <v>0.86031669090321539</v>
      </c>
      <c r="G173">
        <f t="shared" ca="1" si="9"/>
        <v>171</v>
      </c>
      <c r="H173">
        <f t="shared" ca="1" si="10"/>
        <v>147.11415414444983</v>
      </c>
      <c r="I173">
        <f t="shared" ca="1" si="11"/>
        <v>1033.9968088118824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101605</v>
      </c>
      <c r="B175" s="66">
        <v>101605</v>
      </c>
      <c r="D175">
        <f t="shared" si="8"/>
        <v>0.82085151074486995</v>
      </c>
      <c r="E175">
        <f t="shared" si="8"/>
        <v>0.82085151074486995</v>
      </c>
      <c r="G175">
        <f t="shared" ca="1" si="9"/>
        <v>173</v>
      </c>
      <c r="H175">
        <f t="shared" ca="1" si="10"/>
        <v>142.00731135886249</v>
      </c>
      <c r="I175">
        <f t="shared" ca="1" si="11"/>
        <v>1103.6773821197719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101397</v>
      </c>
      <c r="B178" s="66">
        <v>101397</v>
      </c>
      <c r="D178">
        <f t="shared" si="8"/>
        <v>0.81917111003393117</v>
      </c>
      <c r="E178">
        <f t="shared" si="8"/>
        <v>0.81917111003393117</v>
      </c>
      <c r="G178">
        <f t="shared" ca="1" si="9"/>
        <v>176</v>
      </c>
      <c r="H178">
        <f t="shared" ca="1" si="10"/>
        <v>144.17411536597189</v>
      </c>
      <c r="I178">
        <f t="shared" ca="1" si="11"/>
        <v>1289.015376137324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89448</v>
      </c>
      <c r="B180" s="66">
        <v>89448</v>
      </c>
      <c r="D180">
        <f t="shared" si="8"/>
        <v>0.72263693650024241</v>
      </c>
      <c r="E180">
        <f t="shared" si="8"/>
        <v>0.72263693650024241</v>
      </c>
      <c r="G180">
        <f t="shared" ca="1" si="9"/>
        <v>178</v>
      </c>
      <c r="H180">
        <f t="shared" ca="1" si="10"/>
        <v>128.62937469704315</v>
      </c>
      <c r="I180">
        <f t="shared" ca="1" si="11"/>
        <v>1254.6661784200842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90068</v>
      </c>
      <c r="B183" s="66">
        <v>90068</v>
      </c>
      <c r="D183">
        <f t="shared" si="8"/>
        <v>0.72764582323477134</v>
      </c>
      <c r="E183">
        <f t="shared" si="8"/>
        <v>0.72764582323477134</v>
      </c>
      <c r="G183">
        <f t="shared" ca="1" si="9"/>
        <v>181</v>
      </c>
      <c r="H183">
        <f t="shared" ca="1" si="10"/>
        <v>131.70389400549362</v>
      </c>
      <c r="I183">
        <f t="shared" ca="1" si="11"/>
        <v>1451.8294333202093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89103</v>
      </c>
      <c r="B185" s="66">
        <v>89103</v>
      </c>
      <c r="D185">
        <f t="shared" si="8"/>
        <v>0.7198497333979641</v>
      </c>
      <c r="E185">
        <f t="shared" si="8"/>
        <v>0.7198497333979641</v>
      </c>
      <c r="G185">
        <f t="shared" ca="1" si="9"/>
        <v>183</v>
      </c>
      <c r="H185">
        <f t="shared" ca="1" si="10"/>
        <v>131.73250121182744</v>
      </c>
      <c r="I185">
        <f t="shared" ca="1" si="11"/>
        <v>1567.7711149985621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83861</v>
      </c>
      <c r="B188" s="66">
        <v>83861</v>
      </c>
      <c r="D188">
        <f t="shared" si="8"/>
        <v>0.67750040394247857</v>
      </c>
      <c r="E188">
        <f t="shared" si="8"/>
        <v>0.67750040394247857</v>
      </c>
      <c r="G188">
        <f t="shared" ca="1" si="9"/>
        <v>186</v>
      </c>
      <c r="H188">
        <f t="shared" ca="1" si="10"/>
        <v>126.01507513330101</v>
      </c>
      <c r="I188">
        <f t="shared" ca="1" si="11"/>
        <v>1671.3414676071563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72972</v>
      </c>
      <c r="B191" s="66">
        <v>72972</v>
      </c>
      <c r="D191">
        <f t="shared" si="8"/>
        <v>0.58952981095492007</v>
      </c>
      <c r="E191">
        <f t="shared" si="8"/>
        <v>0.58952981095492007</v>
      </c>
      <c r="G191">
        <f t="shared" ca="1" si="9"/>
        <v>189</v>
      </c>
      <c r="H191">
        <f t="shared" ca="1" si="10"/>
        <v>111.4211342704799</v>
      </c>
      <c r="I191">
        <f t="shared" ca="1" si="11"/>
        <v>1635.3156008612627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68714</v>
      </c>
      <c r="B193" s="66">
        <v>68714</v>
      </c>
      <c r="D193">
        <f t="shared" si="8"/>
        <v>0.55513006947810628</v>
      </c>
      <c r="E193">
        <f t="shared" si="8"/>
        <v>0.55513006947810628</v>
      </c>
      <c r="G193">
        <f t="shared" ca="1" si="9"/>
        <v>191</v>
      </c>
      <c r="H193">
        <f t="shared" ca="1" si="10"/>
        <v>106.0298432703183</v>
      </c>
      <c r="I193">
        <f t="shared" ca="1" si="11"/>
        <v>1659.0642300160036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67106</v>
      </c>
      <c r="B196" s="66">
        <v>67106</v>
      </c>
      <c r="D196">
        <f t="shared" si="12"/>
        <v>0.54213927936661821</v>
      </c>
      <c r="E196">
        <f t="shared" si="12"/>
        <v>0.54213927936661821</v>
      </c>
      <c r="G196">
        <f t="shared" ca="1" si="13"/>
        <v>194</v>
      </c>
      <c r="H196">
        <f t="shared" ca="1" si="14"/>
        <v>105.17502019712393</v>
      </c>
      <c r="I196">
        <f t="shared" ca="1" si="15"/>
        <v>1802.9455954030961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62376</v>
      </c>
      <c r="B198" s="66">
        <v>62376</v>
      </c>
      <c r="D198">
        <f t="shared" si="12"/>
        <v>0.50392632089190503</v>
      </c>
      <c r="E198">
        <f t="shared" si="12"/>
        <v>0.50392632089190503</v>
      </c>
      <c r="G198">
        <f t="shared" ca="1" si="13"/>
        <v>196</v>
      </c>
      <c r="H198">
        <f t="shared" ca="1" si="14"/>
        <v>98.769558894813386</v>
      </c>
      <c r="I198">
        <f t="shared" ca="1" si="15"/>
        <v>1794.1217336197071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51772</v>
      </c>
      <c r="B201" s="66">
        <v>51772</v>
      </c>
      <c r="D201">
        <f t="shared" si="12"/>
        <v>0.4182582000323154</v>
      </c>
      <c r="E201">
        <f t="shared" si="12"/>
        <v>0.4182582000323154</v>
      </c>
      <c r="G201">
        <f t="shared" ca="1" si="13"/>
        <v>199</v>
      </c>
      <c r="H201">
        <f t="shared" ca="1" si="14"/>
        <v>83.233381806430771</v>
      </c>
      <c r="I201">
        <f t="shared" ca="1" si="15"/>
        <v>1642.6231712721483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48024</v>
      </c>
      <c r="B203" s="66">
        <v>48024</v>
      </c>
      <c r="D203">
        <f t="shared" si="12"/>
        <v>0.38797867183713042</v>
      </c>
      <c r="E203">
        <f t="shared" si="12"/>
        <v>0.38797867183713042</v>
      </c>
      <c r="G203">
        <f t="shared" ca="1" si="13"/>
        <v>201</v>
      </c>
      <c r="H203">
        <f t="shared" ca="1" si="14"/>
        <v>77.983713039263208</v>
      </c>
      <c r="I203">
        <f t="shared" ca="1" si="15"/>
        <v>1622.5140507451085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53514</v>
      </c>
      <c r="B206" s="66">
        <v>53514</v>
      </c>
      <c r="D206">
        <f t="shared" si="12"/>
        <v>0.43233155598642753</v>
      </c>
      <c r="E206">
        <f t="shared" si="12"/>
        <v>0.43233155598642753</v>
      </c>
      <c r="G206">
        <f t="shared" ca="1" si="13"/>
        <v>204</v>
      </c>
      <c r="H206">
        <f t="shared" ca="1" si="14"/>
        <v>88.195637421231211</v>
      </c>
      <c r="I206">
        <f t="shared" ca="1" si="15"/>
        <v>1979.6357794919372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52712</v>
      </c>
      <c r="B209" s="66">
        <v>52712</v>
      </c>
      <c r="D209">
        <f t="shared" si="12"/>
        <v>0.42585231862982709</v>
      </c>
      <c r="E209">
        <f t="shared" si="12"/>
        <v>0.42585231862982709</v>
      </c>
      <c r="G209">
        <f t="shared" ca="1" si="13"/>
        <v>207</v>
      </c>
      <c r="H209">
        <f t="shared" ca="1" si="14"/>
        <v>88.151429956374201</v>
      </c>
      <c r="I209">
        <f t="shared" ca="1" si="15"/>
        <v>2126.699960663866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32436</v>
      </c>
      <c r="B211" s="66">
        <v>32436</v>
      </c>
      <c r="D211">
        <f t="shared" si="12"/>
        <v>0.26204556471158508</v>
      </c>
      <c r="E211">
        <f t="shared" si="12"/>
        <v>0.26204556471158508</v>
      </c>
      <c r="G211">
        <f t="shared" ca="1" si="13"/>
        <v>209</v>
      </c>
      <c r="H211">
        <f t="shared" ca="1" si="14"/>
        <v>54.767523024721278</v>
      </c>
      <c r="I211">
        <f t="shared" ca="1" si="15"/>
        <v>1383.7728021027456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20876</v>
      </c>
      <c r="B214" s="66">
        <v>20876</v>
      </c>
      <c r="D214">
        <f t="shared" si="12"/>
        <v>0.16865406366133462</v>
      </c>
      <c r="E214">
        <f t="shared" si="12"/>
        <v>0.16865406366133462</v>
      </c>
      <c r="G214">
        <f t="shared" ca="1" si="13"/>
        <v>212</v>
      </c>
      <c r="H214">
        <f t="shared" ca="1" si="14"/>
        <v>35.754661496202942</v>
      </c>
      <c r="I214">
        <f t="shared" ca="1" si="15"/>
        <v>965.656838002124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14299</v>
      </c>
      <c r="B216" s="66">
        <v>14299</v>
      </c>
      <c r="D216">
        <f t="shared" si="12"/>
        <v>0.11551947002746808</v>
      </c>
      <c r="E216">
        <f t="shared" si="12"/>
        <v>0.11551947002746808</v>
      </c>
      <c r="G216">
        <f t="shared" ca="1" si="13"/>
        <v>214</v>
      </c>
      <c r="H216">
        <f t="shared" ca="1" si="14"/>
        <v>24.721166585878169</v>
      </c>
      <c r="I216">
        <f t="shared" ca="1" si="15"/>
        <v>696.85254912305481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5036</v>
      </c>
      <c r="B219" s="66">
        <v>5036</v>
      </c>
      <c r="D219">
        <f t="shared" si="12"/>
        <v>4.068508644369042E-2</v>
      </c>
      <c r="E219">
        <f t="shared" si="12"/>
        <v>4.068508644369042E-2</v>
      </c>
      <c r="G219">
        <f t="shared" ca="1" si="13"/>
        <v>217</v>
      </c>
      <c r="H219">
        <f t="shared" ca="1" si="14"/>
        <v>8.8286637582808218</v>
      </c>
      <c r="I219">
        <f t="shared" ca="1" si="15"/>
        <v>264.75198767782297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6645</v>
      </c>
      <c r="B221" s="66">
        <v>6645</v>
      </c>
      <c r="D221">
        <f t="shared" si="12"/>
        <v>5.3683955404750364E-2</v>
      </c>
      <c r="E221">
        <f t="shared" si="12"/>
        <v>5.3683955404750364E-2</v>
      </c>
      <c r="G221">
        <f t="shared" ca="1" si="13"/>
        <v>219</v>
      </c>
      <c r="H221">
        <f t="shared" ca="1" si="14"/>
        <v>11.75678623364033</v>
      </c>
      <c r="I221">
        <f t="shared" ca="1" si="15"/>
        <v>366.87721573737559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4053</v>
      </c>
      <c r="B224" s="66">
        <v>4053</v>
      </c>
      <c r="D224">
        <f t="shared" si="12"/>
        <v>3.2743577314590405E-2</v>
      </c>
      <c r="E224">
        <f t="shared" si="12"/>
        <v>3.2743577314590405E-2</v>
      </c>
      <c r="G224">
        <f t="shared" ca="1" si="13"/>
        <v>222</v>
      </c>
      <c r="H224">
        <f t="shared" ca="1" si="14"/>
        <v>7.2690741638390701</v>
      </c>
      <c r="I224">
        <f t="shared" ca="1" si="15"/>
        <v>240.3060508064039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2017</v>
      </c>
      <c r="B227" s="66">
        <v>2017</v>
      </c>
      <c r="D227">
        <f t="shared" si="12"/>
        <v>1.6295039586362903E-2</v>
      </c>
      <c r="E227">
        <f t="shared" si="12"/>
        <v>1.6295039586362903E-2</v>
      </c>
      <c r="G227">
        <f t="shared" ca="1" si="13"/>
        <v>225</v>
      </c>
      <c r="H227">
        <f t="shared" ca="1" si="14"/>
        <v>3.6663839069316531</v>
      </c>
      <c r="I227">
        <f t="shared" ca="1" si="15"/>
        <v>128.11221061555977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1041</v>
      </c>
      <c r="B229" s="66">
        <v>1041</v>
      </c>
      <c r="D229">
        <f t="shared" si="12"/>
        <v>8.4100824042656324E-3</v>
      </c>
      <c r="E229">
        <f t="shared" si="12"/>
        <v>8.4100824042656324E-3</v>
      </c>
      <c r="G229">
        <f t="shared" ca="1" si="13"/>
        <v>227</v>
      </c>
      <c r="H229">
        <f t="shared" ca="1" si="14"/>
        <v>1.9090887057682986</v>
      </c>
      <c r="I229">
        <f t="shared" ca="1" si="15"/>
        <v>69.136847847209779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350</v>
      </c>
      <c r="B232" s="66">
        <v>350</v>
      </c>
      <c r="D232">
        <f t="shared" si="12"/>
        <v>2.8275973501373404E-3</v>
      </c>
      <c r="E232">
        <f t="shared" si="12"/>
        <v>2.8275973501373404E-3</v>
      </c>
      <c r="G232">
        <f t="shared" ca="1" si="13"/>
        <v>230</v>
      </c>
      <c r="H232">
        <f t="shared" ca="1" si="14"/>
        <v>0.6503473905315883</v>
      </c>
      <c r="I232">
        <f t="shared" ca="1" si="15"/>
        <v>24.808543757873128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113.03164178020391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2.1823573155179363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0.79822197666403205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265</v>
      </c>
      <c r="B8" s="66">
        <v>265</v>
      </c>
      <c r="D8">
        <f t="shared" si="0"/>
        <v>0.6041538426464218</v>
      </c>
      <c r="E8">
        <f t="shared" si="1"/>
        <v>0.6041538426464218</v>
      </c>
      <c r="G8">
        <f t="shared" ca="1" si="2"/>
        <v>6</v>
      </c>
      <c r="H8">
        <f t="shared" ca="1" si="3"/>
        <v>3.624923055878531</v>
      </c>
      <c r="I8">
        <f t="shared" ca="1" si="4"/>
        <v>6921.0488810021234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274</v>
      </c>
      <c r="B10" s="66">
        <v>274</v>
      </c>
      <c r="D10">
        <f t="shared" si="0"/>
        <v>0.62467227503818712</v>
      </c>
      <c r="E10">
        <f t="shared" si="1"/>
        <v>0.62467227503818712</v>
      </c>
      <c r="G10">
        <f t="shared" ca="1" si="2"/>
        <v>8</v>
      </c>
      <c r="H10">
        <f t="shared" ca="1" si="3"/>
        <v>4.997378200305497</v>
      </c>
      <c r="I10">
        <f t="shared" ca="1" si="4"/>
        <v>6891.1632637128123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903</v>
      </c>
      <c r="B13" s="66">
        <v>903</v>
      </c>
      <c r="D13">
        <f t="shared" si="0"/>
        <v>2.0586827166404489</v>
      </c>
      <c r="E13">
        <f t="shared" si="1"/>
        <v>2.0586827166404489</v>
      </c>
      <c r="G13">
        <f t="shared" ca="1" si="2"/>
        <v>11</v>
      </c>
      <c r="H13">
        <f t="shared" ca="1" si="3"/>
        <v>22.645509883044937</v>
      </c>
      <c r="I13">
        <f t="shared" ca="1" si="4"/>
        <v>21431.825683835032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514</v>
      </c>
      <c r="B15" s="66">
        <v>514</v>
      </c>
      <c r="D15">
        <f t="shared" si="0"/>
        <v>1.1718304721519275</v>
      </c>
      <c r="E15">
        <f t="shared" si="1"/>
        <v>1.1718304721519275</v>
      </c>
      <c r="G15">
        <f t="shared" ca="1" si="2"/>
        <v>13</v>
      </c>
      <c r="H15">
        <f t="shared" ca="1" si="3"/>
        <v>15.233796137975057</v>
      </c>
      <c r="I15">
        <f t="shared" ca="1" si="4"/>
        <v>11725.721655205802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1247</v>
      </c>
      <c r="B18" s="66">
        <v>1247</v>
      </c>
      <c r="D18">
        <f t="shared" si="0"/>
        <v>2.8429427991701433</v>
      </c>
      <c r="E18">
        <f t="shared" si="1"/>
        <v>2.8429427991701433</v>
      </c>
      <c r="G18">
        <f t="shared" ca="1" si="2"/>
        <v>16</v>
      </c>
      <c r="H18">
        <f t="shared" ca="1" si="3"/>
        <v>45.487084786722292</v>
      </c>
      <c r="I18">
        <f t="shared" ca="1" si="4"/>
        <v>26766.703063362245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1092</v>
      </c>
      <c r="B21" s="66">
        <v>1092</v>
      </c>
      <c r="D21">
        <f t="shared" si="0"/>
        <v>2.4895697968675194</v>
      </c>
      <c r="E21">
        <f t="shared" si="1"/>
        <v>2.4895697968675194</v>
      </c>
      <c r="G21">
        <f t="shared" ca="1" si="2"/>
        <v>19</v>
      </c>
      <c r="H21">
        <f t="shared" ca="1" si="3"/>
        <v>47.301826140482866</v>
      </c>
      <c r="I21">
        <f t="shared" ca="1" si="4"/>
        <v>22012.650808703474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1644</v>
      </c>
      <c r="B23" s="66">
        <v>1644</v>
      </c>
      <c r="D23">
        <f t="shared" si="0"/>
        <v>3.7480336502291225</v>
      </c>
      <c r="E23">
        <f t="shared" si="1"/>
        <v>3.7480336502291225</v>
      </c>
      <c r="G23">
        <f t="shared" ca="1" si="2"/>
        <v>21</v>
      </c>
      <c r="H23">
        <f t="shared" ca="1" si="3"/>
        <v>78.708706654811579</v>
      </c>
      <c r="I23">
        <f t="shared" ca="1" si="4"/>
        <v>31745.181948159199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3088</v>
      </c>
      <c r="B26" s="66">
        <v>3088</v>
      </c>
      <c r="D26">
        <f t="shared" si="0"/>
        <v>7.0401021361967944</v>
      </c>
      <c r="E26">
        <f t="shared" si="1"/>
        <v>7.0401021361967944</v>
      </c>
      <c r="G26">
        <f t="shared" ca="1" si="2"/>
        <v>24</v>
      </c>
      <c r="H26">
        <f t="shared" ca="1" si="3"/>
        <v>168.96245126872307</v>
      </c>
      <c r="I26">
        <f t="shared" ca="1" si="4"/>
        <v>55804.307592245321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3619</v>
      </c>
      <c r="B28" s="66">
        <v>3619</v>
      </c>
      <c r="D28">
        <f t="shared" si="0"/>
        <v>8.2506896473109457</v>
      </c>
      <c r="E28">
        <f t="shared" si="1"/>
        <v>8.2506896473109457</v>
      </c>
      <c r="G28">
        <f t="shared" ca="1" si="2"/>
        <v>26</v>
      </c>
      <c r="H28">
        <f t="shared" ca="1" si="3"/>
        <v>214.51793083008459</v>
      </c>
      <c r="I28">
        <f t="shared" ca="1" si="4"/>
        <v>62494.903773558683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6736</v>
      </c>
      <c r="B31" s="66">
        <v>6736</v>
      </c>
      <c r="D31">
        <f t="shared" si="0"/>
        <v>15.356906732325651</v>
      </c>
      <c r="E31">
        <f t="shared" si="1"/>
        <v>15.356906732325651</v>
      </c>
      <c r="G31">
        <f t="shared" ca="1" si="2"/>
        <v>29</v>
      </c>
      <c r="H31">
        <f t="shared" ca="1" si="3"/>
        <v>445.3502952374439</v>
      </c>
      <c r="I31">
        <f t="shared" ca="1" si="4"/>
        <v>108439.98381638873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7820</v>
      </c>
      <c r="B33" s="66">
        <v>7820</v>
      </c>
      <c r="D33">
        <f t="shared" si="0"/>
        <v>17.828237922622712</v>
      </c>
      <c r="E33">
        <f t="shared" si="1"/>
        <v>17.828237922622712</v>
      </c>
      <c r="G33">
        <f t="shared" ca="1" si="2"/>
        <v>31</v>
      </c>
      <c r="H33">
        <f t="shared" ca="1" si="3"/>
        <v>552.67537560130404</v>
      </c>
      <c r="I33">
        <f t="shared" ca="1" si="4"/>
        <v>119969.60485985351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9673</v>
      </c>
      <c r="B36" s="66">
        <v>9673</v>
      </c>
      <c r="D36">
        <f t="shared" si="0"/>
        <v>22.052755169505051</v>
      </c>
      <c r="E36">
        <f t="shared" si="1"/>
        <v>22.052755169505051</v>
      </c>
      <c r="G36">
        <f t="shared" ca="1" si="2"/>
        <v>34</v>
      </c>
      <c r="H36">
        <f t="shared" ca="1" si="3"/>
        <v>749.79367576317179</v>
      </c>
      <c r="I36">
        <f t="shared" ca="1" si="4"/>
        <v>137741.51766439958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10265</v>
      </c>
      <c r="B39" s="66">
        <v>10265</v>
      </c>
      <c r="D39">
        <f t="shared" si="0"/>
        <v>23.402412055718944</v>
      </c>
      <c r="E39">
        <f t="shared" si="1"/>
        <v>23.402412055718944</v>
      </c>
      <c r="G39">
        <f t="shared" ca="1" si="2"/>
        <v>37</v>
      </c>
      <c r="H39">
        <f t="shared" ca="1" si="3"/>
        <v>865.88924606160094</v>
      </c>
      <c r="I39">
        <f t="shared" ca="1" si="4"/>
        <v>135284.91054911361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14110</v>
      </c>
      <c r="B41" s="66">
        <v>14110</v>
      </c>
      <c r="D41">
        <f t="shared" si="0"/>
        <v>32.168342338645324</v>
      </c>
      <c r="E41">
        <f t="shared" si="1"/>
        <v>32.168342338645324</v>
      </c>
      <c r="G41">
        <f t="shared" ca="1" si="2"/>
        <v>39</v>
      </c>
      <c r="H41">
        <f t="shared" ca="1" si="3"/>
        <v>1254.5653512071676</v>
      </c>
      <c r="I41">
        <f t="shared" ca="1" si="4"/>
        <v>176304.51866887358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13897</v>
      </c>
      <c r="B44" s="66">
        <v>13897</v>
      </c>
      <c r="D44">
        <f t="shared" si="0"/>
        <v>31.682739438706882</v>
      </c>
      <c r="E44">
        <f t="shared" si="1"/>
        <v>31.682739438706882</v>
      </c>
      <c r="G44">
        <f t="shared" ca="1" si="2"/>
        <v>42</v>
      </c>
      <c r="H44">
        <f t="shared" ca="1" si="3"/>
        <v>1330.675056425689</v>
      </c>
      <c r="I44">
        <f t="shared" ca="1" si="4"/>
        <v>159855.07598676754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13838</v>
      </c>
      <c r="B46" s="66">
        <v>13838</v>
      </c>
      <c r="D46">
        <f t="shared" si="0"/>
        <v>31.548229715249754</v>
      </c>
      <c r="E46">
        <f t="shared" si="1"/>
        <v>31.548229715249754</v>
      </c>
      <c r="G46">
        <f t="shared" ca="1" si="2"/>
        <v>44</v>
      </c>
      <c r="H46">
        <f t="shared" ca="1" si="3"/>
        <v>1388.1221074709892</v>
      </c>
      <c r="I46">
        <f t="shared" ca="1" si="4"/>
        <v>150338.91067722801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14896</v>
      </c>
      <c r="B49" s="66">
        <v>14896</v>
      </c>
      <c r="D49">
        <f t="shared" si="0"/>
        <v>33.960285434192826</v>
      </c>
      <c r="E49">
        <f t="shared" si="1"/>
        <v>33.960285434192826</v>
      </c>
      <c r="G49">
        <f t="shared" ca="1" si="2"/>
        <v>47</v>
      </c>
      <c r="H49">
        <f t="shared" ca="1" si="3"/>
        <v>1596.1334154070628</v>
      </c>
      <c r="I49">
        <f t="shared" ca="1" si="4"/>
        <v>148072.87978559124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17026</v>
      </c>
      <c r="B51" s="66">
        <v>17026</v>
      </c>
      <c r="D51">
        <f t="shared" si="0"/>
        <v>38.816314433577276</v>
      </c>
      <c r="E51">
        <f t="shared" si="1"/>
        <v>38.816314433577276</v>
      </c>
      <c r="G51">
        <f t="shared" ca="1" si="2"/>
        <v>49</v>
      </c>
      <c r="H51">
        <f t="shared" ca="1" si="3"/>
        <v>1901.9994072452864</v>
      </c>
      <c r="I51">
        <f t="shared" ca="1" si="4"/>
        <v>159148.87459598712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18883</v>
      </c>
      <c r="B54" s="66">
        <v>18883</v>
      </c>
      <c r="D54">
        <f t="shared" si="0"/>
        <v>43.049950983744843</v>
      </c>
      <c r="E54">
        <f t="shared" si="1"/>
        <v>43.049950983744843</v>
      </c>
      <c r="G54">
        <f t="shared" ca="1" si="2"/>
        <v>52</v>
      </c>
      <c r="H54">
        <f t="shared" ca="1" si="3"/>
        <v>2238.597451154732</v>
      </c>
      <c r="I54">
        <f t="shared" ca="1" si="4"/>
        <v>160355.09631681419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21153</v>
      </c>
      <c r="B57" s="66">
        <v>21153</v>
      </c>
      <c r="D57">
        <f t="shared" si="0"/>
        <v>48.225155598112302</v>
      </c>
      <c r="E57">
        <f t="shared" si="1"/>
        <v>48.225155598112302</v>
      </c>
      <c r="G57">
        <f t="shared" ca="1" si="2"/>
        <v>55</v>
      </c>
      <c r="H57">
        <f t="shared" ca="1" si="3"/>
        <v>2652.3835578961766</v>
      </c>
      <c r="I57">
        <f t="shared" ca="1" si="4"/>
        <v>162406.47956893753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23698</v>
      </c>
      <c r="B59" s="66">
        <v>23698</v>
      </c>
      <c r="D59">
        <f t="shared" si="0"/>
        <v>54.027312313339259</v>
      </c>
      <c r="E59">
        <f t="shared" si="1"/>
        <v>54.027312313339259</v>
      </c>
      <c r="G59">
        <f t="shared" ca="1" si="2"/>
        <v>57</v>
      </c>
      <c r="H59">
        <f t="shared" ca="1" si="3"/>
        <v>3079.5568018603376</v>
      </c>
      <c r="I59">
        <f t="shared" ca="1" si="4"/>
        <v>169621.17178511622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26434</v>
      </c>
      <c r="B62" s="66">
        <v>26434</v>
      </c>
      <c r="D62">
        <f t="shared" si="0"/>
        <v>60.264915760435905</v>
      </c>
      <c r="E62">
        <f t="shared" si="1"/>
        <v>60.264915760435905</v>
      </c>
      <c r="G62">
        <f t="shared" ca="1" si="2"/>
        <v>60</v>
      </c>
      <c r="H62">
        <f t="shared" ca="1" si="3"/>
        <v>3615.8949456261544</v>
      </c>
      <c r="I62">
        <f t="shared" ca="1" si="4"/>
        <v>169486.33896559488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29735</v>
      </c>
      <c r="B64" s="66">
        <v>29735</v>
      </c>
      <c r="D64">
        <f t="shared" si="0"/>
        <v>67.790620796571147</v>
      </c>
      <c r="E64">
        <f t="shared" si="1"/>
        <v>67.790620796571147</v>
      </c>
      <c r="G64">
        <f t="shared" ca="1" si="2"/>
        <v>62</v>
      </c>
      <c r="H64">
        <f t="shared" ca="1" si="3"/>
        <v>4203.0184893874111</v>
      </c>
      <c r="I64">
        <f t="shared" ca="1" si="4"/>
        <v>176542.26418816339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31357</v>
      </c>
      <c r="B67" s="66">
        <v>31357</v>
      </c>
      <c r="D67">
        <f t="shared" ref="D67:D130" si="5">IFERROR( 100*A67/MAX(A$2:A$257), 0 )</f>
        <v>71.488498278731498</v>
      </c>
      <c r="E67">
        <f t="shared" ref="E67:E130" si="6">IFERROR( 100*B67/MAX(B$2:B$257), 0 )</f>
        <v>71.488498278731498</v>
      </c>
      <c r="G67">
        <f t="shared" ref="G67:G130" ca="1" si="7">CELL("row",D67)-2</f>
        <v>65</v>
      </c>
      <c r="H67">
        <f t="shared" ref="H67:H130" ca="1" si="8">D67*G67</f>
        <v>4646.7523881175475</v>
      </c>
      <c r="I67">
        <f t="shared" ref="I67:I130" ca="1" si="9">D67*((G67-$L$1)^2)</f>
        <v>164926.72585020878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37945</v>
      </c>
      <c r="B69" s="66">
        <v>37945</v>
      </c>
      <c r="D69">
        <f t="shared" si="5"/>
        <v>86.50799078950368</v>
      </c>
      <c r="E69">
        <f t="shared" si="6"/>
        <v>86.50799078950368</v>
      </c>
      <c r="G69">
        <f t="shared" ca="1" si="7"/>
        <v>67</v>
      </c>
      <c r="H69">
        <f t="shared" ca="1" si="8"/>
        <v>5796.0353828967463</v>
      </c>
      <c r="I69">
        <f t="shared" ca="1" si="9"/>
        <v>183302.82367098599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38689</v>
      </c>
      <c r="B72" s="66">
        <v>38689</v>
      </c>
      <c r="D72">
        <f t="shared" si="5"/>
        <v>88.204181200556278</v>
      </c>
      <c r="E72">
        <f t="shared" si="6"/>
        <v>88.204181200556278</v>
      </c>
      <c r="G72">
        <f t="shared" ca="1" si="7"/>
        <v>70</v>
      </c>
      <c r="H72">
        <f t="shared" ca="1" si="8"/>
        <v>6174.2926840389391</v>
      </c>
      <c r="I72">
        <f t="shared" ca="1" si="9"/>
        <v>163329.63995911044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38774</v>
      </c>
      <c r="B75" s="66">
        <v>38774</v>
      </c>
      <c r="D75">
        <f t="shared" si="5"/>
        <v>88.397966395367391</v>
      </c>
      <c r="E75">
        <f t="shared" si="6"/>
        <v>88.397966395367391</v>
      </c>
      <c r="G75">
        <f t="shared" ca="1" si="7"/>
        <v>73</v>
      </c>
      <c r="H75">
        <f t="shared" ca="1" si="8"/>
        <v>6453.0515468618196</v>
      </c>
      <c r="I75">
        <f t="shared" ca="1" si="9"/>
        <v>141660.60025868347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39887</v>
      </c>
      <c r="B77" s="66">
        <v>39887</v>
      </c>
      <c r="D77">
        <f t="shared" si="5"/>
        <v>90.935412534482367</v>
      </c>
      <c r="E77">
        <f t="shared" si="6"/>
        <v>90.935412534482367</v>
      </c>
      <c r="G77">
        <f t="shared" ca="1" si="7"/>
        <v>75</v>
      </c>
      <c r="H77">
        <f t="shared" ca="1" si="8"/>
        <v>6820.1559400861779</v>
      </c>
      <c r="I77">
        <f t="shared" ca="1" si="9"/>
        <v>131529.50597808135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39146</v>
      </c>
      <c r="B80" s="66">
        <v>39146</v>
      </c>
      <c r="D80">
        <f t="shared" si="5"/>
        <v>89.246061600893697</v>
      </c>
      <c r="E80">
        <f t="shared" si="6"/>
        <v>89.246061600893697</v>
      </c>
      <c r="G80">
        <f t="shared" ca="1" si="7"/>
        <v>78</v>
      </c>
      <c r="H80">
        <f t="shared" ca="1" si="8"/>
        <v>6961.1928048697082</v>
      </c>
      <c r="I80">
        <f t="shared" ca="1" si="9"/>
        <v>109524.18811301969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40629</v>
      </c>
      <c r="B82" s="66">
        <v>40629</v>
      </c>
      <c r="D82">
        <f t="shared" si="5"/>
        <v>92.627043293892342</v>
      </c>
      <c r="E82">
        <f t="shared" si="6"/>
        <v>92.627043293892342</v>
      </c>
      <c r="G82">
        <f t="shared" ca="1" si="7"/>
        <v>80</v>
      </c>
      <c r="H82">
        <f t="shared" ca="1" si="8"/>
        <v>7410.1634635113878</v>
      </c>
      <c r="I82">
        <f t="shared" ca="1" si="9"/>
        <v>101064.38126541302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40431</v>
      </c>
      <c r="B85" s="66">
        <v>40431</v>
      </c>
      <c r="D85">
        <f t="shared" si="5"/>
        <v>92.175637781273508</v>
      </c>
      <c r="E85">
        <f t="shared" si="6"/>
        <v>92.175637781273508</v>
      </c>
      <c r="G85">
        <f t="shared" ca="1" si="7"/>
        <v>83</v>
      </c>
      <c r="H85">
        <f t="shared" ca="1" si="8"/>
        <v>7650.5779358457012</v>
      </c>
      <c r="I85">
        <f t="shared" ca="1" si="9"/>
        <v>83133.162365852346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39362</v>
      </c>
      <c r="B88" s="66">
        <v>39362</v>
      </c>
      <c r="D88">
        <f t="shared" si="5"/>
        <v>89.738503978296052</v>
      </c>
      <c r="E88">
        <f t="shared" si="6"/>
        <v>89.738503978296052</v>
      </c>
      <c r="G88">
        <f t="shared" ca="1" si="7"/>
        <v>86</v>
      </c>
      <c r="H88">
        <f t="shared" ca="1" si="8"/>
        <v>7717.5113421334609</v>
      </c>
      <c r="I88">
        <f t="shared" ca="1" si="9"/>
        <v>65572.791491580618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41202</v>
      </c>
      <c r="B90" s="66">
        <v>41202</v>
      </c>
      <c r="D90">
        <f t="shared" si="5"/>
        <v>93.933383489501395</v>
      </c>
      <c r="E90">
        <f t="shared" si="6"/>
        <v>93.933383489501395</v>
      </c>
      <c r="G90">
        <f t="shared" ca="1" si="7"/>
        <v>88</v>
      </c>
      <c r="H90">
        <f t="shared" ca="1" si="8"/>
        <v>8266.1377470761236</v>
      </c>
      <c r="I90">
        <f t="shared" ca="1" si="9"/>
        <v>58857.069700962922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38417</v>
      </c>
      <c r="B93" s="66">
        <v>38417</v>
      </c>
      <c r="D93">
        <f t="shared" si="5"/>
        <v>87.584068577160707</v>
      </c>
      <c r="E93">
        <f t="shared" si="6"/>
        <v>87.584068577160707</v>
      </c>
      <c r="G93">
        <f t="shared" ca="1" si="7"/>
        <v>91</v>
      </c>
      <c r="H93">
        <f t="shared" ca="1" si="8"/>
        <v>7970.1502405216243</v>
      </c>
      <c r="I93">
        <f t="shared" ca="1" si="9"/>
        <v>42512.714777993147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42696</v>
      </c>
      <c r="B95" s="66">
        <v>42696</v>
      </c>
      <c r="D95">
        <f t="shared" si="5"/>
        <v>97.339443266534431</v>
      </c>
      <c r="E95">
        <f t="shared" si="6"/>
        <v>97.339443266534431</v>
      </c>
      <c r="G95">
        <f t="shared" ca="1" si="7"/>
        <v>93</v>
      </c>
      <c r="H95">
        <f t="shared" ca="1" si="8"/>
        <v>9052.5682237877027</v>
      </c>
      <c r="I95">
        <f t="shared" ca="1" si="9"/>
        <v>39059.074493844259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42426</v>
      </c>
      <c r="B98" s="66">
        <v>42426</v>
      </c>
      <c r="D98">
        <f t="shared" si="5"/>
        <v>96.723890294781484</v>
      </c>
      <c r="E98">
        <f t="shared" si="6"/>
        <v>96.723890294781484</v>
      </c>
      <c r="G98">
        <f t="shared" ca="1" si="7"/>
        <v>96</v>
      </c>
      <c r="H98">
        <f t="shared" ca="1" si="8"/>
        <v>9285.4934682990224</v>
      </c>
      <c r="I98">
        <f t="shared" ca="1" si="9"/>
        <v>28057.358681992817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43755</v>
      </c>
      <c r="B100" s="66">
        <v>43755</v>
      </c>
      <c r="D100">
        <f t="shared" si="5"/>
        <v>99.753778811298815</v>
      </c>
      <c r="E100">
        <f t="shared" si="6"/>
        <v>99.753778811298815</v>
      </c>
      <c r="G100">
        <f t="shared" ca="1" si="7"/>
        <v>98</v>
      </c>
      <c r="H100">
        <f t="shared" ca="1" si="8"/>
        <v>9775.8703235072844</v>
      </c>
      <c r="I100">
        <f t="shared" ca="1" si="9"/>
        <v>22539.391720560179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41880</v>
      </c>
      <c r="B103" s="66">
        <v>41880</v>
      </c>
      <c r="D103">
        <f t="shared" si="5"/>
        <v>95.47910539634772</v>
      </c>
      <c r="E103">
        <f t="shared" si="6"/>
        <v>95.47910539634772</v>
      </c>
      <c r="G103">
        <f t="shared" ca="1" si="7"/>
        <v>101</v>
      </c>
      <c r="H103">
        <f t="shared" ca="1" si="8"/>
        <v>9643.3896450311204</v>
      </c>
      <c r="I103">
        <f t="shared" ca="1" si="9"/>
        <v>13821.593863778069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39982</v>
      </c>
      <c r="B106" s="66">
        <v>39982</v>
      </c>
      <c r="D106">
        <f t="shared" si="5"/>
        <v>91.151995987506552</v>
      </c>
      <c r="E106">
        <f t="shared" si="6"/>
        <v>91.151995987506552</v>
      </c>
      <c r="G106">
        <f t="shared" ca="1" si="7"/>
        <v>104</v>
      </c>
      <c r="H106">
        <f t="shared" ca="1" si="8"/>
        <v>9479.8075827006815</v>
      </c>
      <c r="I106">
        <f t="shared" ca="1" si="9"/>
        <v>7435.3187421712355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40866</v>
      </c>
      <c r="B108" s="66">
        <v>40866</v>
      </c>
      <c r="D108">
        <f t="shared" si="5"/>
        <v>93.16736201354216</v>
      </c>
      <c r="E108">
        <f t="shared" si="6"/>
        <v>93.16736201354216</v>
      </c>
      <c r="G108">
        <f t="shared" ca="1" si="7"/>
        <v>106</v>
      </c>
      <c r="H108">
        <f t="shared" ca="1" si="8"/>
        <v>9875.7403734354684</v>
      </c>
      <c r="I108">
        <f t="shared" ca="1" si="9"/>
        <v>4606.5657547106093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41934</v>
      </c>
      <c r="B111" s="66">
        <v>41934</v>
      </c>
      <c r="D111">
        <f t="shared" si="5"/>
        <v>95.602215990698312</v>
      </c>
      <c r="E111">
        <f t="shared" si="6"/>
        <v>95.602215990698312</v>
      </c>
      <c r="G111">
        <f t="shared" ca="1" si="7"/>
        <v>109</v>
      </c>
      <c r="H111">
        <f t="shared" ca="1" si="8"/>
        <v>10420.641542986115</v>
      </c>
      <c r="I111">
        <f t="shared" ca="1" si="9"/>
        <v>1553.9313674484326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43863</v>
      </c>
      <c r="B113" s="66">
        <v>43863</v>
      </c>
      <c r="D113">
        <f t="shared" si="5"/>
        <v>100</v>
      </c>
      <c r="E113">
        <f t="shared" si="6"/>
        <v>100</v>
      </c>
      <c r="G113">
        <f t="shared" ca="1" si="7"/>
        <v>111</v>
      </c>
      <c r="H113">
        <f t="shared" ca="1" si="8"/>
        <v>11100</v>
      </c>
      <c r="I113">
        <f t="shared" ca="1" si="9"/>
        <v>412.7568323070123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40537</v>
      </c>
      <c r="B116" s="66">
        <v>40537</v>
      </c>
      <c r="D116">
        <f t="shared" si="5"/>
        <v>92.417299318332084</v>
      </c>
      <c r="E116">
        <f t="shared" si="6"/>
        <v>92.417299318332084</v>
      </c>
      <c r="G116">
        <f t="shared" ca="1" si="7"/>
        <v>114</v>
      </c>
      <c r="H116">
        <f t="shared" ca="1" si="8"/>
        <v>10535.572122289857</v>
      </c>
      <c r="I116">
        <f t="shared" ca="1" si="9"/>
        <v>86.661331982622144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43368</v>
      </c>
      <c r="B118" s="66">
        <v>43368</v>
      </c>
      <c r="D118">
        <f t="shared" si="5"/>
        <v>98.871486218452915</v>
      </c>
      <c r="E118">
        <f t="shared" si="6"/>
        <v>98.871486218452915</v>
      </c>
      <c r="G118">
        <f t="shared" ca="1" si="7"/>
        <v>116</v>
      </c>
      <c r="H118">
        <f t="shared" ca="1" si="8"/>
        <v>11469.092401340538</v>
      </c>
      <c r="I118">
        <f t="shared" ca="1" si="9"/>
        <v>871.17154730883044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41548</v>
      </c>
      <c r="B121" s="66">
        <v>41548</v>
      </c>
      <c r="D121">
        <f t="shared" si="5"/>
        <v>94.722203223673716</v>
      </c>
      <c r="E121">
        <f t="shared" si="6"/>
        <v>94.722203223673716</v>
      </c>
      <c r="G121">
        <f t="shared" ca="1" si="7"/>
        <v>119</v>
      </c>
      <c r="H121">
        <f t="shared" ca="1" si="8"/>
        <v>11271.942183617171</v>
      </c>
      <c r="I121">
        <f t="shared" ca="1" si="9"/>
        <v>3374.1280025176638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40383</v>
      </c>
      <c r="B124" s="66">
        <v>40383</v>
      </c>
      <c r="D124">
        <f t="shared" si="5"/>
        <v>92.066206141850756</v>
      </c>
      <c r="E124">
        <f t="shared" si="6"/>
        <v>92.066206141850756</v>
      </c>
      <c r="G124">
        <f t="shared" ca="1" si="7"/>
        <v>122</v>
      </c>
      <c r="H124">
        <f t="shared" ca="1" si="8"/>
        <v>11232.077149305793</v>
      </c>
      <c r="I124">
        <f t="shared" ca="1" si="9"/>
        <v>7405.018378521987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43750</v>
      </c>
      <c r="B126" s="66">
        <v>43750</v>
      </c>
      <c r="D126">
        <f t="shared" si="5"/>
        <v>99.742379682192279</v>
      </c>
      <c r="E126">
        <f t="shared" si="6"/>
        <v>99.742379682192279</v>
      </c>
      <c r="G126">
        <f t="shared" ca="1" si="7"/>
        <v>124</v>
      </c>
      <c r="H126">
        <f t="shared" ca="1" si="8"/>
        <v>12368.055080591843</v>
      </c>
      <c r="I126">
        <f t="shared" ca="1" si="9"/>
        <v>11999.495221832449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39888</v>
      </c>
      <c r="B129" s="66">
        <v>39888</v>
      </c>
      <c r="D129">
        <f t="shared" si="5"/>
        <v>90.937692360303672</v>
      </c>
      <c r="E129">
        <f t="shared" si="6"/>
        <v>90.937692360303672</v>
      </c>
      <c r="G129">
        <f t="shared" ca="1" si="7"/>
        <v>127</v>
      </c>
      <c r="H129">
        <f t="shared" ca="1" si="8"/>
        <v>11549.086929758567</v>
      </c>
      <c r="I129">
        <f t="shared" ca="1" si="9"/>
        <v>17743.310696372486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38544</v>
      </c>
      <c r="B131" s="66">
        <v>38544</v>
      </c>
      <c r="D131">
        <f t="shared" ref="D131:D194" si="10">IFERROR( 100*A131/MAX(A$2:A$257), 0 )</f>
        <v>87.873606456466732</v>
      </c>
      <c r="E131">
        <f t="shared" ref="E131:E194" si="11">IFERROR( 100*B131/MAX(B$2:B$257), 0 )</f>
        <v>87.873606456466732</v>
      </c>
      <c r="G131">
        <f t="shared" ref="G131:G194" ca="1" si="12">CELL("row",D131)-2</f>
        <v>129</v>
      </c>
      <c r="H131">
        <f t="shared" ref="H131:H194" ca="1" si="13">D131*G131</f>
        <v>11335.695232884209</v>
      </c>
      <c r="I131">
        <f t="shared" ref="I131:I194" ca="1" si="14">D131*((G131-$L$1)^2)</f>
        <v>22406.755957189318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37603</v>
      </c>
      <c r="B134" s="66">
        <v>37603</v>
      </c>
      <c r="D134">
        <f t="shared" si="10"/>
        <v>85.728290358616604</v>
      </c>
      <c r="E134">
        <f t="shared" si="11"/>
        <v>85.728290358616604</v>
      </c>
      <c r="G134">
        <f t="shared" ca="1" si="12"/>
        <v>132</v>
      </c>
      <c r="H134">
        <f t="shared" ca="1" si="13"/>
        <v>11316.134327337391</v>
      </c>
      <c r="I134">
        <f t="shared" ca="1" si="14"/>
        <v>30844.92001342836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41023</v>
      </c>
      <c r="B136" s="66">
        <v>41023</v>
      </c>
      <c r="D136">
        <f t="shared" si="10"/>
        <v>93.525294667487401</v>
      </c>
      <c r="E136">
        <f t="shared" si="11"/>
        <v>93.525294667487401</v>
      </c>
      <c r="G136">
        <f t="shared" ca="1" si="12"/>
        <v>134</v>
      </c>
      <c r="H136">
        <f t="shared" ca="1" si="13"/>
        <v>12532.389485443311</v>
      </c>
      <c r="I136">
        <f t="shared" ca="1" si="14"/>
        <v>41120.457699768071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36122</v>
      </c>
      <c r="B139" s="66">
        <v>36122</v>
      </c>
      <c r="D139">
        <f t="shared" si="10"/>
        <v>82.351868317260568</v>
      </c>
      <c r="E139">
        <f t="shared" si="11"/>
        <v>82.351868317260568</v>
      </c>
      <c r="G139">
        <f t="shared" ca="1" si="12"/>
        <v>137</v>
      </c>
      <c r="H139">
        <f t="shared" ca="1" si="13"/>
        <v>11282.205959464698</v>
      </c>
      <c r="I139">
        <f t="shared" ca="1" si="14"/>
        <v>47309.682135217838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37472</v>
      </c>
      <c r="B142" s="66">
        <v>37472</v>
      </c>
      <c r="D142">
        <f t="shared" si="10"/>
        <v>85.429633176025348</v>
      </c>
      <c r="E142">
        <f t="shared" si="11"/>
        <v>85.429633176025348</v>
      </c>
      <c r="G142">
        <f t="shared" ca="1" si="12"/>
        <v>140</v>
      </c>
      <c r="H142">
        <f t="shared" ca="1" si="13"/>
        <v>11960.148644643548</v>
      </c>
      <c r="I142">
        <f t="shared" ca="1" si="14"/>
        <v>62132.318251167555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32976</v>
      </c>
      <c r="B144" s="66">
        <v>32976</v>
      </c>
      <c r="D144">
        <f t="shared" si="10"/>
        <v>75.17953628342795</v>
      </c>
      <c r="E144">
        <f t="shared" si="11"/>
        <v>75.17953628342795</v>
      </c>
      <c r="G144">
        <f t="shared" ca="1" si="12"/>
        <v>142</v>
      </c>
      <c r="H144">
        <f t="shared" ca="1" si="13"/>
        <v>10675.494152246769</v>
      </c>
      <c r="I144">
        <f t="shared" ca="1" si="14"/>
        <v>63088.09405123521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33803</v>
      </c>
      <c r="B147" s="66">
        <v>33803</v>
      </c>
      <c r="D147">
        <f t="shared" si="10"/>
        <v>77.064952237649038</v>
      </c>
      <c r="E147">
        <f t="shared" si="11"/>
        <v>77.064952237649038</v>
      </c>
      <c r="G147">
        <f t="shared" ca="1" si="12"/>
        <v>145</v>
      </c>
      <c r="H147">
        <f t="shared" ca="1" si="13"/>
        <v>11174.41807445911</v>
      </c>
      <c r="I147">
        <f t="shared" ca="1" si="14"/>
        <v>78758.526023028302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33579</v>
      </c>
      <c r="B149" s="66">
        <v>33579</v>
      </c>
      <c r="D149">
        <f t="shared" si="10"/>
        <v>76.55427125367622</v>
      </c>
      <c r="E149">
        <f t="shared" si="11"/>
        <v>76.55427125367622</v>
      </c>
      <c r="G149">
        <f t="shared" ca="1" si="12"/>
        <v>147</v>
      </c>
      <c r="H149">
        <f t="shared" ca="1" si="13"/>
        <v>11253.477874290404</v>
      </c>
      <c r="I149">
        <f t="shared" ca="1" si="14"/>
        <v>88332.096902680467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32125</v>
      </c>
      <c r="B152" s="66">
        <v>32125</v>
      </c>
      <c r="D152">
        <f t="shared" si="10"/>
        <v>73.239404509495472</v>
      </c>
      <c r="E152">
        <f t="shared" si="11"/>
        <v>73.239404509495472</v>
      </c>
      <c r="G152">
        <f t="shared" ca="1" si="12"/>
        <v>150</v>
      </c>
      <c r="H152">
        <f t="shared" ca="1" si="13"/>
        <v>10985.910676424321</v>
      </c>
      <c r="I152">
        <f t="shared" ca="1" si="14"/>
        <v>100093.32864061436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34923</v>
      </c>
      <c r="B154" s="66">
        <v>34923</v>
      </c>
      <c r="D154">
        <f t="shared" si="10"/>
        <v>79.618357157513159</v>
      </c>
      <c r="E154">
        <f t="shared" si="11"/>
        <v>79.618357157513159</v>
      </c>
      <c r="G154">
        <f t="shared" ca="1" si="12"/>
        <v>152</v>
      </c>
      <c r="H154">
        <f t="shared" ca="1" si="13"/>
        <v>12101.990287942001</v>
      </c>
      <c r="I154">
        <f t="shared" ca="1" si="14"/>
        <v>120903.09815918097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29543</v>
      </c>
      <c r="B157" s="66">
        <v>29543</v>
      </c>
      <c r="D157">
        <f t="shared" si="10"/>
        <v>67.352894238880154</v>
      </c>
      <c r="E157">
        <f t="shared" si="11"/>
        <v>67.352894238880154</v>
      </c>
      <c r="G157">
        <f t="shared" ca="1" si="12"/>
        <v>155</v>
      </c>
      <c r="H157">
        <f t="shared" ca="1" si="13"/>
        <v>10439.698607026425</v>
      </c>
      <c r="I157">
        <f t="shared" ca="1" si="14"/>
        <v>118631.5549713034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28856</v>
      </c>
      <c r="B160" s="66">
        <v>28856</v>
      </c>
      <c r="D160">
        <f t="shared" si="10"/>
        <v>65.786653899642062</v>
      </c>
      <c r="E160">
        <f t="shared" si="11"/>
        <v>65.786653899642062</v>
      </c>
      <c r="G160">
        <f t="shared" ca="1" si="12"/>
        <v>158</v>
      </c>
      <c r="H160">
        <f t="shared" ca="1" si="13"/>
        <v>10394.291316143446</v>
      </c>
      <c r="I160">
        <f t="shared" ca="1" si="14"/>
        <v>133030.69539664747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29466</v>
      </c>
      <c r="B162" s="66">
        <v>29466</v>
      </c>
      <c r="D162">
        <f t="shared" si="10"/>
        <v>67.17734765063949</v>
      </c>
      <c r="E162">
        <f t="shared" si="11"/>
        <v>67.17734765063949</v>
      </c>
      <c r="G162">
        <f t="shared" ca="1" si="12"/>
        <v>160</v>
      </c>
      <c r="H162">
        <f t="shared" ca="1" si="13"/>
        <v>10748.375624102318</v>
      </c>
      <c r="I162">
        <f t="shared" ca="1" si="14"/>
        <v>148195.02079668446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28772</v>
      </c>
      <c r="B165" s="66">
        <v>28772</v>
      </c>
      <c r="D165">
        <f t="shared" si="10"/>
        <v>65.595148530652253</v>
      </c>
      <c r="E165">
        <f t="shared" si="11"/>
        <v>65.595148530652253</v>
      </c>
      <c r="G165">
        <f t="shared" ca="1" si="12"/>
        <v>163</v>
      </c>
      <c r="H165">
        <f t="shared" ca="1" si="13"/>
        <v>10692.009210496317</v>
      </c>
      <c r="I165">
        <f t="shared" ca="1" si="14"/>
        <v>163780.38227341624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27731</v>
      </c>
      <c r="B167" s="66">
        <v>27731</v>
      </c>
      <c r="D167">
        <f t="shared" si="10"/>
        <v>63.221849850671411</v>
      </c>
      <c r="E167">
        <f t="shared" si="11"/>
        <v>63.221849850671411</v>
      </c>
      <c r="G167">
        <f t="shared" ca="1" si="12"/>
        <v>165</v>
      </c>
      <c r="H167">
        <f t="shared" ca="1" si="13"/>
        <v>10431.605225360783</v>
      </c>
      <c r="I167">
        <f t="shared" ca="1" si="14"/>
        <v>170743.89829885989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25832</v>
      </c>
      <c r="B170" s="66">
        <v>25832</v>
      </c>
      <c r="D170">
        <f t="shared" si="10"/>
        <v>58.89246061600894</v>
      </c>
      <c r="E170">
        <f t="shared" si="11"/>
        <v>58.89246061600894</v>
      </c>
      <c r="G170">
        <f t="shared" ca="1" si="12"/>
        <v>168</v>
      </c>
      <c r="H170">
        <f t="shared" ca="1" si="13"/>
        <v>9893.9333834895024</v>
      </c>
      <c r="I170">
        <f t="shared" ca="1" si="14"/>
        <v>177944.77147429867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23459</v>
      </c>
      <c r="B173" s="66">
        <v>23459</v>
      </c>
      <c r="D173">
        <f t="shared" si="10"/>
        <v>53.482433942046825</v>
      </c>
      <c r="E173">
        <f t="shared" si="11"/>
        <v>53.482433942046825</v>
      </c>
      <c r="G173">
        <f t="shared" ca="1" si="12"/>
        <v>171</v>
      </c>
      <c r="H173">
        <f t="shared" ca="1" si="13"/>
        <v>9145.4962040900064</v>
      </c>
      <c r="I173">
        <f t="shared" ca="1" si="14"/>
        <v>179718.65691510949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22163</v>
      </c>
      <c r="B175" s="66">
        <v>22163</v>
      </c>
      <c r="D175">
        <f t="shared" si="10"/>
        <v>50.52777967763263</v>
      </c>
      <c r="E175">
        <f t="shared" si="11"/>
        <v>50.52777967763263</v>
      </c>
      <c r="G175">
        <f t="shared" ca="1" si="12"/>
        <v>173</v>
      </c>
      <c r="H175">
        <f t="shared" ca="1" si="13"/>
        <v>8741.3058842304454</v>
      </c>
      <c r="I175">
        <f t="shared" ca="1" si="14"/>
        <v>181708.20276015424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22530</v>
      </c>
      <c r="B178" s="66">
        <v>22530</v>
      </c>
      <c r="D178">
        <f t="shared" si="10"/>
        <v>51.364475754052393</v>
      </c>
      <c r="E178">
        <f t="shared" si="11"/>
        <v>51.364475754052393</v>
      </c>
      <c r="G178">
        <f t="shared" ca="1" si="12"/>
        <v>176</v>
      </c>
      <c r="H178">
        <f t="shared" ca="1" si="13"/>
        <v>9040.1477327132216</v>
      </c>
      <c r="I178">
        <f t="shared" ca="1" si="14"/>
        <v>203660.87249909842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16993</v>
      </c>
      <c r="B180" s="66">
        <v>16993</v>
      </c>
      <c r="D180">
        <f t="shared" si="10"/>
        <v>38.741080181474132</v>
      </c>
      <c r="E180">
        <f t="shared" si="11"/>
        <v>38.741080181474132</v>
      </c>
      <c r="G180">
        <f t="shared" ca="1" si="12"/>
        <v>178</v>
      </c>
      <c r="H180">
        <f t="shared" ca="1" si="13"/>
        <v>6895.9122723023956</v>
      </c>
      <c r="I180">
        <f t="shared" ca="1" si="14"/>
        <v>163521.74377766965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16976</v>
      </c>
      <c r="B183" s="66">
        <v>16976</v>
      </c>
      <c r="D183">
        <f t="shared" si="10"/>
        <v>38.702323142511915</v>
      </c>
      <c r="E183">
        <f t="shared" si="11"/>
        <v>38.702323142511915</v>
      </c>
      <c r="G183">
        <f t="shared" ca="1" si="12"/>
        <v>181</v>
      </c>
      <c r="H183">
        <f t="shared" ca="1" si="13"/>
        <v>7005.1204887946569</v>
      </c>
      <c r="I183">
        <f t="shared" ca="1" si="14"/>
        <v>178793.03394512145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17024</v>
      </c>
      <c r="B185" s="66">
        <v>17024</v>
      </c>
      <c r="D185">
        <f t="shared" si="10"/>
        <v>38.81175478193466</v>
      </c>
      <c r="E185">
        <f t="shared" si="11"/>
        <v>38.81175478193466</v>
      </c>
      <c r="G185">
        <f t="shared" ca="1" si="12"/>
        <v>183</v>
      </c>
      <c r="H185">
        <f t="shared" ca="1" si="13"/>
        <v>7102.5511250940426</v>
      </c>
      <c r="I185">
        <f t="shared" ca="1" si="14"/>
        <v>190005.7070679169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14770</v>
      </c>
      <c r="B188" s="66">
        <v>14770</v>
      </c>
      <c r="D188">
        <f t="shared" si="10"/>
        <v>33.673027380708113</v>
      </c>
      <c r="E188">
        <f t="shared" si="11"/>
        <v>33.673027380708113</v>
      </c>
      <c r="G188">
        <f t="shared" ca="1" si="12"/>
        <v>186</v>
      </c>
      <c r="H188">
        <f t="shared" ca="1" si="13"/>
        <v>6263.1830928117088</v>
      </c>
      <c r="I188">
        <f t="shared" ca="1" si="14"/>
        <v>179288.03734375208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10141</v>
      </c>
      <c r="B191" s="66">
        <v>10141</v>
      </c>
      <c r="D191">
        <f t="shared" si="10"/>
        <v>23.119713653876843</v>
      </c>
      <c r="E191">
        <f t="shared" si="11"/>
        <v>23.119713653876843</v>
      </c>
      <c r="G191">
        <f t="shared" ca="1" si="12"/>
        <v>189</v>
      </c>
      <c r="H191">
        <f t="shared" ca="1" si="13"/>
        <v>4369.6258805827238</v>
      </c>
      <c r="I191">
        <f t="shared" ca="1" si="14"/>
        <v>133428.29377983444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7642</v>
      </c>
      <c r="B193" s="66">
        <v>7642</v>
      </c>
      <c r="D193">
        <f t="shared" si="10"/>
        <v>17.422428926430022</v>
      </c>
      <c r="E193">
        <f t="shared" si="11"/>
        <v>17.422428926430022</v>
      </c>
      <c r="G193">
        <f t="shared" ca="1" si="12"/>
        <v>191</v>
      </c>
      <c r="H193">
        <f t="shared" ca="1" si="13"/>
        <v>3327.6839249481345</v>
      </c>
      <c r="I193">
        <f t="shared" ca="1" si="14"/>
        <v>105912.07587176887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11247</v>
      </c>
      <c r="B196" s="66">
        <v>11247</v>
      </c>
      <c r="D196">
        <f t="shared" si="15"/>
        <v>25.641201012242664</v>
      </c>
      <c r="E196">
        <f t="shared" si="16"/>
        <v>25.641201012242664</v>
      </c>
      <c r="G196">
        <f t="shared" ca="1" si="17"/>
        <v>194</v>
      </c>
      <c r="H196">
        <f t="shared" ca="1" si="18"/>
        <v>4974.392996375077</v>
      </c>
      <c r="I196">
        <f t="shared" ca="1" si="19"/>
        <v>168100.50952740421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8410</v>
      </c>
      <c r="B198" s="66">
        <v>8410</v>
      </c>
      <c r="D198">
        <f t="shared" si="15"/>
        <v>19.173335157193989</v>
      </c>
      <c r="E198">
        <f t="shared" si="16"/>
        <v>19.173335157193989</v>
      </c>
      <c r="G198">
        <f t="shared" ca="1" si="17"/>
        <v>196</v>
      </c>
      <c r="H198">
        <f t="shared" ca="1" si="18"/>
        <v>3757.9736908100217</v>
      </c>
      <c r="I198">
        <f t="shared" ca="1" si="19"/>
        <v>131984.41647046368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6750</v>
      </c>
      <c r="B201" s="66">
        <v>6750</v>
      </c>
      <c r="D201">
        <f t="shared" si="15"/>
        <v>15.388824293823951</v>
      </c>
      <c r="E201">
        <f t="shared" si="16"/>
        <v>15.388824293823951</v>
      </c>
      <c r="G201">
        <f t="shared" ca="1" si="17"/>
        <v>199</v>
      </c>
      <c r="H201">
        <f t="shared" ca="1" si="18"/>
        <v>3062.3760344709663</v>
      </c>
      <c r="I201">
        <f t="shared" ca="1" si="19"/>
        <v>113732.0079595524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5898</v>
      </c>
      <c r="B203" s="66">
        <v>5898</v>
      </c>
      <c r="D203">
        <f t="shared" si="15"/>
        <v>13.446412694070172</v>
      </c>
      <c r="E203">
        <f t="shared" si="16"/>
        <v>13.446412694070172</v>
      </c>
      <c r="G203">
        <f t="shared" ca="1" si="17"/>
        <v>201</v>
      </c>
      <c r="H203">
        <f t="shared" ca="1" si="18"/>
        <v>2702.7289515081047</v>
      </c>
      <c r="I203">
        <f t="shared" ca="1" si="19"/>
        <v>104054.15092089867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5770</v>
      </c>
      <c r="B206" s="66">
        <v>5770</v>
      </c>
      <c r="D206">
        <f t="shared" si="15"/>
        <v>13.154594988942845</v>
      </c>
      <c r="E206">
        <f t="shared" si="16"/>
        <v>13.154594988942845</v>
      </c>
      <c r="G206">
        <f t="shared" ca="1" si="17"/>
        <v>204</v>
      </c>
      <c r="H206">
        <f t="shared" ca="1" si="18"/>
        <v>2683.5373777443406</v>
      </c>
      <c r="I206">
        <f t="shared" ca="1" si="19"/>
        <v>108857.45953964314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5925</v>
      </c>
      <c r="B209" s="66">
        <v>5925</v>
      </c>
      <c r="D209">
        <f t="shared" si="15"/>
        <v>13.507967991245469</v>
      </c>
      <c r="E209">
        <f t="shared" si="16"/>
        <v>13.507967991245469</v>
      </c>
      <c r="G209">
        <f t="shared" ca="1" si="17"/>
        <v>207</v>
      </c>
      <c r="H209">
        <f t="shared" ca="1" si="18"/>
        <v>2796.1493741878121</v>
      </c>
      <c r="I209">
        <f t="shared" ca="1" si="19"/>
        <v>119276.06445786703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2840</v>
      </c>
      <c r="B211" s="66">
        <v>2840</v>
      </c>
      <c r="D211">
        <f t="shared" si="15"/>
        <v>6.4747053325125963</v>
      </c>
      <c r="E211">
        <f t="shared" si="16"/>
        <v>6.4747053325125963</v>
      </c>
      <c r="G211">
        <f t="shared" ca="1" si="17"/>
        <v>209</v>
      </c>
      <c r="H211">
        <f t="shared" ca="1" si="18"/>
        <v>1353.2134144951326</v>
      </c>
      <c r="I211">
        <f t="shared" ca="1" si="19"/>
        <v>59631.555555946507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616</v>
      </c>
      <c r="B214" s="66">
        <v>616</v>
      </c>
      <c r="D214">
        <f t="shared" si="15"/>
        <v>1.4043727059252673</v>
      </c>
      <c r="E214">
        <f t="shared" si="16"/>
        <v>1.4043727059252673</v>
      </c>
      <c r="G214">
        <f t="shared" ca="1" si="17"/>
        <v>212</v>
      </c>
      <c r="H214">
        <f t="shared" ca="1" si="18"/>
        <v>297.72701365615666</v>
      </c>
      <c r="I214">
        <f t="shared" ca="1" si="19"/>
        <v>13755.459800042583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165</v>
      </c>
      <c r="B216" s="66">
        <v>165</v>
      </c>
      <c r="D216">
        <f t="shared" si="15"/>
        <v>0.3761712605156966</v>
      </c>
      <c r="E216">
        <f t="shared" si="16"/>
        <v>0.3761712605156966</v>
      </c>
      <c r="G216">
        <f t="shared" ca="1" si="17"/>
        <v>214</v>
      </c>
      <c r="H216">
        <f t="shared" ca="1" si="18"/>
        <v>80.500649750359074</v>
      </c>
      <c r="I216">
        <f t="shared" ca="1" si="19"/>
        <v>3834.9190540185932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119</v>
      </c>
      <c r="B219" s="66">
        <v>119</v>
      </c>
      <c r="D219">
        <f t="shared" si="15"/>
        <v>0.27129927273556298</v>
      </c>
      <c r="E219">
        <f t="shared" si="16"/>
        <v>0.27129927273556298</v>
      </c>
      <c r="G219">
        <f t="shared" ca="1" si="17"/>
        <v>217</v>
      </c>
      <c r="H219">
        <f t="shared" ca="1" si="18"/>
        <v>58.871942183617165</v>
      </c>
      <c r="I219">
        <f t="shared" ca="1" si="19"/>
        <v>2932.5876520061579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604</v>
      </c>
      <c r="B221" s="66">
        <v>604</v>
      </c>
      <c r="D221">
        <f t="shared" si="15"/>
        <v>1.3770147960695802</v>
      </c>
      <c r="E221">
        <f t="shared" si="16"/>
        <v>1.3770147960695802</v>
      </c>
      <c r="G221">
        <f t="shared" ca="1" si="17"/>
        <v>219</v>
      </c>
      <c r="H221">
        <f t="shared" ca="1" si="18"/>
        <v>301.56624033923805</v>
      </c>
      <c r="I221">
        <f t="shared" ca="1" si="19"/>
        <v>15462.902533010989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334</v>
      </c>
      <c r="B224" s="66">
        <v>334</v>
      </c>
      <c r="D224">
        <f t="shared" si="15"/>
        <v>0.76146182431662224</v>
      </c>
      <c r="E224">
        <f t="shared" si="16"/>
        <v>0.76146182431662224</v>
      </c>
      <c r="G224">
        <f t="shared" ca="1" si="17"/>
        <v>222</v>
      </c>
      <c r="H224">
        <f t="shared" ca="1" si="18"/>
        <v>169.04452499829014</v>
      </c>
      <c r="I224">
        <f t="shared" ca="1" si="19"/>
        <v>9041.676203409128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266</v>
      </c>
      <c r="B227" s="66">
        <v>266</v>
      </c>
      <c r="D227">
        <f t="shared" si="15"/>
        <v>0.60643366846772906</v>
      </c>
      <c r="E227">
        <f t="shared" si="16"/>
        <v>0.60643366846772906</v>
      </c>
      <c r="G227">
        <f t="shared" ca="1" si="17"/>
        <v>225</v>
      </c>
      <c r="H227">
        <f t="shared" ca="1" si="18"/>
        <v>136.44757540523904</v>
      </c>
      <c r="I227">
        <f t="shared" ca="1" si="19"/>
        <v>7602.8062888724662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154.81757697963215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2.9891388497148657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0.76694875087776437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960</v>
      </c>
      <c r="B8" s="66">
        <v>960</v>
      </c>
      <c r="D8">
        <f t="shared" si="0"/>
        <v>0.94557990642698841</v>
      </c>
      <c r="E8">
        <f t="shared" si="1"/>
        <v>0.94557990642698841</v>
      </c>
      <c r="G8">
        <f t="shared" ca="1" si="2"/>
        <v>6</v>
      </c>
      <c r="H8">
        <f t="shared" ca="1" si="3"/>
        <v>5.6734794385619303</v>
      </c>
      <c r="I8">
        <f t="shared" ca="1" si="4"/>
        <v>20941.44729806963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1476</v>
      </c>
      <c r="B10" s="66">
        <v>1476</v>
      </c>
      <c r="D10">
        <f t="shared" si="0"/>
        <v>1.4538291061314947</v>
      </c>
      <c r="E10">
        <f t="shared" si="1"/>
        <v>1.4538291061314947</v>
      </c>
      <c r="G10">
        <f t="shared" ca="1" si="2"/>
        <v>8</v>
      </c>
      <c r="H10">
        <f t="shared" ca="1" si="3"/>
        <v>11.630632849051958</v>
      </c>
      <c r="I10">
        <f t="shared" ca="1" si="4"/>
        <v>31337.869237538769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1095</v>
      </c>
      <c r="B13" s="66">
        <v>1095</v>
      </c>
      <c r="D13">
        <f t="shared" si="0"/>
        <v>1.0785520807682836</v>
      </c>
      <c r="E13">
        <f t="shared" si="1"/>
        <v>1.0785520807682836</v>
      </c>
      <c r="G13">
        <f t="shared" ca="1" si="2"/>
        <v>11</v>
      </c>
      <c r="H13">
        <f t="shared" ca="1" si="3"/>
        <v>11.864072888451119</v>
      </c>
      <c r="I13">
        <f t="shared" ca="1" si="4"/>
        <v>22308.22705331711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824</v>
      </c>
      <c r="B15" s="66">
        <v>824</v>
      </c>
      <c r="D15">
        <f t="shared" si="0"/>
        <v>0.81162275301649844</v>
      </c>
      <c r="E15">
        <f t="shared" si="1"/>
        <v>0.81162275301649844</v>
      </c>
      <c r="G15">
        <f t="shared" ca="1" si="2"/>
        <v>13</v>
      </c>
      <c r="H15">
        <f t="shared" ca="1" si="3"/>
        <v>10.551095789214481</v>
      </c>
      <c r="I15">
        <f t="shared" ca="1" si="4"/>
        <v>16323.53953771789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1208</v>
      </c>
      <c r="B18" s="66">
        <v>1208</v>
      </c>
      <c r="D18">
        <f t="shared" si="0"/>
        <v>1.1898547155872938</v>
      </c>
      <c r="E18">
        <f t="shared" si="1"/>
        <v>1.1898547155872938</v>
      </c>
      <c r="G18">
        <f t="shared" ca="1" si="2"/>
        <v>16</v>
      </c>
      <c r="H18">
        <f t="shared" ca="1" si="3"/>
        <v>19.037675449396701</v>
      </c>
      <c r="I18">
        <f t="shared" ca="1" si="4"/>
        <v>22928.880740333203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863</v>
      </c>
      <c r="B21" s="66">
        <v>863</v>
      </c>
      <c r="D21">
        <f t="shared" si="0"/>
        <v>0.85003693671509484</v>
      </c>
      <c r="E21">
        <f t="shared" si="1"/>
        <v>0.85003693671509484</v>
      </c>
      <c r="G21">
        <f t="shared" ca="1" si="2"/>
        <v>19</v>
      </c>
      <c r="H21">
        <f t="shared" ca="1" si="3"/>
        <v>16.150701797586802</v>
      </c>
      <c r="I21">
        <f t="shared" ca="1" si="4"/>
        <v>15680.133434071999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656</v>
      </c>
      <c r="B23" s="66">
        <v>656</v>
      </c>
      <c r="D23">
        <f t="shared" si="0"/>
        <v>0.64614626939177544</v>
      </c>
      <c r="E23">
        <f t="shared" si="1"/>
        <v>0.64614626939177544</v>
      </c>
      <c r="G23">
        <f t="shared" ca="1" si="2"/>
        <v>21</v>
      </c>
      <c r="H23">
        <f t="shared" ca="1" si="3"/>
        <v>13.569071657227283</v>
      </c>
      <c r="I23">
        <f t="shared" ca="1" si="4"/>
        <v>11570.634232068018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413</v>
      </c>
      <c r="B26" s="66">
        <v>413</v>
      </c>
      <c r="D26">
        <f t="shared" si="0"/>
        <v>0.40679635557744398</v>
      </c>
      <c r="E26">
        <f t="shared" si="1"/>
        <v>0.40679635557744398</v>
      </c>
      <c r="G26">
        <f t="shared" ca="1" si="2"/>
        <v>24</v>
      </c>
      <c r="H26">
        <f t="shared" ca="1" si="3"/>
        <v>9.7631125338586564</v>
      </c>
      <c r="I26">
        <f t="shared" ca="1" si="4"/>
        <v>6961.60303229498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321</v>
      </c>
      <c r="B28" s="66">
        <v>321</v>
      </c>
      <c r="D28">
        <f t="shared" si="0"/>
        <v>0.31617828121152425</v>
      </c>
      <c r="E28">
        <f t="shared" si="1"/>
        <v>0.31617828121152425</v>
      </c>
      <c r="G28">
        <f t="shared" ca="1" si="2"/>
        <v>26</v>
      </c>
      <c r="H28">
        <f t="shared" ca="1" si="3"/>
        <v>8.2206353114996311</v>
      </c>
      <c r="I28">
        <f t="shared" ca="1" si="4"/>
        <v>5246.6523246372908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1116</v>
      </c>
      <c r="B31" s="66">
        <v>1116</v>
      </c>
      <c r="D31">
        <f t="shared" si="0"/>
        <v>1.0992366412213741</v>
      </c>
      <c r="E31">
        <f t="shared" si="1"/>
        <v>1.0992366412213741</v>
      </c>
      <c r="G31">
        <f t="shared" ca="1" si="2"/>
        <v>29</v>
      </c>
      <c r="H31">
        <f t="shared" ca="1" si="3"/>
        <v>31.877862595419849</v>
      </c>
      <c r="I31">
        <f t="shared" ca="1" si="4"/>
        <v>17400.984927417521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1588</v>
      </c>
      <c r="B33" s="66">
        <v>1588</v>
      </c>
      <c r="D33">
        <f t="shared" si="0"/>
        <v>1.5641467618813101</v>
      </c>
      <c r="E33">
        <f t="shared" si="1"/>
        <v>1.5641467618813101</v>
      </c>
      <c r="G33">
        <f t="shared" ca="1" si="2"/>
        <v>31</v>
      </c>
      <c r="H33">
        <f t="shared" ca="1" si="3"/>
        <v>48.488549618320612</v>
      </c>
      <c r="I33">
        <f t="shared" ca="1" si="4"/>
        <v>23979.60924121362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3115</v>
      </c>
      <c r="B36" s="66">
        <v>3115</v>
      </c>
      <c r="D36">
        <f t="shared" si="0"/>
        <v>3.0682098005417386</v>
      </c>
      <c r="E36">
        <f t="shared" si="1"/>
        <v>3.0682098005417386</v>
      </c>
      <c r="G36">
        <f t="shared" ca="1" si="2"/>
        <v>34</v>
      </c>
      <c r="H36">
        <f t="shared" ca="1" si="3"/>
        <v>104.31913321841911</v>
      </c>
      <c r="I36">
        <f t="shared" ca="1" si="4"/>
        <v>44786.311466160449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4726</v>
      </c>
      <c r="B39" s="66">
        <v>4726</v>
      </c>
      <c r="D39">
        <f t="shared" si="0"/>
        <v>4.6550110810145284</v>
      </c>
      <c r="E39">
        <f t="shared" si="1"/>
        <v>4.6550110810145284</v>
      </c>
      <c r="G39">
        <f t="shared" ca="1" si="2"/>
        <v>37</v>
      </c>
      <c r="H39">
        <f t="shared" ca="1" si="3"/>
        <v>172.23540999753754</v>
      </c>
      <c r="I39">
        <f t="shared" ca="1" si="4"/>
        <v>64616.122443468521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5486</v>
      </c>
      <c r="B41" s="66">
        <v>5486</v>
      </c>
      <c r="D41">
        <f t="shared" si="0"/>
        <v>5.4035951736025609</v>
      </c>
      <c r="E41">
        <f t="shared" si="1"/>
        <v>5.4035951736025609</v>
      </c>
      <c r="G41">
        <f t="shared" ca="1" si="2"/>
        <v>39</v>
      </c>
      <c r="H41">
        <f t="shared" ca="1" si="3"/>
        <v>210.74021177049988</v>
      </c>
      <c r="I41">
        <f t="shared" ca="1" si="4"/>
        <v>72482.264762331979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6000</v>
      </c>
      <c r="B44" s="66">
        <v>6000</v>
      </c>
      <c r="D44">
        <f t="shared" si="0"/>
        <v>5.9098744151686775</v>
      </c>
      <c r="E44">
        <f t="shared" si="1"/>
        <v>5.9098744151686775</v>
      </c>
      <c r="G44">
        <f t="shared" ca="1" si="2"/>
        <v>42</v>
      </c>
      <c r="H44">
        <f t="shared" ca="1" si="3"/>
        <v>248.21472543708447</v>
      </c>
      <c r="I44">
        <f t="shared" ca="1" si="4"/>
        <v>75219.733123202517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6150</v>
      </c>
      <c r="B46" s="66">
        <v>6150</v>
      </c>
      <c r="D46">
        <f t="shared" si="0"/>
        <v>6.0576212755478949</v>
      </c>
      <c r="E46">
        <f t="shared" si="1"/>
        <v>6.0576212755478949</v>
      </c>
      <c r="G46">
        <f t="shared" ca="1" si="2"/>
        <v>44</v>
      </c>
      <c r="H46">
        <f t="shared" ca="1" si="3"/>
        <v>266.5353361241074</v>
      </c>
      <c r="I46">
        <f t="shared" ca="1" si="4"/>
        <v>74390.832318114451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7243</v>
      </c>
      <c r="B49" s="66">
        <v>7243</v>
      </c>
      <c r="D49">
        <f t="shared" si="0"/>
        <v>7.1342033981777888</v>
      </c>
      <c r="E49">
        <f t="shared" si="1"/>
        <v>7.1342033981777888</v>
      </c>
      <c r="G49">
        <f t="shared" ca="1" si="2"/>
        <v>47</v>
      </c>
      <c r="H49">
        <f t="shared" ca="1" si="3"/>
        <v>335.3075597143561</v>
      </c>
      <c r="I49">
        <f t="shared" ca="1" si="4"/>
        <v>82932.474176224321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7720</v>
      </c>
      <c r="B51" s="66">
        <v>7720</v>
      </c>
      <c r="D51">
        <f t="shared" si="0"/>
        <v>7.604038414183699</v>
      </c>
      <c r="E51">
        <f t="shared" si="1"/>
        <v>7.604038414183699</v>
      </c>
      <c r="G51">
        <f t="shared" ca="1" si="2"/>
        <v>49</v>
      </c>
      <c r="H51">
        <f t="shared" ca="1" si="3"/>
        <v>372.59788229500123</v>
      </c>
      <c r="I51">
        <f t="shared" ca="1" si="4"/>
        <v>85145.152519406751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7641</v>
      </c>
      <c r="B54" s="66">
        <v>7641</v>
      </c>
      <c r="D54">
        <f t="shared" si="0"/>
        <v>7.526225067717311</v>
      </c>
      <c r="E54">
        <f t="shared" si="1"/>
        <v>7.526225067717311</v>
      </c>
      <c r="G54">
        <f t="shared" ca="1" si="2"/>
        <v>52</v>
      </c>
      <c r="H54">
        <f t="shared" ca="1" si="3"/>
        <v>391.36370352130018</v>
      </c>
      <c r="I54">
        <f t="shared" ca="1" si="4"/>
        <v>79563.143120305438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8550</v>
      </c>
      <c r="B57" s="66">
        <v>8550</v>
      </c>
      <c r="D57">
        <f t="shared" si="0"/>
        <v>8.4215710416153655</v>
      </c>
      <c r="E57">
        <f t="shared" si="1"/>
        <v>8.4215710416153655</v>
      </c>
      <c r="G57">
        <f t="shared" ca="1" si="2"/>
        <v>55</v>
      </c>
      <c r="H57">
        <f t="shared" ca="1" si="3"/>
        <v>463.18640728884509</v>
      </c>
      <c r="I57">
        <f t="shared" ca="1" si="4"/>
        <v>83908.732985397641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10273</v>
      </c>
      <c r="B59" s="66">
        <v>10273</v>
      </c>
      <c r="D59">
        <f t="shared" si="0"/>
        <v>10.11868997783797</v>
      </c>
      <c r="E59">
        <f t="shared" si="1"/>
        <v>10.11868997783797</v>
      </c>
      <c r="G59">
        <f t="shared" ca="1" si="2"/>
        <v>57</v>
      </c>
      <c r="H59">
        <f t="shared" ca="1" si="3"/>
        <v>576.76532873676433</v>
      </c>
      <c r="I59">
        <f t="shared" ca="1" si="4"/>
        <v>96818.44240889042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9696</v>
      </c>
      <c r="B62" s="66">
        <v>9696</v>
      </c>
      <c r="D62">
        <f t="shared" si="0"/>
        <v>9.5503570549125829</v>
      </c>
      <c r="E62">
        <f t="shared" si="1"/>
        <v>9.5503570549125829</v>
      </c>
      <c r="G62">
        <f t="shared" ca="1" si="2"/>
        <v>60</v>
      </c>
      <c r="H62">
        <f t="shared" ca="1" si="3"/>
        <v>573.02142329475498</v>
      </c>
      <c r="I62">
        <f t="shared" ca="1" si="4"/>
        <v>85861.271292766294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10336</v>
      </c>
      <c r="B64" s="66">
        <v>10336</v>
      </c>
      <c r="D64">
        <f t="shared" si="0"/>
        <v>10.180743659197242</v>
      </c>
      <c r="E64">
        <f t="shared" si="1"/>
        <v>10.180743659197242</v>
      </c>
      <c r="G64">
        <f t="shared" ca="1" si="2"/>
        <v>62</v>
      </c>
      <c r="H64">
        <f t="shared" ca="1" si="3"/>
        <v>631.20610687022906</v>
      </c>
      <c r="I64">
        <f t="shared" ca="1" si="4"/>
        <v>87708.151131326958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12525</v>
      </c>
      <c r="B67" s="66">
        <v>12525</v>
      </c>
      <c r="D67">
        <f t="shared" ref="D67:D130" si="5">IFERROR(100*A67/MAX(A$2:A$257), 0 )</f>
        <v>12.336862841664615</v>
      </c>
      <c r="E67">
        <f t="shared" ref="E67:E130" si="6">IFERROR(100*B67/MAX(B$2:B$257), 0 )</f>
        <v>12.336862841664615</v>
      </c>
      <c r="G67">
        <f t="shared" ref="G67:G130" ca="1" si="7">CELL("row",D67)-2</f>
        <v>65</v>
      </c>
      <c r="H67">
        <f t="shared" ref="H67:H130" ca="1" si="8">D67*G67</f>
        <v>801.89608470819996</v>
      </c>
      <c r="I67">
        <f t="shared" ref="I67:I130" ca="1" si="9">D67*((G67-$L$1)^2)</f>
        <v>99523.904564899436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13009</v>
      </c>
      <c r="B69" s="66">
        <v>13009</v>
      </c>
      <c r="D69">
        <f t="shared" si="5"/>
        <v>12.813592711154888</v>
      </c>
      <c r="E69">
        <f t="shared" si="6"/>
        <v>12.813592711154888</v>
      </c>
      <c r="G69">
        <f t="shared" ca="1" si="7"/>
        <v>67</v>
      </c>
      <c r="H69">
        <f t="shared" ca="1" si="8"/>
        <v>858.51071164737743</v>
      </c>
      <c r="I69">
        <f t="shared" ca="1" si="9"/>
        <v>98817.489373943565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12608</v>
      </c>
      <c r="B72" s="66">
        <v>12608</v>
      </c>
      <c r="D72">
        <f t="shared" si="5"/>
        <v>12.418616104407782</v>
      </c>
      <c r="E72">
        <f t="shared" si="6"/>
        <v>12.418616104407782</v>
      </c>
      <c r="G72">
        <f t="shared" ca="1" si="7"/>
        <v>70</v>
      </c>
      <c r="H72">
        <f t="shared" ca="1" si="8"/>
        <v>869.30312730854473</v>
      </c>
      <c r="I72">
        <f t="shared" ca="1" si="9"/>
        <v>89339.789575065224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12408</v>
      </c>
      <c r="B75" s="66">
        <v>12408</v>
      </c>
      <c r="D75">
        <f t="shared" si="5"/>
        <v>12.221620290568826</v>
      </c>
      <c r="E75">
        <f t="shared" si="6"/>
        <v>12.221620290568826</v>
      </c>
      <c r="G75">
        <f t="shared" ca="1" si="7"/>
        <v>73</v>
      </c>
      <c r="H75">
        <f t="shared" ca="1" si="8"/>
        <v>892.17828121152422</v>
      </c>
      <c r="I75">
        <f t="shared" ca="1" si="9"/>
        <v>81812.942745300315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12960</v>
      </c>
      <c r="B77" s="66">
        <v>12960</v>
      </c>
      <c r="D77">
        <f t="shared" si="5"/>
        <v>12.765328736764344</v>
      </c>
      <c r="E77">
        <f t="shared" si="6"/>
        <v>12.765328736764344</v>
      </c>
      <c r="G77">
        <f t="shared" ca="1" si="7"/>
        <v>75</v>
      </c>
      <c r="H77">
        <f t="shared" ca="1" si="8"/>
        <v>957.39965525732578</v>
      </c>
      <c r="I77">
        <f t="shared" ca="1" si="9"/>
        <v>81325.938350059179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13161</v>
      </c>
      <c r="B80" s="66">
        <v>13161</v>
      </c>
      <c r="D80">
        <f t="shared" si="5"/>
        <v>12.963309529672495</v>
      </c>
      <c r="E80">
        <f t="shared" si="6"/>
        <v>12.963309529672495</v>
      </c>
      <c r="G80">
        <f t="shared" ca="1" si="7"/>
        <v>78</v>
      </c>
      <c r="H80">
        <f t="shared" ca="1" si="8"/>
        <v>1011.1381433144546</v>
      </c>
      <c r="I80">
        <f t="shared" ca="1" si="9"/>
        <v>76495.713460427229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13054</v>
      </c>
      <c r="B82" s="66">
        <v>13054</v>
      </c>
      <c r="D82">
        <f t="shared" si="5"/>
        <v>12.857916769268654</v>
      </c>
      <c r="E82">
        <f t="shared" si="6"/>
        <v>12.857916769268654</v>
      </c>
      <c r="G82">
        <f t="shared" ca="1" si="7"/>
        <v>80</v>
      </c>
      <c r="H82">
        <f t="shared" ca="1" si="8"/>
        <v>1028.6333415414922</v>
      </c>
      <c r="I82">
        <f t="shared" ca="1" si="9"/>
        <v>71974.372713023346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12567</v>
      </c>
      <c r="B85" s="66">
        <v>12567</v>
      </c>
      <c r="D85">
        <f t="shared" si="5"/>
        <v>12.378231962570796</v>
      </c>
      <c r="E85">
        <f t="shared" si="6"/>
        <v>12.378231962570796</v>
      </c>
      <c r="G85">
        <f t="shared" ca="1" si="7"/>
        <v>83</v>
      </c>
      <c r="H85">
        <f t="shared" ca="1" si="8"/>
        <v>1027.393252893376</v>
      </c>
      <c r="I85">
        <f t="shared" ca="1" si="9"/>
        <v>63844.003696285123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14532</v>
      </c>
      <c r="B88" s="66">
        <v>14532</v>
      </c>
      <c r="D88">
        <f t="shared" si="5"/>
        <v>14.313715833538538</v>
      </c>
      <c r="E88">
        <f t="shared" si="6"/>
        <v>14.313715833538538</v>
      </c>
      <c r="G88">
        <f t="shared" ca="1" si="7"/>
        <v>86</v>
      </c>
      <c r="H88">
        <f t="shared" ca="1" si="8"/>
        <v>1230.9795616843144</v>
      </c>
      <c r="I88">
        <f t="shared" ca="1" si="9"/>
        <v>67787.738541623519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13886</v>
      </c>
      <c r="B90" s="66">
        <v>13886</v>
      </c>
      <c r="D90">
        <f t="shared" si="5"/>
        <v>13.67741935483871</v>
      </c>
      <c r="E90">
        <f t="shared" si="6"/>
        <v>13.67741935483871</v>
      </c>
      <c r="G90">
        <f t="shared" ca="1" si="7"/>
        <v>88</v>
      </c>
      <c r="H90">
        <f t="shared" ca="1" si="8"/>
        <v>1203.6129032258066</v>
      </c>
      <c r="I90">
        <f t="shared" ca="1" si="9"/>
        <v>61064.050439158869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14311</v>
      </c>
      <c r="B93" s="66">
        <v>14311</v>
      </c>
      <c r="D93">
        <f t="shared" si="5"/>
        <v>14.09603545924649</v>
      </c>
      <c r="E93">
        <f t="shared" si="6"/>
        <v>14.09603545924649</v>
      </c>
      <c r="G93">
        <f t="shared" ca="1" si="7"/>
        <v>91</v>
      </c>
      <c r="H93">
        <f t="shared" ca="1" si="8"/>
        <v>1282.7392267914306</v>
      </c>
      <c r="I93">
        <f t="shared" ca="1" si="9"/>
        <v>57408.685836621815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17053</v>
      </c>
      <c r="B95" s="66">
        <v>17053</v>
      </c>
      <c r="D95">
        <f t="shared" si="5"/>
        <v>16.796848066978576</v>
      </c>
      <c r="E95">
        <f t="shared" si="6"/>
        <v>16.796848066978576</v>
      </c>
      <c r="G95">
        <f t="shared" ca="1" si="7"/>
        <v>93</v>
      </c>
      <c r="H95">
        <f t="shared" ca="1" si="8"/>
        <v>1562.1068702290077</v>
      </c>
      <c r="I95">
        <f t="shared" ca="1" si="9"/>
        <v>64187.690599762849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18851</v>
      </c>
      <c r="B98" s="66">
        <v>18851</v>
      </c>
      <c r="D98">
        <f t="shared" si="5"/>
        <v>18.567840433390792</v>
      </c>
      <c r="E98">
        <f t="shared" si="6"/>
        <v>18.567840433390792</v>
      </c>
      <c r="G98">
        <f t="shared" ca="1" si="7"/>
        <v>96</v>
      </c>
      <c r="H98">
        <f t="shared" ca="1" si="8"/>
        <v>1782.512681605516</v>
      </c>
      <c r="I98">
        <f t="shared" ca="1" si="9"/>
        <v>64235.580671206735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22076</v>
      </c>
      <c r="B100" s="66">
        <v>22076</v>
      </c>
      <c r="D100">
        <f t="shared" si="5"/>
        <v>21.744397931543954</v>
      </c>
      <c r="E100">
        <f t="shared" si="6"/>
        <v>21.744397931543954</v>
      </c>
      <c r="G100">
        <f t="shared" ca="1" si="7"/>
        <v>98</v>
      </c>
      <c r="H100">
        <f t="shared" ca="1" si="8"/>
        <v>2130.9509972913074</v>
      </c>
      <c r="I100">
        <f t="shared" ca="1" si="9"/>
        <v>70196.071115974308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22001</v>
      </c>
      <c r="B103" s="66">
        <v>22001</v>
      </c>
      <c r="D103">
        <f t="shared" si="5"/>
        <v>21.670524501354347</v>
      </c>
      <c r="E103">
        <f t="shared" si="6"/>
        <v>21.670524501354347</v>
      </c>
      <c r="G103">
        <f t="shared" ca="1" si="7"/>
        <v>101</v>
      </c>
      <c r="H103">
        <f t="shared" ca="1" si="8"/>
        <v>2188.7229746367889</v>
      </c>
      <c r="I103">
        <f t="shared" ca="1" si="9"/>
        <v>62765.024727586184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21446</v>
      </c>
      <c r="B106" s="66">
        <v>21446</v>
      </c>
      <c r="D106">
        <f t="shared" si="5"/>
        <v>21.123861117951243</v>
      </c>
      <c r="E106">
        <f t="shared" si="6"/>
        <v>21.123861117951243</v>
      </c>
      <c r="G106">
        <f t="shared" ca="1" si="7"/>
        <v>104</v>
      </c>
      <c r="H106">
        <f t="shared" ca="1" si="8"/>
        <v>2196.8815562669292</v>
      </c>
      <c r="I106">
        <f t="shared" ca="1" si="9"/>
        <v>54550.810919195945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21741</v>
      </c>
      <c r="B108" s="66">
        <v>21741</v>
      </c>
      <c r="D108">
        <f t="shared" si="5"/>
        <v>21.414429943363704</v>
      </c>
      <c r="E108">
        <f t="shared" si="6"/>
        <v>21.414429943363704</v>
      </c>
      <c r="G108">
        <f t="shared" ca="1" si="7"/>
        <v>106</v>
      </c>
      <c r="H108">
        <f t="shared" ca="1" si="8"/>
        <v>2269.9295739965528</v>
      </c>
      <c r="I108">
        <f t="shared" ca="1" si="9"/>
        <v>51033.923397814135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21171</v>
      </c>
      <c r="B111" s="66">
        <v>21171</v>
      </c>
      <c r="D111">
        <f t="shared" si="5"/>
        <v>20.852991873922679</v>
      </c>
      <c r="E111">
        <f t="shared" si="6"/>
        <v>20.852991873922679</v>
      </c>
      <c r="G111">
        <f t="shared" ca="1" si="7"/>
        <v>109</v>
      </c>
      <c r="H111">
        <f t="shared" ca="1" si="8"/>
        <v>2272.9761142575721</v>
      </c>
      <c r="I111">
        <f t="shared" ca="1" si="9"/>
        <v>43775.650704342312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21306</v>
      </c>
      <c r="B113" s="66">
        <v>21306</v>
      </c>
      <c r="D113">
        <f t="shared" si="5"/>
        <v>20.985964048263973</v>
      </c>
      <c r="E113">
        <f t="shared" si="6"/>
        <v>20.985964048263973</v>
      </c>
      <c r="G113">
        <f t="shared" ca="1" si="7"/>
        <v>111</v>
      </c>
      <c r="H113">
        <f t="shared" ca="1" si="8"/>
        <v>2329.4420093573012</v>
      </c>
      <c r="I113">
        <f t="shared" ca="1" si="9"/>
        <v>40292.632352336637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20940</v>
      </c>
      <c r="B116" s="66">
        <v>20940</v>
      </c>
      <c r="D116">
        <f t="shared" si="5"/>
        <v>20.625461708938683</v>
      </c>
      <c r="E116">
        <f t="shared" si="6"/>
        <v>20.625461708938683</v>
      </c>
      <c r="G116">
        <f t="shared" ca="1" si="7"/>
        <v>114</v>
      </c>
      <c r="H116">
        <f t="shared" ca="1" si="8"/>
        <v>2351.3026348190101</v>
      </c>
      <c r="I116">
        <f t="shared" ca="1" si="9"/>
        <v>34363.55767034999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19671</v>
      </c>
      <c r="B118" s="66">
        <v>19671</v>
      </c>
      <c r="D118">
        <f t="shared" si="5"/>
        <v>19.375523270130511</v>
      </c>
      <c r="E118">
        <f t="shared" si="6"/>
        <v>19.375523270130511</v>
      </c>
      <c r="G118">
        <f t="shared" ca="1" si="7"/>
        <v>116</v>
      </c>
      <c r="H118">
        <f t="shared" ca="1" si="8"/>
        <v>2247.5606993351394</v>
      </c>
      <c r="I118">
        <f t="shared" ca="1" si="9"/>
        <v>29195.121440460909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22948</v>
      </c>
      <c r="B121" s="66">
        <v>22948</v>
      </c>
      <c r="D121">
        <f t="shared" si="5"/>
        <v>22.603299679881804</v>
      </c>
      <c r="E121">
        <f t="shared" si="6"/>
        <v>22.603299679881804</v>
      </c>
      <c r="G121">
        <f t="shared" ca="1" si="7"/>
        <v>119</v>
      </c>
      <c r="H121">
        <f t="shared" ca="1" si="8"/>
        <v>2689.7926619059349</v>
      </c>
      <c r="I121">
        <f t="shared" ca="1" si="9"/>
        <v>28997.746503065402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23531</v>
      </c>
      <c r="B124" s="66">
        <v>23531</v>
      </c>
      <c r="D124">
        <f t="shared" si="5"/>
        <v>23.17754247722236</v>
      </c>
      <c r="E124">
        <f t="shared" si="6"/>
        <v>23.17754247722236</v>
      </c>
      <c r="G124">
        <f t="shared" ca="1" si="7"/>
        <v>122</v>
      </c>
      <c r="H124">
        <f t="shared" ca="1" si="8"/>
        <v>2827.6601822211278</v>
      </c>
      <c r="I124">
        <f t="shared" ca="1" si="9"/>
        <v>24962.059321599769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26072</v>
      </c>
      <c r="B126" s="66">
        <v>26072</v>
      </c>
      <c r="D126">
        <f t="shared" si="5"/>
        <v>25.680374292046295</v>
      </c>
      <c r="E126">
        <f t="shared" si="6"/>
        <v>25.680374292046295</v>
      </c>
      <c r="G126">
        <f t="shared" ca="1" si="7"/>
        <v>124</v>
      </c>
      <c r="H126">
        <f t="shared" ca="1" si="8"/>
        <v>3184.3664122137407</v>
      </c>
      <c r="I126">
        <f t="shared" ca="1" si="9"/>
        <v>24389.243420781946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30024</v>
      </c>
      <c r="B129" s="66">
        <v>30024</v>
      </c>
      <c r="D129">
        <f t="shared" si="5"/>
        <v>29.573011573504061</v>
      </c>
      <c r="E129">
        <f t="shared" si="6"/>
        <v>29.573011573504061</v>
      </c>
      <c r="G129">
        <f t="shared" ca="1" si="7"/>
        <v>127</v>
      </c>
      <c r="H129">
        <f t="shared" ca="1" si="8"/>
        <v>3755.7724698350157</v>
      </c>
      <c r="I129">
        <f t="shared" ca="1" si="9"/>
        <v>22884.116515803242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35505</v>
      </c>
      <c r="B131" s="66">
        <v>35505</v>
      </c>
      <c r="D131">
        <f t="shared" ref="D131:D194" si="10">IFERROR(100*A131/MAX(A$2:A$257), 0 )</f>
        <v>34.97168185176065</v>
      </c>
      <c r="E131">
        <f t="shared" ref="E131:E194" si="11">IFERROR(100*B131/MAX(B$2:B$257), 0 )</f>
        <v>34.97168185176065</v>
      </c>
      <c r="G131">
        <f t="shared" ref="G131:G194" ca="1" si="12">CELL("row",D131)-2</f>
        <v>129</v>
      </c>
      <c r="H131">
        <f t="shared" ref="H131:H194" ca="1" si="13">D131*G131</f>
        <v>4511.3469588771241</v>
      </c>
      <c r="I131">
        <f t="shared" ref="I131:I194" ca="1" si="14">D131*((G131-$L$1)^2)</f>
        <v>23310.279453758412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33301</v>
      </c>
      <c r="B134" s="66">
        <v>33301</v>
      </c>
      <c r="D134">
        <f t="shared" si="10"/>
        <v>32.800787983255354</v>
      </c>
      <c r="E134">
        <f t="shared" si="11"/>
        <v>32.800787983255354</v>
      </c>
      <c r="G134">
        <f t="shared" ca="1" si="12"/>
        <v>132</v>
      </c>
      <c r="H134">
        <f t="shared" ca="1" si="13"/>
        <v>4329.7040137897066</v>
      </c>
      <c r="I134">
        <f t="shared" ca="1" si="14"/>
        <v>17077.461927498785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31694</v>
      </c>
      <c r="B136" s="66">
        <v>31694</v>
      </c>
      <c r="D136">
        <f t="shared" si="10"/>
        <v>31.217926619059345</v>
      </c>
      <c r="E136">
        <f t="shared" si="11"/>
        <v>31.217926619059345</v>
      </c>
      <c r="G136">
        <f t="shared" ca="1" si="12"/>
        <v>134</v>
      </c>
      <c r="H136">
        <f t="shared" ca="1" si="13"/>
        <v>4183.2021669539517</v>
      </c>
      <c r="I136">
        <f t="shared" ca="1" si="14"/>
        <v>13528.960038645106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33520</v>
      </c>
      <c r="B139" s="66">
        <v>33520</v>
      </c>
      <c r="D139">
        <f t="shared" si="10"/>
        <v>33.016498399409009</v>
      </c>
      <c r="E139">
        <f t="shared" si="11"/>
        <v>33.016498399409009</v>
      </c>
      <c r="G139">
        <f t="shared" ca="1" si="12"/>
        <v>137</v>
      </c>
      <c r="H139">
        <f t="shared" ca="1" si="13"/>
        <v>4523.2602807190342</v>
      </c>
      <c r="I139">
        <f t="shared" ca="1" si="14"/>
        <v>10481.617312711094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32754</v>
      </c>
      <c r="B142" s="66">
        <v>32754</v>
      </c>
      <c r="D142">
        <f t="shared" si="10"/>
        <v>32.26200443240581</v>
      </c>
      <c r="E142">
        <f t="shared" si="11"/>
        <v>32.26200443240581</v>
      </c>
      <c r="G142">
        <f t="shared" ca="1" si="12"/>
        <v>140</v>
      </c>
      <c r="H142">
        <f t="shared" ca="1" si="13"/>
        <v>4516.680620536813</v>
      </c>
      <c r="I142">
        <f t="shared" ca="1" si="14"/>
        <v>7083.4646486334113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36164</v>
      </c>
      <c r="B144" s="66">
        <v>36164</v>
      </c>
      <c r="D144">
        <f t="shared" si="10"/>
        <v>35.620783058360011</v>
      </c>
      <c r="E144">
        <f t="shared" si="11"/>
        <v>35.620783058360011</v>
      </c>
      <c r="G144">
        <f t="shared" ca="1" si="12"/>
        <v>142</v>
      </c>
      <c r="H144">
        <f t="shared" ca="1" si="13"/>
        <v>5058.1511942871221</v>
      </c>
      <c r="I144">
        <f t="shared" ca="1" si="14"/>
        <v>5852.148409254647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43850</v>
      </c>
      <c r="B147" s="66">
        <v>43850</v>
      </c>
      <c r="D147">
        <f t="shared" si="10"/>
        <v>43.191332184191083</v>
      </c>
      <c r="E147">
        <f t="shared" si="11"/>
        <v>43.191332184191083</v>
      </c>
      <c r="G147">
        <f t="shared" ca="1" si="12"/>
        <v>145</v>
      </c>
      <c r="H147">
        <f t="shared" ca="1" si="13"/>
        <v>6262.7431667077071</v>
      </c>
      <c r="I147">
        <f t="shared" ca="1" si="14"/>
        <v>4162.9886809962936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54171</v>
      </c>
      <c r="B149" s="66">
        <v>54171</v>
      </c>
      <c r="D149">
        <f t="shared" si="10"/>
        <v>53.357301157350406</v>
      </c>
      <c r="E149">
        <f t="shared" si="11"/>
        <v>53.357301157350406</v>
      </c>
      <c r="G149">
        <f t="shared" ca="1" si="12"/>
        <v>147</v>
      </c>
      <c r="H149">
        <f t="shared" ca="1" si="13"/>
        <v>7843.5232701305094</v>
      </c>
      <c r="I149">
        <f t="shared" ca="1" si="14"/>
        <v>3260.9053062151961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62627</v>
      </c>
      <c r="B152" s="66">
        <v>62627</v>
      </c>
      <c r="D152">
        <f t="shared" si="10"/>
        <v>61.686284166461462</v>
      </c>
      <c r="E152">
        <f t="shared" si="11"/>
        <v>61.686284166461462</v>
      </c>
      <c r="G152">
        <f t="shared" ca="1" si="12"/>
        <v>150</v>
      </c>
      <c r="H152">
        <f t="shared" ca="1" si="13"/>
        <v>9252.9426249692187</v>
      </c>
      <c r="I152">
        <f t="shared" ca="1" si="14"/>
        <v>1431.6799273655224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68750</v>
      </c>
      <c r="B154" s="66">
        <v>68750</v>
      </c>
      <c r="D154">
        <f t="shared" si="10"/>
        <v>67.717311007141092</v>
      </c>
      <c r="E154">
        <f t="shared" si="11"/>
        <v>67.717311007141092</v>
      </c>
      <c r="G154">
        <f t="shared" ca="1" si="12"/>
        <v>152</v>
      </c>
      <c r="H154">
        <f t="shared" ca="1" si="13"/>
        <v>10293.031273085446</v>
      </c>
      <c r="I154">
        <f t="shared" ca="1" si="14"/>
        <v>537.59012803301732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81936</v>
      </c>
      <c r="B157" s="66">
        <v>81936</v>
      </c>
      <c r="D157">
        <f t="shared" si="10"/>
        <v>80.705245013543461</v>
      </c>
      <c r="E157">
        <f t="shared" si="11"/>
        <v>80.705245013543461</v>
      </c>
      <c r="G157">
        <f t="shared" ca="1" si="12"/>
        <v>155</v>
      </c>
      <c r="H157">
        <f t="shared" ca="1" si="13"/>
        <v>12509.312977099236</v>
      </c>
      <c r="I157">
        <f t="shared" ca="1" si="14"/>
        <v>2.6857219240537011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90970</v>
      </c>
      <c r="B160" s="66">
        <v>90970</v>
      </c>
      <c r="D160">
        <f t="shared" si="10"/>
        <v>89.603545924649097</v>
      </c>
      <c r="E160">
        <f t="shared" si="11"/>
        <v>89.603545924649097</v>
      </c>
      <c r="G160">
        <f t="shared" ca="1" si="12"/>
        <v>158</v>
      </c>
      <c r="H160">
        <f t="shared" ca="1" si="13"/>
        <v>14157.360256094558</v>
      </c>
      <c r="I160">
        <f t="shared" ca="1" si="14"/>
        <v>907.48825121221432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93648</v>
      </c>
      <c r="B162" s="66">
        <v>93648</v>
      </c>
      <c r="D162">
        <f t="shared" si="10"/>
        <v>92.241319871952726</v>
      </c>
      <c r="E162">
        <f t="shared" si="11"/>
        <v>92.241319871952726</v>
      </c>
      <c r="G162">
        <f t="shared" ca="1" si="12"/>
        <v>160</v>
      </c>
      <c r="H162">
        <f t="shared" ca="1" si="13"/>
        <v>14758.611179512436</v>
      </c>
      <c r="I162">
        <f t="shared" ca="1" si="14"/>
        <v>2477.37201978645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96638</v>
      </c>
      <c r="B165" s="66">
        <v>96638</v>
      </c>
      <c r="D165">
        <f t="shared" si="10"/>
        <v>95.186407288845118</v>
      </c>
      <c r="E165">
        <f t="shared" si="11"/>
        <v>95.186407288845118</v>
      </c>
      <c r="G165">
        <f t="shared" ca="1" si="12"/>
        <v>163</v>
      </c>
      <c r="H165">
        <f t="shared" ca="1" si="13"/>
        <v>15515.384388081755</v>
      </c>
      <c r="I165">
        <f t="shared" ca="1" si="14"/>
        <v>6372.9247654711044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101525</v>
      </c>
      <c r="B167" s="66">
        <v>101525</v>
      </c>
      <c r="D167">
        <f t="shared" si="10"/>
        <v>100</v>
      </c>
      <c r="E167">
        <f t="shared" si="11"/>
        <v>100</v>
      </c>
      <c r="G167">
        <f t="shared" ca="1" si="12"/>
        <v>165</v>
      </c>
      <c r="H167">
        <f t="shared" ca="1" si="13"/>
        <v>16500</v>
      </c>
      <c r="I167">
        <f t="shared" ca="1" si="14"/>
        <v>10368.173856571713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101098</v>
      </c>
      <c r="B170" s="66">
        <v>101098</v>
      </c>
      <c r="D170">
        <f t="shared" si="10"/>
        <v>99.579413937453836</v>
      </c>
      <c r="E170">
        <f t="shared" si="11"/>
        <v>99.579413937453836</v>
      </c>
      <c r="G170">
        <f t="shared" ca="1" si="12"/>
        <v>168</v>
      </c>
      <c r="H170">
        <f t="shared" ca="1" si="13"/>
        <v>16729.341541492246</v>
      </c>
      <c r="I170">
        <f t="shared" ca="1" si="14"/>
        <v>17304.539788816317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88938</v>
      </c>
      <c r="B173" s="66">
        <v>88938</v>
      </c>
      <c r="D173">
        <f t="shared" si="10"/>
        <v>87.602068456045302</v>
      </c>
      <c r="E173">
        <f t="shared" si="11"/>
        <v>87.602068456045302</v>
      </c>
      <c r="G173">
        <f t="shared" ca="1" si="12"/>
        <v>171</v>
      </c>
      <c r="H173">
        <f t="shared" ca="1" si="13"/>
        <v>14979.953705983746</v>
      </c>
      <c r="I173">
        <f t="shared" ca="1" si="14"/>
        <v>22940.425045637487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84117</v>
      </c>
      <c r="B175" s="66">
        <v>84117</v>
      </c>
      <c r="D175">
        <f t="shared" si="10"/>
        <v>82.85348436345727</v>
      </c>
      <c r="E175">
        <f t="shared" si="11"/>
        <v>82.85348436345727</v>
      </c>
      <c r="G175">
        <f t="shared" ca="1" si="12"/>
        <v>173</v>
      </c>
      <c r="H175">
        <f t="shared" ca="1" si="13"/>
        <v>14333.652794878108</v>
      </c>
      <c r="I175">
        <f t="shared" ca="1" si="14"/>
        <v>27391.403928294454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83701</v>
      </c>
      <c r="B178" s="66">
        <v>83701</v>
      </c>
      <c r="D178">
        <f t="shared" si="10"/>
        <v>82.443733070672252</v>
      </c>
      <c r="E178">
        <f t="shared" si="11"/>
        <v>82.443733070672252</v>
      </c>
      <c r="G178">
        <f t="shared" ca="1" si="12"/>
        <v>176</v>
      </c>
      <c r="H178">
        <f t="shared" ca="1" si="13"/>
        <v>14510.097020438316</v>
      </c>
      <c r="I178">
        <f t="shared" ca="1" si="14"/>
        <v>36992.094521251805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76974</v>
      </c>
      <c r="B180" s="66">
        <v>76974</v>
      </c>
      <c r="D180">
        <f t="shared" si="10"/>
        <v>75.817778872198971</v>
      </c>
      <c r="E180">
        <f t="shared" si="11"/>
        <v>75.817778872198971</v>
      </c>
      <c r="G180">
        <f t="shared" ca="1" si="12"/>
        <v>178</v>
      </c>
      <c r="H180">
        <f t="shared" ca="1" si="13"/>
        <v>13495.564639251417</v>
      </c>
      <c r="I180">
        <f t="shared" ca="1" si="14"/>
        <v>40746.349877539702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77994</v>
      </c>
      <c r="B183" s="66">
        <v>77994</v>
      </c>
      <c r="D183">
        <f t="shared" si="10"/>
        <v>76.82245752277764</v>
      </c>
      <c r="E183">
        <f t="shared" si="11"/>
        <v>76.82245752277764</v>
      </c>
      <c r="G183">
        <f t="shared" ca="1" si="12"/>
        <v>181</v>
      </c>
      <c r="H183">
        <f t="shared" ca="1" si="13"/>
        <v>13904.864811622752</v>
      </c>
      <c r="I183">
        <f t="shared" ca="1" si="14"/>
        <v>52663.275401440806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76687</v>
      </c>
      <c r="B185" s="66">
        <v>76687</v>
      </c>
      <c r="D185">
        <f t="shared" si="10"/>
        <v>75.535089879340063</v>
      </c>
      <c r="E185">
        <f t="shared" si="11"/>
        <v>75.535089879340063</v>
      </c>
      <c r="G185">
        <f t="shared" ca="1" si="12"/>
        <v>183</v>
      </c>
      <c r="H185">
        <f t="shared" ca="1" si="13"/>
        <v>13822.921447919232</v>
      </c>
      <c r="I185">
        <f t="shared" ca="1" si="14"/>
        <v>59993.667131499948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73520</v>
      </c>
      <c r="B188" s="66">
        <v>73520</v>
      </c>
      <c r="D188">
        <f t="shared" si="10"/>
        <v>72.415661167200199</v>
      </c>
      <c r="E188">
        <f t="shared" si="11"/>
        <v>72.415661167200199</v>
      </c>
      <c r="G188">
        <f t="shared" ca="1" si="12"/>
        <v>186</v>
      </c>
      <c r="H188">
        <f t="shared" ca="1" si="13"/>
        <v>13469.312977099236</v>
      </c>
      <c r="I188">
        <f t="shared" ca="1" si="14"/>
        <v>70412.897826706903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65961</v>
      </c>
      <c r="B191" s="66">
        <v>65961</v>
      </c>
      <c r="D191">
        <f t="shared" si="10"/>
        <v>64.970204383156855</v>
      </c>
      <c r="E191">
        <f t="shared" si="11"/>
        <v>64.970204383156855</v>
      </c>
      <c r="G191">
        <f t="shared" ca="1" si="12"/>
        <v>189</v>
      </c>
      <c r="H191">
        <f t="shared" ca="1" si="13"/>
        <v>12279.368628416645</v>
      </c>
      <c r="I191">
        <f t="shared" ca="1" si="14"/>
        <v>75913.658498068922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63550</v>
      </c>
      <c r="B193" s="66">
        <v>63550</v>
      </c>
      <c r="D193">
        <f t="shared" si="10"/>
        <v>62.595419847328245</v>
      </c>
      <c r="E193">
        <f t="shared" si="11"/>
        <v>62.595419847328245</v>
      </c>
      <c r="G193">
        <f t="shared" ca="1" si="12"/>
        <v>191</v>
      </c>
      <c r="H193">
        <f t="shared" ca="1" si="13"/>
        <v>11955.725190839694</v>
      </c>
      <c r="I193">
        <f t="shared" ca="1" si="14"/>
        <v>81947.904062013215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59504</v>
      </c>
      <c r="B196" s="66">
        <v>59504</v>
      </c>
      <c r="D196">
        <f t="shared" si="15"/>
        <v>58.610194533366169</v>
      </c>
      <c r="E196">
        <f t="shared" si="16"/>
        <v>58.610194533366169</v>
      </c>
      <c r="G196">
        <f t="shared" ca="1" si="17"/>
        <v>194</v>
      </c>
      <c r="H196">
        <f t="shared" ca="1" si="18"/>
        <v>11370.377739473037</v>
      </c>
      <c r="I196">
        <f t="shared" ca="1" si="19"/>
        <v>89982.020524052801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57764</v>
      </c>
      <c r="B198" s="66">
        <v>57764</v>
      </c>
      <c r="D198">
        <f t="shared" si="15"/>
        <v>56.896330952967247</v>
      </c>
      <c r="E198">
        <f t="shared" si="16"/>
        <v>56.896330952967247</v>
      </c>
      <c r="G198">
        <f t="shared" ca="1" si="17"/>
        <v>196</v>
      </c>
      <c r="H198">
        <f t="shared" ca="1" si="18"/>
        <v>11151.68086678158</v>
      </c>
      <c r="I198">
        <f t="shared" ca="1" si="19"/>
        <v>96495.720181353201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47250</v>
      </c>
      <c r="B201" s="66">
        <v>47250</v>
      </c>
      <c r="D201">
        <f t="shared" si="15"/>
        <v>46.540261019453339</v>
      </c>
      <c r="E201">
        <f t="shared" si="16"/>
        <v>46.540261019453339</v>
      </c>
      <c r="G201">
        <f t="shared" ca="1" si="17"/>
        <v>199</v>
      </c>
      <c r="H201">
        <f t="shared" ca="1" si="18"/>
        <v>9261.5119428712151</v>
      </c>
      <c r="I201">
        <f t="shared" ca="1" si="19"/>
        <v>90850.615426419157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44032</v>
      </c>
      <c r="B203" s="66">
        <v>44032</v>
      </c>
      <c r="D203">
        <f t="shared" si="15"/>
        <v>43.370598374784535</v>
      </c>
      <c r="E203">
        <f t="shared" si="16"/>
        <v>43.370598374784535</v>
      </c>
      <c r="G203">
        <f t="shared" ca="1" si="17"/>
        <v>201</v>
      </c>
      <c r="H203">
        <f t="shared" ca="1" si="18"/>
        <v>8717.4902733316922</v>
      </c>
      <c r="I203">
        <f t="shared" ca="1" si="19"/>
        <v>92501.514645348361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50096</v>
      </c>
      <c r="B206" s="66">
        <v>50096</v>
      </c>
      <c r="D206">
        <f t="shared" si="15"/>
        <v>49.343511450381676</v>
      </c>
      <c r="E206">
        <f t="shared" si="16"/>
        <v>49.343511450381676</v>
      </c>
      <c r="G206">
        <f t="shared" ca="1" si="17"/>
        <v>204</v>
      </c>
      <c r="H206">
        <f t="shared" ca="1" si="18"/>
        <v>10066.076335877862</v>
      </c>
      <c r="I206">
        <f t="shared" ca="1" si="19"/>
        <v>119357.54950819926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49745</v>
      </c>
      <c r="B209" s="66">
        <v>49745</v>
      </c>
      <c r="D209">
        <f t="shared" si="15"/>
        <v>48.997783797094314</v>
      </c>
      <c r="E209">
        <f t="shared" si="16"/>
        <v>48.997783797094314</v>
      </c>
      <c r="G209">
        <f t="shared" ca="1" si="17"/>
        <v>207</v>
      </c>
      <c r="H209">
        <f t="shared" ca="1" si="18"/>
        <v>10142.541245998524</v>
      </c>
      <c r="I209">
        <f t="shared" ca="1" si="19"/>
        <v>133421.22360935758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31233</v>
      </c>
      <c r="B211" s="66">
        <v>31233</v>
      </c>
      <c r="D211">
        <f t="shared" si="15"/>
        <v>30.76385126816055</v>
      </c>
      <c r="E211">
        <f t="shared" si="16"/>
        <v>30.76385126816055</v>
      </c>
      <c r="G211">
        <f t="shared" ca="1" si="17"/>
        <v>209</v>
      </c>
      <c r="H211">
        <f t="shared" ca="1" si="18"/>
        <v>6429.6449150455546</v>
      </c>
      <c r="I211">
        <f t="shared" ca="1" si="19"/>
        <v>90314.513806250834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20761</v>
      </c>
      <c r="B214" s="66">
        <v>20761</v>
      </c>
      <c r="D214">
        <f t="shared" si="15"/>
        <v>20.449150455552818</v>
      </c>
      <c r="E214">
        <f t="shared" si="16"/>
        <v>20.449150455552818</v>
      </c>
      <c r="G214">
        <f t="shared" ca="1" si="17"/>
        <v>212</v>
      </c>
      <c r="H214">
        <f t="shared" ca="1" si="18"/>
        <v>4335.2198965771977</v>
      </c>
      <c r="I214">
        <f t="shared" ca="1" si="19"/>
        <v>66865.235460224969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14134</v>
      </c>
      <c r="B216" s="66">
        <v>14134</v>
      </c>
      <c r="D216">
        <f t="shared" si="15"/>
        <v>13.921694163999016</v>
      </c>
      <c r="E216">
        <f t="shared" si="16"/>
        <v>13.921694163999016</v>
      </c>
      <c r="G216">
        <f t="shared" ca="1" si="17"/>
        <v>214</v>
      </c>
      <c r="H216">
        <f t="shared" ca="1" si="18"/>
        <v>2979.2425510957892</v>
      </c>
      <c r="I216">
        <f t="shared" ca="1" si="19"/>
        <v>48761.557897991632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4917</v>
      </c>
      <c r="B219" s="66">
        <v>4917</v>
      </c>
      <c r="D219">
        <f t="shared" si="15"/>
        <v>4.843142083230731</v>
      </c>
      <c r="E219">
        <f t="shared" si="16"/>
        <v>4.843142083230731</v>
      </c>
      <c r="G219">
        <f t="shared" ca="1" si="17"/>
        <v>217</v>
      </c>
      <c r="H219">
        <f t="shared" ca="1" si="18"/>
        <v>1050.9618320610687</v>
      </c>
      <c r="I219">
        <f t="shared" ca="1" si="19"/>
        <v>18726.753414042942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6161</v>
      </c>
      <c r="B221" s="66">
        <v>6161</v>
      </c>
      <c r="D221">
        <f t="shared" si="15"/>
        <v>6.0684560453090368</v>
      </c>
      <c r="E221">
        <f t="shared" si="16"/>
        <v>6.0684560453090368</v>
      </c>
      <c r="G221">
        <f t="shared" ca="1" si="17"/>
        <v>219</v>
      </c>
      <c r="H221">
        <f t="shared" ca="1" si="18"/>
        <v>1328.9918739226791</v>
      </c>
      <c r="I221">
        <f t="shared" ca="1" si="19"/>
        <v>24998.29724696371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4053</v>
      </c>
      <c r="B224" s="66">
        <v>4053</v>
      </c>
      <c r="D224">
        <f t="shared" si="15"/>
        <v>3.9921201674464419</v>
      </c>
      <c r="E224">
        <f t="shared" si="16"/>
        <v>3.9921201674464419</v>
      </c>
      <c r="G224">
        <f t="shared" ca="1" si="17"/>
        <v>222</v>
      </c>
      <c r="H224">
        <f t="shared" ca="1" si="18"/>
        <v>886.25067717311015</v>
      </c>
      <c r="I224">
        <f t="shared" ca="1" si="19"/>
        <v>18018.34640096888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1969</v>
      </c>
      <c r="B227" s="66">
        <v>1969</v>
      </c>
      <c r="D227">
        <f t="shared" si="15"/>
        <v>1.939423787244521</v>
      </c>
      <c r="E227">
        <f t="shared" si="16"/>
        <v>1.939423787244521</v>
      </c>
      <c r="G227">
        <f t="shared" ca="1" si="17"/>
        <v>225</v>
      </c>
      <c r="H227">
        <f t="shared" ca="1" si="18"/>
        <v>436.37035213001724</v>
      </c>
      <c r="I227">
        <f t="shared" ca="1" si="19"/>
        <v>9552.7724742560094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1041</v>
      </c>
      <c r="B229" s="66">
        <v>1041</v>
      </c>
      <c r="D229">
        <f t="shared" si="15"/>
        <v>1.0253632110317656</v>
      </c>
      <c r="E229">
        <f t="shared" si="16"/>
        <v>1.0253632110317656</v>
      </c>
      <c r="G229">
        <f t="shared" ca="1" si="17"/>
        <v>227</v>
      </c>
      <c r="H229">
        <f t="shared" ca="1" si="18"/>
        <v>232.7574489042108</v>
      </c>
      <c r="I229">
        <f t="shared" ca="1" si="19"/>
        <v>5342.4521871539764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350</v>
      </c>
      <c r="B232" s="66">
        <v>350</v>
      </c>
      <c r="D232">
        <f t="shared" si="15"/>
        <v>0.34474267421817284</v>
      </c>
      <c r="E232">
        <f t="shared" si="16"/>
        <v>0.34474267421817284</v>
      </c>
      <c r="G232">
        <f t="shared" ca="1" si="17"/>
        <v>230</v>
      </c>
      <c r="H232">
        <f t="shared" ca="1" si="18"/>
        <v>79.290815070179747</v>
      </c>
      <c r="I232">
        <f t="shared" ca="1" si="19"/>
        <v>1948.6223648606135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0.36580000000000001</v>
      </c>
      <c r="B2" s="68">
        <v>0.40732000000000002</v>
      </c>
      <c r="C2" s="68">
        <v>0</v>
      </c>
      <c r="D2" s="68">
        <v>1</v>
      </c>
      <c r="E2" s="68" t="s">
        <v>408</v>
      </c>
    </row>
    <row r="3" spans="1:5">
      <c r="A3" s="68">
        <v>0.37588199999999999</v>
      </c>
      <c r="B3" s="68">
        <v>0.39690500000000001</v>
      </c>
      <c r="C3" s="68">
        <v>0.39998299999999998</v>
      </c>
      <c r="D3" s="89">
        <v>1</v>
      </c>
      <c r="E3" s="68" t="s">
        <v>409</v>
      </c>
    </row>
    <row r="4" spans="1:5">
      <c r="A4" s="68">
        <v>0.38610699999999998</v>
      </c>
      <c r="B4" s="68">
        <v>0.38524000000000003</v>
      </c>
      <c r="C4" s="68">
        <v>0.807944</v>
      </c>
      <c r="D4" s="89">
        <v>1</v>
      </c>
      <c r="E4" s="68" t="s">
        <v>410</v>
      </c>
    </row>
    <row r="5" spans="1:5">
      <c r="A5" s="89">
        <v>0.39652300000000001</v>
      </c>
      <c r="B5" s="89">
        <v>0.37269000000000002</v>
      </c>
      <c r="C5" s="89">
        <v>1.2147399999999999</v>
      </c>
      <c r="D5" s="89">
        <v>1</v>
      </c>
      <c r="E5" s="68" t="s">
        <v>411</v>
      </c>
    </row>
    <row r="6" spans="1:5">
      <c r="A6" s="68">
        <v>0.40701500000000002</v>
      </c>
      <c r="B6" s="68">
        <v>0.359379</v>
      </c>
      <c r="C6" s="68">
        <v>1.62233</v>
      </c>
      <c r="D6" s="68">
        <v>1</v>
      </c>
      <c r="E6" s="68" t="s">
        <v>412</v>
      </c>
    </row>
    <row r="7" spans="1:5">
      <c r="A7" s="68">
        <v>0.417354</v>
      </c>
      <c r="B7" s="68">
        <v>0.34564499999999998</v>
      </c>
      <c r="C7" s="68">
        <v>2.0251399999999999</v>
      </c>
      <c r="D7" s="68">
        <v>1</v>
      </c>
      <c r="E7" s="68" t="s">
        <v>413</v>
      </c>
    </row>
    <row r="8" spans="1:5">
      <c r="A8" s="68">
        <v>0.42745100000000003</v>
      </c>
      <c r="B8" s="68">
        <v>0.33339999999999997</v>
      </c>
      <c r="C8" s="68">
        <v>2.43004</v>
      </c>
      <c r="D8" s="68">
        <v>1</v>
      </c>
      <c r="E8" s="68" t="s">
        <v>414</v>
      </c>
    </row>
    <row r="9" spans="1:5">
      <c r="A9" s="68">
        <v>0.43776999999999999</v>
      </c>
      <c r="B9" s="68">
        <v>0.320156</v>
      </c>
      <c r="C9" s="68">
        <v>2.8397199999999998</v>
      </c>
      <c r="D9" s="68">
        <v>1</v>
      </c>
      <c r="E9" s="68" t="s">
        <v>415</v>
      </c>
    </row>
    <row r="10" spans="1:5">
      <c r="A10" s="68">
        <v>0.448743</v>
      </c>
      <c r="B10" s="68">
        <v>0.303925</v>
      </c>
      <c r="C10" s="68">
        <v>3.2464300000000001</v>
      </c>
      <c r="D10" s="68">
        <v>1</v>
      </c>
      <c r="E10" s="68" t="s">
        <v>416</v>
      </c>
    </row>
    <row r="11" spans="1:5">
      <c r="A11" s="68">
        <v>0.45946599999999999</v>
      </c>
      <c r="B11" s="68">
        <v>0.28986200000000001</v>
      </c>
      <c r="C11" s="68">
        <v>3.65455</v>
      </c>
      <c r="D11" s="68">
        <v>1</v>
      </c>
      <c r="E11" s="68" t="s">
        <v>417</v>
      </c>
    </row>
    <row r="12" spans="1:5">
      <c r="A12" s="68">
        <v>0.46987800000000002</v>
      </c>
      <c r="B12" s="68">
        <v>0.276951</v>
      </c>
      <c r="C12" s="68">
        <v>4.0582599999999998</v>
      </c>
      <c r="D12" s="68">
        <v>1</v>
      </c>
      <c r="E12" s="68" t="s">
        <v>418</v>
      </c>
    </row>
    <row r="13" spans="1:5">
      <c r="A13" s="68">
        <v>0.48066199999999998</v>
      </c>
      <c r="B13" s="68">
        <v>0.26335199999999997</v>
      </c>
      <c r="C13" s="68">
        <v>4.4641099999999998</v>
      </c>
      <c r="D13" s="68">
        <v>1</v>
      </c>
      <c r="E13" s="68" t="s">
        <v>419</v>
      </c>
    </row>
    <row r="14" spans="1:5">
      <c r="A14" s="68">
        <v>0.490929</v>
      </c>
      <c r="B14" s="68">
        <v>0.25225700000000001</v>
      </c>
      <c r="C14" s="68">
        <v>4.8695199999999996</v>
      </c>
      <c r="D14" s="68">
        <v>1</v>
      </c>
      <c r="E14" s="68" t="s">
        <v>420</v>
      </c>
    </row>
    <row r="15" spans="1:5">
      <c r="A15" s="68">
        <v>0.49804199999999998</v>
      </c>
      <c r="B15" s="68">
        <v>0.248859</v>
      </c>
      <c r="C15" s="68">
        <v>5.2762500000000001</v>
      </c>
      <c r="D15" s="68">
        <v>1</v>
      </c>
      <c r="E15" s="68" t="s">
        <v>421</v>
      </c>
    </row>
    <row r="16" spans="1:5">
      <c r="A16" s="68">
        <v>0.50744599999999995</v>
      </c>
      <c r="B16" s="68">
        <v>0.241536</v>
      </c>
      <c r="C16" s="68">
        <v>5.6826400000000001</v>
      </c>
      <c r="D16" s="68">
        <v>1</v>
      </c>
      <c r="E16" s="68" t="s">
        <v>422</v>
      </c>
    </row>
    <row r="17" spans="1:5">
      <c r="A17" s="68">
        <v>0.51632299999999998</v>
      </c>
      <c r="B17" s="68">
        <v>0.235433</v>
      </c>
      <c r="C17" s="68">
        <v>6.0923100000000003</v>
      </c>
      <c r="D17" s="68">
        <v>1</v>
      </c>
      <c r="E17" s="68" t="s">
        <v>423</v>
      </c>
    </row>
    <row r="18" spans="1:5">
      <c r="A18" s="68">
        <v>0.52486299999999997</v>
      </c>
      <c r="B18" s="68">
        <v>0.23121700000000001</v>
      </c>
      <c r="C18" s="68">
        <v>6.4954299999999998</v>
      </c>
      <c r="D18" s="68">
        <v>1</v>
      </c>
      <c r="E18" s="68" t="s">
        <v>424</v>
      </c>
    </row>
    <row r="19" spans="1:5">
      <c r="A19" s="68">
        <v>0.53481800000000002</v>
      </c>
      <c r="B19" s="68">
        <v>0.22565199999999999</v>
      </c>
      <c r="C19" s="68">
        <v>6.9037499999999996</v>
      </c>
      <c r="D19" s="68">
        <v>1</v>
      </c>
      <c r="E19" s="68" t="s">
        <v>425</v>
      </c>
    </row>
    <row r="20" spans="1:5">
      <c r="A20" s="68">
        <v>0.54224799999999995</v>
      </c>
      <c r="B20" s="68">
        <v>0.22351699999999999</v>
      </c>
      <c r="C20" s="68">
        <v>7.3100399999999999</v>
      </c>
      <c r="D20" s="68">
        <v>1</v>
      </c>
      <c r="E20" s="68" t="s">
        <v>426</v>
      </c>
    </row>
    <row r="21" spans="1:5">
      <c r="A21" s="68">
        <v>0.54797700000000005</v>
      </c>
      <c r="B21" s="68">
        <v>0.223248</v>
      </c>
      <c r="C21" s="68">
        <v>7.7149000000000001</v>
      </c>
      <c r="D21" s="68">
        <v>1</v>
      </c>
      <c r="E21" s="68" t="s">
        <v>427</v>
      </c>
    </row>
    <row r="22" spans="1:5">
      <c r="A22" s="68">
        <v>0.55541499999999999</v>
      </c>
      <c r="B22" s="68">
        <v>0.22245200000000001</v>
      </c>
      <c r="C22" s="68">
        <v>8.1226299999999991</v>
      </c>
      <c r="D22" s="68">
        <v>1</v>
      </c>
      <c r="E22" s="68" t="s">
        <v>428</v>
      </c>
    </row>
    <row r="23" spans="1:5">
      <c r="A23" s="68">
        <v>0.56098099999999995</v>
      </c>
      <c r="B23" s="68">
        <v>0.22378200000000001</v>
      </c>
      <c r="C23" s="68">
        <v>8.5257400000000008</v>
      </c>
      <c r="D23" s="68">
        <v>1</v>
      </c>
      <c r="E23" s="68" t="s">
        <v>429</v>
      </c>
    </row>
    <row r="24" spans="1:5">
      <c r="A24" s="68">
        <v>0.56658500000000001</v>
      </c>
      <c r="B24" s="68">
        <v>0.224525</v>
      </c>
      <c r="C24" s="68">
        <v>8.9326899999999991</v>
      </c>
      <c r="D24" s="68">
        <v>1</v>
      </c>
      <c r="E24" s="68" t="s">
        <v>430</v>
      </c>
    </row>
    <row r="25" spans="1:5">
      <c r="A25" s="68">
        <v>0.57180900000000001</v>
      </c>
      <c r="B25" s="68">
        <v>0.225219</v>
      </c>
      <c r="C25" s="68">
        <v>9.3414000000000001</v>
      </c>
      <c r="D25" s="68">
        <v>1</v>
      </c>
      <c r="E25" s="68" t="s">
        <v>431</v>
      </c>
    </row>
    <row r="26" spans="1:5">
      <c r="A26" s="68">
        <v>0.57638699999999998</v>
      </c>
      <c r="B26" s="68">
        <v>0.226218</v>
      </c>
      <c r="C26" s="68">
        <v>9.7424199999999992</v>
      </c>
      <c r="D26" s="68">
        <v>1</v>
      </c>
      <c r="E26" s="68" t="s">
        <v>432</v>
      </c>
    </row>
    <row r="27" spans="1:5">
      <c r="A27" s="68">
        <v>0.58134300000000005</v>
      </c>
      <c r="B27" s="68">
        <v>0.226687</v>
      </c>
      <c r="C27" s="68">
        <v>10.150499999999999</v>
      </c>
      <c r="D27" s="68">
        <v>1</v>
      </c>
      <c r="E27" s="68" t="s">
        <v>433</v>
      </c>
    </row>
    <row r="28" spans="1:5">
      <c r="A28" s="68">
        <v>0.58560599999999996</v>
      </c>
      <c r="B28" s="68">
        <v>0.227101</v>
      </c>
      <c r="C28" s="68">
        <v>10.5572</v>
      </c>
      <c r="D28" s="68">
        <v>1</v>
      </c>
      <c r="E28" s="68" t="s">
        <v>434</v>
      </c>
    </row>
    <row r="29" spans="1:5">
      <c r="A29" s="68">
        <v>0.58928199999999997</v>
      </c>
      <c r="B29" s="68">
        <v>0.22791700000000001</v>
      </c>
      <c r="C29" s="68">
        <v>10.9635</v>
      </c>
      <c r="D29" s="68">
        <v>1</v>
      </c>
      <c r="E29" s="68" t="s">
        <v>435</v>
      </c>
    </row>
    <row r="30" spans="1:5">
      <c r="A30" s="68">
        <v>0.59257300000000002</v>
      </c>
      <c r="B30" s="68">
        <v>0.228075</v>
      </c>
      <c r="C30" s="68">
        <v>11.3697</v>
      </c>
      <c r="D30" s="68">
        <v>1</v>
      </c>
      <c r="E30" s="68" t="s">
        <v>436</v>
      </c>
    </row>
    <row r="31" spans="1:5">
      <c r="A31" s="68">
        <v>0.59549399999999997</v>
      </c>
      <c r="B31" s="68">
        <v>0.22830500000000001</v>
      </c>
      <c r="C31" s="68">
        <v>11.775399999999999</v>
      </c>
      <c r="D31" s="68">
        <v>1</v>
      </c>
      <c r="E31" s="68" t="s">
        <v>437</v>
      </c>
    </row>
    <row r="32" spans="1:5">
      <c r="A32" s="68">
        <v>0.59807500000000002</v>
      </c>
      <c r="B32" s="68">
        <v>0.22833400000000001</v>
      </c>
      <c r="C32" s="68">
        <v>12.1815</v>
      </c>
      <c r="D32" s="68">
        <v>1</v>
      </c>
      <c r="E32" s="68" t="s">
        <v>438</v>
      </c>
    </row>
    <row r="33" spans="1:5">
      <c r="A33" s="68">
        <v>0.60057099999999997</v>
      </c>
      <c r="B33" s="68">
        <v>0.22830500000000001</v>
      </c>
      <c r="C33" s="68">
        <v>12.5916</v>
      </c>
      <c r="D33" s="68">
        <v>1</v>
      </c>
      <c r="E33" s="68" t="s">
        <v>439</v>
      </c>
    </row>
    <row r="34" spans="1:5">
      <c r="A34" s="68">
        <v>0.60233800000000004</v>
      </c>
      <c r="B34" s="68">
        <v>0.227934</v>
      </c>
      <c r="C34" s="68">
        <v>12.997299999999999</v>
      </c>
      <c r="D34" s="68">
        <v>1</v>
      </c>
      <c r="E34" s="68" t="s">
        <v>440</v>
      </c>
    </row>
    <row r="35" spans="1:5">
      <c r="A35" s="68">
        <v>0.60319699999999998</v>
      </c>
      <c r="B35" s="68">
        <v>0.227714</v>
      </c>
      <c r="C35" s="68">
        <v>13.403499999999999</v>
      </c>
      <c r="D35" s="68">
        <v>1</v>
      </c>
      <c r="E35" s="68" t="s">
        <v>441</v>
      </c>
    </row>
    <row r="36" spans="1:5">
      <c r="A36" s="68">
        <v>0.60320799999999997</v>
      </c>
      <c r="B36" s="68">
        <v>0.22777800000000001</v>
      </c>
      <c r="C36" s="68">
        <v>13.808299999999999</v>
      </c>
      <c r="D36" s="68">
        <v>1</v>
      </c>
      <c r="E36" s="68" t="s">
        <v>442</v>
      </c>
    </row>
    <row r="37" spans="1:5">
      <c r="A37" s="68">
        <v>0.60342799999999996</v>
      </c>
      <c r="B37" s="68">
        <v>0.227742</v>
      </c>
      <c r="C37" s="68">
        <v>14.215999999999999</v>
      </c>
      <c r="D37" s="68">
        <v>1</v>
      </c>
      <c r="E37" s="68" t="s">
        <v>443</v>
      </c>
    </row>
    <row r="38" spans="1:5">
      <c r="A38" s="68">
        <v>0.60331500000000005</v>
      </c>
      <c r="B38" s="68">
        <v>0.22763</v>
      </c>
      <c r="C38" s="68">
        <v>14.6213</v>
      </c>
      <c r="D38" s="68">
        <v>1</v>
      </c>
      <c r="E38" s="68" t="s">
        <v>444</v>
      </c>
    </row>
    <row r="39" spans="1:5">
      <c r="A39" s="68">
        <v>0.60324900000000004</v>
      </c>
      <c r="B39" s="68">
        <v>0.227328</v>
      </c>
      <c r="C39" s="68">
        <v>15.0318</v>
      </c>
      <c r="D39" s="68">
        <v>1</v>
      </c>
      <c r="E39" s="68" t="s">
        <v>445</v>
      </c>
    </row>
    <row r="40" spans="1:5">
      <c r="A40" s="68">
        <v>0.60361299999999996</v>
      </c>
      <c r="B40" s="68">
        <v>0.22681299999999999</v>
      </c>
      <c r="C40" s="68">
        <v>15.561</v>
      </c>
      <c r="D40" s="68">
        <v>2</v>
      </c>
      <c r="E40" s="68" t="s">
        <v>446</v>
      </c>
    </row>
    <row r="41" spans="1:5">
      <c r="A41" s="68">
        <v>0.60392999999999997</v>
      </c>
      <c r="B41" s="68">
        <v>0.22670299999999999</v>
      </c>
      <c r="C41" s="68">
        <v>15.9316</v>
      </c>
      <c r="D41" s="68">
        <v>2</v>
      </c>
      <c r="E41" s="68" t="s">
        <v>447</v>
      </c>
    </row>
    <row r="42" spans="1:5">
      <c r="A42" s="68">
        <v>0.60404599999999997</v>
      </c>
      <c r="B42" s="68">
        <v>0.22675200000000001</v>
      </c>
      <c r="C42" s="68">
        <v>16.308900000000001</v>
      </c>
      <c r="D42" s="68">
        <v>2</v>
      </c>
      <c r="E42" s="68" t="s">
        <v>448</v>
      </c>
    </row>
    <row r="43" spans="1:5">
      <c r="A43" s="68">
        <v>0.60408200000000001</v>
      </c>
      <c r="B43" s="68">
        <v>0.226686</v>
      </c>
      <c r="C43" s="68">
        <v>16.696999999999999</v>
      </c>
      <c r="D43" s="68">
        <v>2</v>
      </c>
      <c r="E43" s="68" t="s">
        <v>449</v>
      </c>
    </row>
    <row r="44" spans="1:5">
      <c r="A44" s="68">
        <v>0.60398799999999997</v>
      </c>
      <c r="B44" s="68">
        <v>0.226162</v>
      </c>
      <c r="C44" s="68">
        <v>17.1065</v>
      </c>
      <c r="D44" s="68">
        <v>2</v>
      </c>
      <c r="E44" s="68" t="s">
        <v>450</v>
      </c>
    </row>
    <row r="45" spans="1:5">
      <c r="A45" s="68">
        <v>0.60401000000000005</v>
      </c>
      <c r="B45" s="68">
        <v>0.22498299999999999</v>
      </c>
      <c r="C45" s="68">
        <v>17.5108</v>
      </c>
      <c r="D45" s="68">
        <v>2</v>
      </c>
      <c r="E45" s="68" t="s">
        <v>451</v>
      </c>
    </row>
    <row r="46" spans="1:5">
      <c r="A46" s="68">
        <v>0.60441500000000004</v>
      </c>
      <c r="B46" s="68">
        <v>0.22353700000000001</v>
      </c>
      <c r="C46" s="68">
        <v>17.9192</v>
      </c>
      <c r="D46" s="68">
        <v>2</v>
      </c>
      <c r="E46" s="68" t="s">
        <v>452</v>
      </c>
    </row>
    <row r="47" spans="1:5">
      <c r="A47" s="68">
        <v>0.60527900000000001</v>
      </c>
      <c r="B47" s="68">
        <v>0.220947</v>
      </c>
      <c r="C47" s="68">
        <v>18.325199999999999</v>
      </c>
      <c r="D47" s="68">
        <v>2</v>
      </c>
      <c r="E47" s="68" t="s">
        <v>453</v>
      </c>
    </row>
    <row r="48" spans="1:5">
      <c r="A48" s="68">
        <v>0.60628599999999999</v>
      </c>
      <c r="B48" s="68">
        <v>0.21867400000000001</v>
      </c>
      <c r="C48" s="68">
        <v>18.728100000000001</v>
      </c>
      <c r="D48" s="68">
        <v>2</v>
      </c>
      <c r="E48" s="68" t="s">
        <v>454</v>
      </c>
    </row>
    <row r="49" spans="1:5">
      <c r="A49" s="68">
        <v>0.60667499999999996</v>
      </c>
      <c r="B49" s="68">
        <v>0.21767400000000001</v>
      </c>
      <c r="C49" s="68">
        <v>19.134899999999998</v>
      </c>
      <c r="D49" s="68">
        <v>2</v>
      </c>
      <c r="E49" s="68" t="s">
        <v>455</v>
      </c>
    </row>
    <row r="50" spans="1:5">
      <c r="A50" s="68">
        <v>0.60714800000000002</v>
      </c>
      <c r="B50" s="68">
        <v>0.21695200000000001</v>
      </c>
      <c r="C50" s="68">
        <v>19.541799999999999</v>
      </c>
      <c r="D50" s="68">
        <v>2</v>
      </c>
      <c r="E50" s="68" t="s">
        <v>456</v>
      </c>
    </row>
    <row r="51" spans="1:5">
      <c r="A51" s="68">
        <v>0.60753100000000004</v>
      </c>
      <c r="B51" s="68">
        <v>0.216811</v>
      </c>
      <c r="C51" s="68">
        <v>19.952300000000001</v>
      </c>
      <c r="D51" s="68">
        <v>2</v>
      </c>
      <c r="E51" s="68" t="s">
        <v>457</v>
      </c>
    </row>
    <row r="52" spans="1:5">
      <c r="A52" s="68">
        <v>0.60776300000000005</v>
      </c>
      <c r="B52" s="68">
        <v>0.21677399999999999</v>
      </c>
      <c r="C52" s="68">
        <v>20.354500000000002</v>
      </c>
      <c r="D52" s="68">
        <v>2</v>
      </c>
      <c r="E52" s="68" t="s">
        <v>458</v>
      </c>
    </row>
    <row r="53" spans="1:5">
      <c r="A53" s="68">
        <v>0.60808600000000002</v>
      </c>
      <c r="B53" s="68">
        <v>0.21637700000000001</v>
      </c>
      <c r="C53" s="68">
        <v>20.760999999999999</v>
      </c>
      <c r="D53" s="68">
        <v>2</v>
      </c>
      <c r="E53" s="68" t="s">
        <v>459</v>
      </c>
    </row>
    <row r="54" spans="1:5">
      <c r="A54" s="68">
        <v>0.60848199999999997</v>
      </c>
      <c r="B54" s="68">
        <v>0.21576000000000001</v>
      </c>
      <c r="C54" s="68">
        <v>21.167300000000001</v>
      </c>
      <c r="D54" s="68">
        <v>2</v>
      </c>
      <c r="E54" s="68" t="s">
        <v>460</v>
      </c>
    </row>
    <row r="55" spans="1:5">
      <c r="A55" s="68">
        <v>0.60871200000000003</v>
      </c>
      <c r="B55" s="68">
        <v>0.215138</v>
      </c>
      <c r="C55" s="68">
        <v>21.572700000000001</v>
      </c>
      <c r="D55" s="68">
        <v>2</v>
      </c>
      <c r="E55" s="68" t="s">
        <v>461</v>
      </c>
    </row>
    <row r="56" spans="1:5">
      <c r="A56" s="68">
        <v>0.60916899999999996</v>
      </c>
      <c r="B56" s="68">
        <v>0.21470800000000001</v>
      </c>
      <c r="C56" s="68">
        <v>21.977699999999999</v>
      </c>
      <c r="D56" s="68">
        <v>2</v>
      </c>
      <c r="E56" s="68" t="s">
        <v>462</v>
      </c>
    </row>
    <row r="57" spans="1:5">
      <c r="A57" s="68">
        <v>0.609514</v>
      </c>
      <c r="B57" s="68">
        <v>0.214251</v>
      </c>
      <c r="C57" s="68">
        <v>22.386700000000001</v>
      </c>
      <c r="D57" s="68">
        <v>2</v>
      </c>
      <c r="E57" s="68" t="s">
        <v>463</v>
      </c>
    </row>
    <row r="58" spans="1:5">
      <c r="A58" s="68">
        <v>0.60968</v>
      </c>
      <c r="B58" s="68">
        <v>0.21379300000000001</v>
      </c>
      <c r="C58" s="68">
        <v>22.792899999999999</v>
      </c>
      <c r="D58" s="68">
        <v>2</v>
      </c>
      <c r="E58" s="68" t="s">
        <v>464</v>
      </c>
    </row>
    <row r="59" spans="1:5">
      <c r="A59" s="68">
        <v>0.61002500000000004</v>
      </c>
      <c r="B59" s="68">
        <v>0.21296300000000001</v>
      </c>
      <c r="C59" s="68">
        <v>23.198599999999999</v>
      </c>
      <c r="D59" s="68">
        <v>2</v>
      </c>
      <c r="E59" s="68" t="s">
        <v>465</v>
      </c>
    </row>
    <row r="60" spans="1:5">
      <c r="A60" s="68">
        <v>0.61093900000000001</v>
      </c>
      <c r="B60" s="68">
        <v>0.21179100000000001</v>
      </c>
      <c r="C60" s="68">
        <v>23.603400000000001</v>
      </c>
      <c r="D60" s="68">
        <v>2</v>
      </c>
      <c r="E60" s="68" t="s">
        <v>466</v>
      </c>
    </row>
    <row r="61" spans="1:5">
      <c r="A61" s="68">
        <v>0.61216300000000001</v>
      </c>
      <c r="B61" s="68">
        <v>0.21049399999999999</v>
      </c>
      <c r="C61" s="68">
        <v>24.0151</v>
      </c>
      <c r="D61" s="68">
        <v>2</v>
      </c>
      <c r="E61" s="68" t="s">
        <v>467</v>
      </c>
    </row>
    <row r="62" spans="1:5">
      <c r="A62" s="68">
        <v>0.61319299999999999</v>
      </c>
      <c r="B62" s="68">
        <v>0.20910699999999999</v>
      </c>
      <c r="C62" s="68">
        <v>24.417999999999999</v>
      </c>
      <c r="D62" s="68">
        <v>2</v>
      </c>
      <c r="E62" s="68" t="s">
        <v>468</v>
      </c>
    </row>
    <row r="63" spans="1:5">
      <c r="A63" s="68">
        <v>0.61417299999999997</v>
      </c>
      <c r="B63" s="68">
        <v>0.207983</v>
      </c>
      <c r="C63" s="68">
        <v>24.824300000000001</v>
      </c>
      <c r="D63" s="68">
        <v>2</v>
      </c>
      <c r="E63" s="68" t="s">
        <v>469</v>
      </c>
    </row>
    <row r="64" spans="1:5">
      <c r="A64" s="68">
        <v>0.61487400000000003</v>
      </c>
      <c r="B64" s="68">
        <v>0.20724400000000001</v>
      </c>
      <c r="C64" s="68">
        <v>25.228300000000001</v>
      </c>
      <c r="D64" s="68">
        <v>2</v>
      </c>
      <c r="E64" s="68" t="s">
        <v>470</v>
      </c>
    </row>
    <row r="65" spans="1:5">
      <c r="A65" s="68">
        <v>0.61490800000000001</v>
      </c>
      <c r="B65" s="68">
        <v>0.20621300000000001</v>
      </c>
      <c r="C65" s="68">
        <v>25.637499999999999</v>
      </c>
      <c r="D65" s="68">
        <v>2</v>
      </c>
      <c r="E65" s="68" t="s">
        <v>471</v>
      </c>
    </row>
    <row r="66" spans="1:5">
      <c r="A66" s="68">
        <v>0.61500100000000002</v>
      </c>
      <c r="B66" s="68">
        <v>0.20435300000000001</v>
      </c>
      <c r="C66" s="68">
        <v>26.0441</v>
      </c>
      <c r="D66" s="68">
        <v>2</v>
      </c>
      <c r="E66" s="68" t="s">
        <v>472</v>
      </c>
    </row>
    <row r="67" spans="1:5">
      <c r="A67" s="68">
        <v>0.61561100000000002</v>
      </c>
      <c r="B67" s="68">
        <v>0.20199300000000001</v>
      </c>
      <c r="C67" s="68">
        <v>26.451000000000001</v>
      </c>
      <c r="D67" s="68">
        <v>2</v>
      </c>
      <c r="E67" s="68" t="s">
        <v>473</v>
      </c>
    </row>
    <row r="68" spans="1:5">
      <c r="A68" s="68">
        <v>0.61604199999999998</v>
      </c>
      <c r="B68" s="68">
        <v>0.20008200000000001</v>
      </c>
      <c r="C68" s="68">
        <v>26.854900000000001</v>
      </c>
      <c r="D68" s="68">
        <v>2</v>
      </c>
      <c r="E68" s="68" t="s">
        <v>474</v>
      </c>
    </row>
    <row r="69" spans="1:5">
      <c r="A69" s="68">
        <v>0.61690800000000001</v>
      </c>
      <c r="B69" s="68">
        <v>0.198626</v>
      </c>
      <c r="C69" s="68">
        <v>27.261800000000001</v>
      </c>
      <c r="D69" s="68">
        <v>2</v>
      </c>
      <c r="E69" s="68" t="s">
        <v>475</v>
      </c>
    </row>
    <row r="70" spans="1:5">
      <c r="A70" s="68">
        <v>0.61755700000000002</v>
      </c>
      <c r="B70" s="68">
        <v>0.19883000000000001</v>
      </c>
      <c r="C70" s="68">
        <v>27.665400000000002</v>
      </c>
      <c r="D70" s="68">
        <v>2</v>
      </c>
      <c r="E70" s="68" t="s">
        <v>476</v>
      </c>
    </row>
    <row r="71" spans="1:5">
      <c r="A71" s="68">
        <v>0.61659799999999998</v>
      </c>
      <c r="B71" s="68">
        <v>0.19933400000000001</v>
      </c>
      <c r="C71" s="68">
        <v>28.0748</v>
      </c>
      <c r="D71" s="68">
        <v>2</v>
      </c>
      <c r="E71" s="68" t="s">
        <v>477</v>
      </c>
    </row>
    <row r="72" spans="1:5">
      <c r="A72" s="68">
        <v>0.61523099999999997</v>
      </c>
      <c r="B72" s="68">
        <v>0.20233599999999999</v>
      </c>
      <c r="C72" s="68">
        <v>28.477599999999999</v>
      </c>
      <c r="D72" s="68">
        <v>2</v>
      </c>
      <c r="E72" s="68" t="s">
        <v>478</v>
      </c>
    </row>
    <row r="73" spans="1:5">
      <c r="A73" s="68">
        <v>0.61343700000000001</v>
      </c>
      <c r="B73" s="68">
        <v>0.205646</v>
      </c>
      <c r="C73" s="68">
        <v>28.8873</v>
      </c>
      <c r="D73" s="68">
        <v>2</v>
      </c>
      <c r="E73" s="68" t="s">
        <v>479</v>
      </c>
    </row>
    <row r="74" spans="1:5">
      <c r="A74" s="68">
        <v>0.61431400000000003</v>
      </c>
      <c r="B74" s="68">
        <v>0.20698800000000001</v>
      </c>
      <c r="C74" s="68">
        <v>29.289400000000001</v>
      </c>
      <c r="D74" s="68">
        <v>2</v>
      </c>
      <c r="E74" s="68" t="s">
        <v>480</v>
      </c>
    </row>
    <row r="75" spans="1:5">
      <c r="A75" s="68">
        <v>0.61574099999999998</v>
      </c>
      <c r="B75" s="68">
        <v>0.210261</v>
      </c>
      <c r="C75" s="68">
        <v>29.699400000000001</v>
      </c>
      <c r="D75" s="68">
        <v>2</v>
      </c>
      <c r="E75" s="68" t="s">
        <v>481</v>
      </c>
    </row>
    <row r="76" spans="1:5">
      <c r="A76" s="68">
        <v>0.61563199999999996</v>
      </c>
      <c r="B76" s="68">
        <v>0.209397</v>
      </c>
      <c r="C76" s="68">
        <v>30.103100000000001</v>
      </c>
      <c r="D76" s="68">
        <v>2</v>
      </c>
      <c r="E76" s="68" t="s">
        <v>482</v>
      </c>
    </row>
    <row r="77" spans="1:5">
      <c r="A77" s="68"/>
      <c r="B77" s="68"/>
      <c r="C77" s="68"/>
      <c r="D77" s="68"/>
      <c r="E77" s="68"/>
    </row>
    <row r="78" spans="1:5">
      <c r="A78" s="68"/>
      <c r="B78" s="68"/>
      <c r="C78" s="68"/>
      <c r="D78" s="68"/>
      <c r="E78" s="68"/>
    </row>
    <row r="79" spans="1:5">
      <c r="A79" s="68"/>
      <c r="B79" s="68"/>
      <c r="C79" s="68"/>
      <c r="D79" s="68"/>
      <c r="E79" s="68"/>
    </row>
    <row r="80" spans="1:5">
      <c r="A80" s="68"/>
      <c r="B80" s="68"/>
      <c r="C80" s="68"/>
      <c r="D80" s="68"/>
      <c r="E80" s="68"/>
    </row>
    <row r="81" spans="1:5">
      <c r="A81" s="68"/>
      <c r="B81" s="68"/>
      <c r="C81" s="68"/>
      <c r="D81" s="68"/>
      <c r="E81" s="68"/>
    </row>
    <row r="82" spans="1:5">
      <c r="A82" s="68"/>
      <c r="B82" s="68"/>
      <c r="C82" s="68"/>
      <c r="D82" s="68"/>
      <c r="E82" s="68"/>
    </row>
    <row r="83" spans="1:5">
      <c r="A83" s="68"/>
      <c r="B83" s="68"/>
      <c r="C83" s="68"/>
      <c r="D83" s="68"/>
      <c r="E83" s="68"/>
    </row>
    <row r="84" spans="1:5">
      <c r="A84" s="68"/>
      <c r="B84" s="68"/>
      <c r="C84" s="68"/>
      <c r="D84" s="68"/>
      <c r="E84" s="68"/>
    </row>
    <row r="85" spans="1:5">
      <c r="A85" s="68"/>
      <c r="B85" s="68"/>
      <c r="C85" s="68"/>
      <c r="D85" s="68"/>
      <c r="E85" s="68"/>
    </row>
    <row r="86" spans="1:5">
      <c r="A86" s="68"/>
      <c r="B86" s="68"/>
      <c r="C86" s="68"/>
      <c r="D86" s="68"/>
      <c r="E86" s="68"/>
    </row>
    <row r="87" spans="1:5">
      <c r="A87" s="68"/>
      <c r="B87" s="68"/>
      <c r="C87" s="68"/>
      <c r="D87" s="68"/>
      <c r="E87" s="68"/>
    </row>
    <row r="88" spans="1:5">
      <c r="A88" s="68"/>
      <c r="B88" s="68"/>
      <c r="C88" s="68"/>
      <c r="D88" s="68"/>
      <c r="E88" s="68"/>
    </row>
    <row r="89" spans="1:5">
      <c r="A89" s="68"/>
      <c r="B89" s="68"/>
      <c r="C89" s="68"/>
      <c r="D89" s="68"/>
      <c r="E89" s="68"/>
    </row>
    <row r="90" spans="1:5">
      <c r="A90" s="68"/>
      <c r="B90" s="68"/>
      <c r="C90" s="68"/>
      <c r="D90" s="68"/>
      <c r="E90" s="68"/>
    </row>
    <row r="91" spans="1:5">
      <c r="A91" s="68"/>
      <c r="B91" s="68"/>
      <c r="C91" s="68"/>
      <c r="D91" s="68"/>
      <c r="E91" s="68"/>
    </row>
    <row r="92" spans="1:5">
      <c r="A92" s="68"/>
      <c r="B92" s="68"/>
      <c r="C92" s="68"/>
      <c r="D92" s="68"/>
      <c r="E92" s="68"/>
    </row>
    <row r="93" spans="1:5">
      <c r="A93" s="68"/>
      <c r="B93" s="68"/>
      <c r="C93" s="68"/>
      <c r="D93" s="68"/>
      <c r="E93" s="68"/>
    </row>
    <row r="94" spans="1:5">
      <c r="A94" s="68"/>
      <c r="B94" s="68"/>
      <c r="C94" s="68"/>
      <c r="D94" s="68"/>
      <c r="E94" s="68"/>
    </row>
    <row r="95" spans="1:5">
      <c r="A95" s="68"/>
      <c r="B95" s="68"/>
      <c r="C95" s="68"/>
      <c r="D95" s="68"/>
      <c r="E95" s="68"/>
    </row>
    <row r="96" spans="1:5">
      <c r="A96" s="68"/>
      <c r="B96" s="68"/>
      <c r="C96" s="68"/>
      <c r="D96" s="68"/>
      <c r="E96" s="68"/>
    </row>
    <row r="97" spans="1:5">
      <c r="A97" s="68"/>
      <c r="B97" s="68"/>
      <c r="C97" s="68"/>
      <c r="D97" s="68"/>
      <c r="E97" s="68"/>
    </row>
    <row r="98" spans="1:5">
      <c r="A98" s="68"/>
      <c r="B98" s="68"/>
      <c r="C98" s="68"/>
      <c r="D98" s="68"/>
      <c r="E98" s="68"/>
    </row>
    <row r="99" spans="1:5">
      <c r="A99" s="68"/>
      <c r="B99" s="68"/>
      <c r="C99" s="68"/>
      <c r="D99" s="68"/>
      <c r="E99" s="68"/>
    </row>
    <row r="100" spans="1:5">
      <c r="A100" s="68"/>
      <c r="B100" s="68"/>
      <c r="C100" s="68"/>
      <c r="D100" s="68"/>
      <c r="E100" s="68"/>
    </row>
    <row r="101" spans="1:5">
      <c r="A101" s="68"/>
      <c r="B101" s="68"/>
      <c r="C101" s="68"/>
      <c r="D101" s="68"/>
      <c r="E101" s="68"/>
    </row>
    <row r="102" spans="1:5">
      <c r="A102" s="68"/>
      <c r="B102" s="68"/>
      <c r="C102" s="68"/>
      <c r="D102" s="68"/>
      <c r="E102" s="68"/>
    </row>
    <row r="103" spans="1:5">
      <c r="A103" s="68"/>
      <c r="B103" s="68"/>
      <c r="C103" s="68"/>
      <c r="D103" s="68"/>
      <c r="E103" s="68"/>
    </row>
    <row r="104" spans="1:5">
      <c r="A104" s="68"/>
      <c r="B104" s="68"/>
      <c r="C104" s="68"/>
      <c r="D104" s="68"/>
      <c r="E104" s="68"/>
    </row>
    <row r="105" spans="1:5">
      <c r="A105" s="68"/>
      <c r="B105" s="68"/>
      <c r="C105" s="68"/>
      <c r="D105" s="68"/>
      <c r="E105" s="68"/>
    </row>
    <row r="106" spans="1:5">
      <c r="A106" s="68"/>
      <c r="B106" s="68"/>
      <c r="C106" s="68"/>
      <c r="D106" s="68"/>
      <c r="E106" s="68"/>
    </row>
    <row r="107" spans="1:5">
      <c r="A107" s="68"/>
      <c r="B107" s="68"/>
      <c r="C107" s="68"/>
      <c r="D107" s="68"/>
      <c r="E107" s="68"/>
    </row>
    <row r="108" spans="1:5">
      <c r="A108" s="68"/>
      <c r="B108" s="68"/>
      <c r="C108" s="68"/>
      <c r="D108" s="68"/>
      <c r="E108" s="68"/>
    </row>
    <row r="109" spans="1:5">
      <c r="A109" s="68"/>
      <c r="B109" s="68"/>
      <c r="C109" s="68"/>
      <c r="D109" s="68"/>
      <c r="E109" s="68"/>
    </row>
    <row r="110" spans="1:5">
      <c r="A110" s="68"/>
      <c r="B110" s="68"/>
      <c r="C110" s="68"/>
      <c r="D110" s="68"/>
      <c r="E110" s="68"/>
    </row>
    <row r="111" spans="1:5">
      <c r="A111" s="68"/>
      <c r="B111" s="68"/>
      <c r="C111" s="68"/>
      <c r="D111" s="68"/>
      <c r="E111" s="68"/>
    </row>
    <row r="112" spans="1:5">
      <c r="A112" s="68"/>
      <c r="B112" s="68"/>
      <c r="C112" s="68"/>
      <c r="D112" s="68"/>
      <c r="E112" s="68"/>
    </row>
    <row r="113" spans="1:5">
      <c r="A113" s="68"/>
      <c r="B113" s="68"/>
      <c r="C113" s="68"/>
      <c r="D113" s="68"/>
      <c r="E113" s="68"/>
    </row>
    <row r="114" spans="1:5">
      <c r="A114" s="68"/>
      <c r="B114" s="68"/>
      <c r="C114" s="68"/>
      <c r="D114" s="68"/>
      <c r="E114" s="68"/>
    </row>
    <row r="115" spans="1:5">
      <c r="A115" s="68"/>
      <c r="B115" s="68"/>
      <c r="C115" s="68"/>
      <c r="D115" s="68"/>
      <c r="E115" s="68"/>
    </row>
    <row r="116" spans="1:5">
      <c r="A116" s="68"/>
      <c r="B116" s="68"/>
      <c r="C116" s="68"/>
      <c r="D116" s="68"/>
      <c r="E116" s="68"/>
    </row>
    <row r="117" spans="1:5">
      <c r="A117" s="68"/>
      <c r="B117" s="68"/>
      <c r="C117" s="68"/>
      <c r="D117" s="68"/>
      <c r="E117" s="68"/>
    </row>
    <row r="118" spans="1:5">
      <c r="A118" s="68"/>
      <c r="B118" s="68"/>
      <c r="C118" s="68"/>
      <c r="D118" s="68"/>
      <c r="E118" s="68"/>
    </row>
    <row r="119" spans="1:5">
      <c r="A119" s="68"/>
      <c r="B119" s="68"/>
      <c r="C119" s="68"/>
      <c r="D119" s="68"/>
      <c r="E119" s="68"/>
    </row>
    <row r="120" spans="1:5">
      <c r="A120" s="68"/>
      <c r="B120" s="68"/>
      <c r="C120" s="68"/>
      <c r="D120" s="68"/>
      <c r="E120" s="68"/>
    </row>
    <row r="121" spans="1:5">
      <c r="A121" s="68"/>
      <c r="B121" s="68"/>
      <c r="C121" s="68"/>
      <c r="D121" s="68"/>
      <c r="E121" s="68"/>
    </row>
    <row r="122" spans="1:5">
      <c r="A122" s="68"/>
      <c r="B122" s="68"/>
      <c r="C122" s="68"/>
      <c r="D122" s="68"/>
      <c r="E122" s="68"/>
    </row>
    <row r="123" spans="1:5">
      <c r="A123" s="68"/>
      <c r="B123" s="68"/>
      <c r="C123" s="68"/>
      <c r="D123" s="68"/>
      <c r="E123" s="68"/>
    </row>
    <row r="124" spans="1:5">
      <c r="A124" s="68"/>
      <c r="B124" s="68"/>
      <c r="C124" s="68"/>
      <c r="D124" s="68"/>
      <c r="E124" s="68"/>
    </row>
    <row r="125" spans="1:5">
      <c r="A125" s="68"/>
      <c r="B125" s="68"/>
      <c r="C125" s="68"/>
      <c r="D125" s="68"/>
      <c r="E125" s="68"/>
    </row>
    <row r="126" spans="1:5">
      <c r="A126" s="68"/>
      <c r="B126" s="68"/>
      <c r="C126" s="68"/>
      <c r="D126" s="68"/>
      <c r="E126" s="68"/>
    </row>
    <row r="127" spans="1:5">
      <c r="A127" s="68"/>
      <c r="B127" s="68"/>
      <c r="C127" s="68"/>
      <c r="D127" s="68"/>
      <c r="E127" s="68"/>
    </row>
    <row r="128" spans="1:5">
      <c r="A128" s="68"/>
      <c r="B128" s="68"/>
      <c r="C128" s="68"/>
      <c r="D128" s="68"/>
      <c r="E128" s="68"/>
    </row>
    <row r="129" spans="1:5">
      <c r="A129" s="68"/>
      <c r="B129" s="68"/>
      <c r="C129" s="68"/>
      <c r="D129" s="68"/>
      <c r="E129" s="68"/>
    </row>
    <row r="130" spans="1:5">
      <c r="A130" s="68"/>
      <c r="B130" s="68"/>
      <c r="C130" s="68"/>
      <c r="D130" s="68"/>
      <c r="E130" s="68"/>
    </row>
    <row r="131" spans="1:5">
      <c r="A131" s="68"/>
      <c r="B131" s="68"/>
      <c r="C131" s="68"/>
      <c r="D131" s="68"/>
      <c r="E131" s="68"/>
    </row>
    <row r="132" spans="1:5">
      <c r="A132" s="68"/>
      <c r="B132" s="68"/>
      <c r="C132" s="68"/>
      <c r="D132" s="68"/>
      <c r="E132" s="68"/>
    </row>
    <row r="133" spans="1:5">
      <c r="A133" s="68"/>
      <c r="B133" s="68"/>
      <c r="C133" s="68"/>
      <c r="D133" s="68"/>
      <c r="E133" s="68"/>
    </row>
    <row r="134" spans="1:5">
      <c r="A134" s="68"/>
      <c r="B134" s="68"/>
      <c r="C134" s="68"/>
      <c r="D134" s="68"/>
      <c r="E134" s="68"/>
    </row>
    <row r="135" spans="1:5">
      <c r="A135" s="68"/>
      <c r="B135" s="68"/>
      <c r="C135" s="68"/>
      <c r="D135" s="68"/>
      <c r="E135" s="68"/>
    </row>
    <row r="136" spans="1:5">
      <c r="A136" s="68"/>
      <c r="B136" s="68"/>
      <c r="C136" s="68"/>
      <c r="D136" s="68"/>
      <c r="E136" s="68"/>
    </row>
    <row r="137" spans="1:5">
      <c r="A137" s="68"/>
      <c r="B137" s="68"/>
      <c r="C137" s="68"/>
      <c r="D137" s="68"/>
      <c r="E137" s="68"/>
    </row>
    <row r="138" spans="1:5">
      <c r="A138" s="68"/>
      <c r="B138" s="68"/>
      <c r="C138" s="68"/>
      <c r="D138" s="68"/>
      <c r="E138" s="68"/>
    </row>
    <row r="139" spans="1:5">
      <c r="A139" s="68"/>
      <c r="B139" s="68"/>
      <c r="C139" s="68"/>
      <c r="D139" s="68"/>
      <c r="E139" s="68"/>
    </row>
    <row r="140" spans="1:5">
      <c r="A140" s="68"/>
      <c r="B140" s="68"/>
      <c r="C140" s="68"/>
      <c r="D140" s="68"/>
      <c r="E140" s="68"/>
    </row>
    <row r="141" spans="1:5">
      <c r="A141" s="68"/>
      <c r="B141" s="68"/>
      <c r="C141" s="68"/>
      <c r="D141" s="68"/>
      <c r="E141" s="68"/>
    </row>
    <row r="142" spans="1:5">
      <c r="A142" s="68"/>
      <c r="B142" s="68"/>
      <c r="C142" s="68"/>
      <c r="D142" s="68"/>
      <c r="E142" s="68"/>
    </row>
    <row r="143" spans="1:5">
      <c r="A143" s="68"/>
      <c r="B143" s="68"/>
      <c r="C143" s="68"/>
      <c r="D143" s="68"/>
      <c r="E143" s="68"/>
    </row>
    <row r="144" spans="1:5">
      <c r="A144" s="68"/>
      <c r="B144" s="68"/>
      <c r="C144" s="68"/>
      <c r="D144" s="68"/>
      <c r="E144" s="68"/>
    </row>
    <row r="145" spans="1:5">
      <c r="A145" s="68"/>
      <c r="B145" s="68"/>
      <c r="C145" s="68"/>
      <c r="D145" s="68"/>
      <c r="E145" s="68"/>
    </row>
    <row r="146" spans="1:5">
      <c r="A146" s="68"/>
      <c r="B146" s="68"/>
      <c r="C146" s="68"/>
      <c r="D146" s="68"/>
      <c r="E146" s="68"/>
    </row>
    <row r="147" spans="1:5">
      <c r="A147" s="68"/>
      <c r="B147" s="68"/>
      <c r="C147" s="68"/>
      <c r="D147" s="68"/>
      <c r="E147" s="68"/>
    </row>
    <row r="148" spans="1:5">
      <c r="A148" s="68"/>
      <c r="B148" s="68"/>
      <c r="C148" s="68"/>
      <c r="D148" s="68"/>
      <c r="E148" s="68"/>
    </row>
    <row r="149" spans="1:5">
      <c r="A149" s="68"/>
      <c r="B149" s="68"/>
      <c r="C149" s="68"/>
      <c r="D149" s="68"/>
      <c r="E149" s="68"/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483</v>
      </c>
      <c r="B1" s="66" t="s">
        <v>484</v>
      </c>
      <c r="C1" s="66" t="s">
        <v>486</v>
      </c>
      <c r="D1" s="66" t="s">
        <v>487</v>
      </c>
      <c r="E1" s="66" t="s">
        <v>488</v>
      </c>
      <c r="F1" s="66" t="s">
        <v>348</v>
      </c>
      <c r="G1" s="66" t="s">
        <v>349</v>
      </c>
      <c r="H1" s="66" t="s">
        <v>489</v>
      </c>
      <c r="I1" s="66" t="s">
        <v>490</v>
      </c>
      <c r="J1" s="66" t="s">
        <v>491</v>
      </c>
      <c r="K1" s="66" t="s">
        <v>492</v>
      </c>
      <c r="L1" s="66" t="s">
        <v>493</v>
      </c>
      <c r="M1" s="66" t="s">
        <v>494</v>
      </c>
      <c r="N1" s="66"/>
    </row>
    <row r="2" spans="1:14">
      <c r="A2" s="75">
        <v>43615.654861111114</v>
      </c>
      <c r="B2" s="66" t="s">
        <v>485</v>
      </c>
      <c r="C2" s="66"/>
      <c r="D2" s="66"/>
      <c r="E2" s="66">
        <v>4.9234099999999996</v>
      </c>
      <c r="F2" s="66">
        <v>2.9887299999999999</v>
      </c>
      <c r="G2" s="66">
        <v>0.76768000000000003</v>
      </c>
      <c r="H2" s="66">
        <v>0</v>
      </c>
      <c r="I2" s="66">
        <v>101525</v>
      </c>
      <c r="J2" s="66">
        <v>165</v>
      </c>
      <c r="K2" s="66">
        <v>165</v>
      </c>
      <c r="L2" s="66">
        <v>0</v>
      </c>
      <c r="M2" s="66" t="s">
        <v>495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2019-05-30T07:43:47Z</cp:lastPrinted>
  <dcterms:created xsi:type="dcterms:W3CDTF">2010-10-29T12:53:05Z</dcterms:created>
  <dcterms:modified xsi:type="dcterms:W3CDTF">2019-05-30T07:43:56Z</dcterms:modified>
</cp:coreProperties>
</file>