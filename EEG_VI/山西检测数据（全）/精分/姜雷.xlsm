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H19" i="23"/>
  <c r="AH18" i="23"/>
  <c r="AF19" i="23"/>
  <c r="N7" i="23"/>
  <c r="AG18" i="23" l="1"/>
  <c r="X19" i="23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<sst xmlns="http://schemas.openxmlformats.org/spreadsheetml/2006/main" count="701" uniqueCount="519">
  <si>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</si>
  <si>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</si>
  <si>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</si>
  <si>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</si>
  <si>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</si>
  <si>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</si>
  <si>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</si>
  <si>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</si>
  <si>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</si>
  <si>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</si>
  <si>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</si>
  <si>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</si>
  <si>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</si>
  <si>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</si>
  <si>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</si>
  <si>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</si>
  <si>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</si>
  <si>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</si>
  <si>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</si>
  <si>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</si>
  <si>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</si>
  <si>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</si>
  <si>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</si>
  <si>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</si>
  <si>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</si>
  <si>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</si>
  <si>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</si>
  <si>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</si>
  <si>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</si>
  <si>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</si>
  <si>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</si>
  <si>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</si>
  <si>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</si>
  <si>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</si>
  <si>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</si>
  <si>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</si>
  <si>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</si>
  <si>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</si>
  <si>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</si>
  <si>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</si>
  <si>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</si>
  <si>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</si>
  <si>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</si>
  <si>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</si>
  <si>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</si>
  <si>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</si>
  <si>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</si>
  <si>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</si>
  <si>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</si>
  <si>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</si>
  <si>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</si>
  <si>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</si>
  <si>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</si>
  <si>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</si>
  <si>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</si>
  <si>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</si>
  <si>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</si>
  <si>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</si>
  <si>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</si>
  <si>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</si>
  <si>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</si>
  <si>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</si>
  <si>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</si>
  <si>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</si>
  <si>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</si>
  <si>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</si>
  <si>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</si>
  <si>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</si>
  <si>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</si>
  <si>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</si>
  <si>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</si>
  <si>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</si>
  <si>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</si>
  <si>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</si>
  <si>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</si>
  <si>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</si>
  <si>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</si>
  <si>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</si>
  <si>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</si>
  <si>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</si>
  <si>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</si>
  <si>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</si>
  <si>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</si>
  <si>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</si>
  <si>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</si>
  <si>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</si>
  <si>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</si>
  <si>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</si>
  <si>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</si>
  <si>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</si>
  <si>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</si>
  <si>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</si>
  <si>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</si>
  <si>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</si>
  <si>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</si>
  <si>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</si>
  <si>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</si>
  <si>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</si>
  <si>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</si>
  <si>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</si>
  <si>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</si>
  <si>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</si>
  <si>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</si>
  <si>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</si>
  <si>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</si>
  <si>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</si>
  <si>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</si>
  <si>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</si>
  <si>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</si>
  <si>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</si>
  <si>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</si>
  <si>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</si>
  <si>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</si>
  <si>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</si>
  <si>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</si>
  <si>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</si>
  <si>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</si>
  <si>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</si>
  <si>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</si>
  <si>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</si>
  <si>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</si>
  <si>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</si>
  <si>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</si>
  <si>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</si>
  <si>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</si>
  <si>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</si>
  <si>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</si>
  <si>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</si>
  <si>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</si>
  <si>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</si>
  <si>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</si>
  <si>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</si>
  <si>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</si>
  <si>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</si>
  <si>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</si>
  <si>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</si>
  <si>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</si>
  <si>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</si>
  <si>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</si>
  <si>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</si>
  <si>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</si>
  <si>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</si>
  <si>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</si>
  <si>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</si>
  <si>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</si>
  <si>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</si>
  <si>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</si>
  <si>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</si>
  <si>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</si>
  <si>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</si>
  <si>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</si>
  <si>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</si>
  <si>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</si>
  <si>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</si>
  <si>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</si>
  <si>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</si>
  <si>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</si>
  <si>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</si>
  <si>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</si>
  <si>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</si>
  <si>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</si>
  <si>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</si>
  <si>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</si>
  <si>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</si>
  <si>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</si>
  <si>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</si>
  <si>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</si>
  <si>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</si>
  <si>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</si>
  <si>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</si>
  <si>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</si>
  <si>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</si>
  <si>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</si>
  <si>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</si>
  <si>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</si>
  <si>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</si>
  <si>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</si>
  <si>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</si>
  <si>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</si>
  <si>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</si>
  <si>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</si>
  <si>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</si>
  <si>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</si>
  <si>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</si>
  <si>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</si>
  <si>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</si>
  <si>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</si>
  <si>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</si>
  <si>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</si>
  <si>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</si>
  <si>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</si>
  <si>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</si>
  <si>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</si>
  <si>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</si>
  <si>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</si>
  <si>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</si>
  <si>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</si>
  <si>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</si>
  <si>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</si>
  <si>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</si>
  <si>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</si>
  <si>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</si>
  <si>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</si>
  <si>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</si>
  <si>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</si>
  <si>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</si>
  <si>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</si>
  <si>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</si>
  <si>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</si>
  <si>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</si>
  <si>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</si>
  <si>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</si>
  <si>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</si>
  <si>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</si>
  <si>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</si>
  <si>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</si>
  <si>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</si>
  <si>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</si>
  <si>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</si>
  <si>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</si>
  <si>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</si>
  <si>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</si>
  <si>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</si>
  <si>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</si>
  <si>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</si>
  <si>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</si>
  <si>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</si>
  <si>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</si>
  <si>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</si>
  <si>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</si>
  <si>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</si>
  <si>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</si>
  <si>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</si>
  <si>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</si>
  <si>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</si>
  <si>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</si>
  <si>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</si>
  <si>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</si>
  <si>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</si>
  <si>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</si>
  <si>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</si>
  <si>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</si>
  <si>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</si>
  <si>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</si>
  <si>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</si>
  <si>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</si>
  <si>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</si>
  <si>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</si>
  <si>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</si>
  <si>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</si>
  <si>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</si>
  <si>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</si>
  <si>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</si>
  <si>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</si>
  <si>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</si>
  <si>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</si>
  <si>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</si>
  <si>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</si>
  <si>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</si>
  <si>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</si>
  <si>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</si>
  <si>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</si>
  <si>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</si>
  <si>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</si>
  <si>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</si>
  <si>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</si>
  <si>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</si>
  <si>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</si>
  <si>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</si>
  <si>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</si>
  <si>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</si>
  <si>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</si>
  <si>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</si>
  <si>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</si>
  <si>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</si>
  <si>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</si>
  <si>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</si>
  <si>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</si>
  <si>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</si>
  <si>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</si>
  <si>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</si>
  <si>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</si>
  <si>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</si>
  <si>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</si>
  <si>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</si>
  <si>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</si>
  <si>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</si>
  <si>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</si>
  <si>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</si>
  <si>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</si>
  <si>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</si>
  <si>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</si>
  <si>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</si>
  <si>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</si>
  <si>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</si>
  <si>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</si>
  <si>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</si>
  <si>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</si>
  <si>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</si>
  <si>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</si>
  <si>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</si>
  <si>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</si>
  <si>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</si>
  <si>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</si>
  <si>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</si>
  <si>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</si>
  <si>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</si>
  <si>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</si>
  <si>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</si>
  <si>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</si>
  <si>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</si>
  <si>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</si>
  <si>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</si>
  <si>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</si>
  <si>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</si>
  <si>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</si>
  <si>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</si>
  <si>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</si>
  <si>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</si>
  <si>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</si>
  <si>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</si>
  <si>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</si>
  <si>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</si>
  <si>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</si>
  <si>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</si>
  <si>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</si>
  <si>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</si>
  <si>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</si>
  <si>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</si>
  <si>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</si>
  <si>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</si>
  <si>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</si>
  <si>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</si>
  <si>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</si>
  <si>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</si>
  <si>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</si>
  <si>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</si>
  <si>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</si>
  <si>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</si>
  <si>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</si>
  <si>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</si>
  <si>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</si>
  <si>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</si>
  <si>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</si>
  <si>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</si>
  <si>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</si>
  <si>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每秒输入帧率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</si>
  <si>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</si>
  <si>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</si>
  <si>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</si>
  <si>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</si>
  <si>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</si>
  <si>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</si>
  <si>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</si>
  <si>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</si>
  <si>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</si>
  <si>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</si>
  <si>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[0.401835]</t>
  </si>
  <si>
    <t>1 [0.807140]</t>
  </si>
  <si>
    <t>1 [1.211392]</t>
  </si>
  <si>
    <t>1 [1.620379]</t>
  </si>
  <si>
    <t>1 [2.028114]</t>
  </si>
  <si>
    <t>1 [2.433502]</t>
  </si>
  <si>
    <t>1 [2.839701]</t>
  </si>
  <si>
    <t>1 [3.245360]</t>
  </si>
  <si>
    <t>1 [3.652115]</t>
  </si>
  <si>
    <t>1 [4.058658]</t>
  </si>
  <si>
    <t>1 [4.465989]</t>
  </si>
  <si>
    <t>1 [4.868354]</t>
  </si>
  <si>
    <t>1 [5.275920]</t>
  </si>
  <si>
    <t>1 [5.681478]</t>
  </si>
  <si>
    <t>1 [6.091771]</t>
  </si>
  <si>
    <t>1 [6.497064]</t>
  </si>
  <si>
    <t>1 [6.904784]</t>
  </si>
  <si>
    <t>1 [7.306322]</t>
  </si>
  <si>
    <t>1 [7.712835]</t>
  </si>
  <si>
    <t>1 [8.122215]</t>
  </si>
  <si>
    <t>1 [8.530890]</t>
  </si>
  <si>
    <t>1 [8.932827]</t>
  </si>
  <si>
    <t>1 [9.340749]</t>
  </si>
  <si>
    <t>1 [9.748113]</t>
  </si>
  <si>
    <t>1 [10.151394]</t>
  </si>
  <si>
    <t>1 [10.558659]</t>
  </si>
  <si>
    <t>1 [10.964400]</t>
  </si>
  <si>
    <t>1 [11.373111]</t>
  </si>
  <si>
    <t>1 [11.777875]</t>
  </si>
  <si>
    <t>1 [12.183580]</t>
  </si>
  <si>
    <t>1 [12.588242]</t>
  </si>
  <si>
    <t>1 [12.998468]</t>
  </si>
  <si>
    <t>1 [13.402643]</t>
  </si>
  <si>
    <t>1 [13.809588]</t>
  </si>
  <si>
    <t>1 [14.214236]</t>
  </si>
  <si>
    <t>1 [14.618558]</t>
  </si>
  <si>
    <t>1 [15.023626]</t>
  </si>
  <si>
    <t>1 [15.434985]</t>
  </si>
  <si>
    <t>1 [15.839515]</t>
  </si>
  <si>
    <t>1 [16.245310]</t>
  </si>
  <si>
    <t>1 [16.649099]</t>
  </si>
  <si>
    <t>1 [17.054183]</t>
  </si>
  <si>
    <t>1 [17.464433]</t>
  </si>
  <si>
    <t>1 [17.870252]</t>
  </si>
  <si>
    <t>1 [18.279894]</t>
  </si>
  <si>
    <t>1 [18.680700]</t>
  </si>
  <si>
    <t>1 [19.088951]</t>
  </si>
  <si>
    <t>1 [19.495782]</t>
  </si>
  <si>
    <t>1 [19.904864]</t>
  </si>
  <si>
    <t>1 [20.305962]</t>
  </si>
  <si>
    <t>1 [20.712766]</t>
  </si>
  <si>
    <t>1 [21.118331]</t>
  </si>
  <si>
    <t>1 [21.527024]</t>
  </si>
  <si>
    <t>1 [21.931275]</t>
  </si>
  <si>
    <t>1 [22.338955]</t>
  </si>
  <si>
    <t>1 [22.745661]</t>
  </si>
  <si>
    <t>1 [23.151183]</t>
  </si>
  <si>
    <t>1 [23.561611]</t>
  </si>
  <si>
    <t>1 [23.965749]</t>
  </si>
  <si>
    <t>1 [24.369221]</t>
  </si>
  <si>
    <t>1 [24.775661]</t>
  </si>
  <si>
    <t>1 [25.182088]</t>
  </si>
  <si>
    <t>1 [25.588245]</t>
  </si>
  <si>
    <t>1 [25.993506]</t>
  </si>
  <si>
    <t>1 [26.401009]</t>
  </si>
  <si>
    <t>1 [26.804152]</t>
  </si>
  <si>
    <t>1 [27.213976]</t>
  </si>
  <si>
    <t>1 [27.623708]</t>
  </si>
  <si>
    <t>1 [28.026245]</t>
  </si>
  <si>
    <t>1 [28.432039]</t>
  </si>
  <si>
    <t>1 [28.840797]</t>
  </si>
  <si>
    <t>1 [29.248522]</t>
  </si>
  <si>
    <t>1 [29.652876]</t>
  </si>
  <si>
    <t>2 [30.055465]</t>
  </si>
  <si>
    <t>2 [30.570950]</t>
  </si>
  <si>
    <t>2 [30.947172]</t>
  </si>
  <si>
    <t>2 [31.340314]</t>
  </si>
  <si>
    <t>2 [31.744545]</t>
  </si>
  <si>
    <t>2 [32.133759]</t>
  </si>
  <si>
    <t>2 [32.543371]</t>
  </si>
  <si>
    <t>2 [32.953098]</t>
  </si>
  <si>
    <t>2 [33.353652]</t>
  </si>
  <si>
    <t>2 [33.759209]</t>
  </si>
  <si>
    <t>2 [34.165822]</t>
  </si>
  <si>
    <t>2 [34.574016]</t>
  </si>
  <si>
    <t>2 [34.979679]</t>
  </si>
  <si>
    <t>2 [35.385748]</t>
  </si>
  <si>
    <t>2 [35.790377]</t>
  </si>
  <si>
    <t>2 [36.200381]</t>
  </si>
  <si>
    <t>2 [36.604105]</t>
  </si>
  <si>
    <t>2 [37.011613]</t>
  </si>
  <si>
    <t>2 [37.414698]</t>
  </si>
  <si>
    <t>2 [37.821644]</t>
  </si>
  <si>
    <t>2 [38.231218]</t>
  </si>
  <si>
    <t>2 [38.637589]</t>
  </si>
  <si>
    <t>2 [39.043162]</t>
  </si>
  <si>
    <t>2 [39.447895]</t>
  </si>
  <si>
    <t>2 [39.854465]</t>
  </si>
  <si>
    <t>2 [40.262014]</t>
  </si>
  <si>
    <t>2 [40.667676]</t>
  </si>
  <si>
    <t>2 [41.073956]</t>
  </si>
  <si>
    <t>2 [41.480365]</t>
  </si>
  <si>
    <t>2 [41.883649]</t>
  </si>
  <si>
    <t>2 [42.292629]</t>
  </si>
  <si>
    <t>2 [42.701087]</t>
  </si>
  <si>
    <t>2 [43.104789]</t>
  </si>
  <si>
    <t>2 [43.509546]</t>
  </si>
  <si>
    <t>2 [43.915235]</t>
  </si>
  <si>
    <t>2 [44.323360]</t>
  </si>
  <si>
    <t>2 [44.729218]</t>
  </si>
  <si>
    <t>2 [45.133946]</t>
  </si>
  <si>
    <t>2 [45.542602]</t>
  </si>
  <si>
    <t>2 [45.951190]</t>
  </si>
  <si>
    <t>2 [46.354190]</t>
  </si>
  <si>
    <t>2 [46.760393]</t>
  </si>
  <si>
    <t>2 [47.166365]</t>
  </si>
  <si>
    <t>2 [47.572306]</t>
  </si>
  <si>
    <t>2 [47.978255]</t>
  </si>
  <si>
    <t>2 [48.383768]</t>
  </si>
  <si>
    <t>2 [48.792065]</t>
  </si>
  <si>
    <t>2 [49.198349]</t>
  </si>
  <si>
    <t>2 [49.604202]</t>
  </si>
  <si>
    <t>2 [50.012822]</t>
  </si>
  <si>
    <t>2 [50.417127]</t>
  </si>
  <si>
    <t>2 [50.823151]</t>
  </si>
  <si>
    <t>2 [51.230513]</t>
  </si>
  <si>
    <t>2 [51.636147]</t>
  </si>
  <si>
    <t>2 [52.039538]</t>
  </si>
  <si>
    <t>2 [52.449604]</t>
  </si>
  <si>
    <t>2 [52.854657]</t>
  </si>
  <si>
    <t>2 [53.259896]</t>
  </si>
  <si>
    <t>2 [53.666812]</t>
  </si>
  <si>
    <t>2 [54.075011]</t>
  </si>
  <si>
    <t>2 [54.479896]</t>
  </si>
  <si>
    <t>2 [54.885875]</t>
  </si>
  <si>
    <t>2 [55.290055]</t>
  </si>
  <si>
    <t>2 [55.698003]</t>
  </si>
  <si>
    <t>2 [56.105858]</t>
  </si>
  <si>
    <t>2 [56.512131]</t>
  </si>
  <si>
    <t>2 [56.915523]</t>
  </si>
  <si>
    <t>2 [57.321118]</t>
  </si>
  <si>
    <t>2 [57.733333]</t>
  </si>
  <si>
    <t>2 [58.138104]</t>
  </si>
  <si>
    <t>2 [58.546768]</t>
  </si>
  <si>
    <t>2 [58.947653]</t>
  </si>
  <si>
    <t>2 [59.355538]</t>
  </si>
  <si>
    <t>2 [59.763507]</t>
  </si>
  <si>
    <t>dt</t>
    <phoneticPr fontId="29" type="noConversion"/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</si>
  <si>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</si>
  <si>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</si>
  <si>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</si>
  <si>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</si>
  <si>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</si>
  <si>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</si>
  <si>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</si>
  <si>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</si>
  <si>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</si>
  <si>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</si>
  <si>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</si>
  <si>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</si>
  <si>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</si>
  <si>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姜雷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</si>
</sst>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38.5854</c:v>
                </c:pt>
                <c:pt idx="1">
                  <c:v>25.0609</c:v>
                </c:pt>
                <c:pt idx="2">
                  <c:v>27.481999999999999</c:v>
                </c:pt>
                <c:pt idx="3">
                  <c:v>29.113399999999999</c:v>
                </c:pt>
                <c:pt idx="4">
                  <c:v>74.322100000000006</c:v>
                </c:pt>
                <c:pt idx="5">
                  <c:v>81.814099999999996</c:v>
                </c:pt>
                <c:pt idx="6">
                  <c:v>28.934100000000001</c:v>
                </c:pt>
                <c:pt idx="7">
                  <c:v>77.7</c:v>
                </c:pt>
                <c:pt idx="8">
                  <c:v>17.574300000000001</c:v>
                </c:pt>
                <c:pt idx="9">
                  <c:v>22.953600000000002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0.56623256343146411</c:v>
                </c:pt>
                <c:pt idx="1">
                  <c:v>0.25910373441122175</c:v>
                </c:pt>
                <c:pt idx="2">
                  <c:v>0.17466370215731408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970</c:v>
                </c:pt>
                <c:pt idx="7">
                  <c:v>0</c:v>
                </c:pt>
                <c:pt idx="8">
                  <c:v>902</c:v>
                </c:pt>
                <c:pt idx="9">
                  <c:v>0</c:v>
                </c:pt>
                <c:pt idx="10">
                  <c:v>0</c:v>
                </c:pt>
                <c:pt idx="11">
                  <c:v>1548</c:v>
                </c:pt>
                <c:pt idx="12">
                  <c:v>0</c:v>
                </c:pt>
                <c:pt idx="13">
                  <c:v>2997</c:v>
                </c:pt>
                <c:pt idx="14">
                  <c:v>0</c:v>
                </c:pt>
                <c:pt idx="15">
                  <c:v>0</c:v>
                </c:pt>
                <c:pt idx="16">
                  <c:v>5074</c:v>
                </c:pt>
                <c:pt idx="17">
                  <c:v>0</c:v>
                </c:pt>
                <c:pt idx="18">
                  <c:v>0</c:v>
                </c:pt>
                <c:pt idx="19">
                  <c:v>8475</c:v>
                </c:pt>
                <c:pt idx="20">
                  <c:v>0</c:v>
                </c:pt>
                <c:pt idx="21">
                  <c:v>12122</c:v>
                </c:pt>
                <c:pt idx="22">
                  <c:v>0</c:v>
                </c:pt>
                <c:pt idx="23">
                  <c:v>0</c:v>
                </c:pt>
                <c:pt idx="24">
                  <c:v>14526</c:v>
                </c:pt>
                <c:pt idx="25">
                  <c:v>0</c:v>
                </c:pt>
                <c:pt idx="26">
                  <c:v>17543</c:v>
                </c:pt>
                <c:pt idx="27">
                  <c:v>0</c:v>
                </c:pt>
                <c:pt idx="28">
                  <c:v>0</c:v>
                </c:pt>
                <c:pt idx="29">
                  <c:v>21926</c:v>
                </c:pt>
                <c:pt idx="30">
                  <c:v>0</c:v>
                </c:pt>
                <c:pt idx="31">
                  <c:v>28465</c:v>
                </c:pt>
                <c:pt idx="32">
                  <c:v>0</c:v>
                </c:pt>
                <c:pt idx="33">
                  <c:v>0</c:v>
                </c:pt>
                <c:pt idx="34">
                  <c:v>32741</c:v>
                </c:pt>
                <c:pt idx="35">
                  <c:v>0</c:v>
                </c:pt>
                <c:pt idx="36">
                  <c:v>0</c:v>
                </c:pt>
                <c:pt idx="37">
                  <c:v>37913</c:v>
                </c:pt>
                <c:pt idx="38">
                  <c:v>0</c:v>
                </c:pt>
                <c:pt idx="39">
                  <c:v>42675</c:v>
                </c:pt>
                <c:pt idx="40">
                  <c:v>0</c:v>
                </c:pt>
                <c:pt idx="41">
                  <c:v>0</c:v>
                </c:pt>
                <c:pt idx="42">
                  <c:v>45101</c:v>
                </c:pt>
                <c:pt idx="43">
                  <c:v>0</c:v>
                </c:pt>
                <c:pt idx="44">
                  <c:v>51359</c:v>
                </c:pt>
                <c:pt idx="45">
                  <c:v>0</c:v>
                </c:pt>
                <c:pt idx="46">
                  <c:v>0</c:v>
                </c:pt>
                <c:pt idx="47">
                  <c:v>59788</c:v>
                </c:pt>
                <c:pt idx="48">
                  <c:v>0</c:v>
                </c:pt>
                <c:pt idx="49">
                  <c:v>68747</c:v>
                </c:pt>
                <c:pt idx="50">
                  <c:v>0</c:v>
                </c:pt>
                <c:pt idx="51">
                  <c:v>0</c:v>
                </c:pt>
                <c:pt idx="52">
                  <c:v>79303</c:v>
                </c:pt>
                <c:pt idx="53">
                  <c:v>0</c:v>
                </c:pt>
                <c:pt idx="54">
                  <c:v>0</c:v>
                </c:pt>
                <c:pt idx="55">
                  <c:v>86149</c:v>
                </c:pt>
                <c:pt idx="56">
                  <c:v>0</c:v>
                </c:pt>
                <c:pt idx="57">
                  <c:v>93573</c:v>
                </c:pt>
                <c:pt idx="58">
                  <c:v>0</c:v>
                </c:pt>
                <c:pt idx="59">
                  <c:v>0</c:v>
                </c:pt>
                <c:pt idx="60">
                  <c:v>98576</c:v>
                </c:pt>
                <c:pt idx="61">
                  <c:v>0</c:v>
                </c:pt>
                <c:pt idx="62">
                  <c:v>111437</c:v>
                </c:pt>
                <c:pt idx="63">
                  <c:v>0</c:v>
                </c:pt>
                <c:pt idx="64">
                  <c:v>0</c:v>
                </c:pt>
                <c:pt idx="65">
                  <c:v>118991</c:v>
                </c:pt>
                <c:pt idx="66">
                  <c:v>0</c:v>
                </c:pt>
                <c:pt idx="67">
                  <c:v>130730</c:v>
                </c:pt>
                <c:pt idx="68">
                  <c:v>0</c:v>
                </c:pt>
                <c:pt idx="69">
                  <c:v>0</c:v>
                </c:pt>
                <c:pt idx="70">
                  <c:v>136661</c:v>
                </c:pt>
                <c:pt idx="71">
                  <c:v>0</c:v>
                </c:pt>
                <c:pt idx="72">
                  <c:v>0</c:v>
                </c:pt>
                <c:pt idx="73">
                  <c:v>144284</c:v>
                </c:pt>
                <c:pt idx="74">
                  <c:v>0</c:v>
                </c:pt>
                <c:pt idx="75">
                  <c:v>162081</c:v>
                </c:pt>
                <c:pt idx="76">
                  <c:v>0</c:v>
                </c:pt>
                <c:pt idx="77">
                  <c:v>0</c:v>
                </c:pt>
                <c:pt idx="78">
                  <c:v>171575</c:v>
                </c:pt>
                <c:pt idx="79">
                  <c:v>0</c:v>
                </c:pt>
                <c:pt idx="80">
                  <c:v>176742</c:v>
                </c:pt>
                <c:pt idx="81">
                  <c:v>0</c:v>
                </c:pt>
                <c:pt idx="82">
                  <c:v>0</c:v>
                </c:pt>
                <c:pt idx="83">
                  <c:v>195057</c:v>
                </c:pt>
                <c:pt idx="84">
                  <c:v>0</c:v>
                </c:pt>
                <c:pt idx="85">
                  <c:v>0</c:v>
                </c:pt>
                <c:pt idx="86">
                  <c:v>197989</c:v>
                </c:pt>
                <c:pt idx="87">
                  <c:v>0</c:v>
                </c:pt>
                <c:pt idx="88">
                  <c:v>206070</c:v>
                </c:pt>
                <c:pt idx="89">
                  <c:v>0</c:v>
                </c:pt>
                <c:pt idx="90">
                  <c:v>0</c:v>
                </c:pt>
                <c:pt idx="91">
                  <c:v>223727</c:v>
                </c:pt>
                <c:pt idx="92">
                  <c:v>0</c:v>
                </c:pt>
                <c:pt idx="93">
                  <c:v>225516</c:v>
                </c:pt>
                <c:pt idx="94">
                  <c:v>0</c:v>
                </c:pt>
                <c:pt idx="95">
                  <c:v>0</c:v>
                </c:pt>
                <c:pt idx="96">
                  <c:v>232206</c:v>
                </c:pt>
                <c:pt idx="97">
                  <c:v>0</c:v>
                </c:pt>
                <c:pt idx="98">
                  <c:v>225761</c:v>
                </c:pt>
                <c:pt idx="99">
                  <c:v>0</c:v>
                </c:pt>
                <c:pt idx="100">
                  <c:v>0</c:v>
                </c:pt>
                <c:pt idx="101">
                  <c:v>227968</c:v>
                </c:pt>
                <c:pt idx="102">
                  <c:v>0</c:v>
                </c:pt>
                <c:pt idx="103">
                  <c:v>0</c:v>
                </c:pt>
                <c:pt idx="104">
                  <c:v>229950</c:v>
                </c:pt>
                <c:pt idx="105">
                  <c:v>0</c:v>
                </c:pt>
                <c:pt idx="106">
                  <c:v>229402</c:v>
                </c:pt>
                <c:pt idx="107">
                  <c:v>0</c:v>
                </c:pt>
                <c:pt idx="108">
                  <c:v>0</c:v>
                </c:pt>
                <c:pt idx="109">
                  <c:v>228137</c:v>
                </c:pt>
                <c:pt idx="110">
                  <c:v>0</c:v>
                </c:pt>
                <c:pt idx="111">
                  <c:v>216126</c:v>
                </c:pt>
                <c:pt idx="112">
                  <c:v>0</c:v>
                </c:pt>
                <c:pt idx="113">
                  <c:v>0</c:v>
                </c:pt>
                <c:pt idx="114">
                  <c:v>201661</c:v>
                </c:pt>
                <c:pt idx="115">
                  <c:v>0</c:v>
                </c:pt>
                <c:pt idx="116">
                  <c:v>178619</c:v>
                </c:pt>
                <c:pt idx="117">
                  <c:v>0</c:v>
                </c:pt>
                <c:pt idx="118">
                  <c:v>0</c:v>
                </c:pt>
                <c:pt idx="119">
                  <c:v>160284</c:v>
                </c:pt>
                <c:pt idx="120">
                  <c:v>0</c:v>
                </c:pt>
                <c:pt idx="121">
                  <c:v>0</c:v>
                </c:pt>
                <c:pt idx="122">
                  <c:v>145040</c:v>
                </c:pt>
                <c:pt idx="123">
                  <c:v>0</c:v>
                </c:pt>
                <c:pt idx="124">
                  <c:v>136962</c:v>
                </c:pt>
                <c:pt idx="125">
                  <c:v>0</c:v>
                </c:pt>
                <c:pt idx="126">
                  <c:v>0</c:v>
                </c:pt>
                <c:pt idx="127">
                  <c:v>131157</c:v>
                </c:pt>
                <c:pt idx="128">
                  <c:v>0</c:v>
                </c:pt>
                <c:pt idx="129">
                  <c:v>125600</c:v>
                </c:pt>
                <c:pt idx="130">
                  <c:v>0</c:v>
                </c:pt>
                <c:pt idx="131">
                  <c:v>0</c:v>
                </c:pt>
                <c:pt idx="132">
                  <c:v>104246</c:v>
                </c:pt>
                <c:pt idx="133">
                  <c:v>0</c:v>
                </c:pt>
                <c:pt idx="134">
                  <c:v>95558</c:v>
                </c:pt>
                <c:pt idx="135">
                  <c:v>0</c:v>
                </c:pt>
                <c:pt idx="136">
                  <c:v>0</c:v>
                </c:pt>
                <c:pt idx="137">
                  <c:v>86918</c:v>
                </c:pt>
                <c:pt idx="138">
                  <c:v>0</c:v>
                </c:pt>
                <c:pt idx="139">
                  <c:v>0</c:v>
                </c:pt>
                <c:pt idx="140">
                  <c:v>75661</c:v>
                </c:pt>
                <c:pt idx="141">
                  <c:v>0</c:v>
                </c:pt>
                <c:pt idx="142">
                  <c:v>73014</c:v>
                </c:pt>
                <c:pt idx="143">
                  <c:v>0</c:v>
                </c:pt>
                <c:pt idx="144">
                  <c:v>0</c:v>
                </c:pt>
                <c:pt idx="145">
                  <c:v>68059</c:v>
                </c:pt>
                <c:pt idx="146">
                  <c:v>0</c:v>
                </c:pt>
                <c:pt idx="147">
                  <c:v>64952</c:v>
                </c:pt>
                <c:pt idx="148">
                  <c:v>0</c:v>
                </c:pt>
                <c:pt idx="149">
                  <c:v>0</c:v>
                </c:pt>
                <c:pt idx="150">
                  <c:v>56789</c:v>
                </c:pt>
                <c:pt idx="151">
                  <c:v>0</c:v>
                </c:pt>
                <c:pt idx="152">
                  <c:v>48093</c:v>
                </c:pt>
                <c:pt idx="153">
                  <c:v>0</c:v>
                </c:pt>
                <c:pt idx="154">
                  <c:v>0</c:v>
                </c:pt>
                <c:pt idx="155">
                  <c:v>43021</c:v>
                </c:pt>
                <c:pt idx="156">
                  <c:v>0</c:v>
                </c:pt>
                <c:pt idx="157">
                  <c:v>0</c:v>
                </c:pt>
                <c:pt idx="158">
                  <c:v>39921</c:v>
                </c:pt>
                <c:pt idx="159">
                  <c:v>0</c:v>
                </c:pt>
                <c:pt idx="160">
                  <c:v>37203</c:v>
                </c:pt>
                <c:pt idx="161">
                  <c:v>0</c:v>
                </c:pt>
                <c:pt idx="162">
                  <c:v>0</c:v>
                </c:pt>
                <c:pt idx="163">
                  <c:v>30639</c:v>
                </c:pt>
                <c:pt idx="164">
                  <c:v>0</c:v>
                </c:pt>
                <c:pt idx="165">
                  <c:v>25615</c:v>
                </c:pt>
                <c:pt idx="166">
                  <c:v>0</c:v>
                </c:pt>
                <c:pt idx="167">
                  <c:v>0</c:v>
                </c:pt>
                <c:pt idx="168">
                  <c:v>20849</c:v>
                </c:pt>
                <c:pt idx="169">
                  <c:v>0</c:v>
                </c:pt>
                <c:pt idx="170">
                  <c:v>0</c:v>
                </c:pt>
                <c:pt idx="171">
                  <c:v>18575</c:v>
                </c:pt>
                <c:pt idx="172">
                  <c:v>0</c:v>
                </c:pt>
                <c:pt idx="173">
                  <c:v>11820</c:v>
                </c:pt>
                <c:pt idx="174">
                  <c:v>0</c:v>
                </c:pt>
                <c:pt idx="175">
                  <c:v>0</c:v>
                </c:pt>
                <c:pt idx="176">
                  <c:v>9568</c:v>
                </c:pt>
                <c:pt idx="177">
                  <c:v>0</c:v>
                </c:pt>
                <c:pt idx="178">
                  <c:v>6874</c:v>
                </c:pt>
                <c:pt idx="179">
                  <c:v>0</c:v>
                </c:pt>
                <c:pt idx="180">
                  <c:v>0</c:v>
                </c:pt>
                <c:pt idx="181">
                  <c:v>4436</c:v>
                </c:pt>
                <c:pt idx="182">
                  <c:v>0</c:v>
                </c:pt>
                <c:pt idx="183">
                  <c:v>3321</c:v>
                </c:pt>
                <c:pt idx="184">
                  <c:v>0</c:v>
                </c:pt>
                <c:pt idx="185">
                  <c:v>0</c:v>
                </c:pt>
                <c:pt idx="186">
                  <c:v>3082</c:v>
                </c:pt>
                <c:pt idx="187">
                  <c:v>0</c:v>
                </c:pt>
                <c:pt idx="188">
                  <c:v>0</c:v>
                </c:pt>
                <c:pt idx="189">
                  <c:v>3436</c:v>
                </c:pt>
                <c:pt idx="190">
                  <c:v>0</c:v>
                </c:pt>
                <c:pt idx="191">
                  <c:v>2684</c:v>
                </c:pt>
                <c:pt idx="192">
                  <c:v>0</c:v>
                </c:pt>
                <c:pt idx="193">
                  <c:v>0</c:v>
                </c:pt>
                <c:pt idx="194">
                  <c:v>2672</c:v>
                </c:pt>
                <c:pt idx="195">
                  <c:v>0</c:v>
                </c:pt>
                <c:pt idx="196">
                  <c:v>1738</c:v>
                </c:pt>
                <c:pt idx="197">
                  <c:v>0</c:v>
                </c:pt>
                <c:pt idx="198">
                  <c:v>0</c:v>
                </c:pt>
                <c:pt idx="199">
                  <c:v>907</c:v>
                </c:pt>
                <c:pt idx="200">
                  <c:v>0</c:v>
                </c:pt>
                <c:pt idx="201">
                  <c:v>624</c:v>
                </c:pt>
                <c:pt idx="202">
                  <c:v>0</c:v>
                </c:pt>
                <c:pt idx="203">
                  <c:v>0</c:v>
                </c:pt>
                <c:pt idx="204">
                  <c:v>161</c:v>
                </c:pt>
                <c:pt idx="205">
                  <c:v>0</c:v>
                </c:pt>
                <c:pt idx="206">
                  <c:v>0</c:v>
                </c:pt>
                <c:pt idx="207">
                  <c:v>149</c:v>
                </c:pt>
                <c:pt idx="208">
                  <c:v>0</c:v>
                </c:pt>
                <c:pt idx="209">
                  <c:v>50</c:v>
                </c:pt>
                <c:pt idx="210">
                  <c:v>0</c:v>
                </c:pt>
                <c:pt idx="211">
                  <c:v>0</c:v>
                </c:pt>
                <c:pt idx="212">
                  <c:v>50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2.4210799999999999</c:v>
                </c:pt>
                <c:pt idx="1">
                  <c:v>2.5201000000000002</c:v>
                </c:pt>
                <c:pt idx="2">
                  <c:v>2.6155600000000003</c:v>
                </c:pt>
                <c:pt idx="3">
                  <c:v>2.70397</c:v>
                </c:pt>
                <c:pt idx="4">
                  <c:v>2.7926699999999998</c:v>
                </c:pt>
                <c:pt idx="5">
                  <c:v>2.8790300000000002</c:v>
                </c:pt>
                <c:pt idx="6">
                  <c:v>2.96502</c:v>
                </c:pt>
                <c:pt idx="7">
                  <c:v>3.05186</c:v>
                </c:pt>
                <c:pt idx="8">
                  <c:v>3.1390699999999998</c:v>
                </c:pt>
                <c:pt idx="9">
                  <c:v>3.2272499999999997</c:v>
                </c:pt>
                <c:pt idx="10">
                  <c:v>3.31454</c:v>
                </c:pt>
                <c:pt idx="11">
                  <c:v>3.4000999999999997</c:v>
                </c:pt>
                <c:pt idx="12">
                  <c:v>3.4847399999999999</c:v>
                </c:pt>
                <c:pt idx="13">
                  <c:v>3.5672300000000003</c:v>
                </c:pt>
                <c:pt idx="14">
                  <c:v>3.6494500000000003</c:v>
                </c:pt>
                <c:pt idx="15">
                  <c:v>3.7295299999999996</c:v>
                </c:pt>
                <c:pt idx="16">
                  <c:v>3.8040000000000003</c:v>
                </c:pt>
                <c:pt idx="17">
                  <c:v>3.8729799999999996</c:v>
                </c:pt>
                <c:pt idx="18">
                  <c:v>3.9380799999999998</c:v>
                </c:pt>
                <c:pt idx="19">
                  <c:v>3.9978699999999998</c:v>
                </c:pt>
                <c:pt idx="20">
                  <c:v>4.0521200000000004</c:v>
                </c:pt>
                <c:pt idx="21">
                  <c:v>4.1008499999999994</c:v>
                </c:pt>
                <c:pt idx="22">
                  <c:v>4.1477700000000004</c:v>
                </c:pt>
                <c:pt idx="23">
                  <c:v>4.1885300000000001</c:v>
                </c:pt>
                <c:pt idx="24">
                  <c:v>4.2259600000000006</c:v>
                </c:pt>
                <c:pt idx="25">
                  <c:v>4.25786</c:v>
                </c:pt>
                <c:pt idx="26">
                  <c:v>4.2867600000000001</c:v>
                </c:pt>
                <c:pt idx="27">
                  <c:v>4.3118400000000001</c:v>
                </c:pt>
                <c:pt idx="28">
                  <c:v>4.3340499999999995</c:v>
                </c:pt>
                <c:pt idx="29">
                  <c:v>4.34999</c:v>
                </c:pt>
                <c:pt idx="30">
                  <c:v>4.3580999999999994</c:v>
                </c:pt>
                <c:pt idx="31">
                  <c:v>4.3578099999999997</c:v>
                </c:pt>
                <c:pt idx="32">
                  <c:v>4.3541800000000004</c:v>
                </c:pt>
                <c:pt idx="33">
                  <c:v>4.3488500000000005</c:v>
                </c:pt>
                <c:pt idx="34">
                  <c:v>4.34131</c:v>
                </c:pt>
                <c:pt idx="35">
                  <c:v>4.3304200000000002</c:v>
                </c:pt>
                <c:pt idx="36">
                  <c:v>4.32097</c:v>
                </c:pt>
                <c:pt idx="37">
                  <c:v>4.3128899999999994</c:v>
                </c:pt>
                <c:pt idx="38">
                  <c:v>4.3056100000000006</c:v>
                </c:pt>
                <c:pt idx="39">
                  <c:v>4.29711</c:v>
                </c:pt>
                <c:pt idx="40">
                  <c:v>4.2890699999999997</c:v>
                </c:pt>
                <c:pt idx="41">
                  <c:v>4.2819000000000003</c:v>
                </c:pt>
                <c:pt idx="42">
                  <c:v>4.2764799999999994</c:v>
                </c:pt>
                <c:pt idx="43">
                  <c:v>4.2698999999999998</c:v>
                </c:pt>
                <c:pt idx="44">
                  <c:v>4.2620000000000005</c:v>
                </c:pt>
                <c:pt idx="45">
                  <c:v>4.2534200000000002</c:v>
                </c:pt>
                <c:pt idx="46">
                  <c:v>4.2463499999999996</c:v>
                </c:pt>
                <c:pt idx="47">
                  <c:v>4.2349100000000002</c:v>
                </c:pt>
                <c:pt idx="48">
                  <c:v>4.2235199999999997</c:v>
                </c:pt>
                <c:pt idx="49">
                  <c:v>4.2115799999999997</c:v>
                </c:pt>
                <c:pt idx="50">
                  <c:v>4.2027999999999999</c:v>
                </c:pt>
                <c:pt idx="51">
                  <c:v>4.1950700000000003</c:v>
                </c:pt>
                <c:pt idx="52">
                  <c:v>4.1906499999999998</c:v>
                </c:pt>
                <c:pt idx="53">
                  <c:v>4.1876600000000002</c:v>
                </c:pt>
                <c:pt idx="54">
                  <c:v>4.1866599999999998</c:v>
                </c:pt>
                <c:pt idx="55">
                  <c:v>4.18851</c:v>
                </c:pt>
                <c:pt idx="56">
                  <c:v>4.1863799999999998</c:v>
                </c:pt>
                <c:pt idx="57">
                  <c:v>4.18302</c:v>
                </c:pt>
                <c:pt idx="58">
                  <c:v>4.1780600000000003</c:v>
                </c:pt>
                <c:pt idx="59">
                  <c:v>4.1716100000000003</c:v>
                </c:pt>
                <c:pt idx="60">
                  <c:v>4.1675800000000001</c:v>
                </c:pt>
                <c:pt idx="61">
                  <c:v>4.1601300000000005</c:v>
                </c:pt>
                <c:pt idx="62">
                  <c:v>4.1547200000000002</c:v>
                </c:pt>
                <c:pt idx="63">
                  <c:v>4.1357699999999999</c:v>
                </c:pt>
                <c:pt idx="64">
                  <c:v>4.12385</c:v>
                </c:pt>
                <c:pt idx="65">
                  <c:v>4.1028599999999997</c:v>
                </c:pt>
                <c:pt idx="66">
                  <c:v>4.0802300000000002</c:v>
                </c:pt>
                <c:pt idx="67">
                  <c:v>4.05443</c:v>
                </c:pt>
                <c:pt idx="68">
                  <c:v>4.0192199999999998</c:v>
                </c:pt>
                <c:pt idx="69">
                  <c:v>3.9917899999999999</c:v>
                </c:pt>
                <c:pt idx="70">
                  <c:v>3.9734399999999996</c:v>
                </c:pt>
                <c:pt idx="71">
                  <c:v>3.9385300000000001</c:v>
                </c:pt>
                <c:pt idx="72">
                  <c:v>3.91384</c:v>
                </c:pt>
                <c:pt idx="73">
                  <c:v>3.8980999999999999</c:v>
                </c:pt>
                <c:pt idx="74">
                  <c:v>3.8706800000000001</c:v>
                </c:pt>
                <c:pt idx="75">
                  <c:v>3.8339099999999999</c:v>
                </c:pt>
                <c:pt idx="76">
                  <c:v>3.8010699999999997</c:v>
                </c:pt>
                <c:pt idx="77">
                  <c:v>3.7654300000000003</c:v>
                </c:pt>
                <c:pt idx="78">
                  <c:v>3.7265100000000002</c:v>
                </c:pt>
                <c:pt idx="79">
                  <c:v>3.6872400000000001</c:v>
                </c:pt>
                <c:pt idx="80">
                  <c:v>3.6507299999999998</c:v>
                </c:pt>
                <c:pt idx="81">
                  <c:v>3.6208400000000003</c:v>
                </c:pt>
                <c:pt idx="82">
                  <c:v>3.5939199999999998</c:v>
                </c:pt>
                <c:pt idx="83">
                  <c:v>3.5690200000000001</c:v>
                </c:pt>
                <c:pt idx="84">
                  <c:v>3.5471000000000004</c:v>
                </c:pt>
                <c:pt idx="85">
                  <c:v>3.5251600000000001</c:v>
                </c:pt>
                <c:pt idx="86">
                  <c:v>3.5036399999999999</c:v>
                </c:pt>
                <c:pt idx="87">
                  <c:v>3.4835500000000001</c:v>
                </c:pt>
                <c:pt idx="88">
                  <c:v>3.4694099999999999</c:v>
                </c:pt>
                <c:pt idx="89">
                  <c:v>3.46055</c:v>
                </c:pt>
                <c:pt idx="90">
                  <c:v>3.4539599999999999</c:v>
                </c:pt>
                <c:pt idx="91">
                  <c:v>3.4515200000000004</c:v>
                </c:pt>
                <c:pt idx="92">
                  <c:v>3.4515800000000003</c:v>
                </c:pt>
                <c:pt idx="93">
                  <c:v>3.4548399999999999</c:v>
                </c:pt>
                <c:pt idx="94">
                  <c:v>3.4632299999999998</c:v>
                </c:pt>
                <c:pt idx="95">
                  <c:v>3.47546</c:v>
                </c:pt>
                <c:pt idx="96">
                  <c:v>3.4932400000000001</c:v>
                </c:pt>
                <c:pt idx="97">
                  <c:v>3.5165600000000001</c:v>
                </c:pt>
                <c:pt idx="98">
                  <c:v>3.5428999999999999</c:v>
                </c:pt>
                <c:pt idx="99">
                  <c:v>3.5715999999999997</c:v>
                </c:pt>
                <c:pt idx="100">
                  <c:v>3.59707</c:v>
                </c:pt>
                <c:pt idx="101">
                  <c:v>3.6274800000000003</c:v>
                </c:pt>
                <c:pt idx="102">
                  <c:v>3.65801</c:v>
                </c:pt>
                <c:pt idx="103">
                  <c:v>3.6901800000000002</c:v>
                </c:pt>
                <c:pt idx="104">
                  <c:v>3.7215799999999999</c:v>
                </c:pt>
                <c:pt idx="105">
                  <c:v>3.7494399999999999</c:v>
                </c:pt>
                <c:pt idx="106">
                  <c:v>3.7752799999999995</c:v>
                </c:pt>
                <c:pt idx="107">
                  <c:v>3.8001299999999998</c:v>
                </c:pt>
                <c:pt idx="108">
                  <c:v>3.8257300000000001</c:v>
                </c:pt>
                <c:pt idx="109">
                  <c:v>3.8525499999999999</c:v>
                </c:pt>
                <c:pt idx="110">
                  <c:v>3.8788200000000002</c:v>
                </c:pt>
                <c:pt idx="111">
                  <c:v>3.9038599999999999</c:v>
                </c:pt>
                <c:pt idx="112">
                  <c:v>3.9280500000000003</c:v>
                </c:pt>
                <c:pt idx="113">
                  <c:v>3.9516600000000004</c:v>
                </c:pt>
                <c:pt idx="114">
                  <c:v>3.9727800000000002</c:v>
                </c:pt>
                <c:pt idx="115">
                  <c:v>3.9944500000000001</c:v>
                </c:pt>
                <c:pt idx="116">
                  <c:v>4.0188800000000002</c:v>
                </c:pt>
                <c:pt idx="117">
                  <c:v>4.0408400000000002</c:v>
                </c:pt>
                <c:pt idx="118">
                  <c:v>4.0602999999999998</c:v>
                </c:pt>
                <c:pt idx="119">
                  <c:v>4.0774600000000003</c:v>
                </c:pt>
                <c:pt idx="120">
                  <c:v>4.0913199999999996</c:v>
                </c:pt>
                <c:pt idx="121">
                  <c:v>4.10337</c:v>
                </c:pt>
                <c:pt idx="122">
                  <c:v>4.1110799999999994</c:v>
                </c:pt>
                <c:pt idx="123">
                  <c:v>4.1154999999999999</c:v>
                </c:pt>
                <c:pt idx="124">
                  <c:v>4.1185600000000004</c:v>
                </c:pt>
                <c:pt idx="125">
                  <c:v>4.1246700000000001</c:v>
                </c:pt>
                <c:pt idx="126">
                  <c:v>4.1287099999999999</c:v>
                </c:pt>
                <c:pt idx="127">
                  <c:v>4.1345399999999994</c:v>
                </c:pt>
                <c:pt idx="128">
                  <c:v>4.1407699999999998</c:v>
                </c:pt>
                <c:pt idx="129">
                  <c:v>4.1477199999999996</c:v>
                </c:pt>
                <c:pt idx="130">
                  <c:v>4.1576599999999999</c:v>
                </c:pt>
                <c:pt idx="131">
                  <c:v>4.1672199999999995</c:v>
                </c:pt>
                <c:pt idx="132">
                  <c:v>4.1791900000000002</c:v>
                </c:pt>
                <c:pt idx="133">
                  <c:v>4.1914899999999999</c:v>
                </c:pt>
                <c:pt idx="134">
                  <c:v>4.2017500000000005</c:v>
                </c:pt>
                <c:pt idx="135">
                  <c:v>4.2129099999999999</c:v>
                </c:pt>
                <c:pt idx="136">
                  <c:v>4.2268299999999996</c:v>
                </c:pt>
                <c:pt idx="137">
                  <c:v>4.2387200000000007</c:v>
                </c:pt>
                <c:pt idx="138">
                  <c:v>4.2466699999999999</c:v>
                </c:pt>
                <c:pt idx="139">
                  <c:v>4.2521700000000004</c:v>
                </c:pt>
                <c:pt idx="140">
                  <c:v>4.2538599999999995</c:v>
                </c:pt>
                <c:pt idx="141">
                  <c:v>4.2449399999999997</c:v>
                </c:pt>
                <c:pt idx="142">
                  <c:v>4.24444</c:v>
                </c:pt>
                <c:pt idx="143">
                  <c:v>4.2507799999999998</c:v>
                </c:pt>
                <c:pt idx="144">
                  <c:v>4.2572399999999995</c:v>
                </c:pt>
                <c:pt idx="145">
                  <c:v>4.2705399999999996</c:v>
                </c:pt>
                <c:pt idx="146">
                  <c:v>4.2662399999999998</c:v>
                </c:pt>
                <c:pt idx="147">
                  <c:v>4.2834099999999999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50.423099999999998</c:v>
                </c:pt>
                <c:pt idx="1">
                  <c:v>49.25</c:v>
                </c:pt>
                <c:pt idx="2">
                  <c:v>48.305799999999998</c:v>
                </c:pt>
                <c:pt idx="3">
                  <c:v>47.351999999999997</c:v>
                </c:pt>
                <c:pt idx="4">
                  <c:v>46.357900000000001</c:v>
                </c:pt>
                <c:pt idx="5">
                  <c:v>45.254199999999997</c:v>
                </c:pt>
                <c:pt idx="6">
                  <c:v>44.0486</c:v>
                </c:pt>
                <c:pt idx="7">
                  <c:v>42.879199999999997</c:v>
                </c:pt>
                <c:pt idx="8">
                  <c:v>41.768300000000004</c:v>
                </c:pt>
                <c:pt idx="9">
                  <c:v>40.760200000000005</c:v>
                </c:pt>
                <c:pt idx="10">
                  <c:v>39.915399999999998</c:v>
                </c:pt>
                <c:pt idx="11">
                  <c:v>39.162799999999997</c:v>
                </c:pt>
                <c:pt idx="12">
                  <c:v>38.589600000000004</c:v>
                </c:pt>
                <c:pt idx="13">
                  <c:v>38.172200000000004</c:v>
                </c:pt>
                <c:pt idx="14">
                  <c:v>37.798200000000001</c:v>
                </c:pt>
                <c:pt idx="15">
                  <c:v>37.533300000000004</c:v>
                </c:pt>
                <c:pt idx="16">
                  <c:v>37.51</c:v>
                </c:pt>
                <c:pt idx="17">
                  <c:v>37.543900000000001</c:v>
                </c:pt>
                <c:pt idx="18">
                  <c:v>37.623800000000003</c:v>
                </c:pt>
                <c:pt idx="19">
                  <c:v>37.783899999999996</c:v>
                </c:pt>
                <c:pt idx="20">
                  <c:v>37.967300000000002</c:v>
                </c:pt>
                <c:pt idx="21">
                  <c:v>38.281599999999997</c:v>
                </c:pt>
                <c:pt idx="22">
                  <c:v>38.5304</c:v>
                </c:pt>
                <c:pt idx="23">
                  <c:v>38.723700000000001</c:v>
                </c:pt>
                <c:pt idx="24">
                  <c:v>38.799700000000001</c:v>
                </c:pt>
                <c:pt idx="25">
                  <c:v>38.787199999999999</c:v>
                </c:pt>
                <c:pt idx="26">
                  <c:v>38.825900000000004</c:v>
                </c:pt>
                <c:pt idx="27">
                  <c:v>38.913699999999999</c:v>
                </c:pt>
                <c:pt idx="28">
                  <c:v>38.966799999999999</c:v>
                </c:pt>
                <c:pt idx="29">
                  <c:v>38.9268</c:v>
                </c:pt>
                <c:pt idx="30">
                  <c:v>38.904899999999998</c:v>
                </c:pt>
                <c:pt idx="31">
                  <c:v>38.845400000000005</c:v>
                </c:pt>
                <c:pt idx="32">
                  <c:v>38.7575</c:v>
                </c:pt>
                <c:pt idx="33">
                  <c:v>38.744199999999999</c:v>
                </c:pt>
                <c:pt idx="34">
                  <c:v>38.704100000000004</c:v>
                </c:pt>
                <c:pt idx="35">
                  <c:v>38.6952</c:v>
                </c:pt>
                <c:pt idx="36">
                  <c:v>38.712699999999998</c:v>
                </c:pt>
                <c:pt idx="37">
                  <c:v>38.738599999999998</c:v>
                </c:pt>
                <c:pt idx="38">
                  <c:v>38.823900000000002</c:v>
                </c:pt>
                <c:pt idx="39">
                  <c:v>38.9893</c:v>
                </c:pt>
                <c:pt idx="40">
                  <c:v>39.220300000000002</c:v>
                </c:pt>
                <c:pt idx="41">
                  <c:v>39.407199999999996</c:v>
                </c:pt>
                <c:pt idx="42">
                  <c:v>39.660000000000004</c:v>
                </c:pt>
                <c:pt idx="43">
                  <c:v>40.054299999999998</c:v>
                </c:pt>
                <c:pt idx="44">
                  <c:v>40.508800000000001</c:v>
                </c:pt>
                <c:pt idx="45">
                  <c:v>41.009700000000002</c:v>
                </c:pt>
                <c:pt idx="46">
                  <c:v>41.476500000000001</c:v>
                </c:pt>
                <c:pt idx="47">
                  <c:v>42.009700000000002</c:v>
                </c:pt>
                <c:pt idx="48">
                  <c:v>42.575499999999998</c:v>
                </c:pt>
                <c:pt idx="49">
                  <c:v>43.285000000000004</c:v>
                </c:pt>
                <c:pt idx="50">
                  <c:v>43.824300000000001</c:v>
                </c:pt>
                <c:pt idx="51">
                  <c:v>44.631700000000002</c:v>
                </c:pt>
                <c:pt idx="52">
                  <c:v>45.445999999999998</c:v>
                </c:pt>
                <c:pt idx="53">
                  <c:v>46.292999999999999</c:v>
                </c:pt>
                <c:pt idx="54">
                  <c:v>47.188200000000002</c:v>
                </c:pt>
                <c:pt idx="55">
                  <c:v>48.042099999999998</c:v>
                </c:pt>
                <c:pt idx="56">
                  <c:v>48.998599999999996</c:v>
                </c:pt>
                <c:pt idx="57">
                  <c:v>49.706099999999999</c:v>
                </c:pt>
                <c:pt idx="58">
                  <c:v>50.341299999999997</c:v>
                </c:pt>
                <c:pt idx="59">
                  <c:v>50.972399999999993</c:v>
                </c:pt>
                <c:pt idx="60">
                  <c:v>51.5169</c:v>
                </c:pt>
                <c:pt idx="61">
                  <c:v>52.014099999999999</c:v>
                </c:pt>
                <c:pt idx="62">
                  <c:v>52.523699999999998</c:v>
                </c:pt>
                <c:pt idx="63">
                  <c:v>52.974900000000005</c:v>
                </c:pt>
                <c:pt idx="64">
                  <c:v>53.436999999999998</c:v>
                </c:pt>
                <c:pt idx="65">
                  <c:v>53.849299999999999</c:v>
                </c:pt>
                <c:pt idx="66">
                  <c:v>54.241599999999998</c:v>
                </c:pt>
                <c:pt idx="67">
                  <c:v>54.624600000000001</c:v>
                </c:pt>
                <c:pt idx="68">
                  <c:v>54.783200000000001</c:v>
                </c:pt>
                <c:pt idx="69">
                  <c:v>54.878599999999999</c:v>
                </c:pt>
                <c:pt idx="70">
                  <c:v>54.980300000000007</c:v>
                </c:pt>
                <c:pt idx="71">
                  <c:v>54.897600000000004</c:v>
                </c:pt>
                <c:pt idx="72">
                  <c:v>54.845500000000001</c:v>
                </c:pt>
                <c:pt idx="73">
                  <c:v>54.804499999999997</c:v>
                </c:pt>
                <c:pt idx="74">
                  <c:v>54.631399999999999</c:v>
                </c:pt>
                <c:pt idx="75">
                  <c:v>54.487900000000003</c:v>
                </c:pt>
                <c:pt idx="76">
                  <c:v>54.414900000000003</c:v>
                </c:pt>
                <c:pt idx="77">
                  <c:v>54.340999999999994</c:v>
                </c:pt>
                <c:pt idx="78">
                  <c:v>54.306600000000003</c:v>
                </c:pt>
                <c:pt idx="79">
                  <c:v>54.347299999999997</c:v>
                </c:pt>
                <c:pt idx="80">
                  <c:v>54.431399999999996</c:v>
                </c:pt>
                <c:pt idx="81">
                  <c:v>54.541700000000006</c:v>
                </c:pt>
                <c:pt idx="82">
                  <c:v>54.645200000000003</c:v>
                </c:pt>
                <c:pt idx="83">
                  <c:v>54.729099999999995</c:v>
                </c:pt>
                <c:pt idx="84">
                  <c:v>54.795700000000004</c:v>
                </c:pt>
                <c:pt idx="85">
                  <c:v>54.919899999999998</c:v>
                </c:pt>
                <c:pt idx="86">
                  <c:v>55.121900000000004</c:v>
                </c:pt>
                <c:pt idx="87">
                  <c:v>55.460900000000002</c:v>
                </c:pt>
                <c:pt idx="88">
                  <c:v>55.720499999999994</c:v>
                </c:pt>
                <c:pt idx="89">
                  <c:v>55.889800000000001</c:v>
                </c:pt>
                <c:pt idx="90">
                  <c:v>56.0107</c:v>
                </c:pt>
                <c:pt idx="91">
                  <c:v>56.101299999999995</c:v>
                </c:pt>
                <c:pt idx="92">
                  <c:v>56.120599999999996</c:v>
                </c:pt>
                <c:pt idx="93">
                  <c:v>56.058900000000001</c:v>
                </c:pt>
                <c:pt idx="94">
                  <c:v>55.8889</c:v>
                </c:pt>
                <c:pt idx="95">
                  <c:v>55.623999999999995</c:v>
                </c:pt>
                <c:pt idx="96">
                  <c:v>55.215199999999996</c:v>
                </c:pt>
                <c:pt idx="97">
                  <c:v>54.6175</c:v>
                </c:pt>
                <c:pt idx="98">
                  <c:v>53.971699999999998</c:v>
                </c:pt>
                <c:pt idx="99">
                  <c:v>53.360399999999998</c:v>
                </c:pt>
                <c:pt idx="100">
                  <c:v>52.877799999999993</c:v>
                </c:pt>
                <c:pt idx="101">
                  <c:v>52.388199999999998</c:v>
                </c:pt>
                <c:pt idx="102">
                  <c:v>51.951599999999999</c:v>
                </c:pt>
                <c:pt idx="103">
                  <c:v>51.563400000000001</c:v>
                </c:pt>
                <c:pt idx="104">
                  <c:v>51.1556</c:v>
                </c:pt>
                <c:pt idx="105">
                  <c:v>50.8371</c:v>
                </c:pt>
                <c:pt idx="106">
                  <c:v>50.448300000000003</c:v>
                </c:pt>
                <c:pt idx="107">
                  <c:v>50.071899999999999</c:v>
                </c:pt>
                <c:pt idx="108">
                  <c:v>49.676500000000004</c:v>
                </c:pt>
                <c:pt idx="109">
                  <c:v>49.225099999999998</c:v>
                </c:pt>
                <c:pt idx="110">
                  <c:v>48.695699999999995</c:v>
                </c:pt>
                <c:pt idx="111">
                  <c:v>48.225299999999997</c:v>
                </c:pt>
                <c:pt idx="112">
                  <c:v>47.690300000000001</c:v>
                </c:pt>
                <c:pt idx="113">
                  <c:v>47.045700000000004</c:v>
                </c:pt>
                <c:pt idx="114">
                  <c:v>46.357599999999998</c:v>
                </c:pt>
                <c:pt idx="115">
                  <c:v>45.650800000000004</c:v>
                </c:pt>
                <c:pt idx="116">
                  <c:v>44.832599999999999</c:v>
                </c:pt>
                <c:pt idx="117">
                  <c:v>44.126599999999996</c:v>
                </c:pt>
                <c:pt idx="118">
                  <c:v>43.473099999999995</c:v>
                </c:pt>
                <c:pt idx="119">
                  <c:v>42.8337</c:v>
                </c:pt>
                <c:pt idx="120">
                  <c:v>42.164499999999997</c:v>
                </c:pt>
                <c:pt idx="121">
                  <c:v>41.6126</c:v>
                </c:pt>
                <c:pt idx="122">
                  <c:v>41.065300000000001</c:v>
                </c:pt>
                <c:pt idx="123">
                  <c:v>40.640300000000003</c:v>
                </c:pt>
                <c:pt idx="124">
                  <c:v>40.3093</c:v>
                </c:pt>
                <c:pt idx="125">
                  <c:v>39.9208</c:v>
                </c:pt>
                <c:pt idx="126">
                  <c:v>39.477000000000004</c:v>
                </c:pt>
                <c:pt idx="127">
                  <c:v>39.066400000000002</c:v>
                </c:pt>
                <c:pt idx="128">
                  <c:v>38.664100000000005</c:v>
                </c:pt>
                <c:pt idx="129">
                  <c:v>38.283299999999997</c:v>
                </c:pt>
                <c:pt idx="130">
                  <c:v>37.866799999999998</c:v>
                </c:pt>
                <c:pt idx="131">
                  <c:v>37.452300000000001</c:v>
                </c:pt>
                <c:pt idx="132">
                  <c:v>37.0642</c:v>
                </c:pt>
                <c:pt idx="133">
                  <c:v>36.710900000000002</c:v>
                </c:pt>
                <c:pt idx="134">
                  <c:v>36.379800000000003</c:v>
                </c:pt>
                <c:pt idx="135">
                  <c:v>36.169699999999999</c:v>
                </c:pt>
                <c:pt idx="136">
                  <c:v>35.932600000000001</c:v>
                </c:pt>
                <c:pt idx="137">
                  <c:v>35.661100000000005</c:v>
                </c:pt>
                <c:pt idx="138">
                  <c:v>35.429500000000004</c:v>
                </c:pt>
                <c:pt idx="139">
                  <c:v>35.229300000000002</c:v>
                </c:pt>
                <c:pt idx="140">
                  <c:v>35.105599999999995</c:v>
                </c:pt>
                <c:pt idx="141">
                  <c:v>35.124699999999997</c:v>
                </c:pt>
                <c:pt idx="142">
                  <c:v>35.054699999999997</c:v>
                </c:pt>
                <c:pt idx="143">
                  <c:v>34.984099999999998</c:v>
                </c:pt>
                <c:pt idx="144">
                  <c:v>34.856099999999998</c:v>
                </c:pt>
                <c:pt idx="145">
                  <c:v>35.119499999999995</c:v>
                </c:pt>
                <c:pt idx="146">
                  <c:v>34.544499999999999</c:v>
                </c:pt>
                <c:pt idx="147">
                  <c:v>33.915800000000004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2.4210799999999999</c:v>
                </c:pt>
                <c:pt idx="1">
                  <c:v>2.5201000000000002</c:v>
                </c:pt>
                <c:pt idx="2">
                  <c:v>2.6155600000000003</c:v>
                </c:pt>
                <c:pt idx="3">
                  <c:v>2.70397</c:v>
                </c:pt>
                <c:pt idx="4">
                  <c:v>2.7926699999999998</c:v>
                </c:pt>
                <c:pt idx="5">
                  <c:v>2.8790300000000002</c:v>
                </c:pt>
                <c:pt idx="6">
                  <c:v>2.96502</c:v>
                </c:pt>
                <c:pt idx="7">
                  <c:v>3.05186</c:v>
                </c:pt>
                <c:pt idx="8">
                  <c:v>3.1390699999999998</c:v>
                </c:pt>
                <c:pt idx="9">
                  <c:v>3.2272499999999997</c:v>
                </c:pt>
                <c:pt idx="10">
                  <c:v>3.31454</c:v>
                </c:pt>
                <c:pt idx="11">
                  <c:v>3.4000999999999997</c:v>
                </c:pt>
                <c:pt idx="12">
                  <c:v>3.4847399999999999</c:v>
                </c:pt>
                <c:pt idx="13">
                  <c:v>3.5672300000000003</c:v>
                </c:pt>
                <c:pt idx="14">
                  <c:v>3.6494500000000003</c:v>
                </c:pt>
                <c:pt idx="15">
                  <c:v>3.7295299999999996</c:v>
                </c:pt>
                <c:pt idx="16">
                  <c:v>3.8040000000000003</c:v>
                </c:pt>
                <c:pt idx="17">
                  <c:v>3.8729799999999996</c:v>
                </c:pt>
                <c:pt idx="18">
                  <c:v>3.9380799999999998</c:v>
                </c:pt>
                <c:pt idx="19">
                  <c:v>3.9978699999999998</c:v>
                </c:pt>
                <c:pt idx="20">
                  <c:v>4.0521200000000004</c:v>
                </c:pt>
                <c:pt idx="21">
                  <c:v>4.1008499999999994</c:v>
                </c:pt>
                <c:pt idx="22">
                  <c:v>4.1477700000000004</c:v>
                </c:pt>
                <c:pt idx="23">
                  <c:v>4.1885300000000001</c:v>
                </c:pt>
                <c:pt idx="24">
                  <c:v>4.2259600000000006</c:v>
                </c:pt>
                <c:pt idx="25">
                  <c:v>4.25786</c:v>
                </c:pt>
                <c:pt idx="26">
                  <c:v>4.2867600000000001</c:v>
                </c:pt>
                <c:pt idx="27">
                  <c:v>4.3118400000000001</c:v>
                </c:pt>
                <c:pt idx="28">
                  <c:v>4.3340499999999995</c:v>
                </c:pt>
                <c:pt idx="29">
                  <c:v>4.34999</c:v>
                </c:pt>
                <c:pt idx="30">
                  <c:v>4.3580999999999994</c:v>
                </c:pt>
                <c:pt idx="31">
                  <c:v>4.3578099999999997</c:v>
                </c:pt>
                <c:pt idx="32">
                  <c:v>4.3541800000000004</c:v>
                </c:pt>
                <c:pt idx="33">
                  <c:v>4.3488500000000005</c:v>
                </c:pt>
                <c:pt idx="34">
                  <c:v>4.34131</c:v>
                </c:pt>
                <c:pt idx="35">
                  <c:v>4.3304200000000002</c:v>
                </c:pt>
                <c:pt idx="36">
                  <c:v>4.32097</c:v>
                </c:pt>
                <c:pt idx="37">
                  <c:v>4.3128899999999994</c:v>
                </c:pt>
                <c:pt idx="38">
                  <c:v>4.3056100000000006</c:v>
                </c:pt>
                <c:pt idx="39">
                  <c:v>4.29711</c:v>
                </c:pt>
                <c:pt idx="40">
                  <c:v>4.2890699999999997</c:v>
                </c:pt>
                <c:pt idx="41">
                  <c:v>4.2819000000000003</c:v>
                </c:pt>
                <c:pt idx="42">
                  <c:v>4.2764799999999994</c:v>
                </c:pt>
                <c:pt idx="43">
                  <c:v>4.2698999999999998</c:v>
                </c:pt>
                <c:pt idx="44">
                  <c:v>4.2620000000000005</c:v>
                </c:pt>
                <c:pt idx="45">
                  <c:v>4.2534200000000002</c:v>
                </c:pt>
                <c:pt idx="46">
                  <c:v>4.2463499999999996</c:v>
                </c:pt>
                <c:pt idx="47">
                  <c:v>4.2349100000000002</c:v>
                </c:pt>
                <c:pt idx="48">
                  <c:v>4.2235199999999997</c:v>
                </c:pt>
                <c:pt idx="49">
                  <c:v>4.2115799999999997</c:v>
                </c:pt>
                <c:pt idx="50">
                  <c:v>4.2027999999999999</c:v>
                </c:pt>
                <c:pt idx="51">
                  <c:v>4.1950700000000003</c:v>
                </c:pt>
                <c:pt idx="52">
                  <c:v>4.1906499999999998</c:v>
                </c:pt>
                <c:pt idx="53">
                  <c:v>4.1876600000000002</c:v>
                </c:pt>
                <c:pt idx="54">
                  <c:v>4.1866599999999998</c:v>
                </c:pt>
                <c:pt idx="55">
                  <c:v>4.18851</c:v>
                </c:pt>
                <c:pt idx="56">
                  <c:v>4.1863799999999998</c:v>
                </c:pt>
                <c:pt idx="57">
                  <c:v>4.18302</c:v>
                </c:pt>
                <c:pt idx="58">
                  <c:v>4.1780600000000003</c:v>
                </c:pt>
                <c:pt idx="59">
                  <c:v>4.1716100000000003</c:v>
                </c:pt>
                <c:pt idx="60">
                  <c:v>4.1675800000000001</c:v>
                </c:pt>
                <c:pt idx="61">
                  <c:v>4.1601300000000005</c:v>
                </c:pt>
                <c:pt idx="62">
                  <c:v>4.1547200000000002</c:v>
                </c:pt>
                <c:pt idx="63">
                  <c:v>4.1357699999999999</c:v>
                </c:pt>
                <c:pt idx="64">
                  <c:v>4.12385</c:v>
                </c:pt>
                <c:pt idx="65">
                  <c:v>4.1028599999999997</c:v>
                </c:pt>
                <c:pt idx="66">
                  <c:v>4.0802300000000002</c:v>
                </c:pt>
                <c:pt idx="67">
                  <c:v>4.05443</c:v>
                </c:pt>
                <c:pt idx="68">
                  <c:v>4.0192199999999998</c:v>
                </c:pt>
                <c:pt idx="69">
                  <c:v>3.9917899999999999</c:v>
                </c:pt>
                <c:pt idx="70">
                  <c:v>3.9734399999999996</c:v>
                </c:pt>
                <c:pt idx="71">
                  <c:v>3.9385300000000001</c:v>
                </c:pt>
                <c:pt idx="72">
                  <c:v>3.91384</c:v>
                </c:pt>
                <c:pt idx="73">
                  <c:v>3.8980999999999999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50.423099999999998</c:v>
                </c:pt>
                <c:pt idx="1">
                  <c:v>49.25</c:v>
                </c:pt>
                <c:pt idx="2">
                  <c:v>48.305799999999998</c:v>
                </c:pt>
                <c:pt idx="3">
                  <c:v>47.351999999999997</c:v>
                </c:pt>
                <c:pt idx="4">
                  <c:v>46.357900000000001</c:v>
                </c:pt>
                <c:pt idx="5">
                  <c:v>45.254199999999997</c:v>
                </c:pt>
                <c:pt idx="6">
                  <c:v>44.0486</c:v>
                </c:pt>
                <c:pt idx="7">
                  <c:v>42.879199999999997</c:v>
                </c:pt>
                <c:pt idx="8">
                  <c:v>41.768300000000004</c:v>
                </c:pt>
                <c:pt idx="9">
                  <c:v>40.760200000000005</c:v>
                </c:pt>
                <c:pt idx="10">
                  <c:v>39.915399999999998</c:v>
                </c:pt>
                <c:pt idx="11">
                  <c:v>39.162799999999997</c:v>
                </c:pt>
                <c:pt idx="12">
                  <c:v>38.589600000000004</c:v>
                </c:pt>
                <c:pt idx="13">
                  <c:v>38.172200000000004</c:v>
                </c:pt>
                <c:pt idx="14">
                  <c:v>37.798200000000001</c:v>
                </c:pt>
                <c:pt idx="15">
                  <c:v>37.533300000000004</c:v>
                </c:pt>
                <c:pt idx="16">
                  <c:v>37.51</c:v>
                </c:pt>
                <c:pt idx="17">
                  <c:v>37.543900000000001</c:v>
                </c:pt>
                <c:pt idx="18">
                  <c:v>37.623800000000003</c:v>
                </c:pt>
                <c:pt idx="19">
                  <c:v>37.783899999999996</c:v>
                </c:pt>
                <c:pt idx="20">
                  <c:v>37.967300000000002</c:v>
                </c:pt>
                <c:pt idx="21">
                  <c:v>38.281599999999997</c:v>
                </c:pt>
                <c:pt idx="22">
                  <c:v>38.5304</c:v>
                </c:pt>
                <c:pt idx="23">
                  <c:v>38.723700000000001</c:v>
                </c:pt>
                <c:pt idx="24">
                  <c:v>38.799700000000001</c:v>
                </c:pt>
                <c:pt idx="25">
                  <c:v>38.787199999999999</c:v>
                </c:pt>
                <c:pt idx="26">
                  <c:v>38.825900000000004</c:v>
                </c:pt>
                <c:pt idx="27">
                  <c:v>38.913699999999999</c:v>
                </c:pt>
                <c:pt idx="28">
                  <c:v>38.966799999999999</c:v>
                </c:pt>
                <c:pt idx="29">
                  <c:v>38.9268</c:v>
                </c:pt>
                <c:pt idx="30">
                  <c:v>38.904899999999998</c:v>
                </c:pt>
                <c:pt idx="31">
                  <c:v>38.845400000000005</c:v>
                </c:pt>
                <c:pt idx="32">
                  <c:v>38.7575</c:v>
                </c:pt>
                <c:pt idx="33">
                  <c:v>38.744199999999999</c:v>
                </c:pt>
                <c:pt idx="34">
                  <c:v>38.704100000000004</c:v>
                </c:pt>
                <c:pt idx="35">
                  <c:v>38.6952</c:v>
                </c:pt>
                <c:pt idx="36">
                  <c:v>38.712699999999998</c:v>
                </c:pt>
                <c:pt idx="37">
                  <c:v>38.738599999999998</c:v>
                </c:pt>
                <c:pt idx="38">
                  <c:v>38.823900000000002</c:v>
                </c:pt>
                <c:pt idx="39">
                  <c:v>38.9893</c:v>
                </c:pt>
                <c:pt idx="40">
                  <c:v>39.220300000000002</c:v>
                </c:pt>
                <c:pt idx="41">
                  <c:v>39.407199999999996</c:v>
                </c:pt>
                <c:pt idx="42">
                  <c:v>39.660000000000004</c:v>
                </c:pt>
                <c:pt idx="43">
                  <c:v>40.054299999999998</c:v>
                </c:pt>
                <c:pt idx="44">
                  <c:v>40.508800000000001</c:v>
                </c:pt>
                <c:pt idx="45">
                  <c:v>41.009700000000002</c:v>
                </c:pt>
                <c:pt idx="46">
                  <c:v>41.476500000000001</c:v>
                </c:pt>
                <c:pt idx="47">
                  <c:v>42.009700000000002</c:v>
                </c:pt>
                <c:pt idx="48">
                  <c:v>42.575499999999998</c:v>
                </c:pt>
                <c:pt idx="49">
                  <c:v>43.285000000000004</c:v>
                </c:pt>
                <c:pt idx="50">
                  <c:v>43.824300000000001</c:v>
                </c:pt>
                <c:pt idx="51">
                  <c:v>44.631700000000002</c:v>
                </c:pt>
                <c:pt idx="52">
                  <c:v>45.445999999999998</c:v>
                </c:pt>
                <c:pt idx="53">
                  <c:v>46.292999999999999</c:v>
                </c:pt>
                <c:pt idx="54">
                  <c:v>47.188200000000002</c:v>
                </c:pt>
                <c:pt idx="55">
                  <c:v>48.042099999999998</c:v>
                </c:pt>
                <c:pt idx="56">
                  <c:v>48.998599999999996</c:v>
                </c:pt>
                <c:pt idx="57">
                  <c:v>49.706099999999999</c:v>
                </c:pt>
                <c:pt idx="58">
                  <c:v>50.341299999999997</c:v>
                </c:pt>
                <c:pt idx="59">
                  <c:v>50.972399999999993</c:v>
                </c:pt>
                <c:pt idx="60">
                  <c:v>51.5169</c:v>
                </c:pt>
                <c:pt idx="61">
                  <c:v>52.014099999999999</c:v>
                </c:pt>
                <c:pt idx="62">
                  <c:v>52.523699999999998</c:v>
                </c:pt>
                <c:pt idx="63">
                  <c:v>52.974900000000005</c:v>
                </c:pt>
                <c:pt idx="64">
                  <c:v>53.436999999999998</c:v>
                </c:pt>
                <c:pt idx="65">
                  <c:v>53.849299999999999</c:v>
                </c:pt>
                <c:pt idx="66">
                  <c:v>54.241599999999998</c:v>
                </c:pt>
                <c:pt idx="67">
                  <c:v>54.624600000000001</c:v>
                </c:pt>
                <c:pt idx="68">
                  <c:v>54.783200000000001</c:v>
                </c:pt>
                <c:pt idx="69">
                  <c:v>54.878599999999999</c:v>
                </c:pt>
                <c:pt idx="70">
                  <c:v>54.980300000000007</c:v>
                </c:pt>
                <c:pt idx="71">
                  <c:v>54.897600000000004</c:v>
                </c:pt>
                <c:pt idx="72">
                  <c:v>54.845500000000001</c:v>
                </c:pt>
                <c:pt idx="73">
                  <c:v>54.804499999999997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3.8980999999999999</c:v>
                </c:pt>
                <c:pt idx="1">
                  <c:v>3.8706800000000001</c:v>
                </c:pt>
                <c:pt idx="2">
                  <c:v>3.8339099999999999</c:v>
                </c:pt>
                <c:pt idx="3">
                  <c:v>3.8010699999999997</c:v>
                </c:pt>
                <c:pt idx="4">
                  <c:v>3.7654300000000003</c:v>
                </c:pt>
                <c:pt idx="5">
                  <c:v>3.7265100000000002</c:v>
                </c:pt>
                <c:pt idx="6">
                  <c:v>3.6872400000000001</c:v>
                </c:pt>
                <c:pt idx="7">
                  <c:v>3.6507299999999998</c:v>
                </c:pt>
                <c:pt idx="8">
                  <c:v>3.6208400000000003</c:v>
                </c:pt>
                <c:pt idx="9">
                  <c:v>3.5939199999999998</c:v>
                </c:pt>
                <c:pt idx="10">
                  <c:v>3.5690200000000001</c:v>
                </c:pt>
                <c:pt idx="11">
                  <c:v>3.5471000000000004</c:v>
                </c:pt>
                <c:pt idx="12">
                  <c:v>3.5251600000000001</c:v>
                </c:pt>
                <c:pt idx="13">
                  <c:v>3.5036399999999999</c:v>
                </c:pt>
                <c:pt idx="14">
                  <c:v>3.4835500000000001</c:v>
                </c:pt>
                <c:pt idx="15">
                  <c:v>3.4694099999999999</c:v>
                </c:pt>
                <c:pt idx="16">
                  <c:v>3.46055</c:v>
                </c:pt>
                <c:pt idx="17">
                  <c:v>3.4539599999999999</c:v>
                </c:pt>
                <c:pt idx="18">
                  <c:v>3.4515200000000004</c:v>
                </c:pt>
                <c:pt idx="19">
                  <c:v>3.4515800000000003</c:v>
                </c:pt>
                <c:pt idx="20">
                  <c:v>3.4548399999999999</c:v>
                </c:pt>
                <c:pt idx="21">
                  <c:v>3.4632299999999998</c:v>
                </c:pt>
                <c:pt idx="22">
                  <c:v>3.47546</c:v>
                </c:pt>
                <c:pt idx="23">
                  <c:v>3.4932400000000001</c:v>
                </c:pt>
                <c:pt idx="24">
                  <c:v>3.5165600000000001</c:v>
                </c:pt>
                <c:pt idx="25">
                  <c:v>3.5428999999999999</c:v>
                </c:pt>
                <c:pt idx="26">
                  <c:v>3.5715999999999997</c:v>
                </c:pt>
                <c:pt idx="27">
                  <c:v>3.59707</c:v>
                </c:pt>
                <c:pt idx="28">
                  <c:v>3.6274800000000003</c:v>
                </c:pt>
                <c:pt idx="29">
                  <c:v>3.65801</c:v>
                </c:pt>
                <c:pt idx="30">
                  <c:v>3.6901800000000002</c:v>
                </c:pt>
                <c:pt idx="31">
                  <c:v>3.7215799999999999</c:v>
                </c:pt>
                <c:pt idx="32">
                  <c:v>3.7494399999999999</c:v>
                </c:pt>
                <c:pt idx="33">
                  <c:v>3.7752799999999995</c:v>
                </c:pt>
                <c:pt idx="34">
                  <c:v>3.8001299999999998</c:v>
                </c:pt>
                <c:pt idx="35">
                  <c:v>3.8257300000000001</c:v>
                </c:pt>
                <c:pt idx="36">
                  <c:v>3.8525499999999999</c:v>
                </c:pt>
                <c:pt idx="37">
                  <c:v>3.8788200000000002</c:v>
                </c:pt>
                <c:pt idx="38">
                  <c:v>3.9038599999999999</c:v>
                </c:pt>
                <c:pt idx="39">
                  <c:v>3.9280500000000003</c:v>
                </c:pt>
                <c:pt idx="40">
                  <c:v>3.9516600000000004</c:v>
                </c:pt>
                <c:pt idx="41">
                  <c:v>3.9727800000000002</c:v>
                </c:pt>
                <c:pt idx="42">
                  <c:v>3.9944500000000001</c:v>
                </c:pt>
                <c:pt idx="43">
                  <c:v>4.0188800000000002</c:v>
                </c:pt>
                <c:pt idx="44">
                  <c:v>4.0408400000000002</c:v>
                </c:pt>
                <c:pt idx="45">
                  <c:v>4.0602999999999998</c:v>
                </c:pt>
                <c:pt idx="46">
                  <c:v>4.0774600000000003</c:v>
                </c:pt>
                <c:pt idx="47">
                  <c:v>4.0913199999999996</c:v>
                </c:pt>
                <c:pt idx="48">
                  <c:v>4.10337</c:v>
                </c:pt>
                <c:pt idx="49">
                  <c:v>4.1110799999999994</c:v>
                </c:pt>
                <c:pt idx="50">
                  <c:v>4.1154999999999999</c:v>
                </c:pt>
                <c:pt idx="51">
                  <c:v>4.1185600000000004</c:v>
                </c:pt>
                <c:pt idx="52">
                  <c:v>4.1246700000000001</c:v>
                </c:pt>
                <c:pt idx="53">
                  <c:v>4.1287099999999999</c:v>
                </c:pt>
                <c:pt idx="54">
                  <c:v>4.1345399999999994</c:v>
                </c:pt>
                <c:pt idx="55">
                  <c:v>4.1407699999999998</c:v>
                </c:pt>
                <c:pt idx="56">
                  <c:v>4.1477199999999996</c:v>
                </c:pt>
                <c:pt idx="57">
                  <c:v>4.1576599999999999</c:v>
                </c:pt>
                <c:pt idx="58">
                  <c:v>4.1672199999999995</c:v>
                </c:pt>
                <c:pt idx="59">
                  <c:v>4.1791900000000002</c:v>
                </c:pt>
                <c:pt idx="60">
                  <c:v>4.1914899999999999</c:v>
                </c:pt>
                <c:pt idx="61">
                  <c:v>4.2017500000000005</c:v>
                </c:pt>
                <c:pt idx="62">
                  <c:v>4.2129099999999999</c:v>
                </c:pt>
                <c:pt idx="63">
                  <c:v>4.2268299999999996</c:v>
                </c:pt>
                <c:pt idx="64">
                  <c:v>4.2387200000000007</c:v>
                </c:pt>
                <c:pt idx="65">
                  <c:v>4.2466699999999999</c:v>
                </c:pt>
                <c:pt idx="66">
                  <c:v>4.2521700000000004</c:v>
                </c:pt>
                <c:pt idx="67">
                  <c:v>4.2538599999999995</c:v>
                </c:pt>
                <c:pt idx="68">
                  <c:v>4.2449399999999997</c:v>
                </c:pt>
                <c:pt idx="69">
                  <c:v>4.24444</c:v>
                </c:pt>
                <c:pt idx="70">
                  <c:v>4.2507799999999998</c:v>
                </c:pt>
                <c:pt idx="71">
                  <c:v>4.2572399999999995</c:v>
                </c:pt>
                <c:pt idx="72">
                  <c:v>4.2705399999999996</c:v>
                </c:pt>
                <c:pt idx="73">
                  <c:v>4.2662399999999998</c:v>
                </c:pt>
                <c:pt idx="74">
                  <c:v>4.2834099999999999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54.804499999999997</c:v>
                </c:pt>
                <c:pt idx="1">
                  <c:v>54.631399999999999</c:v>
                </c:pt>
                <c:pt idx="2">
                  <c:v>54.487900000000003</c:v>
                </c:pt>
                <c:pt idx="3">
                  <c:v>54.414900000000003</c:v>
                </c:pt>
                <c:pt idx="4">
                  <c:v>54.340999999999994</c:v>
                </c:pt>
                <c:pt idx="5">
                  <c:v>54.306600000000003</c:v>
                </c:pt>
                <c:pt idx="6">
                  <c:v>54.347299999999997</c:v>
                </c:pt>
                <c:pt idx="7">
                  <c:v>54.431399999999996</c:v>
                </c:pt>
                <c:pt idx="8">
                  <c:v>54.541700000000006</c:v>
                </c:pt>
                <c:pt idx="9">
                  <c:v>54.645200000000003</c:v>
                </c:pt>
                <c:pt idx="10">
                  <c:v>54.729099999999995</c:v>
                </c:pt>
                <c:pt idx="11">
                  <c:v>54.795700000000004</c:v>
                </c:pt>
                <c:pt idx="12">
                  <c:v>54.919899999999998</c:v>
                </c:pt>
                <c:pt idx="13">
                  <c:v>55.121900000000004</c:v>
                </c:pt>
                <c:pt idx="14">
                  <c:v>55.460900000000002</c:v>
                </c:pt>
                <c:pt idx="15">
                  <c:v>55.720499999999994</c:v>
                </c:pt>
                <c:pt idx="16">
                  <c:v>55.889800000000001</c:v>
                </c:pt>
                <c:pt idx="17">
                  <c:v>56.0107</c:v>
                </c:pt>
                <c:pt idx="18">
                  <c:v>56.101299999999995</c:v>
                </c:pt>
                <c:pt idx="19">
                  <c:v>56.120599999999996</c:v>
                </c:pt>
                <c:pt idx="20">
                  <c:v>56.058900000000001</c:v>
                </c:pt>
                <c:pt idx="21">
                  <c:v>55.8889</c:v>
                </c:pt>
                <c:pt idx="22">
                  <c:v>55.623999999999995</c:v>
                </c:pt>
                <c:pt idx="23">
                  <c:v>55.215199999999996</c:v>
                </c:pt>
                <c:pt idx="24">
                  <c:v>54.6175</c:v>
                </c:pt>
                <c:pt idx="25">
                  <c:v>53.971699999999998</c:v>
                </c:pt>
                <c:pt idx="26">
                  <c:v>53.360399999999998</c:v>
                </c:pt>
                <c:pt idx="27">
                  <c:v>52.877799999999993</c:v>
                </c:pt>
                <c:pt idx="28">
                  <c:v>52.388199999999998</c:v>
                </c:pt>
                <c:pt idx="29">
                  <c:v>51.951599999999999</c:v>
                </c:pt>
                <c:pt idx="30">
                  <c:v>51.563400000000001</c:v>
                </c:pt>
                <c:pt idx="31">
                  <c:v>51.1556</c:v>
                </c:pt>
                <c:pt idx="32">
                  <c:v>50.8371</c:v>
                </c:pt>
                <c:pt idx="33">
                  <c:v>50.448300000000003</c:v>
                </c:pt>
                <c:pt idx="34">
                  <c:v>50.071899999999999</c:v>
                </c:pt>
                <c:pt idx="35">
                  <c:v>49.676500000000004</c:v>
                </c:pt>
                <c:pt idx="36">
                  <c:v>49.225099999999998</c:v>
                </c:pt>
                <c:pt idx="37">
                  <c:v>48.695699999999995</c:v>
                </c:pt>
                <c:pt idx="38">
                  <c:v>48.225299999999997</c:v>
                </c:pt>
                <c:pt idx="39">
                  <c:v>47.690300000000001</c:v>
                </c:pt>
                <c:pt idx="40">
                  <c:v>47.045700000000004</c:v>
                </c:pt>
                <c:pt idx="41">
                  <c:v>46.357599999999998</c:v>
                </c:pt>
                <c:pt idx="42">
                  <c:v>45.650800000000004</c:v>
                </c:pt>
                <c:pt idx="43">
                  <c:v>44.832599999999999</c:v>
                </c:pt>
                <c:pt idx="44">
                  <c:v>44.126599999999996</c:v>
                </c:pt>
                <c:pt idx="45">
                  <c:v>43.473099999999995</c:v>
                </c:pt>
                <c:pt idx="46">
                  <c:v>42.8337</c:v>
                </c:pt>
                <c:pt idx="47">
                  <c:v>42.164499999999997</c:v>
                </c:pt>
                <c:pt idx="48">
                  <c:v>41.6126</c:v>
                </c:pt>
                <c:pt idx="49">
                  <c:v>41.065300000000001</c:v>
                </c:pt>
                <c:pt idx="50">
                  <c:v>40.640300000000003</c:v>
                </c:pt>
                <c:pt idx="51">
                  <c:v>40.3093</c:v>
                </c:pt>
                <c:pt idx="52">
                  <c:v>39.9208</c:v>
                </c:pt>
                <c:pt idx="53">
                  <c:v>39.477000000000004</c:v>
                </c:pt>
                <c:pt idx="54">
                  <c:v>39.066400000000002</c:v>
                </c:pt>
                <c:pt idx="55">
                  <c:v>38.664100000000005</c:v>
                </c:pt>
                <c:pt idx="56">
                  <c:v>38.283299999999997</c:v>
                </c:pt>
                <c:pt idx="57">
                  <c:v>37.866799999999998</c:v>
                </c:pt>
                <c:pt idx="58">
                  <c:v>37.452300000000001</c:v>
                </c:pt>
                <c:pt idx="59">
                  <c:v>37.0642</c:v>
                </c:pt>
                <c:pt idx="60">
                  <c:v>36.710900000000002</c:v>
                </c:pt>
                <c:pt idx="61">
                  <c:v>36.379800000000003</c:v>
                </c:pt>
                <c:pt idx="62">
                  <c:v>36.169699999999999</c:v>
                </c:pt>
                <c:pt idx="63">
                  <c:v>35.932600000000001</c:v>
                </c:pt>
                <c:pt idx="64">
                  <c:v>35.661100000000005</c:v>
                </c:pt>
                <c:pt idx="65">
                  <c:v>35.429500000000004</c:v>
                </c:pt>
                <c:pt idx="66">
                  <c:v>35.229300000000002</c:v>
                </c:pt>
                <c:pt idx="67">
                  <c:v>35.105599999999995</c:v>
                </c:pt>
                <c:pt idx="68">
                  <c:v>35.124699999999997</c:v>
                </c:pt>
                <c:pt idx="69">
                  <c:v>35.054699999999997</c:v>
                </c:pt>
                <c:pt idx="70">
                  <c:v>34.984099999999998</c:v>
                </c:pt>
                <c:pt idx="71">
                  <c:v>34.856099999999998</c:v>
                </c:pt>
                <c:pt idx="72">
                  <c:v>35.119499999999995</c:v>
                </c:pt>
                <c:pt idx="73">
                  <c:v>34.544499999999999</c:v>
                </c:pt>
                <c:pt idx="74">
                  <c:v>33.915800000000004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3.9431236486486494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43.941808108108084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3.8847364864864851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46.522785135135116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3.8847364864864851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46.522785135135116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0.1611110110918694</c:v>
                </c:pt>
                <c:pt idx="1">
                  <c:v>0.36547824464941281</c:v>
                </c:pt>
                <c:pt idx="2">
                  <c:v>0.47341074425871776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0.401835</c:v>
                </c:pt>
                <c:pt idx="2">
                  <c:v>0.80713999999999997</c:v>
                </c:pt>
                <c:pt idx="3">
                  <c:v>1.21139</c:v>
                </c:pt>
                <c:pt idx="4">
                  <c:v>1.6203799999999999</c:v>
                </c:pt>
                <c:pt idx="5">
                  <c:v>2.0281099999999999</c:v>
                </c:pt>
                <c:pt idx="6">
                  <c:v>2.4335</c:v>
                </c:pt>
                <c:pt idx="7">
                  <c:v>2.8397000000000001</c:v>
                </c:pt>
                <c:pt idx="8">
                  <c:v>3.2453599999999998</c:v>
                </c:pt>
                <c:pt idx="9">
                  <c:v>3.65211</c:v>
                </c:pt>
                <c:pt idx="10">
                  <c:v>4.0586599999999997</c:v>
                </c:pt>
                <c:pt idx="11">
                  <c:v>4.4659899999999997</c:v>
                </c:pt>
                <c:pt idx="12">
                  <c:v>4.8683500000000004</c:v>
                </c:pt>
                <c:pt idx="13">
                  <c:v>5.2759200000000002</c:v>
                </c:pt>
                <c:pt idx="14">
                  <c:v>5.6814799999999996</c:v>
                </c:pt>
                <c:pt idx="15">
                  <c:v>6.0917700000000004</c:v>
                </c:pt>
                <c:pt idx="16">
                  <c:v>6.4970600000000003</c:v>
                </c:pt>
                <c:pt idx="17">
                  <c:v>6.9047799999999997</c:v>
                </c:pt>
                <c:pt idx="18">
                  <c:v>7.3063200000000004</c:v>
                </c:pt>
                <c:pt idx="19">
                  <c:v>7.7128399999999999</c:v>
                </c:pt>
                <c:pt idx="20">
                  <c:v>8.1222100000000008</c:v>
                </c:pt>
                <c:pt idx="21">
                  <c:v>8.5308899999999994</c:v>
                </c:pt>
                <c:pt idx="22">
                  <c:v>8.9328299999999992</c:v>
                </c:pt>
                <c:pt idx="23">
                  <c:v>9.3407499999999999</c:v>
                </c:pt>
                <c:pt idx="24">
                  <c:v>9.7481100000000005</c:v>
                </c:pt>
                <c:pt idx="25">
                  <c:v>10.151400000000001</c:v>
                </c:pt>
                <c:pt idx="26">
                  <c:v>10.5587</c:v>
                </c:pt>
                <c:pt idx="27">
                  <c:v>10.964399999999999</c:v>
                </c:pt>
                <c:pt idx="28">
                  <c:v>11.373100000000001</c:v>
                </c:pt>
                <c:pt idx="29">
                  <c:v>11.777900000000001</c:v>
                </c:pt>
                <c:pt idx="30">
                  <c:v>12.1836</c:v>
                </c:pt>
                <c:pt idx="31">
                  <c:v>12.588200000000001</c:v>
                </c:pt>
                <c:pt idx="32">
                  <c:v>12.9985</c:v>
                </c:pt>
                <c:pt idx="33">
                  <c:v>13.4026</c:v>
                </c:pt>
                <c:pt idx="34">
                  <c:v>13.8096</c:v>
                </c:pt>
                <c:pt idx="35">
                  <c:v>14.2142</c:v>
                </c:pt>
                <c:pt idx="36">
                  <c:v>14.618600000000001</c:v>
                </c:pt>
                <c:pt idx="37">
                  <c:v>15.0236</c:v>
                </c:pt>
                <c:pt idx="38">
                  <c:v>15.435</c:v>
                </c:pt>
                <c:pt idx="39">
                  <c:v>15.839499999999999</c:v>
                </c:pt>
                <c:pt idx="40">
                  <c:v>16.2453</c:v>
                </c:pt>
                <c:pt idx="41">
                  <c:v>16.649100000000001</c:v>
                </c:pt>
                <c:pt idx="42">
                  <c:v>17.054200000000002</c:v>
                </c:pt>
                <c:pt idx="43">
                  <c:v>17.464400000000001</c:v>
                </c:pt>
                <c:pt idx="44">
                  <c:v>17.8703</c:v>
                </c:pt>
                <c:pt idx="45">
                  <c:v>18.279900000000001</c:v>
                </c:pt>
                <c:pt idx="46">
                  <c:v>18.680700000000002</c:v>
                </c:pt>
                <c:pt idx="47">
                  <c:v>19.088999999999999</c:v>
                </c:pt>
                <c:pt idx="48">
                  <c:v>19.495799999999999</c:v>
                </c:pt>
                <c:pt idx="49">
                  <c:v>19.904900000000001</c:v>
                </c:pt>
                <c:pt idx="50">
                  <c:v>20.306000000000001</c:v>
                </c:pt>
                <c:pt idx="51">
                  <c:v>20.712800000000001</c:v>
                </c:pt>
                <c:pt idx="52">
                  <c:v>21.118300000000001</c:v>
                </c:pt>
                <c:pt idx="53">
                  <c:v>21.527000000000001</c:v>
                </c:pt>
                <c:pt idx="54">
                  <c:v>21.9313</c:v>
                </c:pt>
                <c:pt idx="55">
                  <c:v>22.338999999999999</c:v>
                </c:pt>
                <c:pt idx="56">
                  <c:v>22.745699999999999</c:v>
                </c:pt>
                <c:pt idx="57">
                  <c:v>23.151199999999999</c:v>
                </c:pt>
                <c:pt idx="58">
                  <c:v>23.561599999999999</c:v>
                </c:pt>
                <c:pt idx="59">
                  <c:v>23.965699999999998</c:v>
                </c:pt>
                <c:pt idx="60">
                  <c:v>24.369199999999999</c:v>
                </c:pt>
                <c:pt idx="61">
                  <c:v>24.775700000000001</c:v>
                </c:pt>
                <c:pt idx="62">
                  <c:v>25.182099999999998</c:v>
                </c:pt>
                <c:pt idx="63">
                  <c:v>25.588200000000001</c:v>
                </c:pt>
                <c:pt idx="64">
                  <c:v>25.993500000000001</c:v>
                </c:pt>
                <c:pt idx="65">
                  <c:v>26.401</c:v>
                </c:pt>
                <c:pt idx="66">
                  <c:v>26.804200000000002</c:v>
                </c:pt>
                <c:pt idx="67">
                  <c:v>27.213999999999999</c:v>
                </c:pt>
                <c:pt idx="68">
                  <c:v>27.623699999999999</c:v>
                </c:pt>
                <c:pt idx="69">
                  <c:v>28.026199999999999</c:v>
                </c:pt>
                <c:pt idx="70">
                  <c:v>28.431999999999999</c:v>
                </c:pt>
                <c:pt idx="71">
                  <c:v>28.840800000000002</c:v>
                </c:pt>
                <c:pt idx="72">
                  <c:v>29.2485</c:v>
                </c:pt>
                <c:pt idx="73">
                  <c:v>29.652899999999999</c:v>
                </c:pt>
                <c:pt idx="74">
                  <c:v>30.055499999999999</c:v>
                </c:pt>
                <c:pt idx="75">
                  <c:v>30.570900000000002</c:v>
                </c:pt>
                <c:pt idx="76">
                  <c:v>30.947199999999999</c:v>
                </c:pt>
                <c:pt idx="77">
                  <c:v>31.340299999999999</c:v>
                </c:pt>
                <c:pt idx="78">
                  <c:v>31.744499999999999</c:v>
                </c:pt>
                <c:pt idx="79">
                  <c:v>32.133800000000001</c:v>
                </c:pt>
                <c:pt idx="80">
                  <c:v>32.543399999999998</c:v>
                </c:pt>
                <c:pt idx="81">
                  <c:v>32.953099999999999</c:v>
                </c:pt>
                <c:pt idx="82">
                  <c:v>33.353700000000003</c:v>
                </c:pt>
                <c:pt idx="83">
                  <c:v>33.7592</c:v>
                </c:pt>
                <c:pt idx="84">
                  <c:v>34.165799999999997</c:v>
                </c:pt>
                <c:pt idx="85">
                  <c:v>34.573999999999998</c:v>
                </c:pt>
                <c:pt idx="86">
                  <c:v>34.979700000000001</c:v>
                </c:pt>
                <c:pt idx="87">
                  <c:v>35.3857</c:v>
                </c:pt>
                <c:pt idx="88">
                  <c:v>35.790399999999998</c:v>
                </c:pt>
                <c:pt idx="89">
                  <c:v>36.200400000000002</c:v>
                </c:pt>
                <c:pt idx="90">
                  <c:v>36.604100000000003</c:v>
                </c:pt>
                <c:pt idx="91">
                  <c:v>37.011600000000001</c:v>
                </c:pt>
                <c:pt idx="92">
                  <c:v>37.414700000000003</c:v>
                </c:pt>
                <c:pt idx="93">
                  <c:v>37.821599999999997</c:v>
                </c:pt>
                <c:pt idx="94">
                  <c:v>38.231200000000001</c:v>
                </c:pt>
                <c:pt idx="95">
                  <c:v>38.637599999999999</c:v>
                </c:pt>
                <c:pt idx="96">
                  <c:v>39.043199999999999</c:v>
                </c:pt>
                <c:pt idx="97">
                  <c:v>39.447899999999997</c:v>
                </c:pt>
                <c:pt idx="98">
                  <c:v>39.854500000000002</c:v>
                </c:pt>
                <c:pt idx="99">
                  <c:v>40.262</c:v>
                </c:pt>
                <c:pt idx="100">
                  <c:v>40.667700000000004</c:v>
                </c:pt>
                <c:pt idx="101">
                  <c:v>41.073999999999998</c:v>
                </c:pt>
                <c:pt idx="102">
                  <c:v>41.480400000000003</c:v>
                </c:pt>
                <c:pt idx="103">
                  <c:v>41.883600000000001</c:v>
                </c:pt>
                <c:pt idx="104">
                  <c:v>42.2926</c:v>
                </c:pt>
                <c:pt idx="105">
                  <c:v>42.701099999999997</c:v>
                </c:pt>
                <c:pt idx="106">
                  <c:v>43.104799999999997</c:v>
                </c:pt>
                <c:pt idx="107">
                  <c:v>43.509500000000003</c:v>
                </c:pt>
                <c:pt idx="108">
                  <c:v>43.915199999999999</c:v>
                </c:pt>
                <c:pt idx="109">
                  <c:v>44.323399999999999</c:v>
                </c:pt>
                <c:pt idx="110">
                  <c:v>44.729199999999999</c:v>
                </c:pt>
                <c:pt idx="111">
                  <c:v>45.133899999999997</c:v>
                </c:pt>
                <c:pt idx="112">
                  <c:v>45.5426</c:v>
                </c:pt>
                <c:pt idx="113">
                  <c:v>45.9512</c:v>
                </c:pt>
                <c:pt idx="114">
                  <c:v>46.354199999999999</c:v>
                </c:pt>
                <c:pt idx="115">
                  <c:v>46.760399999999997</c:v>
                </c:pt>
                <c:pt idx="116">
                  <c:v>47.166400000000003</c:v>
                </c:pt>
                <c:pt idx="117">
                  <c:v>47.572299999999998</c:v>
                </c:pt>
                <c:pt idx="118">
                  <c:v>47.978299999999997</c:v>
                </c:pt>
                <c:pt idx="119">
                  <c:v>48.383800000000001</c:v>
                </c:pt>
                <c:pt idx="120">
                  <c:v>48.792099999999998</c:v>
                </c:pt>
                <c:pt idx="121">
                  <c:v>49.198300000000003</c:v>
                </c:pt>
                <c:pt idx="122">
                  <c:v>49.604199999999999</c:v>
                </c:pt>
                <c:pt idx="123">
                  <c:v>50.012799999999999</c:v>
                </c:pt>
                <c:pt idx="124">
                  <c:v>50.417099999999998</c:v>
                </c:pt>
                <c:pt idx="125">
                  <c:v>50.8232</c:v>
                </c:pt>
                <c:pt idx="126">
                  <c:v>51.230499999999999</c:v>
                </c:pt>
                <c:pt idx="127">
                  <c:v>51.636099999999999</c:v>
                </c:pt>
                <c:pt idx="128">
                  <c:v>52.039499999999997</c:v>
                </c:pt>
                <c:pt idx="129">
                  <c:v>52.449599999999997</c:v>
                </c:pt>
                <c:pt idx="130">
                  <c:v>52.854700000000001</c:v>
                </c:pt>
                <c:pt idx="131">
                  <c:v>53.259900000000002</c:v>
                </c:pt>
                <c:pt idx="132">
                  <c:v>53.666800000000002</c:v>
                </c:pt>
                <c:pt idx="133">
                  <c:v>54.075000000000003</c:v>
                </c:pt>
                <c:pt idx="134">
                  <c:v>54.479900000000001</c:v>
                </c:pt>
                <c:pt idx="135">
                  <c:v>54.885899999999999</c:v>
                </c:pt>
                <c:pt idx="136">
                  <c:v>55.290100000000002</c:v>
                </c:pt>
                <c:pt idx="137">
                  <c:v>55.698</c:v>
                </c:pt>
                <c:pt idx="138">
                  <c:v>56.105899999999998</c:v>
                </c:pt>
                <c:pt idx="139">
                  <c:v>56.512099999999997</c:v>
                </c:pt>
                <c:pt idx="140">
                  <c:v>56.915500000000002</c:v>
                </c:pt>
                <c:pt idx="141">
                  <c:v>57.321100000000001</c:v>
                </c:pt>
                <c:pt idx="142">
                  <c:v>57.7333</c:v>
                </c:pt>
                <c:pt idx="143">
                  <c:v>58.138100000000001</c:v>
                </c:pt>
                <c:pt idx="144">
                  <c:v>58.546799999999998</c:v>
                </c:pt>
                <c:pt idx="145">
                  <c:v>58.947699999999998</c:v>
                </c:pt>
                <c:pt idx="146">
                  <c:v>59.355499999999999</c:v>
                </c:pt>
                <c:pt idx="147">
                  <c:v>59.763500000000001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2.4210799999999999</c:v>
                </c:pt>
                <c:pt idx="1">
                  <c:v>2.5201000000000002</c:v>
                </c:pt>
                <c:pt idx="2">
                  <c:v>2.6155600000000003</c:v>
                </c:pt>
                <c:pt idx="3">
                  <c:v>2.70397</c:v>
                </c:pt>
                <c:pt idx="4">
                  <c:v>2.7926699999999998</c:v>
                </c:pt>
                <c:pt idx="5">
                  <c:v>2.8790300000000002</c:v>
                </c:pt>
                <c:pt idx="6">
                  <c:v>2.96502</c:v>
                </c:pt>
                <c:pt idx="7">
                  <c:v>3.05186</c:v>
                </c:pt>
                <c:pt idx="8">
                  <c:v>3.1390699999999998</c:v>
                </c:pt>
                <c:pt idx="9">
                  <c:v>3.2272499999999997</c:v>
                </c:pt>
                <c:pt idx="10">
                  <c:v>3.31454</c:v>
                </c:pt>
                <c:pt idx="11">
                  <c:v>3.4000999999999997</c:v>
                </c:pt>
                <c:pt idx="12">
                  <c:v>3.4847399999999999</c:v>
                </c:pt>
                <c:pt idx="13">
                  <c:v>3.5672300000000003</c:v>
                </c:pt>
                <c:pt idx="14">
                  <c:v>3.6494500000000003</c:v>
                </c:pt>
                <c:pt idx="15">
                  <c:v>3.7295299999999996</c:v>
                </c:pt>
                <c:pt idx="16">
                  <c:v>3.8040000000000003</c:v>
                </c:pt>
                <c:pt idx="17">
                  <c:v>3.8729799999999996</c:v>
                </c:pt>
                <c:pt idx="18">
                  <c:v>3.9380799999999998</c:v>
                </c:pt>
                <c:pt idx="19">
                  <c:v>3.9978699999999998</c:v>
                </c:pt>
                <c:pt idx="20">
                  <c:v>4.0521200000000004</c:v>
                </c:pt>
                <c:pt idx="21">
                  <c:v>4.1008499999999994</c:v>
                </c:pt>
                <c:pt idx="22">
                  <c:v>4.1477700000000004</c:v>
                </c:pt>
                <c:pt idx="23">
                  <c:v>4.1885300000000001</c:v>
                </c:pt>
                <c:pt idx="24">
                  <c:v>4.2259600000000006</c:v>
                </c:pt>
                <c:pt idx="25">
                  <c:v>4.25786</c:v>
                </c:pt>
                <c:pt idx="26">
                  <c:v>4.2867600000000001</c:v>
                </c:pt>
                <c:pt idx="27">
                  <c:v>4.3118400000000001</c:v>
                </c:pt>
                <c:pt idx="28">
                  <c:v>4.3340499999999995</c:v>
                </c:pt>
                <c:pt idx="29">
                  <c:v>4.34999</c:v>
                </c:pt>
                <c:pt idx="30">
                  <c:v>4.3580999999999994</c:v>
                </c:pt>
                <c:pt idx="31">
                  <c:v>4.3578099999999997</c:v>
                </c:pt>
                <c:pt idx="32">
                  <c:v>4.3541800000000004</c:v>
                </c:pt>
                <c:pt idx="33">
                  <c:v>4.3488500000000005</c:v>
                </c:pt>
                <c:pt idx="34">
                  <c:v>4.34131</c:v>
                </c:pt>
                <c:pt idx="35">
                  <c:v>4.3304200000000002</c:v>
                </c:pt>
                <c:pt idx="36">
                  <c:v>4.32097</c:v>
                </c:pt>
                <c:pt idx="37">
                  <c:v>4.3128899999999994</c:v>
                </c:pt>
                <c:pt idx="38">
                  <c:v>4.3056100000000006</c:v>
                </c:pt>
                <c:pt idx="39">
                  <c:v>4.29711</c:v>
                </c:pt>
                <c:pt idx="40">
                  <c:v>4.2890699999999997</c:v>
                </c:pt>
                <c:pt idx="41">
                  <c:v>4.2819000000000003</c:v>
                </c:pt>
                <c:pt idx="42">
                  <c:v>4.2764799999999994</c:v>
                </c:pt>
                <c:pt idx="43">
                  <c:v>4.2698999999999998</c:v>
                </c:pt>
                <c:pt idx="44">
                  <c:v>4.2620000000000005</c:v>
                </c:pt>
                <c:pt idx="45">
                  <c:v>4.2534200000000002</c:v>
                </c:pt>
                <c:pt idx="46">
                  <c:v>4.2463499999999996</c:v>
                </c:pt>
                <c:pt idx="47">
                  <c:v>4.2349100000000002</c:v>
                </c:pt>
                <c:pt idx="48">
                  <c:v>4.2235199999999997</c:v>
                </c:pt>
                <c:pt idx="49">
                  <c:v>4.2115799999999997</c:v>
                </c:pt>
                <c:pt idx="50">
                  <c:v>4.2027999999999999</c:v>
                </c:pt>
                <c:pt idx="51">
                  <c:v>4.1950700000000003</c:v>
                </c:pt>
                <c:pt idx="52">
                  <c:v>4.1906499999999998</c:v>
                </c:pt>
                <c:pt idx="53">
                  <c:v>4.1876600000000002</c:v>
                </c:pt>
                <c:pt idx="54">
                  <c:v>4.1866599999999998</c:v>
                </c:pt>
                <c:pt idx="55">
                  <c:v>4.18851</c:v>
                </c:pt>
                <c:pt idx="56">
                  <c:v>4.1863799999999998</c:v>
                </c:pt>
                <c:pt idx="57">
                  <c:v>4.18302</c:v>
                </c:pt>
                <c:pt idx="58">
                  <c:v>4.1780600000000003</c:v>
                </c:pt>
                <c:pt idx="59">
                  <c:v>4.1716100000000003</c:v>
                </c:pt>
                <c:pt idx="60">
                  <c:v>4.1675800000000001</c:v>
                </c:pt>
                <c:pt idx="61">
                  <c:v>4.1601300000000005</c:v>
                </c:pt>
                <c:pt idx="62">
                  <c:v>4.1547200000000002</c:v>
                </c:pt>
                <c:pt idx="63">
                  <c:v>4.1357699999999999</c:v>
                </c:pt>
                <c:pt idx="64">
                  <c:v>4.12385</c:v>
                </c:pt>
                <c:pt idx="65">
                  <c:v>4.1028599999999997</c:v>
                </c:pt>
                <c:pt idx="66">
                  <c:v>4.0802300000000002</c:v>
                </c:pt>
                <c:pt idx="67">
                  <c:v>4.05443</c:v>
                </c:pt>
                <c:pt idx="68">
                  <c:v>4.0192199999999998</c:v>
                </c:pt>
                <c:pt idx="69">
                  <c:v>3.9917899999999999</c:v>
                </c:pt>
                <c:pt idx="70">
                  <c:v>3.9734399999999996</c:v>
                </c:pt>
                <c:pt idx="71">
                  <c:v>3.9385300000000001</c:v>
                </c:pt>
                <c:pt idx="72">
                  <c:v>3.91384</c:v>
                </c:pt>
                <c:pt idx="73">
                  <c:v>3.8980999999999999</c:v>
                </c:pt>
                <c:pt idx="74">
                  <c:v>3.8706800000000001</c:v>
                </c:pt>
                <c:pt idx="75">
                  <c:v>3.8339099999999999</c:v>
                </c:pt>
                <c:pt idx="76">
                  <c:v>3.8010699999999997</c:v>
                </c:pt>
                <c:pt idx="77">
                  <c:v>3.7654300000000003</c:v>
                </c:pt>
                <c:pt idx="78">
                  <c:v>3.7265100000000002</c:v>
                </c:pt>
                <c:pt idx="79">
                  <c:v>3.6872400000000001</c:v>
                </c:pt>
                <c:pt idx="80">
                  <c:v>3.6507299999999998</c:v>
                </c:pt>
                <c:pt idx="81">
                  <c:v>3.6208400000000003</c:v>
                </c:pt>
                <c:pt idx="82">
                  <c:v>3.5939199999999998</c:v>
                </c:pt>
                <c:pt idx="83">
                  <c:v>3.5690200000000001</c:v>
                </c:pt>
                <c:pt idx="84">
                  <c:v>3.5471000000000004</c:v>
                </c:pt>
                <c:pt idx="85">
                  <c:v>3.5251600000000001</c:v>
                </c:pt>
                <c:pt idx="86">
                  <c:v>3.5036399999999999</c:v>
                </c:pt>
                <c:pt idx="87">
                  <c:v>3.4835500000000001</c:v>
                </c:pt>
                <c:pt idx="88">
                  <c:v>3.4694099999999999</c:v>
                </c:pt>
                <c:pt idx="89">
                  <c:v>3.46055</c:v>
                </c:pt>
                <c:pt idx="90">
                  <c:v>3.4539599999999999</c:v>
                </c:pt>
                <c:pt idx="91">
                  <c:v>3.4515200000000004</c:v>
                </c:pt>
                <c:pt idx="92">
                  <c:v>3.4515800000000003</c:v>
                </c:pt>
                <c:pt idx="93">
                  <c:v>3.4548399999999999</c:v>
                </c:pt>
                <c:pt idx="94">
                  <c:v>3.4632299999999998</c:v>
                </c:pt>
                <c:pt idx="95">
                  <c:v>3.47546</c:v>
                </c:pt>
                <c:pt idx="96">
                  <c:v>3.4932400000000001</c:v>
                </c:pt>
                <c:pt idx="97">
                  <c:v>3.5165600000000001</c:v>
                </c:pt>
                <c:pt idx="98">
                  <c:v>3.5428999999999999</c:v>
                </c:pt>
                <c:pt idx="99">
                  <c:v>3.5715999999999997</c:v>
                </c:pt>
                <c:pt idx="100">
                  <c:v>3.59707</c:v>
                </c:pt>
                <c:pt idx="101">
                  <c:v>3.6274800000000003</c:v>
                </c:pt>
                <c:pt idx="102">
                  <c:v>3.65801</c:v>
                </c:pt>
                <c:pt idx="103">
                  <c:v>3.6901800000000002</c:v>
                </c:pt>
                <c:pt idx="104">
                  <c:v>3.7215799999999999</c:v>
                </c:pt>
                <c:pt idx="105">
                  <c:v>3.7494399999999999</c:v>
                </c:pt>
                <c:pt idx="106">
                  <c:v>3.7752799999999995</c:v>
                </c:pt>
                <c:pt idx="107">
                  <c:v>3.8001299999999998</c:v>
                </c:pt>
                <c:pt idx="108">
                  <c:v>3.8257300000000001</c:v>
                </c:pt>
                <c:pt idx="109">
                  <c:v>3.8525499999999999</c:v>
                </c:pt>
                <c:pt idx="110">
                  <c:v>3.8788200000000002</c:v>
                </c:pt>
                <c:pt idx="111">
                  <c:v>3.9038599999999999</c:v>
                </c:pt>
                <c:pt idx="112">
                  <c:v>3.9280500000000003</c:v>
                </c:pt>
                <c:pt idx="113">
                  <c:v>3.9516600000000004</c:v>
                </c:pt>
                <c:pt idx="114">
                  <c:v>3.9727800000000002</c:v>
                </c:pt>
                <c:pt idx="115">
                  <c:v>3.9944500000000001</c:v>
                </c:pt>
                <c:pt idx="116">
                  <c:v>4.0188800000000002</c:v>
                </c:pt>
                <c:pt idx="117">
                  <c:v>4.0408400000000002</c:v>
                </c:pt>
                <c:pt idx="118">
                  <c:v>4.0602999999999998</c:v>
                </c:pt>
                <c:pt idx="119">
                  <c:v>4.0774600000000003</c:v>
                </c:pt>
                <c:pt idx="120">
                  <c:v>4.0913199999999996</c:v>
                </c:pt>
                <c:pt idx="121">
                  <c:v>4.10337</c:v>
                </c:pt>
                <c:pt idx="122">
                  <c:v>4.1110799999999994</c:v>
                </c:pt>
                <c:pt idx="123">
                  <c:v>4.1154999999999999</c:v>
                </c:pt>
                <c:pt idx="124">
                  <c:v>4.1185600000000004</c:v>
                </c:pt>
                <c:pt idx="125">
                  <c:v>4.1246700000000001</c:v>
                </c:pt>
                <c:pt idx="126">
                  <c:v>4.1287099999999999</c:v>
                </c:pt>
                <c:pt idx="127">
                  <c:v>4.1345399999999994</c:v>
                </c:pt>
                <c:pt idx="128">
                  <c:v>4.1407699999999998</c:v>
                </c:pt>
                <c:pt idx="129">
                  <c:v>4.1477199999999996</c:v>
                </c:pt>
                <c:pt idx="130">
                  <c:v>4.1576599999999999</c:v>
                </c:pt>
                <c:pt idx="131">
                  <c:v>4.1672199999999995</c:v>
                </c:pt>
                <c:pt idx="132">
                  <c:v>4.1791900000000002</c:v>
                </c:pt>
                <c:pt idx="133">
                  <c:v>4.1914899999999999</c:v>
                </c:pt>
                <c:pt idx="134">
                  <c:v>4.2017500000000005</c:v>
                </c:pt>
                <c:pt idx="135">
                  <c:v>4.2129099999999999</c:v>
                </c:pt>
                <c:pt idx="136">
                  <c:v>4.2268299999999996</c:v>
                </c:pt>
                <c:pt idx="137">
                  <c:v>4.2387200000000007</c:v>
                </c:pt>
                <c:pt idx="138">
                  <c:v>4.2466699999999999</c:v>
                </c:pt>
                <c:pt idx="139">
                  <c:v>4.2521700000000004</c:v>
                </c:pt>
                <c:pt idx="140">
                  <c:v>4.2538599999999995</c:v>
                </c:pt>
                <c:pt idx="141">
                  <c:v>4.2449399999999997</c:v>
                </c:pt>
                <c:pt idx="142">
                  <c:v>4.24444</c:v>
                </c:pt>
                <c:pt idx="143">
                  <c:v>4.2507799999999998</c:v>
                </c:pt>
                <c:pt idx="144">
                  <c:v>4.2572399999999995</c:v>
                </c:pt>
                <c:pt idx="145">
                  <c:v>4.2705399999999996</c:v>
                </c:pt>
                <c:pt idx="146">
                  <c:v>4.2662399999999998</c:v>
                </c:pt>
                <c:pt idx="147">
                  <c:v>4.2834099999999999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0.401835</c:v>
                </c:pt>
                <c:pt idx="2">
                  <c:v>0.80713999999999997</c:v>
                </c:pt>
                <c:pt idx="3">
                  <c:v>1.21139</c:v>
                </c:pt>
                <c:pt idx="4">
                  <c:v>1.6203799999999999</c:v>
                </c:pt>
                <c:pt idx="5">
                  <c:v>2.0281099999999999</c:v>
                </c:pt>
                <c:pt idx="6">
                  <c:v>2.4335</c:v>
                </c:pt>
                <c:pt idx="7">
                  <c:v>2.8397000000000001</c:v>
                </c:pt>
                <c:pt idx="8">
                  <c:v>3.2453599999999998</c:v>
                </c:pt>
                <c:pt idx="9">
                  <c:v>3.65211</c:v>
                </c:pt>
                <c:pt idx="10">
                  <c:v>4.0586599999999997</c:v>
                </c:pt>
                <c:pt idx="11">
                  <c:v>4.4659899999999997</c:v>
                </c:pt>
                <c:pt idx="12">
                  <c:v>4.8683500000000004</c:v>
                </c:pt>
                <c:pt idx="13">
                  <c:v>5.2759200000000002</c:v>
                </c:pt>
                <c:pt idx="14">
                  <c:v>5.6814799999999996</c:v>
                </c:pt>
                <c:pt idx="15">
                  <c:v>6.0917700000000004</c:v>
                </c:pt>
                <c:pt idx="16">
                  <c:v>6.4970600000000003</c:v>
                </c:pt>
                <c:pt idx="17">
                  <c:v>6.9047799999999997</c:v>
                </c:pt>
                <c:pt idx="18">
                  <c:v>7.3063200000000004</c:v>
                </c:pt>
                <c:pt idx="19">
                  <c:v>7.7128399999999999</c:v>
                </c:pt>
                <c:pt idx="20">
                  <c:v>8.1222100000000008</c:v>
                </c:pt>
                <c:pt idx="21">
                  <c:v>8.5308899999999994</c:v>
                </c:pt>
                <c:pt idx="22">
                  <c:v>8.9328299999999992</c:v>
                </c:pt>
                <c:pt idx="23">
                  <c:v>9.3407499999999999</c:v>
                </c:pt>
                <c:pt idx="24">
                  <c:v>9.7481100000000005</c:v>
                </c:pt>
                <c:pt idx="25">
                  <c:v>10.151400000000001</c:v>
                </c:pt>
                <c:pt idx="26">
                  <c:v>10.5587</c:v>
                </c:pt>
                <c:pt idx="27">
                  <c:v>10.964399999999999</c:v>
                </c:pt>
                <c:pt idx="28">
                  <c:v>11.373100000000001</c:v>
                </c:pt>
                <c:pt idx="29">
                  <c:v>11.777900000000001</c:v>
                </c:pt>
                <c:pt idx="30">
                  <c:v>12.1836</c:v>
                </c:pt>
                <c:pt idx="31">
                  <c:v>12.588200000000001</c:v>
                </c:pt>
                <c:pt idx="32">
                  <c:v>12.9985</c:v>
                </c:pt>
                <c:pt idx="33">
                  <c:v>13.4026</c:v>
                </c:pt>
                <c:pt idx="34">
                  <c:v>13.8096</c:v>
                </c:pt>
                <c:pt idx="35">
                  <c:v>14.2142</c:v>
                </c:pt>
                <c:pt idx="36">
                  <c:v>14.618600000000001</c:v>
                </c:pt>
                <c:pt idx="37">
                  <c:v>15.0236</c:v>
                </c:pt>
                <c:pt idx="38">
                  <c:v>15.435</c:v>
                </c:pt>
                <c:pt idx="39">
                  <c:v>15.839499999999999</c:v>
                </c:pt>
                <c:pt idx="40">
                  <c:v>16.2453</c:v>
                </c:pt>
                <c:pt idx="41">
                  <c:v>16.649100000000001</c:v>
                </c:pt>
                <c:pt idx="42">
                  <c:v>17.054200000000002</c:v>
                </c:pt>
                <c:pt idx="43">
                  <c:v>17.464400000000001</c:v>
                </c:pt>
                <c:pt idx="44">
                  <c:v>17.8703</c:v>
                </c:pt>
                <c:pt idx="45">
                  <c:v>18.279900000000001</c:v>
                </c:pt>
                <c:pt idx="46">
                  <c:v>18.680700000000002</c:v>
                </c:pt>
                <c:pt idx="47">
                  <c:v>19.088999999999999</c:v>
                </c:pt>
                <c:pt idx="48">
                  <c:v>19.495799999999999</c:v>
                </c:pt>
                <c:pt idx="49">
                  <c:v>19.904900000000001</c:v>
                </c:pt>
                <c:pt idx="50">
                  <c:v>20.306000000000001</c:v>
                </c:pt>
                <c:pt idx="51">
                  <c:v>20.712800000000001</c:v>
                </c:pt>
                <c:pt idx="52">
                  <c:v>21.118300000000001</c:v>
                </c:pt>
                <c:pt idx="53">
                  <c:v>21.527000000000001</c:v>
                </c:pt>
                <c:pt idx="54">
                  <c:v>21.9313</c:v>
                </c:pt>
                <c:pt idx="55">
                  <c:v>22.338999999999999</c:v>
                </c:pt>
                <c:pt idx="56">
                  <c:v>22.745699999999999</c:v>
                </c:pt>
                <c:pt idx="57">
                  <c:v>23.151199999999999</c:v>
                </c:pt>
                <c:pt idx="58">
                  <c:v>23.561599999999999</c:v>
                </c:pt>
                <c:pt idx="59">
                  <c:v>23.965699999999998</c:v>
                </c:pt>
                <c:pt idx="60">
                  <c:v>24.369199999999999</c:v>
                </c:pt>
                <c:pt idx="61">
                  <c:v>24.775700000000001</c:v>
                </c:pt>
                <c:pt idx="62">
                  <c:v>25.182099999999998</c:v>
                </c:pt>
                <c:pt idx="63">
                  <c:v>25.588200000000001</c:v>
                </c:pt>
                <c:pt idx="64">
                  <c:v>25.993500000000001</c:v>
                </c:pt>
                <c:pt idx="65">
                  <c:v>26.401</c:v>
                </c:pt>
                <c:pt idx="66">
                  <c:v>26.804200000000002</c:v>
                </c:pt>
                <c:pt idx="67">
                  <c:v>27.213999999999999</c:v>
                </c:pt>
                <c:pt idx="68">
                  <c:v>27.623699999999999</c:v>
                </c:pt>
                <c:pt idx="69">
                  <c:v>28.026199999999999</c:v>
                </c:pt>
                <c:pt idx="70">
                  <c:v>28.431999999999999</c:v>
                </c:pt>
                <c:pt idx="71">
                  <c:v>28.840800000000002</c:v>
                </c:pt>
                <c:pt idx="72">
                  <c:v>29.2485</c:v>
                </c:pt>
                <c:pt idx="73">
                  <c:v>29.652899999999999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2.4210799999999999</c:v>
                </c:pt>
                <c:pt idx="1">
                  <c:v>2.5201000000000002</c:v>
                </c:pt>
                <c:pt idx="2">
                  <c:v>2.6155600000000003</c:v>
                </c:pt>
                <c:pt idx="3">
                  <c:v>2.70397</c:v>
                </c:pt>
                <c:pt idx="4">
                  <c:v>2.7926699999999998</c:v>
                </c:pt>
                <c:pt idx="5">
                  <c:v>2.8790300000000002</c:v>
                </c:pt>
                <c:pt idx="6">
                  <c:v>2.96502</c:v>
                </c:pt>
                <c:pt idx="7">
                  <c:v>3.05186</c:v>
                </c:pt>
                <c:pt idx="8">
                  <c:v>3.1390699999999998</c:v>
                </c:pt>
                <c:pt idx="9">
                  <c:v>3.2272499999999997</c:v>
                </c:pt>
                <c:pt idx="10">
                  <c:v>3.31454</c:v>
                </c:pt>
                <c:pt idx="11">
                  <c:v>3.4000999999999997</c:v>
                </c:pt>
                <c:pt idx="12">
                  <c:v>3.4847399999999999</c:v>
                </c:pt>
                <c:pt idx="13">
                  <c:v>3.5672300000000003</c:v>
                </c:pt>
                <c:pt idx="14">
                  <c:v>3.6494500000000003</c:v>
                </c:pt>
                <c:pt idx="15">
                  <c:v>3.7295299999999996</c:v>
                </c:pt>
                <c:pt idx="16">
                  <c:v>3.8040000000000003</c:v>
                </c:pt>
                <c:pt idx="17">
                  <c:v>3.8729799999999996</c:v>
                </c:pt>
                <c:pt idx="18">
                  <c:v>3.9380799999999998</c:v>
                </c:pt>
                <c:pt idx="19">
                  <c:v>3.9978699999999998</c:v>
                </c:pt>
                <c:pt idx="20">
                  <c:v>4.0521200000000004</c:v>
                </c:pt>
                <c:pt idx="21">
                  <c:v>4.1008499999999994</c:v>
                </c:pt>
                <c:pt idx="22">
                  <c:v>4.1477700000000004</c:v>
                </c:pt>
                <c:pt idx="23">
                  <c:v>4.1885300000000001</c:v>
                </c:pt>
                <c:pt idx="24">
                  <c:v>4.2259600000000006</c:v>
                </c:pt>
                <c:pt idx="25">
                  <c:v>4.25786</c:v>
                </c:pt>
                <c:pt idx="26">
                  <c:v>4.2867600000000001</c:v>
                </c:pt>
                <c:pt idx="27">
                  <c:v>4.3118400000000001</c:v>
                </c:pt>
                <c:pt idx="28">
                  <c:v>4.3340499999999995</c:v>
                </c:pt>
                <c:pt idx="29">
                  <c:v>4.34999</c:v>
                </c:pt>
                <c:pt idx="30">
                  <c:v>4.3580999999999994</c:v>
                </c:pt>
                <c:pt idx="31">
                  <c:v>4.3578099999999997</c:v>
                </c:pt>
                <c:pt idx="32">
                  <c:v>4.3541800000000004</c:v>
                </c:pt>
                <c:pt idx="33">
                  <c:v>4.3488500000000005</c:v>
                </c:pt>
                <c:pt idx="34">
                  <c:v>4.34131</c:v>
                </c:pt>
                <c:pt idx="35">
                  <c:v>4.3304200000000002</c:v>
                </c:pt>
                <c:pt idx="36">
                  <c:v>4.32097</c:v>
                </c:pt>
                <c:pt idx="37">
                  <c:v>4.3128899999999994</c:v>
                </c:pt>
                <c:pt idx="38">
                  <c:v>4.3056100000000006</c:v>
                </c:pt>
                <c:pt idx="39">
                  <c:v>4.29711</c:v>
                </c:pt>
                <c:pt idx="40">
                  <c:v>4.2890699999999997</c:v>
                </c:pt>
                <c:pt idx="41">
                  <c:v>4.2819000000000003</c:v>
                </c:pt>
                <c:pt idx="42">
                  <c:v>4.2764799999999994</c:v>
                </c:pt>
                <c:pt idx="43">
                  <c:v>4.2698999999999998</c:v>
                </c:pt>
                <c:pt idx="44">
                  <c:v>4.2620000000000005</c:v>
                </c:pt>
                <c:pt idx="45">
                  <c:v>4.2534200000000002</c:v>
                </c:pt>
                <c:pt idx="46">
                  <c:v>4.2463499999999996</c:v>
                </c:pt>
                <c:pt idx="47">
                  <c:v>4.2349100000000002</c:v>
                </c:pt>
                <c:pt idx="48">
                  <c:v>4.2235199999999997</c:v>
                </c:pt>
                <c:pt idx="49">
                  <c:v>4.2115799999999997</c:v>
                </c:pt>
                <c:pt idx="50">
                  <c:v>4.2027999999999999</c:v>
                </c:pt>
                <c:pt idx="51">
                  <c:v>4.1950700000000003</c:v>
                </c:pt>
                <c:pt idx="52">
                  <c:v>4.1906499999999998</c:v>
                </c:pt>
                <c:pt idx="53">
                  <c:v>4.1876600000000002</c:v>
                </c:pt>
                <c:pt idx="54">
                  <c:v>4.1866599999999998</c:v>
                </c:pt>
                <c:pt idx="55">
                  <c:v>4.18851</c:v>
                </c:pt>
                <c:pt idx="56">
                  <c:v>4.1863799999999998</c:v>
                </c:pt>
                <c:pt idx="57">
                  <c:v>4.18302</c:v>
                </c:pt>
                <c:pt idx="58">
                  <c:v>4.1780600000000003</c:v>
                </c:pt>
                <c:pt idx="59">
                  <c:v>4.1716100000000003</c:v>
                </c:pt>
                <c:pt idx="60">
                  <c:v>4.1675800000000001</c:v>
                </c:pt>
                <c:pt idx="61">
                  <c:v>4.1601300000000005</c:v>
                </c:pt>
                <c:pt idx="62">
                  <c:v>4.1547200000000002</c:v>
                </c:pt>
                <c:pt idx="63">
                  <c:v>4.1357699999999999</c:v>
                </c:pt>
                <c:pt idx="64">
                  <c:v>4.12385</c:v>
                </c:pt>
                <c:pt idx="65">
                  <c:v>4.1028599999999997</c:v>
                </c:pt>
                <c:pt idx="66">
                  <c:v>4.0802300000000002</c:v>
                </c:pt>
                <c:pt idx="67">
                  <c:v>4.05443</c:v>
                </c:pt>
                <c:pt idx="68">
                  <c:v>4.0192199999999998</c:v>
                </c:pt>
                <c:pt idx="69">
                  <c:v>3.9917899999999999</c:v>
                </c:pt>
                <c:pt idx="70">
                  <c:v>3.9734399999999996</c:v>
                </c:pt>
                <c:pt idx="71">
                  <c:v>3.9385300000000001</c:v>
                </c:pt>
                <c:pt idx="72">
                  <c:v>3.91384</c:v>
                </c:pt>
                <c:pt idx="73">
                  <c:v>3.8980999999999999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29.652899999999999</c:v>
                </c:pt>
                <c:pt idx="1">
                  <c:v>30.055499999999999</c:v>
                </c:pt>
                <c:pt idx="2">
                  <c:v>30.570900000000002</c:v>
                </c:pt>
                <c:pt idx="3">
                  <c:v>30.947199999999999</c:v>
                </c:pt>
                <c:pt idx="4">
                  <c:v>31.340299999999999</c:v>
                </c:pt>
                <c:pt idx="5">
                  <c:v>31.744499999999999</c:v>
                </c:pt>
                <c:pt idx="6">
                  <c:v>32.133800000000001</c:v>
                </c:pt>
                <c:pt idx="7">
                  <c:v>32.543399999999998</c:v>
                </c:pt>
                <c:pt idx="8">
                  <c:v>32.953099999999999</c:v>
                </c:pt>
                <c:pt idx="9">
                  <c:v>33.353700000000003</c:v>
                </c:pt>
                <c:pt idx="10">
                  <c:v>33.7592</c:v>
                </c:pt>
                <c:pt idx="11">
                  <c:v>34.165799999999997</c:v>
                </c:pt>
                <c:pt idx="12">
                  <c:v>34.573999999999998</c:v>
                </c:pt>
                <c:pt idx="13">
                  <c:v>34.979700000000001</c:v>
                </c:pt>
                <c:pt idx="14">
                  <c:v>35.3857</c:v>
                </c:pt>
                <c:pt idx="15">
                  <c:v>35.790399999999998</c:v>
                </c:pt>
                <c:pt idx="16">
                  <c:v>36.200400000000002</c:v>
                </c:pt>
                <c:pt idx="17">
                  <c:v>36.604100000000003</c:v>
                </c:pt>
                <c:pt idx="18">
                  <c:v>37.011600000000001</c:v>
                </c:pt>
                <c:pt idx="19">
                  <c:v>37.414700000000003</c:v>
                </c:pt>
                <c:pt idx="20">
                  <c:v>37.821599999999997</c:v>
                </c:pt>
                <c:pt idx="21">
                  <c:v>38.231200000000001</c:v>
                </c:pt>
                <c:pt idx="22">
                  <c:v>38.637599999999999</c:v>
                </c:pt>
                <c:pt idx="23">
                  <c:v>39.043199999999999</c:v>
                </c:pt>
                <c:pt idx="24">
                  <c:v>39.447899999999997</c:v>
                </c:pt>
                <c:pt idx="25">
                  <c:v>39.854500000000002</c:v>
                </c:pt>
                <c:pt idx="26">
                  <c:v>40.262</c:v>
                </c:pt>
                <c:pt idx="27">
                  <c:v>40.667700000000004</c:v>
                </c:pt>
                <c:pt idx="28">
                  <c:v>41.073999999999998</c:v>
                </c:pt>
                <c:pt idx="29">
                  <c:v>41.480400000000003</c:v>
                </c:pt>
                <c:pt idx="30">
                  <c:v>41.883600000000001</c:v>
                </c:pt>
                <c:pt idx="31">
                  <c:v>42.2926</c:v>
                </c:pt>
                <c:pt idx="32">
                  <c:v>42.701099999999997</c:v>
                </c:pt>
                <c:pt idx="33">
                  <c:v>43.104799999999997</c:v>
                </c:pt>
                <c:pt idx="34">
                  <c:v>43.509500000000003</c:v>
                </c:pt>
                <c:pt idx="35">
                  <c:v>43.915199999999999</c:v>
                </c:pt>
                <c:pt idx="36">
                  <c:v>44.323399999999999</c:v>
                </c:pt>
                <c:pt idx="37">
                  <c:v>44.729199999999999</c:v>
                </c:pt>
                <c:pt idx="38">
                  <c:v>45.133899999999997</c:v>
                </c:pt>
                <c:pt idx="39">
                  <c:v>45.5426</c:v>
                </c:pt>
                <c:pt idx="40">
                  <c:v>45.9512</c:v>
                </c:pt>
                <c:pt idx="41">
                  <c:v>46.354199999999999</c:v>
                </c:pt>
                <c:pt idx="42">
                  <c:v>46.760399999999997</c:v>
                </c:pt>
                <c:pt idx="43">
                  <c:v>47.166400000000003</c:v>
                </c:pt>
                <c:pt idx="44">
                  <c:v>47.572299999999998</c:v>
                </c:pt>
                <c:pt idx="45">
                  <c:v>47.978299999999997</c:v>
                </c:pt>
                <c:pt idx="46">
                  <c:v>48.383800000000001</c:v>
                </c:pt>
                <c:pt idx="47">
                  <c:v>48.792099999999998</c:v>
                </c:pt>
                <c:pt idx="48">
                  <c:v>49.198300000000003</c:v>
                </c:pt>
                <c:pt idx="49">
                  <c:v>49.604199999999999</c:v>
                </c:pt>
                <c:pt idx="50">
                  <c:v>50.012799999999999</c:v>
                </c:pt>
                <c:pt idx="51">
                  <c:v>50.417099999999998</c:v>
                </c:pt>
                <c:pt idx="52">
                  <c:v>50.8232</c:v>
                </c:pt>
                <c:pt idx="53">
                  <c:v>51.230499999999999</c:v>
                </c:pt>
                <c:pt idx="54">
                  <c:v>51.636099999999999</c:v>
                </c:pt>
                <c:pt idx="55">
                  <c:v>52.039499999999997</c:v>
                </c:pt>
                <c:pt idx="56">
                  <c:v>52.449599999999997</c:v>
                </c:pt>
                <c:pt idx="57">
                  <c:v>52.854700000000001</c:v>
                </c:pt>
                <c:pt idx="58">
                  <c:v>53.259900000000002</c:v>
                </c:pt>
                <c:pt idx="59">
                  <c:v>53.666800000000002</c:v>
                </c:pt>
                <c:pt idx="60">
                  <c:v>54.075000000000003</c:v>
                </c:pt>
                <c:pt idx="61">
                  <c:v>54.479900000000001</c:v>
                </c:pt>
                <c:pt idx="62">
                  <c:v>54.885899999999999</c:v>
                </c:pt>
                <c:pt idx="63">
                  <c:v>55.290100000000002</c:v>
                </c:pt>
                <c:pt idx="64">
                  <c:v>55.698</c:v>
                </c:pt>
                <c:pt idx="65">
                  <c:v>56.105899999999998</c:v>
                </c:pt>
                <c:pt idx="66">
                  <c:v>56.512099999999997</c:v>
                </c:pt>
                <c:pt idx="67">
                  <c:v>56.915500000000002</c:v>
                </c:pt>
                <c:pt idx="68">
                  <c:v>57.321100000000001</c:v>
                </c:pt>
                <c:pt idx="69">
                  <c:v>57.7333</c:v>
                </c:pt>
                <c:pt idx="70">
                  <c:v>58.138100000000001</c:v>
                </c:pt>
                <c:pt idx="71">
                  <c:v>58.546799999999998</c:v>
                </c:pt>
                <c:pt idx="72">
                  <c:v>58.947699999999998</c:v>
                </c:pt>
                <c:pt idx="73">
                  <c:v>59.355499999999999</c:v>
                </c:pt>
                <c:pt idx="74">
                  <c:v>59.763500000000001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3.8980999999999999</c:v>
                </c:pt>
                <c:pt idx="1">
                  <c:v>3.8706800000000001</c:v>
                </c:pt>
                <c:pt idx="2">
                  <c:v>3.8339099999999999</c:v>
                </c:pt>
                <c:pt idx="3">
                  <c:v>3.8010699999999997</c:v>
                </c:pt>
                <c:pt idx="4">
                  <c:v>3.7654300000000003</c:v>
                </c:pt>
                <c:pt idx="5">
                  <c:v>3.7265100000000002</c:v>
                </c:pt>
                <c:pt idx="6">
                  <c:v>3.6872400000000001</c:v>
                </c:pt>
                <c:pt idx="7">
                  <c:v>3.6507299999999998</c:v>
                </c:pt>
                <c:pt idx="8">
                  <c:v>3.6208400000000003</c:v>
                </c:pt>
                <c:pt idx="9">
                  <c:v>3.5939199999999998</c:v>
                </c:pt>
                <c:pt idx="10">
                  <c:v>3.5690200000000001</c:v>
                </c:pt>
                <c:pt idx="11">
                  <c:v>3.5471000000000004</c:v>
                </c:pt>
                <c:pt idx="12">
                  <c:v>3.5251600000000001</c:v>
                </c:pt>
                <c:pt idx="13">
                  <c:v>3.5036399999999999</c:v>
                </c:pt>
                <c:pt idx="14">
                  <c:v>3.4835500000000001</c:v>
                </c:pt>
                <c:pt idx="15">
                  <c:v>3.4694099999999999</c:v>
                </c:pt>
                <c:pt idx="16">
                  <c:v>3.46055</c:v>
                </c:pt>
                <c:pt idx="17">
                  <c:v>3.4539599999999999</c:v>
                </c:pt>
                <c:pt idx="18">
                  <c:v>3.4515200000000004</c:v>
                </c:pt>
                <c:pt idx="19">
                  <c:v>3.4515800000000003</c:v>
                </c:pt>
                <c:pt idx="20">
                  <c:v>3.4548399999999999</c:v>
                </c:pt>
                <c:pt idx="21">
                  <c:v>3.4632299999999998</c:v>
                </c:pt>
                <c:pt idx="22">
                  <c:v>3.47546</c:v>
                </c:pt>
                <c:pt idx="23">
                  <c:v>3.4932400000000001</c:v>
                </c:pt>
                <c:pt idx="24">
                  <c:v>3.5165600000000001</c:v>
                </c:pt>
                <c:pt idx="25">
                  <c:v>3.5428999999999999</c:v>
                </c:pt>
                <c:pt idx="26">
                  <c:v>3.5715999999999997</c:v>
                </c:pt>
                <c:pt idx="27">
                  <c:v>3.59707</c:v>
                </c:pt>
                <c:pt idx="28">
                  <c:v>3.6274800000000003</c:v>
                </c:pt>
                <c:pt idx="29">
                  <c:v>3.65801</c:v>
                </c:pt>
                <c:pt idx="30">
                  <c:v>3.6901800000000002</c:v>
                </c:pt>
                <c:pt idx="31">
                  <c:v>3.7215799999999999</c:v>
                </c:pt>
                <c:pt idx="32">
                  <c:v>3.7494399999999999</c:v>
                </c:pt>
                <c:pt idx="33">
                  <c:v>3.7752799999999995</c:v>
                </c:pt>
                <c:pt idx="34">
                  <c:v>3.8001299999999998</c:v>
                </c:pt>
                <c:pt idx="35">
                  <c:v>3.8257300000000001</c:v>
                </c:pt>
                <c:pt idx="36">
                  <c:v>3.8525499999999999</c:v>
                </c:pt>
                <c:pt idx="37">
                  <c:v>3.8788200000000002</c:v>
                </c:pt>
                <c:pt idx="38">
                  <c:v>3.9038599999999999</c:v>
                </c:pt>
                <c:pt idx="39">
                  <c:v>3.9280500000000003</c:v>
                </c:pt>
                <c:pt idx="40">
                  <c:v>3.9516600000000004</c:v>
                </c:pt>
                <c:pt idx="41">
                  <c:v>3.9727800000000002</c:v>
                </c:pt>
                <c:pt idx="42">
                  <c:v>3.9944500000000001</c:v>
                </c:pt>
                <c:pt idx="43">
                  <c:v>4.0188800000000002</c:v>
                </c:pt>
                <c:pt idx="44">
                  <c:v>4.0408400000000002</c:v>
                </c:pt>
                <c:pt idx="45">
                  <c:v>4.0602999999999998</c:v>
                </c:pt>
                <c:pt idx="46">
                  <c:v>4.0774600000000003</c:v>
                </c:pt>
                <c:pt idx="47">
                  <c:v>4.0913199999999996</c:v>
                </c:pt>
                <c:pt idx="48">
                  <c:v>4.10337</c:v>
                </c:pt>
                <c:pt idx="49">
                  <c:v>4.1110799999999994</c:v>
                </c:pt>
                <c:pt idx="50">
                  <c:v>4.1154999999999999</c:v>
                </c:pt>
                <c:pt idx="51">
                  <c:v>4.1185600000000004</c:v>
                </c:pt>
                <c:pt idx="52">
                  <c:v>4.1246700000000001</c:v>
                </c:pt>
                <c:pt idx="53">
                  <c:v>4.1287099999999999</c:v>
                </c:pt>
                <c:pt idx="54">
                  <c:v>4.1345399999999994</c:v>
                </c:pt>
                <c:pt idx="55">
                  <c:v>4.1407699999999998</c:v>
                </c:pt>
                <c:pt idx="56">
                  <c:v>4.1477199999999996</c:v>
                </c:pt>
                <c:pt idx="57">
                  <c:v>4.1576599999999999</c:v>
                </c:pt>
                <c:pt idx="58">
                  <c:v>4.1672199999999995</c:v>
                </c:pt>
                <c:pt idx="59">
                  <c:v>4.1791900000000002</c:v>
                </c:pt>
                <c:pt idx="60">
                  <c:v>4.1914899999999999</c:v>
                </c:pt>
                <c:pt idx="61">
                  <c:v>4.2017500000000005</c:v>
                </c:pt>
                <c:pt idx="62">
                  <c:v>4.2129099999999999</c:v>
                </c:pt>
                <c:pt idx="63">
                  <c:v>4.2268299999999996</c:v>
                </c:pt>
                <c:pt idx="64">
                  <c:v>4.2387200000000007</c:v>
                </c:pt>
                <c:pt idx="65">
                  <c:v>4.2466699999999999</c:v>
                </c:pt>
                <c:pt idx="66">
                  <c:v>4.2521700000000004</c:v>
                </c:pt>
                <c:pt idx="67">
                  <c:v>4.2538599999999995</c:v>
                </c:pt>
                <c:pt idx="68">
                  <c:v>4.2449399999999997</c:v>
                </c:pt>
                <c:pt idx="69">
                  <c:v>4.24444</c:v>
                </c:pt>
                <c:pt idx="70">
                  <c:v>4.2507799999999998</c:v>
                </c:pt>
                <c:pt idx="71">
                  <c:v>4.2572399999999995</c:v>
                </c:pt>
                <c:pt idx="72">
                  <c:v>4.2705399999999996</c:v>
                </c:pt>
                <c:pt idx="73">
                  <c:v>4.2662399999999998</c:v>
                </c:pt>
                <c:pt idx="74">
                  <c:v>4.2834099999999999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14.940875</c:v>
                </c:pt>
                <c:pt idx="1">
                  <c:v>44.822625000000002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3.9431236486486494</c:v>
                </c:pt>
                <c:pt idx="1">
                  <c:v>3.8847364864864851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0.401835</c:v>
                </c:pt>
                <c:pt idx="2">
                  <c:v>0.80713999999999997</c:v>
                </c:pt>
                <c:pt idx="3">
                  <c:v>1.21139</c:v>
                </c:pt>
                <c:pt idx="4">
                  <c:v>1.6203799999999999</c:v>
                </c:pt>
                <c:pt idx="5">
                  <c:v>2.0281099999999999</c:v>
                </c:pt>
                <c:pt idx="6">
                  <c:v>2.4335</c:v>
                </c:pt>
                <c:pt idx="7">
                  <c:v>2.8397000000000001</c:v>
                </c:pt>
                <c:pt idx="8">
                  <c:v>3.2453599999999998</c:v>
                </c:pt>
                <c:pt idx="9">
                  <c:v>3.65211</c:v>
                </c:pt>
                <c:pt idx="10">
                  <c:v>4.0586599999999997</c:v>
                </c:pt>
                <c:pt idx="11">
                  <c:v>4.4659899999999997</c:v>
                </c:pt>
                <c:pt idx="12">
                  <c:v>4.8683500000000004</c:v>
                </c:pt>
                <c:pt idx="13">
                  <c:v>5.2759200000000002</c:v>
                </c:pt>
                <c:pt idx="14">
                  <c:v>5.6814799999999996</c:v>
                </c:pt>
                <c:pt idx="15">
                  <c:v>6.0917700000000004</c:v>
                </c:pt>
                <c:pt idx="16">
                  <c:v>6.4970600000000003</c:v>
                </c:pt>
                <c:pt idx="17">
                  <c:v>6.9047799999999997</c:v>
                </c:pt>
                <c:pt idx="18">
                  <c:v>7.3063200000000004</c:v>
                </c:pt>
                <c:pt idx="19">
                  <c:v>7.7128399999999999</c:v>
                </c:pt>
                <c:pt idx="20">
                  <c:v>8.1222100000000008</c:v>
                </c:pt>
                <c:pt idx="21">
                  <c:v>8.5308899999999994</c:v>
                </c:pt>
                <c:pt idx="22">
                  <c:v>8.9328299999999992</c:v>
                </c:pt>
                <c:pt idx="23">
                  <c:v>9.3407499999999999</c:v>
                </c:pt>
                <c:pt idx="24">
                  <c:v>9.7481100000000005</c:v>
                </c:pt>
                <c:pt idx="25">
                  <c:v>10.151400000000001</c:v>
                </c:pt>
                <c:pt idx="26">
                  <c:v>10.5587</c:v>
                </c:pt>
                <c:pt idx="27">
                  <c:v>10.964399999999999</c:v>
                </c:pt>
                <c:pt idx="28">
                  <c:v>11.373100000000001</c:v>
                </c:pt>
                <c:pt idx="29">
                  <c:v>11.777900000000001</c:v>
                </c:pt>
                <c:pt idx="30">
                  <c:v>12.1836</c:v>
                </c:pt>
                <c:pt idx="31">
                  <c:v>12.588200000000001</c:v>
                </c:pt>
                <c:pt idx="32">
                  <c:v>12.9985</c:v>
                </c:pt>
                <c:pt idx="33">
                  <c:v>13.4026</c:v>
                </c:pt>
                <c:pt idx="34">
                  <c:v>13.8096</c:v>
                </c:pt>
                <c:pt idx="35">
                  <c:v>14.2142</c:v>
                </c:pt>
                <c:pt idx="36">
                  <c:v>14.618600000000001</c:v>
                </c:pt>
                <c:pt idx="37">
                  <c:v>15.0236</c:v>
                </c:pt>
                <c:pt idx="38">
                  <c:v>15.435</c:v>
                </c:pt>
                <c:pt idx="39">
                  <c:v>15.839499999999999</c:v>
                </c:pt>
                <c:pt idx="40">
                  <c:v>16.2453</c:v>
                </c:pt>
                <c:pt idx="41">
                  <c:v>16.649100000000001</c:v>
                </c:pt>
                <c:pt idx="42">
                  <c:v>17.054200000000002</c:v>
                </c:pt>
                <c:pt idx="43">
                  <c:v>17.464400000000001</c:v>
                </c:pt>
                <c:pt idx="44">
                  <c:v>17.8703</c:v>
                </c:pt>
                <c:pt idx="45">
                  <c:v>18.279900000000001</c:v>
                </c:pt>
                <c:pt idx="46">
                  <c:v>18.680700000000002</c:v>
                </c:pt>
                <c:pt idx="47">
                  <c:v>19.088999999999999</c:v>
                </c:pt>
                <c:pt idx="48">
                  <c:v>19.495799999999999</c:v>
                </c:pt>
                <c:pt idx="49">
                  <c:v>19.904900000000001</c:v>
                </c:pt>
                <c:pt idx="50">
                  <c:v>20.306000000000001</c:v>
                </c:pt>
                <c:pt idx="51">
                  <c:v>20.712800000000001</c:v>
                </c:pt>
                <c:pt idx="52">
                  <c:v>21.118300000000001</c:v>
                </c:pt>
                <c:pt idx="53">
                  <c:v>21.527000000000001</c:v>
                </c:pt>
                <c:pt idx="54">
                  <c:v>21.9313</c:v>
                </c:pt>
                <c:pt idx="55">
                  <c:v>22.338999999999999</c:v>
                </c:pt>
                <c:pt idx="56">
                  <c:v>22.745699999999999</c:v>
                </c:pt>
                <c:pt idx="57">
                  <c:v>23.151199999999999</c:v>
                </c:pt>
                <c:pt idx="58">
                  <c:v>23.561599999999999</c:v>
                </c:pt>
                <c:pt idx="59">
                  <c:v>23.965699999999998</c:v>
                </c:pt>
                <c:pt idx="60">
                  <c:v>24.369199999999999</c:v>
                </c:pt>
                <c:pt idx="61">
                  <c:v>24.775700000000001</c:v>
                </c:pt>
                <c:pt idx="62">
                  <c:v>25.182099999999998</c:v>
                </c:pt>
                <c:pt idx="63">
                  <c:v>25.588200000000001</c:v>
                </c:pt>
                <c:pt idx="64">
                  <c:v>25.993500000000001</c:v>
                </c:pt>
                <c:pt idx="65">
                  <c:v>26.401</c:v>
                </c:pt>
                <c:pt idx="66">
                  <c:v>26.804200000000002</c:v>
                </c:pt>
                <c:pt idx="67">
                  <c:v>27.213999999999999</c:v>
                </c:pt>
                <c:pt idx="68">
                  <c:v>27.623699999999999</c:v>
                </c:pt>
                <c:pt idx="69">
                  <c:v>28.026199999999999</c:v>
                </c:pt>
                <c:pt idx="70">
                  <c:v>28.431999999999999</c:v>
                </c:pt>
                <c:pt idx="71">
                  <c:v>28.840800000000002</c:v>
                </c:pt>
                <c:pt idx="72">
                  <c:v>29.2485</c:v>
                </c:pt>
                <c:pt idx="73">
                  <c:v>29.652899999999999</c:v>
                </c:pt>
                <c:pt idx="74">
                  <c:v>30.055499999999999</c:v>
                </c:pt>
                <c:pt idx="75">
                  <c:v>30.570900000000002</c:v>
                </c:pt>
                <c:pt idx="76">
                  <c:v>30.947199999999999</c:v>
                </c:pt>
                <c:pt idx="77">
                  <c:v>31.340299999999999</c:v>
                </c:pt>
                <c:pt idx="78">
                  <c:v>31.744499999999999</c:v>
                </c:pt>
                <c:pt idx="79">
                  <c:v>32.133800000000001</c:v>
                </c:pt>
                <c:pt idx="80">
                  <c:v>32.543399999999998</c:v>
                </c:pt>
                <c:pt idx="81">
                  <c:v>32.953099999999999</c:v>
                </c:pt>
                <c:pt idx="82">
                  <c:v>33.353700000000003</c:v>
                </c:pt>
                <c:pt idx="83">
                  <c:v>33.7592</c:v>
                </c:pt>
                <c:pt idx="84">
                  <c:v>34.165799999999997</c:v>
                </c:pt>
                <c:pt idx="85">
                  <c:v>34.573999999999998</c:v>
                </c:pt>
                <c:pt idx="86">
                  <c:v>34.979700000000001</c:v>
                </c:pt>
                <c:pt idx="87">
                  <c:v>35.3857</c:v>
                </c:pt>
                <c:pt idx="88">
                  <c:v>35.790399999999998</c:v>
                </c:pt>
                <c:pt idx="89">
                  <c:v>36.200400000000002</c:v>
                </c:pt>
                <c:pt idx="90">
                  <c:v>36.604100000000003</c:v>
                </c:pt>
                <c:pt idx="91">
                  <c:v>37.011600000000001</c:v>
                </c:pt>
                <c:pt idx="92">
                  <c:v>37.414700000000003</c:v>
                </c:pt>
                <c:pt idx="93">
                  <c:v>37.821599999999997</c:v>
                </c:pt>
                <c:pt idx="94">
                  <c:v>38.231200000000001</c:v>
                </c:pt>
                <c:pt idx="95">
                  <c:v>38.637599999999999</c:v>
                </c:pt>
                <c:pt idx="96">
                  <c:v>39.043199999999999</c:v>
                </c:pt>
                <c:pt idx="97">
                  <c:v>39.447899999999997</c:v>
                </c:pt>
                <c:pt idx="98">
                  <c:v>39.854500000000002</c:v>
                </c:pt>
                <c:pt idx="99">
                  <c:v>40.262</c:v>
                </c:pt>
                <c:pt idx="100">
                  <c:v>40.667700000000004</c:v>
                </c:pt>
                <c:pt idx="101">
                  <c:v>41.073999999999998</c:v>
                </c:pt>
                <c:pt idx="102">
                  <c:v>41.480400000000003</c:v>
                </c:pt>
                <c:pt idx="103">
                  <c:v>41.883600000000001</c:v>
                </c:pt>
                <c:pt idx="104">
                  <c:v>42.2926</c:v>
                </c:pt>
                <c:pt idx="105">
                  <c:v>42.701099999999997</c:v>
                </c:pt>
                <c:pt idx="106">
                  <c:v>43.104799999999997</c:v>
                </c:pt>
                <c:pt idx="107">
                  <c:v>43.509500000000003</c:v>
                </c:pt>
                <c:pt idx="108">
                  <c:v>43.915199999999999</c:v>
                </c:pt>
                <c:pt idx="109">
                  <c:v>44.323399999999999</c:v>
                </c:pt>
                <c:pt idx="110">
                  <c:v>44.729199999999999</c:v>
                </c:pt>
                <c:pt idx="111">
                  <c:v>45.133899999999997</c:v>
                </c:pt>
                <c:pt idx="112">
                  <c:v>45.5426</c:v>
                </c:pt>
                <c:pt idx="113">
                  <c:v>45.9512</c:v>
                </c:pt>
                <c:pt idx="114">
                  <c:v>46.354199999999999</c:v>
                </c:pt>
                <c:pt idx="115">
                  <c:v>46.760399999999997</c:v>
                </c:pt>
                <c:pt idx="116">
                  <c:v>47.166400000000003</c:v>
                </c:pt>
                <c:pt idx="117">
                  <c:v>47.572299999999998</c:v>
                </c:pt>
                <c:pt idx="118">
                  <c:v>47.978299999999997</c:v>
                </c:pt>
                <c:pt idx="119">
                  <c:v>48.383800000000001</c:v>
                </c:pt>
                <c:pt idx="120">
                  <c:v>48.792099999999998</c:v>
                </c:pt>
                <c:pt idx="121">
                  <c:v>49.198300000000003</c:v>
                </c:pt>
                <c:pt idx="122">
                  <c:v>49.604199999999999</c:v>
                </c:pt>
                <c:pt idx="123">
                  <c:v>50.012799999999999</c:v>
                </c:pt>
                <c:pt idx="124">
                  <c:v>50.417099999999998</c:v>
                </c:pt>
                <c:pt idx="125">
                  <c:v>50.8232</c:v>
                </c:pt>
                <c:pt idx="126">
                  <c:v>51.230499999999999</c:v>
                </c:pt>
                <c:pt idx="127">
                  <c:v>51.636099999999999</c:v>
                </c:pt>
                <c:pt idx="128">
                  <c:v>52.039499999999997</c:v>
                </c:pt>
                <c:pt idx="129">
                  <c:v>52.449599999999997</c:v>
                </c:pt>
                <c:pt idx="130">
                  <c:v>52.854700000000001</c:v>
                </c:pt>
                <c:pt idx="131">
                  <c:v>53.259900000000002</c:v>
                </c:pt>
                <c:pt idx="132">
                  <c:v>53.666800000000002</c:v>
                </c:pt>
                <c:pt idx="133">
                  <c:v>54.075000000000003</c:v>
                </c:pt>
                <c:pt idx="134">
                  <c:v>54.479900000000001</c:v>
                </c:pt>
                <c:pt idx="135">
                  <c:v>54.885899999999999</c:v>
                </c:pt>
                <c:pt idx="136">
                  <c:v>55.290100000000002</c:v>
                </c:pt>
                <c:pt idx="137">
                  <c:v>55.698</c:v>
                </c:pt>
                <c:pt idx="138">
                  <c:v>56.105899999999998</c:v>
                </c:pt>
                <c:pt idx="139">
                  <c:v>56.512099999999997</c:v>
                </c:pt>
                <c:pt idx="140">
                  <c:v>56.915500000000002</c:v>
                </c:pt>
                <c:pt idx="141">
                  <c:v>57.321100000000001</c:v>
                </c:pt>
                <c:pt idx="142">
                  <c:v>57.7333</c:v>
                </c:pt>
                <c:pt idx="143">
                  <c:v>58.138100000000001</c:v>
                </c:pt>
                <c:pt idx="144">
                  <c:v>58.546799999999998</c:v>
                </c:pt>
                <c:pt idx="145">
                  <c:v>58.947699999999998</c:v>
                </c:pt>
                <c:pt idx="146">
                  <c:v>59.355499999999999</c:v>
                </c:pt>
                <c:pt idx="147">
                  <c:v>59.763500000000001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50.423099999999998</c:v>
                </c:pt>
                <c:pt idx="1">
                  <c:v>49.25</c:v>
                </c:pt>
                <c:pt idx="2">
                  <c:v>48.305799999999998</c:v>
                </c:pt>
                <c:pt idx="3">
                  <c:v>47.351999999999997</c:v>
                </c:pt>
                <c:pt idx="4">
                  <c:v>46.357900000000001</c:v>
                </c:pt>
                <c:pt idx="5">
                  <c:v>45.254199999999997</c:v>
                </c:pt>
                <c:pt idx="6">
                  <c:v>44.0486</c:v>
                </c:pt>
                <c:pt idx="7">
                  <c:v>42.879199999999997</c:v>
                </c:pt>
                <c:pt idx="8">
                  <c:v>41.768300000000004</c:v>
                </c:pt>
                <c:pt idx="9">
                  <c:v>40.760200000000005</c:v>
                </c:pt>
                <c:pt idx="10">
                  <c:v>39.915399999999998</c:v>
                </c:pt>
                <c:pt idx="11">
                  <c:v>39.162799999999997</c:v>
                </c:pt>
                <c:pt idx="12">
                  <c:v>38.589600000000004</c:v>
                </c:pt>
                <c:pt idx="13">
                  <c:v>38.172200000000004</c:v>
                </c:pt>
                <c:pt idx="14">
                  <c:v>37.798200000000001</c:v>
                </c:pt>
                <c:pt idx="15">
                  <c:v>37.533300000000004</c:v>
                </c:pt>
                <c:pt idx="16">
                  <c:v>37.51</c:v>
                </c:pt>
                <c:pt idx="17">
                  <c:v>37.543900000000001</c:v>
                </c:pt>
                <c:pt idx="18">
                  <c:v>37.623800000000003</c:v>
                </c:pt>
                <c:pt idx="19">
                  <c:v>37.783899999999996</c:v>
                </c:pt>
                <c:pt idx="20">
                  <c:v>37.967300000000002</c:v>
                </c:pt>
                <c:pt idx="21">
                  <c:v>38.281599999999997</c:v>
                </c:pt>
                <c:pt idx="22">
                  <c:v>38.5304</c:v>
                </c:pt>
                <c:pt idx="23">
                  <c:v>38.723700000000001</c:v>
                </c:pt>
                <c:pt idx="24">
                  <c:v>38.799700000000001</c:v>
                </c:pt>
                <c:pt idx="25">
                  <c:v>38.787199999999999</c:v>
                </c:pt>
                <c:pt idx="26">
                  <c:v>38.825900000000004</c:v>
                </c:pt>
                <c:pt idx="27">
                  <c:v>38.913699999999999</c:v>
                </c:pt>
                <c:pt idx="28">
                  <c:v>38.966799999999999</c:v>
                </c:pt>
                <c:pt idx="29">
                  <c:v>38.9268</c:v>
                </c:pt>
                <c:pt idx="30">
                  <c:v>38.904899999999998</c:v>
                </c:pt>
                <c:pt idx="31">
                  <c:v>38.845400000000005</c:v>
                </c:pt>
                <c:pt idx="32">
                  <c:v>38.7575</c:v>
                </c:pt>
                <c:pt idx="33">
                  <c:v>38.744199999999999</c:v>
                </c:pt>
                <c:pt idx="34">
                  <c:v>38.704100000000004</c:v>
                </c:pt>
                <c:pt idx="35">
                  <c:v>38.6952</c:v>
                </c:pt>
                <c:pt idx="36">
                  <c:v>38.712699999999998</c:v>
                </c:pt>
                <c:pt idx="37">
                  <c:v>38.738599999999998</c:v>
                </c:pt>
                <c:pt idx="38">
                  <c:v>38.823900000000002</c:v>
                </c:pt>
                <c:pt idx="39">
                  <c:v>38.9893</c:v>
                </c:pt>
                <c:pt idx="40">
                  <c:v>39.220300000000002</c:v>
                </c:pt>
                <c:pt idx="41">
                  <c:v>39.407199999999996</c:v>
                </c:pt>
                <c:pt idx="42">
                  <c:v>39.660000000000004</c:v>
                </c:pt>
                <c:pt idx="43">
                  <c:v>40.054299999999998</c:v>
                </c:pt>
                <c:pt idx="44">
                  <c:v>40.508800000000001</c:v>
                </c:pt>
                <c:pt idx="45">
                  <c:v>41.009700000000002</c:v>
                </c:pt>
                <c:pt idx="46">
                  <c:v>41.476500000000001</c:v>
                </c:pt>
                <c:pt idx="47">
                  <c:v>42.009700000000002</c:v>
                </c:pt>
                <c:pt idx="48">
                  <c:v>42.575499999999998</c:v>
                </c:pt>
                <c:pt idx="49">
                  <c:v>43.285000000000004</c:v>
                </c:pt>
                <c:pt idx="50">
                  <c:v>43.824300000000001</c:v>
                </c:pt>
                <c:pt idx="51">
                  <c:v>44.631700000000002</c:v>
                </c:pt>
                <c:pt idx="52">
                  <c:v>45.445999999999998</c:v>
                </c:pt>
                <c:pt idx="53">
                  <c:v>46.292999999999999</c:v>
                </c:pt>
                <c:pt idx="54">
                  <c:v>47.188200000000002</c:v>
                </c:pt>
                <c:pt idx="55">
                  <c:v>48.042099999999998</c:v>
                </c:pt>
                <c:pt idx="56">
                  <c:v>48.998599999999996</c:v>
                </c:pt>
                <c:pt idx="57">
                  <c:v>49.706099999999999</c:v>
                </c:pt>
                <c:pt idx="58">
                  <c:v>50.341299999999997</c:v>
                </c:pt>
                <c:pt idx="59">
                  <c:v>50.972399999999993</c:v>
                </c:pt>
                <c:pt idx="60">
                  <c:v>51.5169</c:v>
                </c:pt>
                <c:pt idx="61">
                  <c:v>52.014099999999999</c:v>
                </c:pt>
                <c:pt idx="62">
                  <c:v>52.523699999999998</c:v>
                </c:pt>
                <c:pt idx="63">
                  <c:v>52.974900000000005</c:v>
                </c:pt>
                <c:pt idx="64">
                  <c:v>53.436999999999998</c:v>
                </c:pt>
                <c:pt idx="65">
                  <c:v>53.849299999999999</c:v>
                </c:pt>
                <c:pt idx="66">
                  <c:v>54.241599999999998</c:v>
                </c:pt>
                <c:pt idx="67">
                  <c:v>54.624600000000001</c:v>
                </c:pt>
                <c:pt idx="68">
                  <c:v>54.783200000000001</c:v>
                </c:pt>
                <c:pt idx="69">
                  <c:v>54.878599999999999</c:v>
                </c:pt>
                <c:pt idx="70">
                  <c:v>54.980300000000007</c:v>
                </c:pt>
                <c:pt idx="71">
                  <c:v>54.897600000000004</c:v>
                </c:pt>
                <c:pt idx="72">
                  <c:v>54.845500000000001</c:v>
                </c:pt>
                <c:pt idx="73">
                  <c:v>54.804499999999997</c:v>
                </c:pt>
                <c:pt idx="74">
                  <c:v>54.631399999999999</c:v>
                </c:pt>
                <c:pt idx="75">
                  <c:v>54.487900000000003</c:v>
                </c:pt>
                <c:pt idx="76">
                  <c:v>54.414900000000003</c:v>
                </c:pt>
                <c:pt idx="77">
                  <c:v>54.340999999999994</c:v>
                </c:pt>
                <c:pt idx="78">
                  <c:v>54.306600000000003</c:v>
                </c:pt>
                <c:pt idx="79">
                  <c:v>54.347299999999997</c:v>
                </c:pt>
                <c:pt idx="80">
                  <c:v>54.431399999999996</c:v>
                </c:pt>
                <c:pt idx="81">
                  <c:v>54.541700000000006</c:v>
                </c:pt>
                <c:pt idx="82">
                  <c:v>54.645200000000003</c:v>
                </c:pt>
                <c:pt idx="83">
                  <c:v>54.729099999999995</c:v>
                </c:pt>
                <c:pt idx="84">
                  <c:v>54.795700000000004</c:v>
                </c:pt>
                <c:pt idx="85">
                  <c:v>54.919899999999998</c:v>
                </c:pt>
                <c:pt idx="86">
                  <c:v>55.121900000000004</c:v>
                </c:pt>
                <c:pt idx="87">
                  <c:v>55.460900000000002</c:v>
                </c:pt>
                <c:pt idx="88">
                  <c:v>55.720499999999994</c:v>
                </c:pt>
                <c:pt idx="89">
                  <c:v>55.889800000000001</c:v>
                </c:pt>
                <c:pt idx="90">
                  <c:v>56.0107</c:v>
                </c:pt>
                <c:pt idx="91">
                  <c:v>56.101299999999995</c:v>
                </c:pt>
                <c:pt idx="92">
                  <c:v>56.120599999999996</c:v>
                </c:pt>
                <c:pt idx="93">
                  <c:v>56.058900000000001</c:v>
                </c:pt>
                <c:pt idx="94">
                  <c:v>55.8889</c:v>
                </c:pt>
                <c:pt idx="95">
                  <c:v>55.623999999999995</c:v>
                </c:pt>
                <c:pt idx="96">
                  <c:v>55.215199999999996</c:v>
                </c:pt>
                <c:pt idx="97">
                  <c:v>54.6175</c:v>
                </c:pt>
                <c:pt idx="98">
                  <c:v>53.971699999999998</c:v>
                </c:pt>
                <c:pt idx="99">
                  <c:v>53.360399999999998</c:v>
                </c:pt>
                <c:pt idx="100">
                  <c:v>52.877799999999993</c:v>
                </c:pt>
                <c:pt idx="101">
                  <c:v>52.388199999999998</c:v>
                </c:pt>
                <c:pt idx="102">
                  <c:v>51.951599999999999</c:v>
                </c:pt>
                <c:pt idx="103">
                  <c:v>51.563400000000001</c:v>
                </c:pt>
                <c:pt idx="104">
                  <c:v>51.1556</c:v>
                </c:pt>
                <c:pt idx="105">
                  <c:v>50.8371</c:v>
                </c:pt>
                <c:pt idx="106">
                  <c:v>50.448300000000003</c:v>
                </c:pt>
                <c:pt idx="107">
                  <c:v>50.071899999999999</c:v>
                </c:pt>
                <c:pt idx="108">
                  <c:v>49.676500000000004</c:v>
                </c:pt>
                <c:pt idx="109">
                  <c:v>49.225099999999998</c:v>
                </c:pt>
                <c:pt idx="110">
                  <c:v>48.695699999999995</c:v>
                </c:pt>
                <c:pt idx="111">
                  <c:v>48.225299999999997</c:v>
                </c:pt>
                <c:pt idx="112">
                  <c:v>47.690300000000001</c:v>
                </c:pt>
                <c:pt idx="113">
                  <c:v>47.045700000000004</c:v>
                </c:pt>
                <c:pt idx="114">
                  <c:v>46.357599999999998</c:v>
                </c:pt>
                <c:pt idx="115">
                  <c:v>45.650800000000004</c:v>
                </c:pt>
                <c:pt idx="116">
                  <c:v>44.832599999999999</c:v>
                </c:pt>
                <c:pt idx="117">
                  <c:v>44.126599999999996</c:v>
                </c:pt>
                <c:pt idx="118">
                  <c:v>43.473099999999995</c:v>
                </c:pt>
                <c:pt idx="119">
                  <c:v>42.8337</c:v>
                </c:pt>
                <c:pt idx="120">
                  <c:v>42.164499999999997</c:v>
                </c:pt>
                <c:pt idx="121">
                  <c:v>41.6126</c:v>
                </c:pt>
                <c:pt idx="122">
                  <c:v>41.065300000000001</c:v>
                </c:pt>
                <c:pt idx="123">
                  <c:v>40.640300000000003</c:v>
                </c:pt>
                <c:pt idx="124">
                  <c:v>40.3093</c:v>
                </c:pt>
                <c:pt idx="125">
                  <c:v>39.9208</c:v>
                </c:pt>
                <c:pt idx="126">
                  <c:v>39.477000000000004</c:v>
                </c:pt>
                <c:pt idx="127">
                  <c:v>39.066400000000002</c:v>
                </c:pt>
                <c:pt idx="128">
                  <c:v>38.664100000000005</c:v>
                </c:pt>
                <c:pt idx="129">
                  <c:v>38.283299999999997</c:v>
                </c:pt>
                <c:pt idx="130">
                  <c:v>37.866799999999998</c:v>
                </c:pt>
                <c:pt idx="131">
                  <c:v>37.452300000000001</c:v>
                </c:pt>
                <c:pt idx="132">
                  <c:v>37.0642</c:v>
                </c:pt>
                <c:pt idx="133">
                  <c:v>36.710900000000002</c:v>
                </c:pt>
                <c:pt idx="134">
                  <c:v>36.379800000000003</c:v>
                </c:pt>
                <c:pt idx="135">
                  <c:v>36.169699999999999</c:v>
                </c:pt>
                <c:pt idx="136">
                  <c:v>35.932600000000001</c:v>
                </c:pt>
                <c:pt idx="137">
                  <c:v>35.661100000000005</c:v>
                </c:pt>
                <c:pt idx="138">
                  <c:v>35.429500000000004</c:v>
                </c:pt>
                <c:pt idx="139">
                  <c:v>35.229300000000002</c:v>
                </c:pt>
                <c:pt idx="140">
                  <c:v>35.105599999999995</c:v>
                </c:pt>
                <c:pt idx="141">
                  <c:v>35.124699999999997</c:v>
                </c:pt>
                <c:pt idx="142">
                  <c:v>35.054699999999997</c:v>
                </c:pt>
                <c:pt idx="143">
                  <c:v>34.984099999999998</c:v>
                </c:pt>
                <c:pt idx="144">
                  <c:v>34.856099999999998</c:v>
                </c:pt>
                <c:pt idx="145">
                  <c:v>35.119499999999995</c:v>
                </c:pt>
                <c:pt idx="146">
                  <c:v>34.544499999999999</c:v>
                </c:pt>
                <c:pt idx="147">
                  <c:v>33.915800000000004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0.401835</c:v>
                </c:pt>
                <c:pt idx="2">
                  <c:v>0.80713999999999997</c:v>
                </c:pt>
                <c:pt idx="3">
                  <c:v>1.21139</c:v>
                </c:pt>
                <c:pt idx="4">
                  <c:v>1.6203799999999999</c:v>
                </c:pt>
                <c:pt idx="5">
                  <c:v>2.0281099999999999</c:v>
                </c:pt>
                <c:pt idx="6">
                  <c:v>2.4335</c:v>
                </c:pt>
                <c:pt idx="7">
                  <c:v>2.8397000000000001</c:v>
                </c:pt>
                <c:pt idx="8">
                  <c:v>3.2453599999999998</c:v>
                </c:pt>
                <c:pt idx="9">
                  <c:v>3.65211</c:v>
                </c:pt>
                <c:pt idx="10">
                  <c:v>4.0586599999999997</c:v>
                </c:pt>
                <c:pt idx="11">
                  <c:v>4.4659899999999997</c:v>
                </c:pt>
                <c:pt idx="12">
                  <c:v>4.8683500000000004</c:v>
                </c:pt>
                <c:pt idx="13">
                  <c:v>5.2759200000000002</c:v>
                </c:pt>
                <c:pt idx="14">
                  <c:v>5.6814799999999996</c:v>
                </c:pt>
                <c:pt idx="15">
                  <c:v>6.0917700000000004</c:v>
                </c:pt>
                <c:pt idx="16">
                  <c:v>6.4970600000000003</c:v>
                </c:pt>
                <c:pt idx="17">
                  <c:v>6.9047799999999997</c:v>
                </c:pt>
                <c:pt idx="18">
                  <c:v>7.3063200000000004</c:v>
                </c:pt>
                <c:pt idx="19">
                  <c:v>7.7128399999999999</c:v>
                </c:pt>
                <c:pt idx="20">
                  <c:v>8.1222100000000008</c:v>
                </c:pt>
                <c:pt idx="21">
                  <c:v>8.5308899999999994</c:v>
                </c:pt>
                <c:pt idx="22">
                  <c:v>8.9328299999999992</c:v>
                </c:pt>
                <c:pt idx="23">
                  <c:v>9.3407499999999999</c:v>
                </c:pt>
                <c:pt idx="24">
                  <c:v>9.7481100000000005</c:v>
                </c:pt>
                <c:pt idx="25">
                  <c:v>10.151400000000001</c:v>
                </c:pt>
                <c:pt idx="26">
                  <c:v>10.5587</c:v>
                </c:pt>
                <c:pt idx="27">
                  <c:v>10.964399999999999</c:v>
                </c:pt>
                <c:pt idx="28">
                  <c:v>11.373100000000001</c:v>
                </c:pt>
                <c:pt idx="29">
                  <c:v>11.777900000000001</c:v>
                </c:pt>
                <c:pt idx="30">
                  <c:v>12.1836</c:v>
                </c:pt>
                <c:pt idx="31">
                  <c:v>12.588200000000001</c:v>
                </c:pt>
                <c:pt idx="32">
                  <c:v>12.9985</c:v>
                </c:pt>
                <c:pt idx="33">
                  <c:v>13.4026</c:v>
                </c:pt>
                <c:pt idx="34">
                  <c:v>13.8096</c:v>
                </c:pt>
                <c:pt idx="35">
                  <c:v>14.2142</c:v>
                </c:pt>
                <c:pt idx="36">
                  <c:v>14.618600000000001</c:v>
                </c:pt>
                <c:pt idx="37">
                  <c:v>15.0236</c:v>
                </c:pt>
                <c:pt idx="38">
                  <c:v>15.435</c:v>
                </c:pt>
                <c:pt idx="39">
                  <c:v>15.839499999999999</c:v>
                </c:pt>
                <c:pt idx="40">
                  <c:v>16.2453</c:v>
                </c:pt>
                <c:pt idx="41">
                  <c:v>16.649100000000001</c:v>
                </c:pt>
                <c:pt idx="42">
                  <c:v>17.054200000000002</c:v>
                </c:pt>
                <c:pt idx="43">
                  <c:v>17.464400000000001</c:v>
                </c:pt>
                <c:pt idx="44">
                  <c:v>17.8703</c:v>
                </c:pt>
                <c:pt idx="45">
                  <c:v>18.279900000000001</c:v>
                </c:pt>
                <c:pt idx="46">
                  <c:v>18.680700000000002</c:v>
                </c:pt>
                <c:pt idx="47">
                  <c:v>19.088999999999999</c:v>
                </c:pt>
                <c:pt idx="48">
                  <c:v>19.495799999999999</c:v>
                </c:pt>
                <c:pt idx="49">
                  <c:v>19.904900000000001</c:v>
                </c:pt>
                <c:pt idx="50">
                  <c:v>20.306000000000001</c:v>
                </c:pt>
                <c:pt idx="51">
                  <c:v>20.712800000000001</c:v>
                </c:pt>
                <c:pt idx="52">
                  <c:v>21.118300000000001</c:v>
                </c:pt>
                <c:pt idx="53">
                  <c:v>21.527000000000001</c:v>
                </c:pt>
                <c:pt idx="54">
                  <c:v>21.9313</c:v>
                </c:pt>
                <c:pt idx="55">
                  <c:v>22.338999999999999</c:v>
                </c:pt>
                <c:pt idx="56">
                  <c:v>22.745699999999999</c:v>
                </c:pt>
                <c:pt idx="57">
                  <c:v>23.151199999999999</c:v>
                </c:pt>
                <c:pt idx="58">
                  <c:v>23.561599999999999</c:v>
                </c:pt>
                <c:pt idx="59">
                  <c:v>23.965699999999998</c:v>
                </c:pt>
                <c:pt idx="60">
                  <c:v>24.369199999999999</c:v>
                </c:pt>
                <c:pt idx="61">
                  <c:v>24.775700000000001</c:v>
                </c:pt>
                <c:pt idx="62">
                  <c:v>25.182099999999998</c:v>
                </c:pt>
                <c:pt idx="63">
                  <c:v>25.588200000000001</c:v>
                </c:pt>
                <c:pt idx="64">
                  <c:v>25.993500000000001</c:v>
                </c:pt>
                <c:pt idx="65">
                  <c:v>26.401</c:v>
                </c:pt>
                <c:pt idx="66">
                  <c:v>26.804200000000002</c:v>
                </c:pt>
                <c:pt idx="67">
                  <c:v>27.213999999999999</c:v>
                </c:pt>
                <c:pt idx="68">
                  <c:v>27.623699999999999</c:v>
                </c:pt>
                <c:pt idx="69">
                  <c:v>28.026199999999999</c:v>
                </c:pt>
                <c:pt idx="70">
                  <c:v>28.431999999999999</c:v>
                </c:pt>
                <c:pt idx="71">
                  <c:v>28.840800000000002</c:v>
                </c:pt>
                <c:pt idx="72">
                  <c:v>29.2485</c:v>
                </c:pt>
                <c:pt idx="73">
                  <c:v>29.652899999999999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50.423099999999998</c:v>
                </c:pt>
                <c:pt idx="1">
                  <c:v>49.25</c:v>
                </c:pt>
                <c:pt idx="2">
                  <c:v>48.305799999999998</c:v>
                </c:pt>
                <c:pt idx="3">
                  <c:v>47.351999999999997</c:v>
                </c:pt>
                <c:pt idx="4">
                  <c:v>46.357900000000001</c:v>
                </c:pt>
                <c:pt idx="5">
                  <c:v>45.254199999999997</c:v>
                </c:pt>
                <c:pt idx="6">
                  <c:v>44.0486</c:v>
                </c:pt>
                <c:pt idx="7">
                  <c:v>42.879199999999997</c:v>
                </c:pt>
                <c:pt idx="8">
                  <c:v>41.768300000000004</c:v>
                </c:pt>
                <c:pt idx="9">
                  <c:v>40.760200000000005</c:v>
                </c:pt>
                <c:pt idx="10">
                  <c:v>39.915399999999998</c:v>
                </c:pt>
                <c:pt idx="11">
                  <c:v>39.162799999999997</c:v>
                </c:pt>
                <c:pt idx="12">
                  <c:v>38.589600000000004</c:v>
                </c:pt>
                <c:pt idx="13">
                  <c:v>38.172200000000004</c:v>
                </c:pt>
                <c:pt idx="14">
                  <c:v>37.798200000000001</c:v>
                </c:pt>
                <c:pt idx="15">
                  <c:v>37.533300000000004</c:v>
                </c:pt>
                <c:pt idx="16">
                  <c:v>37.51</c:v>
                </c:pt>
                <c:pt idx="17">
                  <c:v>37.543900000000001</c:v>
                </c:pt>
                <c:pt idx="18">
                  <c:v>37.623800000000003</c:v>
                </c:pt>
                <c:pt idx="19">
                  <c:v>37.783899999999996</c:v>
                </c:pt>
                <c:pt idx="20">
                  <c:v>37.967300000000002</c:v>
                </c:pt>
                <c:pt idx="21">
                  <c:v>38.281599999999997</c:v>
                </c:pt>
                <c:pt idx="22">
                  <c:v>38.5304</c:v>
                </c:pt>
                <c:pt idx="23">
                  <c:v>38.723700000000001</c:v>
                </c:pt>
                <c:pt idx="24">
                  <c:v>38.799700000000001</c:v>
                </c:pt>
                <c:pt idx="25">
                  <c:v>38.787199999999999</c:v>
                </c:pt>
                <c:pt idx="26">
                  <c:v>38.825900000000004</c:v>
                </c:pt>
                <c:pt idx="27">
                  <c:v>38.913699999999999</c:v>
                </c:pt>
                <c:pt idx="28">
                  <c:v>38.966799999999999</c:v>
                </c:pt>
                <c:pt idx="29">
                  <c:v>38.9268</c:v>
                </c:pt>
                <c:pt idx="30">
                  <c:v>38.904899999999998</c:v>
                </c:pt>
                <c:pt idx="31">
                  <c:v>38.845400000000005</c:v>
                </c:pt>
                <c:pt idx="32">
                  <c:v>38.7575</c:v>
                </c:pt>
                <c:pt idx="33">
                  <c:v>38.744199999999999</c:v>
                </c:pt>
                <c:pt idx="34">
                  <c:v>38.704100000000004</c:v>
                </c:pt>
                <c:pt idx="35">
                  <c:v>38.6952</c:v>
                </c:pt>
                <c:pt idx="36">
                  <c:v>38.712699999999998</c:v>
                </c:pt>
                <c:pt idx="37">
                  <c:v>38.738599999999998</c:v>
                </c:pt>
                <c:pt idx="38">
                  <c:v>38.823900000000002</c:v>
                </c:pt>
                <c:pt idx="39">
                  <c:v>38.9893</c:v>
                </c:pt>
                <c:pt idx="40">
                  <c:v>39.220300000000002</c:v>
                </c:pt>
                <c:pt idx="41">
                  <c:v>39.407199999999996</c:v>
                </c:pt>
                <c:pt idx="42">
                  <c:v>39.660000000000004</c:v>
                </c:pt>
                <c:pt idx="43">
                  <c:v>40.054299999999998</c:v>
                </c:pt>
                <c:pt idx="44">
                  <c:v>40.508800000000001</c:v>
                </c:pt>
                <c:pt idx="45">
                  <c:v>41.009700000000002</c:v>
                </c:pt>
                <c:pt idx="46">
                  <c:v>41.476500000000001</c:v>
                </c:pt>
                <c:pt idx="47">
                  <c:v>42.009700000000002</c:v>
                </c:pt>
                <c:pt idx="48">
                  <c:v>42.575499999999998</c:v>
                </c:pt>
                <c:pt idx="49">
                  <c:v>43.285000000000004</c:v>
                </c:pt>
                <c:pt idx="50">
                  <c:v>43.824300000000001</c:v>
                </c:pt>
                <c:pt idx="51">
                  <c:v>44.631700000000002</c:v>
                </c:pt>
                <c:pt idx="52">
                  <c:v>45.445999999999998</c:v>
                </c:pt>
                <c:pt idx="53">
                  <c:v>46.292999999999999</c:v>
                </c:pt>
                <c:pt idx="54">
                  <c:v>47.188200000000002</c:v>
                </c:pt>
                <c:pt idx="55">
                  <c:v>48.042099999999998</c:v>
                </c:pt>
                <c:pt idx="56">
                  <c:v>48.998599999999996</c:v>
                </c:pt>
                <c:pt idx="57">
                  <c:v>49.706099999999999</c:v>
                </c:pt>
                <c:pt idx="58">
                  <c:v>50.341299999999997</c:v>
                </c:pt>
                <c:pt idx="59">
                  <c:v>50.972399999999993</c:v>
                </c:pt>
                <c:pt idx="60">
                  <c:v>51.5169</c:v>
                </c:pt>
                <c:pt idx="61">
                  <c:v>52.014099999999999</c:v>
                </c:pt>
                <c:pt idx="62">
                  <c:v>52.523699999999998</c:v>
                </c:pt>
                <c:pt idx="63">
                  <c:v>52.974900000000005</c:v>
                </c:pt>
                <c:pt idx="64">
                  <c:v>53.436999999999998</c:v>
                </c:pt>
                <c:pt idx="65">
                  <c:v>53.849299999999999</c:v>
                </c:pt>
                <c:pt idx="66">
                  <c:v>54.241599999999998</c:v>
                </c:pt>
                <c:pt idx="67">
                  <c:v>54.624600000000001</c:v>
                </c:pt>
                <c:pt idx="68">
                  <c:v>54.783200000000001</c:v>
                </c:pt>
                <c:pt idx="69">
                  <c:v>54.878599999999999</c:v>
                </c:pt>
                <c:pt idx="70">
                  <c:v>54.980300000000007</c:v>
                </c:pt>
                <c:pt idx="71">
                  <c:v>54.897600000000004</c:v>
                </c:pt>
                <c:pt idx="72">
                  <c:v>54.845500000000001</c:v>
                </c:pt>
                <c:pt idx="73">
                  <c:v>54.804499999999997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29.652899999999999</c:v>
                </c:pt>
                <c:pt idx="1">
                  <c:v>30.055499999999999</c:v>
                </c:pt>
                <c:pt idx="2">
                  <c:v>30.570900000000002</c:v>
                </c:pt>
                <c:pt idx="3">
                  <c:v>30.947199999999999</c:v>
                </c:pt>
                <c:pt idx="4">
                  <c:v>31.340299999999999</c:v>
                </c:pt>
                <c:pt idx="5">
                  <c:v>31.744499999999999</c:v>
                </c:pt>
                <c:pt idx="6">
                  <c:v>32.133800000000001</c:v>
                </c:pt>
                <c:pt idx="7">
                  <c:v>32.543399999999998</c:v>
                </c:pt>
                <c:pt idx="8">
                  <c:v>32.953099999999999</c:v>
                </c:pt>
                <c:pt idx="9">
                  <c:v>33.353700000000003</c:v>
                </c:pt>
                <c:pt idx="10">
                  <c:v>33.7592</c:v>
                </c:pt>
                <c:pt idx="11">
                  <c:v>34.165799999999997</c:v>
                </c:pt>
                <c:pt idx="12">
                  <c:v>34.573999999999998</c:v>
                </c:pt>
                <c:pt idx="13">
                  <c:v>34.979700000000001</c:v>
                </c:pt>
                <c:pt idx="14">
                  <c:v>35.3857</c:v>
                </c:pt>
                <c:pt idx="15">
                  <c:v>35.790399999999998</c:v>
                </c:pt>
                <c:pt idx="16">
                  <c:v>36.200400000000002</c:v>
                </c:pt>
                <c:pt idx="17">
                  <c:v>36.604100000000003</c:v>
                </c:pt>
                <c:pt idx="18">
                  <c:v>37.011600000000001</c:v>
                </c:pt>
                <c:pt idx="19">
                  <c:v>37.414700000000003</c:v>
                </c:pt>
                <c:pt idx="20">
                  <c:v>37.821599999999997</c:v>
                </c:pt>
                <c:pt idx="21">
                  <c:v>38.231200000000001</c:v>
                </c:pt>
                <c:pt idx="22">
                  <c:v>38.637599999999999</c:v>
                </c:pt>
                <c:pt idx="23">
                  <c:v>39.043199999999999</c:v>
                </c:pt>
                <c:pt idx="24">
                  <c:v>39.447899999999997</c:v>
                </c:pt>
                <c:pt idx="25">
                  <c:v>39.854500000000002</c:v>
                </c:pt>
                <c:pt idx="26">
                  <c:v>40.262</c:v>
                </c:pt>
                <c:pt idx="27">
                  <c:v>40.667700000000004</c:v>
                </c:pt>
                <c:pt idx="28">
                  <c:v>41.073999999999998</c:v>
                </c:pt>
                <c:pt idx="29">
                  <c:v>41.480400000000003</c:v>
                </c:pt>
                <c:pt idx="30">
                  <c:v>41.883600000000001</c:v>
                </c:pt>
                <c:pt idx="31">
                  <c:v>42.2926</c:v>
                </c:pt>
                <c:pt idx="32">
                  <c:v>42.701099999999997</c:v>
                </c:pt>
                <c:pt idx="33">
                  <c:v>43.104799999999997</c:v>
                </c:pt>
                <c:pt idx="34">
                  <c:v>43.509500000000003</c:v>
                </c:pt>
                <c:pt idx="35">
                  <c:v>43.915199999999999</c:v>
                </c:pt>
                <c:pt idx="36">
                  <c:v>44.323399999999999</c:v>
                </c:pt>
                <c:pt idx="37">
                  <c:v>44.729199999999999</c:v>
                </c:pt>
                <c:pt idx="38">
                  <c:v>45.133899999999997</c:v>
                </c:pt>
                <c:pt idx="39">
                  <c:v>45.5426</c:v>
                </c:pt>
                <c:pt idx="40">
                  <c:v>45.9512</c:v>
                </c:pt>
                <c:pt idx="41">
                  <c:v>46.354199999999999</c:v>
                </c:pt>
                <c:pt idx="42">
                  <c:v>46.760399999999997</c:v>
                </c:pt>
                <c:pt idx="43">
                  <c:v>47.166400000000003</c:v>
                </c:pt>
                <c:pt idx="44">
                  <c:v>47.572299999999998</c:v>
                </c:pt>
                <c:pt idx="45">
                  <c:v>47.978299999999997</c:v>
                </c:pt>
                <c:pt idx="46">
                  <c:v>48.383800000000001</c:v>
                </c:pt>
                <c:pt idx="47">
                  <c:v>48.792099999999998</c:v>
                </c:pt>
                <c:pt idx="48">
                  <c:v>49.198300000000003</c:v>
                </c:pt>
                <c:pt idx="49">
                  <c:v>49.604199999999999</c:v>
                </c:pt>
                <c:pt idx="50">
                  <c:v>50.012799999999999</c:v>
                </c:pt>
                <c:pt idx="51">
                  <c:v>50.417099999999998</c:v>
                </c:pt>
                <c:pt idx="52">
                  <c:v>50.8232</c:v>
                </c:pt>
                <c:pt idx="53">
                  <c:v>51.230499999999999</c:v>
                </c:pt>
                <c:pt idx="54">
                  <c:v>51.636099999999999</c:v>
                </c:pt>
                <c:pt idx="55">
                  <c:v>52.039499999999997</c:v>
                </c:pt>
                <c:pt idx="56">
                  <c:v>52.449599999999997</c:v>
                </c:pt>
                <c:pt idx="57">
                  <c:v>52.854700000000001</c:v>
                </c:pt>
                <c:pt idx="58">
                  <c:v>53.259900000000002</c:v>
                </c:pt>
                <c:pt idx="59">
                  <c:v>53.666800000000002</c:v>
                </c:pt>
                <c:pt idx="60">
                  <c:v>54.075000000000003</c:v>
                </c:pt>
                <c:pt idx="61">
                  <c:v>54.479900000000001</c:v>
                </c:pt>
                <c:pt idx="62">
                  <c:v>54.885899999999999</c:v>
                </c:pt>
                <c:pt idx="63">
                  <c:v>55.290100000000002</c:v>
                </c:pt>
                <c:pt idx="64">
                  <c:v>55.698</c:v>
                </c:pt>
                <c:pt idx="65">
                  <c:v>56.105899999999998</c:v>
                </c:pt>
                <c:pt idx="66">
                  <c:v>56.512099999999997</c:v>
                </c:pt>
                <c:pt idx="67">
                  <c:v>56.915500000000002</c:v>
                </c:pt>
                <c:pt idx="68">
                  <c:v>57.321100000000001</c:v>
                </c:pt>
                <c:pt idx="69">
                  <c:v>57.7333</c:v>
                </c:pt>
                <c:pt idx="70">
                  <c:v>58.138100000000001</c:v>
                </c:pt>
                <c:pt idx="71">
                  <c:v>58.546799999999998</c:v>
                </c:pt>
                <c:pt idx="72">
                  <c:v>58.947699999999998</c:v>
                </c:pt>
                <c:pt idx="73">
                  <c:v>59.355499999999999</c:v>
                </c:pt>
                <c:pt idx="74">
                  <c:v>59.763500000000001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54.804499999999997</c:v>
                </c:pt>
                <c:pt idx="1">
                  <c:v>54.631399999999999</c:v>
                </c:pt>
                <c:pt idx="2">
                  <c:v>54.487900000000003</c:v>
                </c:pt>
                <c:pt idx="3">
                  <c:v>54.414900000000003</c:v>
                </c:pt>
                <c:pt idx="4">
                  <c:v>54.340999999999994</c:v>
                </c:pt>
                <c:pt idx="5">
                  <c:v>54.306600000000003</c:v>
                </c:pt>
                <c:pt idx="6">
                  <c:v>54.347299999999997</c:v>
                </c:pt>
                <c:pt idx="7">
                  <c:v>54.431399999999996</c:v>
                </c:pt>
                <c:pt idx="8">
                  <c:v>54.541700000000006</c:v>
                </c:pt>
                <c:pt idx="9">
                  <c:v>54.645200000000003</c:v>
                </c:pt>
                <c:pt idx="10">
                  <c:v>54.729099999999995</c:v>
                </c:pt>
                <c:pt idx="11">
                  <c:v>54.795700000000004</c:v>
                </c:pt>
                <c:pt idx="12">
                  <c:v>54.919899999999998</c:v>
                </c:pt>
                <c:pt idx="13">
                  <c:v>55.121900000000004</c:v>
                </c:pt>
                <c:pt idx="14">
                  <c:v>55.460900000000002</c:v>
                </c:pt>
                <c:pt idx="15">
                  <c:v>55.720499999999994</c:v>
                </c:pt>
                <c:pt idx="16">
                  <c:v>55.889800000000001</c:v>
                </c:pt>
                <c:pt idx="17">
                  <c:v>56.0107</c:v>
                </c:pt>
                <c:pt idx="18">
                  <c:v>56.101299999999995</c:v>
                </c:pt>
                <c:pt idx="19">
                  <c:v>56.120599999999996</c:v>
                </c:pt>
                <c:pt idx="20">
                  <c:v>56.058900000000001</c:v>
                </c:pt>
                <c:pt idx="21">
                  <c:v>55.8889</c:v>
                </c:pt>
                <c:pt idx="22">
                  <c:v>55.623999999999995</c:v>
                </c:pt>
                <c:pt idx="23">
                  <c:v>55.215199999999996</c:v>
                </c:pt>
                <c:pt idx="24">
                  <c:v>54.6175</c:v>
                </c:pt>
                <c:pt idx="25">
                  <c:v>53.971699999999998</c:v>
                </c:pt>
                <c:pt idx="26">
                  <c:v>53.360399999999998</c:v>
                </c:pt>
                <c:pt idx="27">
                  <c:v>52.877799999999993</c:v>
                </c:pt>
                <c:pt idx="28">
                  <c:v>52.388199999999998</c:v>
                </c:pt>
                <c:pt idx="29">
                  <c:v>51.951599999999999</c:v>
                </c:pt>
                <c:pt idx="30">
                  <c:v>51.563400000000001</c:v>
                </c:pt>
                <c:pt idx="31">
                  <c:v>51.1556</c:v>
                </c:pt>
                <c:pt idx="32">
                  <c:v>50.8371</c:v>
                </c:pt>
                <c:pt idx="33">
                  <c:v>50.448300000000003</c:v>
                </c:pt>
                <c:pt idx="34">
                  <c:v>50.071899999999999</c:v>
                </c:pt>
                <c:pt idx="35">
                  <c:v>49.676500000000004</c:v>
                </c:pt>
                <c:pt idx="36">
                  <c:v>49.225099999999998</c:v>
                </c:pt>
                <c:pt idx="37">
                  <c:v>48.695699999999995</c:v>
                </c:pt>
                <c:pt idx="38">
                  <c:v>48.225299999999997</c:v>
                </c:pt>
                <c:pt idx="39">
                  <c:v>47.690300000000001</c:v>
                </c:pt>
                <c:pt idx="40">
                  <c:v>47.045700000000004</c:v>
                </c:pt>
                <c:pt idx="41">
                  <c:v>46.357599999999998</c:v>
                </c:pt>
                <c:pt idx="42">
                  <c:v>45.650800000000004</c:v>
                </c:pt>
                <c:pt idx="43">
                  <c:v>44.832599999999999</c:v>
                </c:pt>
                <c:pt idx="44">
                  <c:v>44.126599999999996</c:v>
                </c:pt>
                <c:pt idx="45">
                  <c:v>43.473099999999995</c:v>
                </c:pt>
                <c:pt idx="46">
                  <c:v>42.8337</c:v>
                </c:pt>
                <c:pt idx="47">
                  <c:v>42.164499999999997</c:v>
                </c:pt>
                <c:pt idx="48">
                  <c:v>41.6126</c:v>
                </c:pt>
                <c:pt idx="49">
                  <c:v>41.065300000000001</c:v>
                </c:pt>
                <c:pt idx="50">
                  <c:v>40.640300000000003</c:v>
                </c:pt>
                <c:pt idx="51">
                  <c:v>40.3093</c:v>
                </c:pt>
                <c:pt idx="52">
                  <c:v>39.9208</c:v>
                </c:pt>
                <c:pt idx="53">
                  <c:v>39.477000000000004</c:v>
                </c:pt>
                <c:pt idx="54">
                  <c:v>39.066400000000002</c:v>
                </c:pt>
                <c:pt idx="55">
                  <c:v>38.664100000000005</c:v>
                </c:pt>
                <c:pt idx="56">
                  <c:v>38.283299999999997</c:v>
                </c:pt>
                <c:pt idx="57">
                  <c:v>37.866799999999998</c:v>
                </c:pt>
                <c:pt idx="58">
                  <c:v>37.452300000000001</c:v>
                </c:pt>
                <c:pt idx="59">
                  <c:v>37.0642</c:v>
                </c:pt>
                <c:pt idx="60">
                  <c:v>36.710900000000002</c:v>
                </c:pt>
                <c:pt idx="61">
                  <c:v>36.379800000000003</c:v>
                </c:pt>
                <c:pt idx="62">
                  <c:v>36.169699999999999</c:v>
                </c:pt>
                <c:pt idx="63">
                  <c:v>35.932600000000001</c:v>
                </c:pt>
                <c:pt idx="64">
                  <c:v>35.661100000000005</c:v>
                </c:pt>
                <c:pt idx="65">
                  <c:v>35.429500000000004</c:v>
                </c:pt>
                <c:pt idx="66">
                  <c:v>35.229300000000002</c:v>
                </c:pt>
                <c:pt idx="67">
                  <c:v>35.105599999999995</c:v>
                </c:pt>
                <c:pt idx="68">
                  <c:v>35.124699999999997</c:v>
                </c:pt>
                <c:pt idx="69">
                  <c:v>35.054699999999997</c:v>
                </c:pt>
                <c:pt idx="70">
                  <c:v>34.984099999999998</c:v>
                </c:pt>
                <c:pt idx="71">
                  <c:v>34.856099999999998</c:v>
                </c:pt>
                <c:pt idx="72">
                  <c:v>35.119499999999995</c:v>
                </c:pt>
                <c:pt idx="73">
                  <c:v>34.544499999999999</c:v>
                </c:pt>
                <c:pt idx="74">
                  <c:v>33.915800000000004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14.940875</c:v>
                </c:pt>
                <c:pt idx="1">
                  <c:v>44.822625000000002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43.941808108108084</c:v>
                </c:pt>
                <c:pt idx="1">
                  <c:v>46.522785135135116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41.433</c:v>
                </c:pt>
                <c:pt idx="1">
                  <c:v>25.6403</c:v>
                </c:pt>
                <c:pt idx="2">
                  <c:v>27.7346</c:v>
                </c:pt>
                <c:pt idx="3">
                  <c:v>30.011099999999999</c:v>
                </c:pt>
                <c:pt idx="4">
                  <c:v>74.292000000000002</c:v>
                </c:pt>
                <c:pt idx="5">
                  <c:v>82.210700000000003</c:v>
                </c:pt>
                <c:pt idx="6">
                  <c:v>29.093800000000002</c:v>
                </c:pt>
                <c:pt idx="7">
                  <c:v>77.655699999999996</c:v>
                </c:pt>
                <c:pt idx="8">
                  <c:v>17.768899999999999</c:v>
                </c:pt>
                <c:pt idx="9">
                  <c:v>22.838699999999999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37.9116</c:v>
                </c:pt>
                <c:pt idx="1">
                  <c:v>21.527000000000001</c:v>
                </c:pt>
                <c:pt idx="2">
                  <c:v>27.4482</c:v>
                </c:pt>
                <c:pt idx="3">
                  <c:v>28.694099999999999</c:v>
                </c:pt>
                <c:pt idx="4">
                  <c:v>74.366299999999995</c:v>
                </c:pt>
                <c:pt idx="5">
                  <c:v>80.408199999999994</c:v>
                </c:pt>
                <c:pt idx="6">
                  <c:v>28.889900000000001</c:v>
                </c:pt>
                <c:pt idx="7">
                  <c:v>77.755099999999999</c:v>
                </c:pt>
                <c:pt idx="8">
                  <c:v>17.491599999999998</c:v>
                </c:pt>
                <c:pt idx="9">
                  <c:v>22.6004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0.56096277241360504</c:v>
                </c:pt>
                <c:pt idx="1">
                  <c:v>0.26597617148078445</c:v>
                </c:pt>
                <c:pt idx="2">
                  <c:v>0.17306105610561054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710</c:v>
                </c:pt>
                <c:pt idx="7">
                  <c:v>0</c:v>
                </c:pt>
                <c:pt idx="8">
                  <c:v>629</c:v>
                </c:pt>
                <c:pt idx="9">
                  <c:v>0</c:v>
                </c:pt>
                <c:pt idx="10">
                  <c:v>0</c:v>
                </c:pt>
                <c:pt idx="11">
                  <c:v>1068</c:v>
                </c:pt>
                <c:pt idx="12">
                  <c:v>0</c:v>
                </c:pt>
                <c:pt idx="13">
                  <c:v>2349</c:v>
                </c:pt>
                <c:pt idx="14">
                  <c:v>0</c:v>
                </c:pt>
                <c:pt idx="15">
                  <c:v>0</c:v>
                </c:pt>
                <c:pt idx="16">
                  <c:v>3684</c:v>
                </c:pt>
                <c:pt idx="17">
                  <c:v>0</c:v>
                </c:pt>
                <c:pt idx="18">
                  <c:v>0</c:v>
                </c:pt>
                <c:pt idx="19">
                  <c:v>6471</c:v>
                </c:pt>
                <c:pt idx="20">
                  <c:v>0</c:v>
                </c:pt>
                <c:pt idx="21">
                  <c:v>8813</c:v>
                </c:pt>
                <c:pt idx="22">
                  <c:v>0</c:v>
                </c:pt>
                <c:pt idx="23">
                  <c:v>0</c:v>
                </c:pt>
                <c:pt idx="24">
                  <c:v>11715</c:v>
                </c:pt>
                <c:pt idx="25">
                  <c:v>0</c:v>
                </c:pt>
                <c:pt idx="26">
                  <c:v>14536</c:v>
                </c:pt>
                <c:pt idx="27">
                  <c:v>0</c:v>
                </c:pt>
                <c:pt idx="28">
                  <c:v>0</c:v>
                </c:pt>
                <c:pt idx="29">
                  <c:v>19229</c:v>
                </c:pt>
                <c:pt idx="30">
                  <c:v>0</c:v>
                </c:pt>
                <c:pt idx="31">
                  <c:v>24039</c:v>
                </c:pt>
                <c:pt idx="32">
                  <c:v>0</c:v>
                </c:pt>
                <c:pt idx="33">
                  <c:v>0</c:v>
                </c:pt>
                <c:pt idx="34">
                  <c:v>28807</c:v>
                </c:pt>
                <c:pt idx="35">
                  <c:v>0</c:v>
                </c:pt>
                <c:pt idx="36">
                  <c:v>0</c:v>
                </c:pt>
                <c:pt idx="37">
                  <c:v>31303</c:v>
                </c:pt>
                <c:pt idx="38">
                  <c:v>0</c:v>
                </c:pt>
                <c:pt idx="39">
                  <c:v>33914</c:v>
                </c:pt>
                <c:pt idx="40">
                  <c:v>0</c:v>
                </c:pt>
                <c:pt idx="41">
                  <c:v>0</c:v>
                </c:pt>
                <c:pt idx="42">
                  <c:v>35697</c:v>
                </c:pt>
                <c:pt idx="43">
                  <c:v>0</c:v>
                </c:pt>
                <c:pt idx="44">
                  <c:v>37716</c:v>
                </c:pt>
                <c:pt idx="45">
                  <c:v>0</c:v>
                </c:pt>
                <c:pt idx="46">
                  <c:v>0</c:v>
                </c:pt>
                <c:pt idx="47">
                  <c:v>38992</c:v>
                </c:pt>
                <c:pt idx="48">
                  <c:v>0</c:v>
                </c:pt>
                <c:pt idx="49">
                  <c:v>41207</c:v>
                </c:pt>
                <c:pt idx="50">
                  <c:v>0</c:v>
                </c:pt>
                <c:pt idx="51">
                  <c:v>0</c:v>
                </c:pt>
                <c:pt idx="52">
                  <c:v>45510</c:v>
                </c:pt>
                <c:pt idx="53">
                  <c:v>0</c:v>
                </c:pt>
                <c:pt idx="54">
                  <c:v>0</c:v>
                </c:pt>
                <c:pt idx="55">
                  <c:v>45134</c:v>
                </c:pt>
                <c:pt idx="56">
                  <c:v>0</c:v>
                </c:pt>
                <c:pt idx="57">
                  <c:v>49146</c:v>
                </c:pt>
                <c:pt idx="58">
                  <c:v>0</c:v>
                </c:pt>
                <c:pt idx="59">
                  <c:v>0</c:v>
                </c:pt>
                <c:pt idx="60">
                  <c:v>51562</c:v>
                </c:pt>
                <c:pt idx="61">
                  <c:v>0</c:v>
                </c:pt>
                <c:pt idx="62">
                  <c:v>56696</c:v>
                </c:pt>
                <c:pt idx="63">
                  <c:v>0</c:v>
                </c:pt>
                <c:pt idx="64">
                  <c:v>0</c:v>
                </c:pt>
                <c:pt idx="65">
                  <c:v>56501</c:v>
                </c:pt>
                <c:pt idx="66">
                  <c:v>0</c:v>
                </c:pt>
                <c:pt idx="67">
                  <c:v>62253</c:v>
                </c:pt>
                <c:pt idx="68">
                  <c:v>0</c:v>
                </c:pt>
                <c:pt idx="69">
                  <c:v>0</c:v>
                </c:pt>
                <c:pt idx="70">
                  <c:v>67107</c:v>
                </c:pt>
                <c:pt idx="71">
                  <c:v>0</c:v>
                </c:pt>
                <c:pt idx="72">
                  <c:v>0</c:v>
                </c:pt>
                <c:pt idx="73">
                  <c:v>66408</c:v>
                </c:pt>
                <c:pt idx="74">
                  <c:v>0</c:v>
                </c:pt>
                <c:pt idx="75">
                  <c:v>72942</c:v>
                </c:pt>
                <c:pt idx="76">
                  <c:v>0</c:v>
                </c:pt>
                <c:pt idx="77">
                  <c:v>0</c:v>
                </c:pt>
                <c:pt idx="78">
                  <c:v>78559</c:v>
                </c:pt>
                <c:pt idx="79">
                  <c:v>0</c:v>
                </c:pt>
                <c:pt idx="80">
                  <c:v>76620</c:v>
                </c:pt>
                <c:pt idx="81">
                  <c:v>0</c:v>
                </c:pt>
                <c:pt idx="82">
                  <c:v>0</c:v>
                </c:pt>
                <c:pt idx="83">
                  <c:v>78799</c:v>
                </c:pt>
                <c:pt idx="84">
                  <c:v>0</c:v>
                </c:pt>
                <c:pt idx="85">
                  <c:v>0</c:v>
                </c:pt>
                <c:pt idx="86">
                  <c:v>84466</c:v>
                </c:pt>
                <c:pt idx="87">
                  <c:v>0</c:v>
                </c:pt>
                <c:pt idx="88">
                  <c:v>87523</c:v>
                </c:pt>
                <c:pt idx="89">
                  <c:v>0</c:v>
                </c:pt>
                <c:pt idx="90">
                  <c:v>0</c:v>
                </c:pt>
                <c:pt idx="91">
                  <c:v>93891</c:v>
                </c:pt>
                <c:pt idx="92">
                  <c:v>0</c:v>
                </c:pt>
                <c:pt idx="93">
                  <c:v>93994</c:v>
                </c:pt>
                <c:pt idx="94">
                  <c:v>0</c:v>
                </c:pt>
                <c:pt idx="95">
                  <c:v>0</c:v>
                </c:pt>
                <c:pt idx="96">
                  <c:v>98712</c:v>
                </c:pt>
                <c:pt idx="97">
                  <c:v>0</c:v>
                </c:pt>
                <c:pt idx="98">
                  <c:v>95349</c:v>
                </c:pt>
                <c:pt idx="99">
                  <c:v>0</c:v>
                </c:pt>
                <c:pt idx="100">
                  <c:v>0</c:v>
                </c:pt>
                <c:pt idx="101">
                  <c:v>95707</c:v>
                </c:pt>
                <c:pt idx="102">
                  <c:v>0</c:v>
                </c:pt>
                <c:pt idx="103">
                  <c:v>0</c:v>
                </c:pt>
                <c:pt idx="104">
                  <c:v>95389</c:v>
                </c:pt>
                <c:pt idx="105">
                  <c:v>0</c:v>
                </c:pt>
                <c:pt idx="106">
                  <c:v>93905</c:v>
                </c:pt>
                <c:pt idx="107">
                  <c:v>0</c:v>
                </c:pt>
                <c:pt idx="108">
                  <c:v>0</c:v>
                </c:pt>
                <c:pt idx="109">
                  <c:v>92163</c:v>
                </c:pt>
                <c:pt idx="110">
                  <c:v>0</c:v>
                </c:pt>
                <c:pt idx="111">
                  <c:v>87934</c:v>
                </c:pt>
                <c:pt idx="112">
                  <c:v>0</c:v>
                </c:pt>
                <c:pt idx="113">
                  <c:v>0</c:v>
                </c:pt>
                <c:pt idx="114">
                  <c:v>83158</c:v>
                </c:pt>
                <c:pt idx="115">
                  <c:v>0</c:v>
                </c:pt>
                <c:pt idx="116">
                  <c:v>77076</c:v>
                </c:pt>
                <c:pt idx="117">
                  <c:v>0</c:v>
                </c:pt>
                <c:pt idx="118">
                  <c:v>0</c:v>
                </c:pt>
                <c:pt idx="119">
                  <c:v>62762</c:v>
                </c:pt>
                <c:pt idx="120">
                  <c:v>0</c:v>
                </c:pt>
                <c:pt idx="121">
                  <c:v>0</c:v>
                </c:pt>
                <c:pt idx="122">
                  <c:v>61558</c:v>
                </c:pt>
                <c:pt idx="123">
                  <c:v>0</c:v>
                </c:pt>
                <c:pt idx="124">
                  <c:v>60632</c:v>
                </c:pt>
                <c:pt idx="125">
                  <c:v>0</c:v>
                </c:pt>
                <c:pt idx="126">
                  <c:v>0</c:v>
                </c:pt>
                <c:pt idx="127">
                  <c:v>59487</c:v>
                </c:pt>
                <c:pt idx="128">
                  <c:v>0</c:v>
                </c:pt>
                <c:pt idx="129">
                  <c:v>59323</c:v>
                </c:pt>
                <c:pt idx="130">
                  <c:v>0</c:v>
                </c:pt>
                <c:pt idx="131">
                  <c:v>0</c:v>
                </c:pt>
                <c:pt idx="132">
                  <c:v>51911</c:v>
                </c:pt>
                <c:pt idx="133">
                  <c:v>0</c:v>
                </c:pt>
                <c:pt idx="134">
                  <c:v>50037</c:v>
                </c:pt>
                <c:pt idx="135">
                  <c:v>0</c:v>
                </c:pt>
                <c:pt idx="136">
                  <c:v>0</c:v>
                </c:pt>
                <c:pt idx="137">
                  <c:v>47177</c:v>
                </c:pt>
                <c:pt idx="138">
                  <c:v>0</c:v>
                </c:pt>
                <c:pt idx="139">
                  <c:v>0</c:v>
                </c:pt>
                <c:pt idx="140">
                  <c:v>40530</c:v>
                </c:pt>
                <c:pt idx="141">
                  <c:v>0</c:v>
                </c:pt>
                <c:pt idx="142">
                  <c:v>42088</c:v>
                </c:pt>
                <c:pt idx="143">
                  <c:v>0</c:v>
                </c:pt>
                <c:pt idx="144">
                  <c:v>0</c:v>
                </c:pt>
                <c:pt idx="145">
                  <c:v>39586</c:v>
                </c:pt>
                <c:pt idx="146">
                  <c:v>0</c:v>
                </c:pt>
                <c:pt idx="147">
                  <c:v>38113</c:v>
                </c:pt>
                <c:pt idx="148">
                  <c:v>0</c:v>
                </c:pt>
                <c:pt idx="149">
                  <c:v>0</c:v>
                </c:pt>
                <c:pt idx="150">
                  <c:v>33257</c:v>
                </c:pt>
                <c:pt idx="151">
                  <c:v>0</c:v>
                </c:pt>
                <c:pt idx="152">
                  <c:v>31221</c:v>
                </c:pt>
                <c:pt idx="153">
                  <c:v>0</c:v>
                </c:pt>
                <c:pt idx="154">
                  <c:v>0</c:v>
                </c:pt>
                <c:pt idx="155">
                  <c:v>31579</c:v>
                </c:pt>
                <c:pt idx="156">
                  <c:v>0</c:v>
                </c:pt>
                <c:pt idx="157">
                  <c:v>0</c:v>
                </c:pt>
                <c:pt idx="158">
                  <c:v>30463</c:v>
                </c:pt>
                <c:pt idx="159">
                  <c:v>0</c:v>
                </c:pt>
                <c:pt idx="160">
                  <c:v>29034</c:v>
                </c:pt>
                <c:pt idx="161">
                  <c:v>0</c:v>
                </c:pt>
                <c:pt idx="162">
                  <c:v>0</c:v>
                </c:pt>
                <c:pt idx="163">
                  <c:v>24030</c:v>
                </c:pt>
                <c:pt idx="164">
                  <c:v>0</c:v>
                </c:pt>
                <c:pt idx="165">
                  <c:v>21729</c:v>
                </c:pt>
                <c:pt idx="166">
                  <c:v>0</c:v>
                </c:pt>
                <c:pt idx="167">
                  <c:v>0</c:v>
                </c:pt>
                <c:pt idx="168">
                  <c:v>18838</c:v>
                </c:pt>
                <c:pt idx="169">
                  <c:v>0</c:v>
                </c:pt>
                <c:pt idx="170">
                  <c:v>0</c:v>
                </c:pt>
                <c:pt idx="171">
                  <c:v>16755</c:v>
                </c:pt>
                <c:pt idx="172">
                  <c:v>0</c:v>
                </c:pt>
                <c:pt idx="173">
                  <c:v>10126</c:v>
                </c:pt>
                <c:pt idx="174">
                  <c:v>0</c:v>
                </c:pt>
                <c:pt idx="175">
                  <c:v>0</c:v>
                </c:pt>
                <c:pt idx="176">
                  <c:v>6931</c:v>
                </c:pt>
                <c:pt idx="177">
                  <c:v>0</c:v>
                </c:pt>
                <c:pt idx="178">
                  <c:v>4606</c:v>
                </c:pt>
                <c:pt idx="179">
                  <c:v>0</c:v>
                </c:pt>
                <c:pt idx="180">
                  <c:v>0</c:v>
                </c:pt>
                <c:pt idx="181">
                  <c:v>2569</c:v>
                </c:pt>
                <c:pt idx="182">
                  <c:v>0</c:v>
                </c:pt>
                <c:pt idx="183">
                  <c:v>1393</c:v>
                </c:pt>
                <c:pt idx="184">
                  <c:v>0</c:v>
                </c:pt>
                <c:pt idx="185">
                  <c:v>0</c:v>
                </c:pt>
                <c:pt idx="186">
                  <c:v>1137</c:v>
                </c:pt>
                <c:pt idx="187">
                  <c:v>0</c:v>
                </c:pt>
                <c:pt idx="188">
                  <c:v>0</c:v>
                </c:pt>
                <c:pt idx="189">
                  <c:v>337</c:v>
                </c:pt>
                <c:pt idx="190">
                  <c:v>0</c:v>
                </c:pt>
                <c:pt idx="191">
                  <c:v>111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260</c:v>
                </c:pt>
                <c:pt idx="7">
                  <c:v>0</c:v>
                </c:pt>
                <c:pt idx="8">
                  <c:v>273</c:v>
                </c:pt>
                <c:pt idx="9">
                  <c:v>0</c:v>
                </c:pt>
                <c:pt idx="10">
                  <c:v>0</c:v>
                </c:pt>
                <c:pt idx="11">
                  <c:v>480</c:v>
                </c:pt>
                <c:pt idx="12">
                  <c:v>0</c:v>
                </c:pt>
                <c:pt idx="13">
                  <c:v>648</c:v>
                </c:pt>
                <c:pt idx="14">
                  <c:v>0</c:v>
                </c:pt>
                <c:pt idx="15">
                  <c:v>0</c:v>
                </c:pt>
                <c:pt idx="16">
                  <c:v>1390</c:v>
                </c:pt>
                <c:pt idx="17">
                  <c:v>0</c:v>
                </c:pt>
                <c:pt idx="18">
                  <c:v>0</c:v>
                </c:pt>
                <c:pt idx="19">
                  <c:v>2018</c:v>
                </c:pt>
                <c:pt idx="20">
                  <c:v>0</c:v>
                </c:pt>
                <c:pt idx="21">
                  <c:v>3324</c:v>
                </c:pt>
                <c:pt idx="22">
                  <c:v>0</c:v>
                </c:pt>
                <c:pt idx="23">
                  <c:v>0</c:v>
                </c:pt>
                <c:pt idx="24">
                  <c:v>2827</c:v>
                </c:pt>
                <c:pt idx="25">
                  <c:v>0</c:v>
                </c:pt>
                <c:pt idx="26">
                  <c:v>3064</c:v>
                </c:pt>
                <c:pt idx="27">
                  <c:v>0</c:v>
                </c:pt>
                <c:pt idx="28">
                  <c:v>0</c:v>
                </c:pt>
                <c:pt idx="29">
                  <c:v>2697</c:v>
                </c:pt>
                <c:pt idx="30">
                  <c:v>0</c:v>
                </c:pt>
                <c:pt idx="31">
                  <c:v>4426</c:v>
                </c:pt>
                <c:pt idx="32">
                  <c:v>0</c:v>
                </c:pt>
                <c:pt idx="33">
                  <c:v>0</c:v>
                </c:pt>
                <c:pt idx="34">
                  <c:v>3934</c:v>
                </c:pt>
                <c:pt idx="35">
                  <c:v>0</c:v>
                </c:pt>
                <c:pt idx="36">
                  <c:v>0</c:v>
                </c:pt>
                <c:pt idx="37">
                  <c:v>6634</c:v>
                </c:pt>
                <c:pt idx="38">
                  <c:v>0</c:v>
                </c:pt>
                <c:pt idx="39">
                  <c:v>8785</c:v>
                </c:pt>
                <c:pt idx="40">
                  <c:v>0</c:v>
                </c:pt>
                <c:pt idx="41">
                  <c:v>0</c:v>
                </c:pt>
                <c:pt idx="42">
                  <c:v>9426</c:v>
                </c:pt>
                <c:pt idx="43">
                  <c:v>0</c:v>
                </c:pt>
                <c:pt idx="44">
                  <c:v>13695</c:v>
                </c:pt>
                <c:pt idx="45">
                  <c:v>0</c:v>
                </c:pt>
                <c:pt idx="46">
                  <c:v>0</c:v>
                </c:pt>
                <c:pt idx="47">
                  <c:v>20933</c:v>
                </c:pt>
                <c:pt idx="48">
                  <c:v>0</c:v>
                </c:pt>
                <c:pt idx="49">
                  <c:v>27612</c:v>
                </c:pt>
                <c:pt idx="50">
                  <c:v>0</c:v>
                </c:pt>
                <c:pt idx="51">
                  <c:v>0</c:v>
                </c:pt>
                <c:pt idx="52">
                  <c:v>34030</c:v>
                </c:pt>
                <c:pt idx="53">
                  <c:v>0</c:v>
                </c:pt>
                <c:pt idx="54">
                  <c:v>0</c:v>
                </c:pt>
                <c:pt idx="55">
                  <c:v>41015</c:v>
                </c:pt>
                <c:pt idx="56">
                  <c:v>0</c:v>
                </c:pt>
                <c:pt idx="57">
                  <c:v>44541</c:v>
                </c:pt>
                <c:pt idx="58">
                  <c:v>0</c:v>
                </c:pt>
                <c:pt idx="59">
                  <c:v>0</c:v>
                </c:pt>
                <c:pt idx="60">
                  <c:v>47174</c:v>
                </c:pt>
                <c:pt idx="61">
                  <c:v>0</c:v>
                </c:pt>
                <c:pt idx="62">
                  <c:v>55058</c:v>
                </c:pt>
                <c:pt idx="63">
                  <c:v>0</c:v>
                </c:pt>
                <c:pt idx="64">
                  <c:v>0</c:v>
                </c:pt>
                <c:pt idx="65">
                  <c:v>62676</c:v>
                </c:pt>
                <c:pt idx="66">
                  <c:v>0</c:v>
                </c:pt>
                <c:pt idx="67">
                  <c:v>69063</c:v>
                </c:pt>
                <c:pt idx="68">
                  <c:v>0</c:v>
                </c:pt>
                <c:pt idx="69">
                  <c:v>0</c:v>
                </c:pt>
                <c:pt idx="70">
                  <c:v>70285</c:v>
                </c:pt>
                <c:pt idx="71">
                  <c:v>0</c:v>
                </c:pt>
                <c:pt idx="72">
                  <c:v>0</c:v>
                </c:pt>
                <c:pt idx="73">
                  <c:v>79047</c:v>
                </c:pt>
                <c:pt idx="74">
                  <c:v>0</c:v>
                </c:pt>
                <c:pt idx="75">
                  <c:v>90371</c:v>
                </c:pt>
                <c:pt idx="76">
                  <c:v>0</c:v>
                </c:pt>
                <c:pt idx="77">
                  <c:v>0</c:v>
                </c:pt>
                <c:pt idx="78">
                  <c:v>94117</c:v>
                </c:pt>
                <c:pt idx="79">
                  <c:v>0</c:v>
                </c:pt>
                <c:pt idx="80">
                  <c:v>101272</c:v>
                </c:pt>
                <c:pt idx="81">
                  <c:v>0</c:v>
                </c:pt>
                <c:pt idx="82">
                  <c:v>0</c:v>
                </c:pt>
                <c:pt idx="83">
                  <c:v>117451</c:v>
                </c:pt>
                <c:pt idx="84">
                  <c:v>0</c:v>
                </c:pt>
                <c:pt idx="85">
                  <c:v>0</c:v>
                </c:pt>
                <c:pt idx="86">
                  <c:v>115225</c:v>
                </c:pt>
                <c:pt idx="87">
                  <c:v>0</c:v>
                </c:pt>
                <c:pt idx="88">
                  <c:v>119736</c:v>
                </c:pt>
                <c:pt idx="89">
                  <c:v>0</c:v>
                </c:pt>
                <c:pt idx="90">
                  <c:v>0</c:v>
                </c:pt>
                <c:pt idx="91">
                  <c:v>131931</c:v>
                </c:pt>
                <c:pt idx="92">
                  <c:v>0</c:v>
                </c:pt>
                <c:pt idx="93">
                  <c:v>133845</c:v>
                </c:pt>
                <c:pt idx="94">
                  <c:v>0</c:v>
                </c:pt>
                <c:pt idx="95">
                  <c:v>0</c:v>
                </c:pt>
                <c:pt idx="96">
                  <c:v>136214</c:v>
                </c:pt>
                <c:pt idx="97">
                  <c:v>0</c:v>
                </c:pt>
                <c:pt idx="98">
                  <c:v>132626</c:v>
                </c:pt>
                <c:pt idx="99">
                  <c:v>0</c:v>
                </c:pt>
                <c:pt idx="100">
                  <c:v>0</c:v>
                </c:pt>
                <c:pt idx="101">
                  <c:v>134098</c:v>
                </c:pt>
                <c:pt idx="102">
                  <c:v>0</c:v>
                </c:pt>
                <c:pt idx="103">
                  <c:v>0</c:v>
                </c:pt>
                <c:pt idx="104">
                  <c:v>136630</c:v>
                </c:pt>
                <c:pt idx="105">
                  <c:v>0</c:v>
                </c:pt>
                <c:pt idx="106">
                  <c:v>138448</c:v>
                </c:pt>
                <c:pt idx="107">
                  <c:v>0</c:v>
                </c:pt>
                <c:pt idx="108">
                  <c:v>0</c:v>
                </c:pt>
                <c:pt idx="109">
                  <c:v>138379</c:v>
                </c:pt>
                <c:pt idx="110">
                  <c:v>0</c:v>
                </c:pt>
                <c:pt idx="111">
                  <c:v>130561</c:v>
                </c:pt>
                <c:pt idx="112">
                  <c:v>0</c:v>
                </c:pt>
                <c:pt idx="113">
                  <c:v>0</c:v>
                </c:pt>
                <c:pt idx="114">
                  <c:v>121153</c:v>
                </c:pt>
                <c:pt idx="115">
                  <c:v>0</c:v>
                </c:pt>
                <c:pt idx="116">
                  <c:v>103542</c:v>
                </c:pt>
                <c:pt idx="117">
                  <c:v>0</c:v>
                </c:pt>
                <c:pt idx="118">
                  <c:v>0</c:v>
                </c:pt>
                <c:pt idx="119">
                  <c:v>99764</c:v>
                </c:pt>
                <c:pt idx="120">
                  <c:v>0</c:v>
                </c:pt>
                <c:pt idx="121">
                  <c:v>0</c:v>
                </c:pt>
                <c:pt idx="122">
                  <c:v>85385</c:v>
                </c:pt>
                <c:pt idx="123">
                  <c:v>0</c:v>
                </c:pt>
                <c:pt idx="124">
                  <c:v>77922</c:v>
                </c:pt>
                <c:pt idx="125">
                  <c:v>0</c:v>
                </c:pt>
                <c:pt idx="126">
                  <c:v>0</c:v>
                </c:pt>
                <c:pt idx="127">
                  <c:v>73369</c:v>
                </c:pt>
                <c:pt idx="128">
                  <c:v>0</c:v>
                </c:pt>
                <c:pt idx="129">
                  <c:v>67793</c:v>
                </c:pt>
                <c:pt idx="130">
                  <c:v>0</c:v>
                </c:pt>
                <c:pt idx="131">
                  <c:v>0</c:v>
                </c:pt>
                <c:pt idx="132">
                  <c:v>53600</c:v>
                </c:pt>
                <c:pt idx="133">
                  <c:v>0</c:v>
                </c:pt>
                <c:pt idx="134">
                  <c:v>46096</c:v>
                </c:pt>
                <c:pt idx="135">
                  <c:v>0</c:v>
                </c:pt>
                <c:pt idx="136">
                  <c:v>0</c:v>
                </c:pt>
                <c:pt idx="137">
                  <c:v>40266</c:v>
                </c:pt>
                <c:pt idx="138">
                  <c:v>0</c:v>
                </c:pt>
                <c:pt idx="139">
                  <c:v>0</c:v>
                </c:pt>
                <c:pt idx="140">
                  <c:v>35633</c:v>
                </c:pt>
                <c:pt idx="141">
                  <c:v>0</c:v>
                </c:pt>
                <c:pt idx="142">
                  <c:v>31459</c:v>
                </c:pt>
                <c:pt idx="143">
                  <c:v>0</c:v>
                </c:pt>
                <c:pt idx="144">
                  <c:v>0</c:v>
                </c:pt>
                <c:pt idx="145">
                  <c:v>28753</c:v>
                </c:pt>
                <c:pt idx="146">
                  <c:v>0</c:v>
                </c:pt>
                <c:pt idx="147">
                  <c:v>27241</c:v>
                </c:pt>
                <c:pt idx="148">
                  <c:v>0</c:v>
                </c:pt>
                <c:pt idx="149">
                  <c:v>0</c:v>
                </c:pt>
                <c:pt idx="150">
                  <c:v>23741</c:v>
                </c:pt>
                <c:pt idx="151">
                  <c:v>0</c:v>
                </c:pt>
                <c:pt idx="152">
                  <c:v>17240</c:v>
                </c:pt>
                <c:pt idx="153">
                  <c:v>0</c:v>
                </c:pt>
                <c:pt idx="154">
                  <c:v>0</c:v>
                </c:pt>
                <c:pt idx="155">
                  <c:v>11540</c:v>
                </c:pt>
                <c:pt idx="156">
                  <c:v>0</c:v>
                </c:pt>
                <c:pt idx="157">
                  <c:v>0</c:v>
                </c:pt>
                <c:pt idx="158">
                  <c:v>9847</c:v>
                </c:pt>
                <c:pt idx="159">
                  <c:v>0</c:v>
                </c:pt>
                <c:pt idx="160">
                  <c:v>8398</c:v>
                </c:pt>
                <c:pt idx="161">
                  <c:v>0</c:v>
                </c:pt>
                <c:pt idx="162">
                  <c:v>0</c:v>
                </c:pt>
                <c:pt idx="163">
                  <c:v>6890</c:v>
                </c:pt>
                <c:pt idx="164">
                  <c:v>0</c:v>
                </c:pt>
                <c:pt idx="165">
                  <c:v>3886</c:v>
                </c:pt>
                <c:pt idx="166">
                  <c:v>0</c:v>
                </c:pt>
                <c:pt idx="167">
                  <c:v>0</c:v>
                </c:pt>
                <c:pt idx="168">
                  <c:v>2088</c:v>
                </c:pt>
                <c:pt idx="169">
                  <c:v>0</c:v>
                </c:pt>
                <c:pt idx="170">
                  <c:v>0</c:v>
                </c:pt>
                <c:pt idx="171">
                  <c:v>1820</c:v>
                </c:pt>
                <c:pt idx="172">
                  <c:v>0</c:v>
                </c:pt>
                <c:pt idx="173">
                  <c:v>1694</c:v>
                </c:pt>
                <c:pt idx="174">
                  <c:v>0</c:v>
                </c:pt>
                <c:pt idx="175">
                  <c:v>0</c:v>
                </c:pt>
                <c:pt idx="176">
                  <c:v>2637</c:v>
                </c:pt>
                <c:pt idx="177">
                  <c:v>0</c:v>
                </c:pt>
                <c:pt idx="178">
                  <c:v>2268</c:v>
                </c:pt>
                <c:pt idx="179">
                  <c:v>0</c:v>
                </c:pt>
                <c:pt idx="180">
                  <c:v>0</c:v>
                </c:pt>
                <c:pt idx="181">
                  <c:v>1867</c:v>
                </c:pt>
                <c:pt idx="182">
                  <c:v>0</c:v>
                </c:pt>
                <c:pt idx="183">
                  <c:v>1928</c:v>
                </c:pt>
                <c:pt idx="184">
                  <c:v>0</c:v>
                </c:pt>
                <c:pt idx="185">
                  <c:v>0</c:v>
                </c:pt>
                <c:pt idx="186">
                  <c:v>1945</c:v>
                </c:pt>
                <c:pt idx="187">
                  <c:v>0</c:v>
                </c:pt>
                <c:pt idx="188">
                  <c:v>0</c:v>
                </c:pt>
                <c:pt idx="189">
                  <c:v>3099</c:v>
                </c:pt>
                <c:pt idx="190">
                  <c:v>0</c:v>
                </c:pt>
                <c:pt idx="191">
                  <c:v>2573</c:v>
                </c:pt>
                <c:pt idx="192">
                  <c:v>0</c:v>
                </c:pt>
                <c:pt idx="193">
                  <c:v>0</c:v>
                </c:pt>
                <c:pt idx="194">
                  <c:v>2672</c:v>
                </c:pt>
                <c:pt idx="195">
                  <c:v>0</c:v>
                </c:pt>
                <c:pt idx="196">
                  <c:v>1738</c:v>
                </c:pt>
                <c:pt idx="197">
                  <c:v>0</c:v>
                </c:pt>
                <c:pt idx="198">
                  <c:v>0</c:v>
                </c:pt>
                <c:pt idx="199">
                  <c:v>907</c:v>
                </c:pt>
                <c:pt idx="200">
                  <c:v>0</c:v>
                </c:pt>
                <c:pt idx="201">
                  <c:v>624</c:v>
                </c:pt>
                <c:pt idx="202">
                  <c:v>0</c:v>
                </c:pt>
                <c:pt idx="203">
                  <c:v>0</c:v>
                </c:pt>
                <c:pt idx="204">
                  <c:v>161</c:v>
                </c:pt>
                <c:pt idx="205">
                  <c:v>0</c:v>
                </c:pt>
                <c:pt idx="206">
                  <c:v>0</c:v>
                </c:pt>
                <c:pt idx="207">
                  <c:v>149</c:v>
                </c:pt>
                <c:pt idx="208">
                  <c:v>0</c:v>
                </c:pt>
                <c:pt idx="209">
                  <c:v>50</c:v>
                </c:pt>
                <c:pt idx="210">
                  <c:v>0</c:v>
                </c:pt>
                <c:pt idx="211">
                  <c:v>0</c:v>
                </c:pt>
                <c:pt idx="212">
                  <c:v>50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0.17732241930533268</c:v>
                </c:pt>
                <c:pt idx="1">
                  <c:v>0.37143422441819024</c:v>
                </c:pt>
                <c:pt idx="2">
                  <c:v>0.45124335627647705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0.57180319363477838</c:v>
                </c:pt>
                <c:pt idx="1">
                  <c:v>0.25281024461902024</c:v>
                </c:pt>
                <c:pt idx="2">
                  <c:v>0.17538656174620132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5.2982025000000004</c:v>
                </c:pt>
                <c:pt idx="1">
                  <c:v>14.839699999999999</c:v>
                </c:pt>
                <c:pt idx="2">
                  <c:v>23.386249999999997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0.401835</c:v>
                </c:pt>
                <c:pt idx="2">
                  <c:v>0.80713999999999997</c:v>
                </c:pt>
                <c:pt idx="3">
                  <c:v>1.21139</c:v>
                </c:pt>
                <c:pt idx="4">
                  <c:v>1.6203799999999999</c:v>
                </c:pt>
                <c:pt idx="5">
                  <c:v>2.0281099999999999</c:v>
                </c:pt>
                <c:pt idx="6">
                  <c:v>2.4335</c:v>
                </c:pt>
                <c:pt idx="7">
                  <c:v>2.8397000000000001</c:v>
                </c:pt>
                <c:pt idx="8">
                  <c:v>3.2453599999999998</c:v>
                </c:pt>
                <c:pt idx="9">
                  <c:v>3.65211</c:v>
                </c:pt>
                <c:pt idx="10">
                  <c:v>4.0586599999999997</c:v>
                </c:pt>
                <c:pt idx="11">
                  <c:v>4.4659899999999997</c:v>
                </c:pt>
                <c:pt idx="12">
                  <c:v>4.8683500000000004</c:v>
                </c:pt>
                <c:pt idx="13">
                  <c:v>5.2759200000000002</c:v>
                </c:pt>
                <c:pt idx="14">
                  <c:v>5.6814799999999996</c:v>
                </c:pt>
                <c:pt idx="15">
                  <c:v>6.0917700000000004</c:v>
                </c:pt>
                <c:pt idx="16">
                  <c:v>6.4970600000000003</c:v>
                </c:pt>
                <c:pt idx="17">
                  <c:v>6.9047799999999997</c:v>
                </c:pt>
                <c:pt idx="18">
                  <c:v>7.3063200000000004</c:v>
                </c:pt>
                <c:pt idx="19">
                  <c:v>7.7128399999999999</c:v>
                </c:pt>
                <c:pt idx="20">
                  <c:v>8.1222100000000008</c:v>
                </c:pt>
                <c:pt idx="21">
                  <c:v>8.5308899999999994</c:v>
                </c:pt>
                <c:pt idx="22">
                  <c:v>8.9328299999999992</c:v>
                </c:pt>
                <c:pt idx="23">
                  <c:v>9.3407499999999999</c:v>
                </c:pt>
                <c:pt idx="24">
                  <c:v>9.7481100000000005</c:v>
                </c:pt>
                <c:pt idx="25">
                  <c:v>10.151400000000001</c:v>
                </c:pt>
                <c:pt idx="26">
                  <c:v>10.5587</c:v>
                </c:pt>
                <c:pt idx="27">
                  <c:v>10.964399999999999</c:v>
                </c:pt>
                <c:pt idx="28">
                  <c:v>11.373100000000001</c:v>
                </c:pt>
                <c:pt idx="29">
                  <c:v>11.777900000000001</c:v>
                </c:pt>
                <c:pt idx="30">
                  <c:v>12.1836</c:v>
                </c:pt>
                <c:pt idx="31">
                  <c:v>12.588200000000001</c:v>
                </c:pt>
                <c:pt idx="32">
                  <c:v>12.9985</c:v>
                </c:pt>
                <c:pt idx="33">
                  <c:v>13.4026</c:v>
                </c:pt>
                <c:pt idx="34">
                  <c:v>13.8096</c:v>
                </c:pt>
                <c:pt idx="35">
                  <c:v>14.2142</c:v>
                </c:pt>
                <c:pt idx="36">
                  <c:v>14.618600000000001</c:v>
                </c:pt>
                <c:pt idx="37">
                  <c:v>15.0236</c:v>
                </c:pt>
                <c:pt idx="38">
                  <c:v>15.435</c:v>
                </c:pt>
                <c:pt idx="39">
                  <c:v>15.839499999999999</c:v>
                </c:pt>
                <c:pt idx="40">
                  <c:v>16.2453</c:v>
                </c:pt>
                <c:pt idx="41">
                  <c:v>16.649100000000001</c:v>
                </c:pt>
                <c:pt idx="42">
                  <c:v>17.054200000000002</c:v>
                </c:pt>
                <c:pt idx="43">
                  <c:v>17.464400000000001</c:v>
                </c:pt>
                <c:pt idx="44">
                  <c:v>17.8703</c:v>
                </c:pt>
                <c:pt idx="45">
                  <c:v>18.279900000000001</c:v>
                </c:pt>
                <c:pt idx="46">
                  <c:v>18.680700000000002</c:v>
                </c:pt>
                <c:pt idx="47">
                  <c:v>19.088999999999999</c:v>
                </c:pt>
                <c:pt idx="48">
                  <c:v>19.495799999999999</c:v>
                </c:pt>
                <c:pt idx="49">
                  <c:v>19.904900000000001</c:v>
                </c:pt>
                <c:pt idx="50">
                  <c:v>20.306000000000001</c:v>
                </c:pt>
                <c:pt idx="51">
                  <c:v>20.712800000000001</c:v>
                </c:pt>
                <c:pt idx="52">
                  <c:v>21.118300000000001</c:v>
                </c:pt>
                <c:pt idx="53">
                  <c:v>21.527000000000001</c:v>
                </c:pt>
                <c:pt idx="54">
                  <c:v>21.9313</c:v>
                </c:pt>
                <c:pt idx="55">
                  <c:v>22.338999999999999</c:v>
                </c:pt>
                <c:pt idx="56">
                  <c:v>22.745699999999999</c:v>
                </c:pt>
                <c:pt idx="57">
                  <c:v>23.151199999999999</c:v>
                </c:pt>
                <c:pt idx="58">
                  <c:v>23.561599999999999</c:v>
                </c:pt>
                <c:pt idx="59">
                  <c:v>23.965699999999998</c:v>
                </c:pt>
                <c:pt idx="60">
                  <c:v>24.369199999999999</c:v>
                </c:pt>
                <c:pt idx="61">
                  <c:v>24.775700000000001</c:v>
                </c:pt>
                <c:pt idx="62">
                  <c:v>25.182099999999998</c:v>
                </c:pt>
                <c:pt idx="63">
                  <c:v>25.588200000000001</c:v>
                </c:pt>
                <c:pt idx="64">
                  <c:v>25.993500000000001</c:v>
                </c:pt>
                <c:pt idx="65">
                  <c:v>26.401</c:v>
                </c:pt>
                <c:pt idx="66">
                  <c:v>26.804200000000002</c:v>
                </c:pt>
                <c:pt idx="67">
                  <c:v>27.213999999999999</c:v>
                </c:pt>
                <c:pt idx="68">
                  <c:v>27.623699999999999</c:v>
                </c:pt>
                <c:pt idx="69">
                  <c:v>28.026199999999999</c:v>
                </c:pt>
                <c:pt idx="70">
                  <c:v>28.431999999999999</c:v>
                </c:pt>
                <c:pt idx="71">
                  <c:v>28.840800000000002</c:v>
                </c:pt>
                <c:pt idx="72">
                  <c:v>29.2485</c:v>
                </c:pt>
                <c:pt idx="73">
                  <c:v>29.652899999999999</c:v>
                </c:pt>
                <c:pt idx="74">
                  <c:v>30.055499999999999</c:v>
                </c:pt>
                <c:pt idx="75">
                  <c:v>30.570900000000002</c:v>
                </c:pt>
                <c:pt idx="76">
                  <c:v>30.947199999999999</c:v>
                </c:pt>
                <c:pt idx="77">
                  <c:v>31.340299999999999</c:v>
                </c:pt>
                <c:pt idx="78">
                  <c:v>31.744499999999999</c:v>
                </c:pt>
                <c:pt idx="79">
                  <c:v>32.133800000000001</c:v>
                </c:pt>
                <c:pt idx="80">
                  <c:v>32.543399999999998</c:v>
                </c:pt>
                <c:pt idx="81">
                  <c:v>32.953099999999999</c:v>
                </c:pt>
                <c:pt idx="82">
                  <c:v>33.353700000000003</c:v>
                </c:pt>
                <c:pt idx="83">
                  <c:v>33.7592</c:v>
                </c:pt>
                <c:pt idx="84">
                  <c:v>34.165799999999997</c:v>
                </c:pt>
                <c:pt idx="85">
                  <c:v>34.573999999999998</c:v>
                </c:pt>
                <c:pt idx="86">
                  <c:v>34.979700000000001</c:v>
                </c:pt>
                <c:pt idx="87">
                  <c:v>35.3857</c:v>
                </c:pt>
                <c:pt idx="88">
                  <c:v>35.790399999999998</c:v>
                </c:pt>
                <c:pt idx="89">
                  <c:v>36.200400000000002</c:v>
                </c:pt>
                <c:pt idx="90">
                  <c:v>36.604100000000003</c:v>
                </c:pt>
                <c:pt idx="91">
                  <c:v>37.011600000000001</c:v>
                </c:pt>
                <c:pt idx="92">
                  <c:v>37.414700000000003</c:v>
                </c:pt>
                <c:pt idx="93">
                  <c:v>37.821599999999997</c:v>
                </c:pt>
                <c:pt idx="94">
                  <c:v>38.231200000000001</c:v>
                </c:pt>
                <c:pt idx="95">
                  <c:v>38.637599999999999</c:v>
                </c:pt>
                <c:pt idx="96">
                  <c:v>39.043199999999999</c:v>
                </c:pt>
                <c:pt idx="97">
                  <c:v>39.447899999999997</c:v>
                </c:pt>
                <c:pt idx="98">
                  <c:v>39.854500000000002</c:v>
                </c:pt>
                <c:pt idx="99">
                  <c:v>40.262</c:v>
                </c:pt>
                <c:pt idx="100">
                  <c:v>40.667700000000004</c:v>
                </c:pt>
                <c:pt idx="101">
                  <c:v>41.073999999999998</c:v>
                </c:pt>
                <c:pt idx="102">
                  <c:v>41.480400000000003</c:v>
                </c:pt>
                <c:pt idx="103">
                  <c:v>41.883600000000001</c:v>
                </c:pt>
                <c:pt idx="104">
                  <c:v>42.2926</c:v>
                </c:pt>
                <c:pt idx="105">
                  <c:v>42.701099999999997</c:v>
                </c:pt>
                <c:pt idx="106">
                  <c:v>43.104799999999997</c:v>
                </c:pt>
                <c:pt idx="107">
                  <c:v>43.509500000000003</c:v>
                </c:pt>
                <c:pt idx="108">
                  <c:v>43.915199999999999</c:v>
                </c:pt>
                <c:pt idx="109">
                  <c:v>44.323399999999999</c:v>
                </c:pt>
                <c:pt idx="110">
                  <c:v>44.729199999999999</c:v>
                </c:pt>
                <c:pt idx="111">
                  <c:v>45.133899999999997</c:v>
                </c:pt>
                <c:pt idx="112">
                  <c:v>45.5426</c:v>
                </c:pt>
                <c:pt idx="113">
                  <c:v>45.9512</c:v>
                </c:pt>
                <c:pt idx="114">
                  <c:v>46.354199999999999</c:v>
                </c:pt>
                <c:pt idx="115">
                  <c:v>46.760399999999997</c:v>
                </c:pt>
                <c:pt idx="116">
                  <c:v>47.166400000000003</c:v>
                </c:pt>
                <c:pt idx="117">
                  <c:v>47.572299999999998</c:v>
                </c:pt>
                <c:pt idx="118">
                  <c:v>47.978299999999997</c:v>
                </c:pt>
                <c:pt idx="119">
                  <c:v>48.383800000000001</c:v>
                </c:pt>
                <c:pt idx="120">
                  <c:v>48.792099999999998</c:v>
                </c:pt>
                <c:pt idx="121">
                  <c:v>49.198300000000003</c:v>
                </c:pt>
                <c:pt idx="122">
                  <c:v>49.604199999999999</c:v>
                </c:pt>
                <c:pt idx="123">
                  <c:v>50.012799999999999</c:v>
                </c:pt>
                <c:pt idx="124">
                  <c:v>50.417099999999998</c:v>
                </c:pt>
                <c:pt idx="125">
                  <c:v>50.8232</c:v>
                </c:pt>
                <c:pt idx="126">
                  <c:v>51.230499999999999</c:v>
                </c:pt>
                <c:pt idx="127">
                  <c:v>51.636099999999999</c:v>
                </c:pt>
                <c:pt idx="128">
                  <c:v>52.039499999999997</c:v>
                </c:pt>
                <c:pt idx="129">
                  <c:v>52.449599999999997</c:v>
                </c:pt>
                <c:pt idx="130">
                  <c:v>52.854700000000001</c:v>
                </c:pt>
                <c:pt idx="131">
                  <c:v>53.259900000000002</c:v>
                </c:pt>
                <c:pt idx="132">
                  <c:v>53.666800000000002</c:v>
                </c:pt>
                <c:pt idx="133">
                  <c:v>54.075000000000003</c:v>
                </c:pt>
                <c:pt idx="134">
                  <c:v>54.479900000000001</c:v>
                </c:pt>
                <c:pt idx="135">
                  <c:v>54.885899999999999</c:v>
                </c:pt>
                <c:pt idx="136">
                  <c:v>55.290100000000002</c:v>
                </c:pt>
                <c:pt idx="137">
                  <c:v>55.698</c:v>
                </c:pt>
                <c:pt idx="138">
                  <c:v>56.105899999999998</c:v>
                </c:pt>
                <c:pt idx="139">
                  <c:v>56.512099999999997</c:v>
                </c:pt>
                <c:pt idx="140">
                  <c:v>56.915500000000002</c:v>
                </c:pt>
                <c:pt idx="141">
                  <c:v>57.321100000000001</c:v>
                </c:pt>
                <c:pt idx="142">
                  <c:v>57.7333</c:v>
                </c:pt>
                <c:pt idx="143">
                  <c:v>58.138100000000001</c:v>
                </c:pt>
                <c:pt idx="144">
                  <c:v>58.546799999999998</c:v>
                </c:pt>
                <c:pt idx="145">
                  <c:v>58.947699999999998</c:v>
                </c:pt>
                <c:pt idx="146">
                  <c:v>59.355499999999999</c:v>
                </c:pt>
                <c:pt idx="147">
                  <c:v>59.763500000000001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2.4210799999999999</c:v>
                </c:pt>
                <c:pt idx="1">
                  <c:v>2.5201000000000002</c:v>
                </c:pt>
                <c:pt idx="2">
                  <c:v>2.6155600000000003</c:v>
                </c:pt>
                <c:pt idx="3">
                  <c:v>2.70397</c:v>
                </c:pt>
                <c:pt idx="4">
                  <c:v>2.7926699999999998</c:v>
                </c:pt>
                <c:pt idx="5">
                  <c:v>2.8790300000000002</c:v>
                </c:pt>
                <c:pt idx="6">
                  <c:v>2.96502</c:v>
                </c:pt>
                <c:pt idx="7">
                  <c:v>3.05186</c:v>
                </c:pt>
                <c:pt idx="8">
                  <c:v>3.1390699999999998</c:v>
                </c:pt>
                <c:pt idx="9">
                  <c:v>3.2272499999999997</c:v>
                </c:pt>
                <c:pt idx="10">
                  <c:v>3.31454</c:v>
                </c:pt>
                <c:pt idx="11">
                  <c:v>3.4000999999999997</c:v>
                </c:pt>
                <c:pt idx="12">
                  <c:v>3.4847399999999999</c:v>
                </c:pt>
                <c:pt idx="13">
                  <c:v>3.5672300000000003</c:v>
                </c:pt>
                <c:pt idx="14">
                  <c:v>3.6494500000000003</c:v>
                </c:pt>
                <c:pt idx="15">
                  <c:v>3.7295299999999996</c:v>
                </c:pt>
                <c:pt idx="16">
                  <c:v>3.8040000000000003</c:v>
                </c:pt>
                <c:pt idx="17">
                  <c:v>3.8729799999999996</c:v>
                </c:pt>
                <c:pt idx="18">
                  <c:v>3.9380799999999998</c:v>
                </c:pt>
                <c:pt idx="19">
                  <c:v>3.9978699999999998</c:v>
                </c:pt>
                <c:pt idx="20">
                  <c:v>4.0521200000000004</c:v>
                </c:pt>
                <c:pt idx="21">
                  <c:v>4.1008499999999994</c:v>
                </c:pt>
                <c:pt idx="22">
                  <c:v>4.1477700000000004</c:v>
                </c:pt>
                <c:pt idx="23">
                  <c:v>4.1885300000000001</c:v>
                </c:pt>
                <c:pt idx="24">
                  <c:v>4.2259600000000006</c:v>
                </c:pt>
                <c:pt idx="25">
                  <c:v>4.25786</c:v>
                </c:pt>
                <c:pt idx="26">
                  <c:v>4.2867600000000001</c:v>
                </c:pt>
                <c:pt idx="27">
                  <c:v>4.3118400000000001</c:v>
                </c:pt>
                <c:pt idx="28">
                  <c:v>4.3340499999999995</c:v>
                </c:pt>
                <c:pt idx="29">
                  <c:v>4.34999</c:v>
                </c:pt>
                <c:pt idx="30">
                  <c:v>4.3580999999999994</c:v>
                </c:pt>
                <c:pt idx="31">
                  <c:v>4.3578099999999997</c:v>
                </c:pt>
                <c:pt idx="32">
                  <c:v>4.3541800000000004</c:v>
                </c:pt>
                <c:pt idx="33">
                  <c:v>4.3488500000000005</c:v>
                </c:pt>
                <c:pt idx="34">
                  <c:v>4.34131</c:v>
                </c:pt>
                <c:pt idx="35">
                  <c:v>4.3304200000000002</c:v>
                </c:pt>
                <c:pt idx="36">
                  <c:v>4.32097</c:v>
                </c:pt>
                <c:pt idx="37">
                  <c:v>4.3128899999999994</c:v>
                </c:pt>
                <c:pt idx="38">
                  <c:v>4.3056100000000006</c:v>
                </c:pt>
                <c:pt idx="39">
                  <c:v>4.29711</c:v>
                </c:pt>
                <c:pt idx="40">
                  <c:v>4.2890699999999997</c:v>
                </c:pt>
                <c:pt idx="41">
                  <c:v>4.2819000000000003</c:v>
                </c:pt>
                <c:pt idx="42">
                  <c:v>4.2764799999999994</c:v>
                </c:pt>
                <c:pt idx="43">
                  <c:v>4.2698999999999998</c:v>
                </c:pt>
                <c:pt idx="44">
                  <c:v>4.2620000000000005</c:v>
                </c:pt>
                <c:pt idx="45">
                  <c:v>4.2534200000000002</c:v>
                </c:pt>
                <c:pt idx="46">
                  <c:v>4.2463499999999996</c:v>
                </c:pt>
                <c:pt idx="47">
                  <c:v>4.2349100000000002</c:v>
                </c:pt>
                <c:pt idx="48">
                  <c:v>4.2235199999999997</c:v>
                </c:pt>
                <c:pt idx="49">
                  <c:v>4.2115799999999997</c:v>
                </c:pt>
                <c:pt idx="50">
                  <c:v>4.2027999999999999</c:v>
                </c:pt>
                <c:pt idx="51">
                  <c:v>4.1950700000000003</c:v>
                </c:pt>
                <c:pt idx="52">
                  <c:v>4.1906499999999998</c:v>
                </c:pt>
                <c:pt idx="53">
                  <c:v>4.1876600000000002</c:v>
                </c:pt>
                <c:pt idx="54">
                  <c:v>4.1866599999999998</c:v>
                </c:pt>
                <c:pt idx="55">
                  <c:v>4.18851</c:v>
                </c:pt>
                <c:pt idx="56">
                  <c:v>4.1863799999999998</c:v>
                </c:pt>
                <c:pt idx="57">
                  <c:v>4.18302</c:v>
                </c:pt>
                <c:pt idx="58">
                  <c:v>4.1780600000000003</c:v>
                </c:pt>
                <c:pt idx="59">
                  <c:v>4.1716100000000003</c:v>
                </c:pt>
                <c:pt idx="60">
                  <c:v>4.1675800000000001</c:v>
                </c:pt>
                <c:pt idx="61">
                  <c:v>4.1601300000000005</c:v>
                </c:pt>
                <c:pt idx="62">
                  <c:v>4.1547200000000002</c:v>
                </c:pt>
                <c:pt idx="63">
                  <c:v>4.1357699999999999</c:v>
                </c:pt>
                <c:pt idx="64">
                  <c:v>4.12385</c:v>
                </c:pt>
                <c:pt idx="65">
                  <c:v>4.1028599999999997</c:v>
                </c:pt>
                <c:pt idx="66">
                  <c:v>4.0802300000000002</c:v>
                </c:pt>
                <c:pt idx="67">
                  <c:v>4.05443</c:v>
                </c:pt>
                <c:pt idx="68">
                  <c:v>4.0192199999999998</c:v>
                </c:pt>
                <c:pt idx="69">
                  <c:v>3.9917899999999999</c:v>
                </c:pt>
                <c:pt idx="70">
                  <c:v>3.9734399999999996</c:v>
                </c:pt>
                <c:pt idx="71">
                  <c:v>3.9385300000000001</c:v>
                </c:pt>
                <c:pt idx="72">
                  <c:v>3.91384</c:v>
                </c:pt>
                <c:pt idx="73">
                  <c:v>3.8980999999999999</c:v>
                </c:pt>
                <c:pt idx="74">
                  <c:v>3.8706800000000001</c:v>
                </c:pt>
                <c:pt idx="75">
                  <c:v>3.8339099999999999</c:v>
                </c:pt>
                <c:pt idx="76">
                  <c:v>3.8010699999999997</c:v>
                </c:pt>
                <c:pt idx="77">
                  <c:v>3.7654300000000003</c:v>
                </c:pt>
                <c:pt idx="78">
                  <c:v>3.7265100000000002</c:v>
                </c:pt>
                <c:pt idx="79">
                  <c:v>3.6872400000000001</c:v>
                </c:pt>
                <c:pt idx="80">
                  <c:v>3.6507299999999998</c:v>
                </c:pt>
                <c:pt idx="81">
                  <c:v>3.6208400000000003</c:v>
                </c:pt>
                <c:pt idx="82">
                  <c:v>3.5939199999999998</c:v>
                </c:pt>
                <c:pt idx="83">
                  <c:v>3.5690200000000001</c:v>
                </c:pt>
                <c:pt idx="84">
                  <c:v>3.5471000000000004</c:v>
                </c:pt>
                <c:pt idx="85">
                  <c:v>3.5251600000000001</c:v>
                </c:pt>
                <c:pt idx="86">
                  <c:v>3.5036399999999999</c:v>
                </c:pt>
                <c:pt idx="87">
                  <c:v>3.4835500000000001</c:v>
                </c:pt>
                <c:pt idx="88">
                  <c:v>3.4694099999999999</c:v>
                </c:pt>
                <c:pt idx="89">
                  <c:v>3.46055</c:v>
                </c:pt>
                <c:pt idx="90">
                  <c:v>3.4539599999999999</c:v>
                </c:pt>
                <c:pt idx="91">
                  <c:v>3.4515200000000004</c:v>
                </c:pt>
                <c:pt idx="92">
                  <c:v>3.4515800000000003</c:v>
                </c:pt>
                <c:pt idx="93">
                  <c:v>3.4548399999999999</c:v>
                </c:pt>
                <c:pt idx="94">
                  <c:v>3.4632299999999998</c:v>
                </c:pt>
                <c:pt idx="95">
                  <c:v>3.47546</c:v>
                </c:pt>
                <c:pt idx="96">
                  <c:v>3.4932400000000001</c:v>
                </c:pt>
                <c:pt idx="97">
                  <c:v>3.5165600000000001</c:v>
                </c:pt>
                <c:pt idx="98">
                  <c:v>3.5428999999999999</c:v>
                </c:pt>
                <c:pt idx="99">
                  <c:v>3.5715999999999997</c:v>
                </c:pt>
                <c:pt idx="100">
                  <c:v>3.59707</c:v>
                </c:pt>
                <c:pt idx="101">
                  <c:v>3.6274800000000003</c:v>
                </c:pt>
                <c:pt idx="102">
                  <c:v>3.65801</c:v>
                </c:pt>
                <c:pt idx="103">
                  <c:v>3.6901800000000002</c:v>
                </c:pt>
                <c:pt idx="104">
                  <c:v>3.7215799999999999</c:v>
                </c:pt>
                <c:pt idx="105">
                  <c:v>3.7494399999999999</c:v>
                </c:pt>
                <c:pt idx="106">
                  <c:v>3.7752799999999995</c:v>
                </c:pt>
                <c:pt idx="107">
                  <c:v>3.8001299999999998</c:v>
                </c:pt>
                <c:pt idx="108">
                  <c:v>3.8257300000000001</c:v>
                </c:pt>
                <c:pt idx="109">
                  <c:v>3.8525499999999999</c:v>
                </c:pt>
                <c:pt idx="110">
                  <c:v>3.8788200000000002</c:v>
                </c:pt>
                <c:pt idx="111">
                  <c:v>3.9038599999999999</c:v>
                </c:pt>
                <c:pt idx="112">
                  <c:v>3.9280500000000003</c:v>
                </c:pt>
                <c:pt idx="113">
                  <c:v>3.9516600000000004</c:v>
                </c:pt>
                <c:pt idx="114">
                  <c:v>3.9727800000000002</c:v>
                </c:pt>
                <c:pt idx="115">
                  <c:v>3.9944500000000001</c:v>
                </c:pt>
                <c:pt idx="116">
                  <c:v>4.0188800000000002</c:v>
                </c:pt>
                <c:pt idx="117">
                  <c:v>4.0408400000000002</c:v>
                </c:pt>
                <c:pt idx="118">
                  <c:v>4.0602999999999998</c:v>
                </c:pt>
                <c:pt idx="119">
                  <c:v>4.0774600000000003</c:v>
                </c:pt>
                <c:pt idx="120">
                  <c:v>4.0913199999999996</c:v>
                </c:pt>
                <c:pt idx="121">
                  <c:v>4.10337</c:v>
                </c:pt>
                <c:pt idx="122">
                  <c:v>4.1110799999999994</c:v>
                </c:pt>
                <c:pt idx="123">
                  <c:v>4.1154999999999999</c:v>
                </c:pt>
                <c:pt idx="124">
                  <c:v>4.1185600000000004</c:v>
                </c:pt>
                <c:pt idx="125">
                  <c:v>4.1246700000000001</c:v>
                </c:pt>
                <c:pt idx="126">
                  <c:v>4.1287099999999999</c:v>
                </c:pt>
                <c:pt idx="127">
                  <c:v>4.1345399999999994</c:v>
                </c:pt>
                <c:pt idx="128">
                  <c:v>4.1407699999999998</c:v>
                </c:pt>
                <c:pt idx="129">
                  <c:v>4.1477199999999996</c:v>
                </c:pt>
                <c:pt idx="130">
                  <c:v>4.1576599999999999</c:v>
                </c:pt>
                <c:pt idx="131">
                  <c:v>4.1672199999999995</c:v>
                </c:pt>
                <c:pt idx="132">
                  <c:v>4.1791900000000002</c:v>
                </c:pt>
                <c:pt idx="133">
                  <c:v>4.1914899999999999</c:v>
                </c:pt>
                <c:pt idx="134">
                  <c:v>4.2017500000000005</c:v>
                </c:pt>
                <c:pt idx="135">
                  <c:v>4.2129099999999999</c:v>
                </c:pt>
                <c:pt idx="136">
                  <c:v>4.2268299999999996</c:v>
                </c:pt>
                <c:pt idx="137">
                  <c:v>4.2387200000000007</c:v>
                </c:pt>
                <c:pt idx="138">
                  <c:v>4.2466699999999999</c:v>
                </c:pt>
                <c:pt idx="139">
                  <c:v>4.2521700000000004</c:v>
                </c:pt>
                <c:pt idx="140">
                  <c:v>4.2538599999999995</c:v>
                </c:pt>
                <c:pt idx="141">
                  <c:v>4.2449399999999997</c:v>
                </c:pt>
                <c:pt idx="142">
                  <c:v>4.24444</c:v>
                </c:pt>
                <c:pt idx="143">
                  <c:v>4.2507799999999998</c:v>
                </c:pt>
                <c:pt idx="144">
                  <c:v>4.2572399999999995</c:v>
                </c:pt>
                <c:pt idx="145">
                  <c:v>4.2705399999999996</c:v>
                </c:pt>
                <c:pt idx="146">
                  <c:v>4.2662399999999998</c:v>
                </c:pt>
                <c:pt idx="147">
                  <c:v>4.2834099999999999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0.401835</c:v>
                </c:pt>
                <c:pt idx="2">
                  <c:v>0.80713999999999997</c:v>
                </c:pt>
                <c:pt idx="3">
                  <c:v>1.21139</c:v>
                </c:pt>
                <c:pt idx="4">
                  <c:v>1.6203799999999999</c:v>
                </c:pt>
                <c:pt idx="5">
                  <c:v>2.0281099999999999</c:v>
                </c:pt>
                <c:pt idx="6">
                  <c:v>2.4335</c:v>
                </c:pt>
                <c:pt idx="7">
                  <c:v>2.8397000000000001</c:v>
                </c:pt>
                <c:pt idx="8">
                  <c:v>3.2453599999999998</c:v>
                </c:pt>
                <c:pt idx="9">
                  <c:v>3.65211</c:v>
                </c:pt>
                <c:pt idx="10">
                  <c:v>4.0586599999999997</c:v>
                </c:pt>
                <c:pt idx="11">
                  <c:v>4.4659899999999997</c:v>
                </c:pt>
                <c:pt idx="12">
                  <c:v>4.8683500000000004</c:v>
                </c:pt>
                <c:pt idx="13">
                  <c:v>5.2759200000000002</c:v>
                </c:pt>
                <c:pt idx="14">
                  <c:v>5.6814799999999996</c:v>
                </c:pt>
                <c:pt idx="15">
                  <c:v>6.0917700000000004</c:v>
                </c:pt>
                <c:pt idx="16">
                  <c:v>6.4970600000000003</c:v>
                </c:pt>
                <c:pt idx="17">
                  <c:v>6.9047799999999997</c:v>
                </c:pt>
                <c:pt idx="18">
                  <c:v>7.3063200000000004</c:v>
                </c:pt>
                <c:pt idx="19">
                  <c:v>7.7128399999999999</c:v>
                </c:pt>
                <c:pt idx="20">
                  <c:v>8.1222100000000008</c:v>
                </c:pt>
                <c:pt idx="21">
                  <c:v>8.5308899999999994</c:v>
                </c:pt>
                <c:pt idx="22">
                  <c:v>8.9328299999999992</c:v>
                </c:pt>
                <c:pt idx="23">
                  <c:v>9.3407499999999999</c:v>
                </c:pt>
                <c:pt idx="24">
                  <c:v>9.7481100000000005</c:v>
                </c:pt>
                <c:pt idx="25">
                  <c:v>10.151400000000001</c:v>
                </c:pt>
                <c:pt idx="26">
                  <c:v>10.5587</c:v>
                </c:pt>
                <c:pt idx="27">
                  <c:v>10.964399999999999</c:v>
                </c:pt>
                <c:pt idx="28">
                  <c:v>11.373100000000001</c:v>
                </c:pt>
                <c:pt idx="29">
                  <c:v>11.777900000000001</c:v>
                </c:pt>
                <c:pt idx="30">
                  <c:v>12.1836</c:v>
                </c:pt>
                <c:pt idx="31">
                  <c:v>12.588200000000001</c:v>
                </c:pt>
                <c:pt idx="32">
                  <c:v>12.9985</c:v>
                </c:pt>
                <c:pt idx="33">
                  <c:v>13.4026</c:v>
                </c:pt>
                <c:pt idx="34">
                  <c:v>13.8096</c:v>
                </c:pt>
                <c:pt idx="35">
                  <c:v>14.2142</c:v>
                </c:pt>
                <c:pt idx="36">
                  <c:v>14.618600000000001</c:v>
                </c:pt>
                <c:pt idx="37">
                  <c:v>15.0236</c:v>
                </c:pt>
                <c:pt idx="38">
                  <c:v>15.435</c:v>
                </c:pt>
                <c:pt idx="39">
                  <c:v>15.839499999999999</c:v>
                </c:pt>
                <c:pt idx="40">
                  <c:v>16.2453</c:v>
                </c:pt>
                <c:pt idx="41">
                  <c:v>16.649100000000001</c:v>
                </c:pt>
                <c:pt idx="42">
                  <c:v>17.054200000000002</c:v>
                </c:pt>
                <c:pt idx="43">
                  <c:v>17.464400000000001</c:v>
                </c:pt>
                <c:pt idx="44">
                  <c:v>17.8703</c:v>
                </c:pt>
                <c:pt idx="45">
                  <c:v>18.279900000000001</c:v>
                </c:pt>
                <c:pt idx="46">
                  <c:v>18.680700000000002</c:v>
                </c:pt>
                <c:pt idx="47">
                  <c:v>19.088999999999999</c:v>
                </c:pt>
                <c:pt idx="48">
                  <c:v>19.495799999999999</c:v>
                </c:pt>
                <c:pt idx="49">
                  <c:v>19.904900000000001</c:v>
                </c:pt>
                <c:pt idx="50">
                  <c:v>20.306000000000001</c:v>
                </c:pt>
                <c:pt idx="51">
                  <c:v>20.712800000000001</c:v>
                </c:pt>
                <c:pt idx="52">
                  <c:v>21.118300000000001</c:v>
                </c:pt>
                <c:pt idx="53">
                  <c:v>21.527000000000001</c:v>
                </c:pt>
                <c:pt idx="54">
                  <c:v>21.9313</c:v>
                </c:pt>
                <c:pt idx="55">
                  <c:v>22.338999999999999</c:v>
                </c:pt>
                <c:pt idx="56">
                  <c:v>22.745699999999999</c:v>
                </c:pt>
                <c:pt idx="57">
                  <c:v>23.151199999999999</c:v>
                </c:pt>
                <c:pt idx="58">
                  <c:v>23.561599999999999</c:v>
                </c:pt>
                <c:pt idx="59">
                  <c:v>23.965699999999998</c:v>
                </c:pt>
                <c:pt idx="60">
                  <c:v>24.369199999999999</c:v>
                </c:pt>
                <c:pt idx="61">
                  <c:v>24.775700000000001</c:v>
                </c:pt>
                <c:pt idx="62">
                  <c:v>25.182099999999998</c:v>
                </c:pt>
                <c:pt idx="63">
                  <c:v>25.588200000000001</c:v>
                </c:pt>
                <c:pt idx="64">
                  <c:v>25.993500000000001</c:v>
                </c:pt>
                <c:pt idx="65">
                  <c:v>26.401</c:v>
                </c:pt>
                <c:pt idx="66">
                  <c:v>26.804200000000002</c:v>
                </c:pt>
                <c:pt idx="67">
                  <c:v>27.213999999999999</c:v>
                </c:pt>
                <c:pt idx="68">
                  <c:v>27.623699999999999</c:v>
                </c:pt>
                <c:pt idx="69">
                  <c:v>28.026199999999999</c:v>
                </c:pt>
                <c:pt idx="70">
                  <c:v>28.431999999999999</c:v>
                </c:pt>
                <c:pt idx="71">
                  <c:v>28.840800000000002</c:v>
                </c:pt>
                <c:pt idx="72">
                  <c:v>29.2485</c:v>
                </c:pt>
                <c:pt idx="73">
                  <c:v>29.652899999999999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2.4210799999999999</c:v>
                </c:pt>
                <c:pt idx="1">
                  <c:v>2.5201000000000002</c:v>
                </c:pt>
                <c:pt idx="2">
                  <c:v>2.6155600000000003</c:v>
                </c:pt>
                <c:pt idx="3">
                  <c:v>2.70397</c:v>
                </c:pt>
                <c:pt idx="4">
                  <c:v>2.7926699999999998</c:v>
                </c:pt>
                <c:pt idx="5">
                  <c:v>2.8790300000000002</c:v>
                </c:pt>
                <c:pt idx="6">
                  <c:v>2.96502</c:v>
                </c:pt>
                <c:pt idx="7">
                  <c:v>3.05186</c:v>
                </c:pt>
                <c:pt idx="8">
                  <c:v>3.1390699999999998</c:v>
                </c:pt>
                <c:pt idx="9">
                  <c:v>3.2272499999999997</c:v>
                </c:pt>
                <c:pt idx="10">
                  <c:v>3.31454</c:v>
                </c:pt>
                <c:pt idx="11">
                  <c:v>3.4000999999999997</c:v>
                </c:pt>
                <c:pt idx="12">
                  <c:v>3.4847399999999999</c:v>
                </c:pt>
                <c:pt idx="13">
                  <c:v>3.5672300000000003</c:v>
                </c:pt>
                <c:pt idx="14">
                  <c:v>3.6494500000000003</c:v>
                </c:pt>
                <c:pt idx="15">
                  <c:v>3.7295299999999996</c:v>
                </c:pt>
                <c:pt idx="16">
                  <c:v>3.8040000000000003</c:v>
                </c:pt>
                <c:pt idx="17">
                  <c:v>3.8729799999999996</c:v>
                </c:pt>
                <c:pt idx="18">
                  <c:v>3.9380799999999998</c:v>
                </c:pt>
                <c:pt idx="19">
                  <c:v>3.9978699999999998</c:v>
                </c:pt>
                <c:pt idx="20">
                  <c:v>4.0521200000000004</c:v>
                </c:pt>
                <c:pt idx="21">
                  <c:v>4.1008499999999994</c:v>
                </c:pt>
                <c:pt idx="22">
                  <c:v>4.1477700000000004</c:v>
                </c:pt>
                <c:pt idx="23">
                  <c:v>4.1885300000000001</c:v>
                </c:pt>
                <c:pt idx="24">
                  <c:v>4.2259600000000006</c:v>
                </c:pt>
                <c:pt idx="25">
                  <c:v>4.25786</c:v>
                </c:pt>
                <c:pt idx="26">
                  <c:v>4.2867600000000001</c:v>
                </c:pt>
                <c:pt idx="27">
                  <c:v>4.3118400000000001</c:v>
                </c:pt>
                <c:pt idx="28">
                  <c:v>4.3340499999999995</c:v>
                </c:pt>
                <c:pt idx="29">
                  <c:v>4.34999</c:v>
                </c:pt>
                <c:pt idx="30">
                  <c:v>4.3580999999999994</c:v>
                </c:pt>
                <c:pt idx="31">
                  <c:v>4.3578099999999997</c:v>
                </c:pt>
                <c:pt idx="32">
                  <c:v>4.3541800000000004</c:v>
                </c:pt>
                <c:pt idx="33">
                  <c:v>4.3488500000000005</c:v>
                </c:pt>
                <c:pt idx="34">
                  <c:v>4.34131</c:v>
                </c:pt>
                <c:pt idx="35">
                  <c:v>4.3304200000000002</c:v>
                </c:pt>
                <c:pt idx="36">
                  <c:v>4.32097</c:v>
                </c:pt>
                <c:pt idx="37">
                  <c:v>4.3128899999999994</c:v>
                </c:pt>
                <c:pt idx="38">
                  <c:v>4.3056100000000006</c:v>
                </c:pt>
                <c:pt idx="39">
                  <c:v>4.29711</c:v>
                </c:pt>
                <c:pt idx="40">
                  <c:v>4.2890699999999997</c:v>
                </c:pt>
                <c:pt idx="41">
                  <c:v>4.2819000000000003</c:v>
                </c:pt>
                <c:pt idx="42">
                  <c:v>4.2764799999999994</c:v>
                </c:pt>
                <c:pt idx="43">
                  <c:v>4.2698999999999998</c:v>
                </c:pt>
                <c:pt idx="44">
                  <c:v>4.2620000000000005</c:v>
                </c:pt>
                <c:pt idx="45">
                  <c:v>4.2534200000000002</c:v>
                </c:pt>
                <c:pt idx="46">
                  <c:v>4.2463499999999996</c:v>
                </c:pt>
                <c:pt idx="47">
                  <c:v>4.2349100000000002</c:v>
                </c:pt>
                <c:pt idx="48">
                  <c:v>4.2235199999999997</c:v>
                </c:pt>
                <c:pt idx="49">
                  <c:v>4.2115799999999997</c:v>
                </c:pt>
                <c:pt idx="50">
                  <c:v>4.2027999999999999</c:v>
                </c:pt>
                <c:pt idx="51">
                  <c:v>4.1950700000000003</c:v>
                </c:pt>
                <c:pt idx="52">
                  <c:v>4.1906499999999998</c:v>
                </c:pt>
                <c:pt idx="53">
                  <c:v>4.1876600000000002</c:v>
                </c:pt>
                <c:pt idx="54">
                  <c:v>4.1866599999999998</c:v>
                </c:pt>
                <c:pt idx="55">
                  <c:v>4.18851</c:v>
                </c:pt>
                <c:pt idx="56">
                  <c:v>4.1863799999999998</c:v>
                </c:pt>
                <c:pt idx="57">
                  <c:v>4.18302</c:v>
                </c:pt>
                <c:pt idx="58">
                  <c:v>4.1780600000000003</c:v>
                </c:pt>
                <c:pt idx="59">
                  <c:v>4.1716100000000003</c:v>
                </c:pt>
                <c:pt idx="60">
                  <c:v>4.1675800000000001</c:v>
                </c:pt>
                <c:pt idx="61">
                  <c:v>4.1601300000000005</c:v>
                </c:pt>
                <c:pt idx="62">
                  <c:v>4.1547200000000002</c:v>
                </c:pt>
                <c:pt idx="63">
                  <c:v>4.1357699999999999</c:v>
                </c:pt>
                <c:pt idx="64">
                  <c:v>4.12385</c:v>
                </c:pt>
                <c:pt idx="65">
                  <c:v>4.1028599999999997</c:v>
                </c:pt>
                <c:pt idx="66">
                  <c:v>4.0802300000000002</c:v>
                </c:pt>
                <c:pt idx="67">
                  <c:v>4.05443</c:v>
                </c:pt>
                <c:pt idx="68">
                  <c:v>4.0192199999999998</c:v>
                </c:pt>
                <c:pt idx="69">
                  <c:v>3.9917899999999999</c:v>
                </c:pt>
                <c:pt idx="70">
                  <c:v>3.9734399999999996</c:v>
                </c:pt>
                <c:pt idx="71">
                  <c:v>3.9385300000000001</c:v>
                </c:pt>
                <c:pt idx="72">
                  <c:v>3.91384</c:v>
                </c:pt>
                <c:pt idx="73">
                  <c:v>3.8980999999999999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29.652899999999999</c:v>
                </c:pt>
                <c:pt idx="1">
                  <c:v>30.055499999999999</c:v>
                </c:pt>
                <c:pt idx="2">
                  <c:v>30.570900000000002</c:v>
                </c:pt>
                <c:pt idx="3">
                  <c:v>30.947199999999999</c:v>
                </c:pt>
                <c:pt idx="4">
                  <c:v>31.340299999999999</c:v>
                </c:pt>
                <c:pt idx="5">
                  <c:v>31.744499999999999</c:v>
                </c:pt>
                <c:pt idx="6">
                  <c:v>32.133800000000001</c:v>
                </c:pt>
                <c:pt idx="7">
                  <c:v>32.543399999999998</c:v>
                </c:pt>
                <c:pt idx="8">
                  <c:v>32.953099999999999</c:v>
                </c:pt>
                <c:pt idx="9">
                  <c:v>33.353700000000003</c:v>
                </c:pt>
                <c:pt idx="10">
                  <c:v>33.7592</c:v>
                </c:pt>
                <c:pt idx="11">
                  <c:v>34.165799999999997</c:v>
                </c:pt>
                <c:pt idx="12">
                  <c:v>34.573999999999998</c:v>
                </c:pt>
                <c:pt idx="13">
                  <c:v>34.979700000000001</c:v>
                </c:pt>
                <c:pt idx="14">
                  <c:v>35.3857</c:v>
                </c:pt>
                <c:pt idx="15">
                  <c:v>35.790399999999998</c:v>
                </c:pt>
                <c:pt idx="16">
                  <c:v>36.200400000000002</c:v>
                </c:pt>
                <c:pt idx="17">
                  <c:v>36.604100000000003</c:v>
                </c:pt>
                <c:pt idx="18">
                  <c:v>37.011600000000001</c:v>
                </c:pt>
                <c:pt idx="19">
                  <c:v>37.414700000000003</c:v>
                </c:pt>
                <c:pt idx="20">
                  <c:v>37.821599999999997</c:v>
                </c:pt>
                <c:pt idx="21">
                  <c:v>38.231200000000001</c:v>
                </c:pt>
                <c:pt idx="22">
                  <c:v>38.637599999999999</c:v>
                </c:pt>
                <c:pt idx="23">
                  <c:v>39.043199999999999</c:v>
                </c:pt>
                <c:pt idx="24">
                  <c:v>39.447899999999997</c:v>
                </c:pt>
                <c:pt idx="25">
                  <c:v>39.854500000000002</c:v>
                </c:pt>
                <c:pt idx="26">
                  <c:v>40.262</c:v>
                </c:pt>
                <c:pt idx="27">
                  <c:v>40.667700000000004</c:v>
                </c:pt>
                <c:pt idx="28">
                  <c:v>41.073999999999998</c:v>
                </c:pt>
                <c:pt idx="29">
                  <c:v>41.480400000000003</c:v>
                </c:pt>
                <c:pt idx="30">
                  <c:v>41.883600000000001</c:v>
                </c:pt>
                <c:pt idx="31">
                  <c:v>42.2926</c:v>
                </c:pt>
                <c:pt idx="32">
                  <c:v>42.701099999999997</c:v>
                </c:pt>
                <c:pt idx="33">
                  <c:v>43.104799999999997</c:v>
                </c:pt>
                <c:pt idx="34">
                  <c:v>43.509500000000003</c:v>
                </c:pt>
                <c:pt idx="35">
                  <c:v>43.915199999999999</c:v>
                </c:pt>
                <c:pt idx="36">
                  <c:v>44.323399999999999</c:v>
                </c:pt>
                <c:pt idx="37">
                  <c:v>44.729199999999999</c:v>
                </c:pt>
                <c:pt idx="38">
                  <c:v>45.133899999999997</c:v>
                </c:pt>
                <c:pt idx="39">
                  <c:v>45.5426</c:v>
                </c:pt>
                <c:pt idx="40">
                  <c:v>45.9512</c:v>
                </c:pt>
                <c:pt idx="41">
                  <c:v>46.354199999999999</c:v>
                </c:pt>
                <c:pt idx="42">
                  <c:v>46.760399999999997</c:v>
                </c:pt>
                <c:pt idx="43">
                  <c:v>47.166400000000003</c:v>
                </c:pt>
                <c:pt idx="44">
                  <c:v>47.572299999999998</c:v>
                </c:pt>
                <c:pt idx="45">
                  <c:v>47.978299999999997</c:v>
                </c:pt>
                <c:pt idx="46">
                  <c:v>48.383800000000001</c:v>
                </c:pt>
                <c:pt idx="47">
                  <c:v>48.792099999999998</c:v>
                </c:pt>
                <c:pt idx="48">
                  <c:v>49.198300000000003</c:v>
                </c:pt>
                <c:pt idx="49">
                  <c:v>49.604199999999999</c:v>
                </c:pt>
                <c:pt idx="50">
                  <c:v>50.012799999999999</c:v>
                </c:pt>
                <c:pt idx="51">
                  <c:v>50.417099999999998</c:v>
                </c:pt>
                <c:pt idx="52">
                  <c:v>50.8232</c:v>
                </c:pt>
                <c:pt idx="53">
                  <c:v>51.230499999999999</c:v>
                </c:pt>
                <c:pt idx="54">
                  <c:v>51.636099999999999</c:v>
                </c:pt>
                <c:pt idx="55">
                  <c:v>52.039499999999997</c:v>
                </c:pt>
                <c:pt idx="56">
                  <c:v>52.449599999999997</c:v>
                </c:pt>
                <c:pt idx="57">
                  <c:v>52.854700000000001</c:v>
                </c:pt>
                <c:pt idx="58">
                  <c:v>53.259900000000002</c:v>
                </c:pt>
                <c:pt idx="59">
                  <c:v>53.666800000000002</c:v>
                </c:pt>
                <c:pt idx="60">
                  <c:v>54.075000000000003</c:v>
                </c:pt>
                <c:pt idx="61">
                  <c:v>54.479900000000001</c:v>
                </c:pt>
                <c:pt idx="62">
                  <c:v>54.885899999999999</c:v>
                </c:pt>
                <c:pt idx="63">
                  <c:v>55.290100000000002</c:v>
                </c:pt>
                <c:pt idx="64">
                  <c:v>55.698</c:v>
                </c:pt>
                <c:pt idx="65">
                  <c:v>56.105899999999998</c:v>
                </c:pt>
                <c:pt idx="66">
                  <c:v>56.512099999999997</c:v>
                </c:pt>
                <c:pt idx="67">
                  <c:v>56.915500000000002</c:v>
                </c:pt>
                <c:pt idx="68">
                  <c:v>57.321100000000001</c:v>
                </c:pt>
                <c:pt idx="69">
                  <c:v>57.7333</c:v>
                </c:pt>
                <c:pt idx="70">
                  <c:v>58.138100000000001</c:v>
                </c:pt>
                <c:pt idx="71">
                  <c:v>58.546799999999998</c:v>
                </c:pt>
                <c:pt idx="72">
                  <c:v>58.947699999999998</c:v>
                </c:pt>
                <c:pt idx="73">
                  <c:v>59.355499999999999</c:v>
                </c:pt>
                <c:pt idx="74">
                  <c:v>59.763500000000001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3.8980999999999999</c:v>
                </c:pt>
                <c:pt idx="1">
                  <c:v>3.8706800000000001</c:v>
                </c:pt>
                <c:pt idx="2">
                  <c:v>3.8339099999999999</c:v>
                </c:pt>
                <c:pt idx="3">
                  <c:v>3.8010699999999997</c:v>
                </c:pt>
                <c:pt idx="4">
                  <c:v>3.7654300000000003</c:v>
                </c:pt>
                <c:pt idx="5">
                  <c:v>3.7265100000000002</c:v>
                </c:pt>
                <c:pt idx="6">
                  <c:v>3.6872400000000001</c:v>
                </c:pt>
                <c:pt idx="7">
                  <c:v>3.6507299999999998</c:v>
                </c:pt>
                <c:pt idx="8">
                  <c:v>3.6208400000000003</c:v>
                </c:pt>
                <c:pt idx="9">
                  <c:v>3.5939199999999998</c:v>
                </c:pt>
                <c:pt idx="10">
                  <c:v>3.5690200000000001</c:v>
                </c:pt>
                <c:pt idx="11">
                  <c:v>3.5471000000000004</c:v>
                </c:pt>
                <c:pt idx="12">
                  <c:v>3.5251600000000001</c:v>
                </c:pt>
                <c:pt idx="13">
                  <c:v>3.5036399999999999</c:v>
                </c:pt>
                <c:pt idx="14">
                  <c:v>3.4835500000000001</c:v>
                </c:pt>
                <c:pt idx="15">
                  <c:v>3.4694099999999999</c:v>
                </c:pt>
                <c:pt idx="16">
                  <c:v>3.46055</c:v>
                </c:pt>
                <c:pt idx="17">
                  <c:v>3.4539599999999999</c:v>
                </c:pt>
                <c:pt idx="18">
                  <c:v>3.4515200000000004</c:v>
                </c:pt>
                <c:pt idx="19">
                  <c:v>3.4515800000000003</c:v>
                </c:pt>
                <c:pt idx="20">
                  <c:v>3.4548399999999999</c:v>
                </c:pt>
                <c:pt idx="21">
                  <c:v>3.4632299999999998</c:v>
                </c:pt>
                <c:pt idx="22">
                  <c:v>3.47546</c:v>
                </c:pt>
                <c:pt idx="23">
                  <c:v>3.4932400000000001</c:v>
                </c:pt>
                <c:pt idx="24">
                  <c:v>3.5165600000000001</c:v>
                </c:pt>
                <c:pt idx="25">
                  <c:v>3.5428999999999999</c:v>
                </c:pt>
                <c:pt idx="26">
                  <c:v>3.5715999999999997</c:v>
                </c:pt>
                <c:pt idx="27">
                  <c:v>3.59707</c:v>
                </c:pt>
                <c:pt idx="28">
                  <c:v>3.6274800000000003</c:v>
                </c:pt>
                <c:pt idx="29">
                  <c:v>3.65801</c:v>
                </c:pt>
                <c:pt idx="30">
                  <c:v>3.6901800000000002</c:v>
                </c:pt>
                <c:pt idx="31">
                  <c:v>3.7215799999999999</c:v>
                </c:pt>
                <c:pt idx="32">
                  <c:v>3.7494399999999999</c:v>
                </c:pt>
                <c:pt idx="33">
                  <c:v>3.7752799999999995</c:v>
                </c:pt>
                <c:pt idx="34">
                  <c:v>3.8001299999999998</c:v>
                </c:pt>
                <c:pt idx="35">
                  <c:v>3.8257300000000001</c:v>
                </c:pt>
                <c:pt idx="36">
                  <c:v>3.8525499999999999</c:v>
                </c:pt>
                <c:pt idx="37">
                  <c:v>3.8788200000000002</c:v>
                </c:pt>
                <c:pt idx="38">
                  <c:v>3.9038599999999999</c:v>
                </c:pt>
                <c:pt idx="39">
                  <c:v>3.9280500000000003</c:v>
                </c:pt>
                <c:pt idx="40">
                  <c:v>3.9516600000000004</c:v>
                </c:pt>
                <c:pt idx="41">
                  <c:v>3.9727800000000002</c:v>
                </c:pt>
                <c:pt idx="42">
                  <c:v>3.9944500000000001</c:v>
                </c:pt>
                <c:pt idx="43">
                  <c:v>4.0188800000000002</c:v>
                </c:pt>
                <c:pt idx="44">
                  <c:v>4.0408400000000002</c:v>
                </c:pt>
                <c:pt idx="45">
                  <c:v>4.0602999999999998</c:v>
                </c:pt>
                <c:pt idx="46">
                  <c:v>4.0774600000000003</c:v>
                </c:pt>
                <c:pt idx="47">
                  <c:v>4.0913199999999996</c:v>
                </c:pt>
                <c:pt idx="48">
                  <c:v>4.10337</c:v>
                </c:pt>
                <c:pt idx="49">
                  <c:v>4.1110799999999994</c:v>
                </c:pt>
                <c:pt idx="50">
                  <c:v>4.1154999999999999</c:v>
                </c:pt>
                <c:pt idx="51">
                  <c:v>4.1185600000000004</c:v>
                </c:pt>
                <c:pt idx="52">
                  <c:v>4.1246700000000001</c:v>
                </c:pt>
                <c:pt idx="53">
                  <c:v>4.1287099999999999</c:v>
                </c:pt>
                <c:pt idx="54">
                  <c:v>4.1345399999999994</c:v>
                </c:pt>
                <c:pt idx="55">
                  <c:v>4.1407699999999998</c:v>
                </c:pt>
                <c:pt idx="56">
                  <c:v>4.1477199999999996</c:v>
                </c:pt>
                <c:pt idx="57">
                  <c:v>4.1576599999999999</c:v>
                </c:pt>
                <c:pt idx="58">
                  <c:v>4.1672199999999995</c:v>
                </c:pt>
                <c:pt idx="59">
                  <c:v>4.1791900000000002</c:v>
                </c:pt>
                <c:pt idx="60">
                  <c:v>4.1914899999999999</c:v>
                </c:pt>
                <c:pt idx="61">
                  <c:v>4.2017500000000005</c:v>
                </c:pt>
                <c:pt idx="62">
                  <c:v>4.2129099999999999</c:v>
                </c:pt>
                <c:pt idx="63">
                  <c:v>4.2268299999999996</c:v>
                </c:pt>
                <c:pt idx="64">
                  <c:v>4.2387200000000007</c:v>
                </c:pt>
                <c:pt idx="65">
                  <c:v>4.2466699999999999</c:v>
                </c:pt>
                <c:pt idx="66">
                  <c:v>4.2521700000000004</c:v>
                </c:pt>
                <c:pt idx="67">
                  <c:v>4.2538599999999995</c:v>
                </c:pt>
                <c:pt idx="68">
                  <c:v>4.2449399999999997</c:v>
                </c:pt>
                <c:pt idx="69">
                  <c:v>4.24444</c:v>
                </c:pt>
                <c:pt idx="70">
                  <c:v>4.2507799999999998</c:v>
                </c:pt>
                <c:pt idx="71">
                  <c:v>4.2572399999999995</c:v>
                </c:pt>
                <c:pt idx="72">
                  <c:v>4.2705399999999996</c:v>
                </c:pt>
                <c:pt idx="73">
                  <c:v>4.2662399999999998</c:v>
                </c:pt>
                <c:pt idx="74">
                  <c:v>4.2834099999999999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14.940875</c:v>
                </c:pt>
                <c:pt idx="1">
                  <c:v>44.822625000000002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3.9431236486486494</c:v>
                </c:pt>
                <c:pt idx="1">
                  <c:v>3.8847364864864851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0.401835</c:v>
                </c:pt>
                <c:pt idx="2">
                  <c:v>0.80713999999999997</c:v>
                </c:pt>
                <c:pt idx="3">
                  <c:v>1.21139</c:v>
                </c:pt>
                <c:pt idx="4">
                  <c:v>1.6203799999999999</c:v>
                </c:pt>
                <c:pt idx="5">
                  <c:v>2.0281099999999999</c:v>
                </c:pt>
                <c:pt idx="6">
                  <c:v>2.4335</c:v>
                </c:pt>
                <c:pt idx="7">
                  <c:v>2.8397000000000001</c:v>
                </c:pt>
                <c:pt idx="8">
                  <c:v>3.2453599999999998</c:v>
                </c:pt>
                <c:pt idx="9">
                  <c:v>3.65211</c:v>
                </c:pt>
                <c:pt idx="10">
                  <c:v>4.0586599999999997</c:v>
                </c:pt>
                <c:pt idx="11">
                  <c:v>4.4659899999999997</c:v>
                </c:pt>
                <c:pt idx="12">
                  <c:v>4.8683500000000004</c:v>
                </c:pt>
                <c:pt idx="13">
                  <c:v>5.2759200000000002</c:v>
                </c:pt>
                <c:pt idx="14">
                  <c:v>5.6814799999999996</c:v>
                </c:pt>
                <c:pt idx="15">
                  <c:v>6.0917700000000004</c:v>
                </c:pt>
                <c:pt idx="16">
                  <c:v>6.4970600000000003</c:v>
                </c:pt>
                <c:pt idx="17">
                  <c:v>6.9047799999999997</c:v>
                </c:pt>
                <c:pt idx="18">
                  <c:v>7.3063200000000004</c:v>
                </c:pt>
                <c:pt idx="19">
                  <c:v>7.7128399999999999</c:v>
                </c:pt>
                <c:pt idx="20">
                  <c:v>8.1222100000000008</c:v>
                </c:pt>
                <c:pt idx="21">
                  <c:v>8.5308899999999994</c:v>
                </c:pt>
                <c:pt idx="22">
                  <c:v>8.9328299999999992</c:v>
                </c:pt>
                <c:pt idx="23">
                  <c:v>9.3407499999999999</c:v>
                </c:pt>
                <c:pt idx="24">
                  <c:v>9.7481100000000005</c:v>
                </c:pt>
                <c:pt idx="25">
                  <c:v>10.151400000000001</c:v>
                </c:pt>
                <c:pt idx="26">
                  <c:v>10.5587</c:v>
                </c:pt>
                <c:pt idx="27">
                  <c:v>10.964399999999999</c:v>
                </c:pt>
                <c:pt idx="28">
                  <c:v>11.373100000000001</c:v>
                </c:pt>
                <c:pt idx="29">
                  <c:v>11.777900000000001</c:v>
                </c:pt>
                <c:pt idx="30">
                  <c:v>12.1836</c:v>
                </c:pt>
                <c:pt idx="31">
                  <c:v>12.588200000000001</c:v>
                </c:pt>
                <c:pt idx="32">
                  <c:v>12.9985</c:v>
                </c:pt>
                <c:pt idx="33">
                  <c:v>13.4026</c:v>
                </c:pt>
                <c:pt idx="34">
                  <c:v>13.8096</c:v>
                </c:pt>
                <c:pt idx="35">
                  <c:v>14.2142</c:v>
                </c:pt>
                <c:pt idx="36">
                  <c:v>14.618600000000001</c:v>
                </c:pt>
                <c:pt idx="37">
                  <c:v>15.0236</c:v>
                </c:pt>
                <c:pt idx="38">
                  <c:v>15.435</c:v>
                </c:pt>
                <c:pt idx="39">
                  <c:v>15.839499999999999</c:v>
                </c:pt>
                <c:pt idx="40">
                  <c:v>16.2453</c:v>
                </c:pt>
                <c:pt idx="41">
                  <c:v>16.649100000000001</c:v>
                </c:pt>
                <c:pt idx="42">
                  <c:v>17.054200000000002</c:v>
                </c:pt>
                <c:pt idx="43">
                  <c:v>17.464400000000001</c:v>
                </c:pt>
                <c:pt idx="44">
                  <c:v>17.8703</c:v>
                </c:pt>
                <c:pt idx="45">
                  <c:v>18.279900000000001</c:v>
                </c:pt>
                <c:pt idx="46">
                  <c:v>18.680700000000002</c:v>
                </c:pt>
                <c:pt idx="47">
                  <c:v>19.088999999999999</c:v>
                </c:pt>
                <c:pt idx="48">
                  <c:v>19.495799999999999</c:v>
                </c:pt>
                <c:pt idx="49">
                  <c:v>19.904900000000001</c:v>
                </c:pt>
                <c:pt idx="50">
                  <c:v>20.306000000000001</c:v>
                </c:pt>
                <c:pt idx="51">
                  <c:v>20.712800000000001</c:v>
                </c:pt>
                <c:pt idx="52">
                  <c:v>21.118300000000001</c:v>
                </c:pt>
                <c:pt idx="53">
                  <c:v>21.527000000000001</c:v>
                </c:pt>
                <c:pt idx="54">
                  <c:v>21.9313</c:v>
                </c:pt>
                <c:pt idx="55">
                  <c:v>22.338999999999999</c:v>
                </c:pt>
                <c:pt idx="56">
                  <c:v>22.745699999999999</c:v>
                </c:pt>
                <c:pt idx="57">
                  <c:v>23.151199999999999</c:v>
                </c:pt>
                <c:pt idx="58">
                  <c:v>23.561599999999999</c:v>
                </c:pt>
                <c:pt idx="59">
                  <c:v>23.965699999999998</c:v>
                </c:pt>
                <c:pt idx="60">
                  <c:v>24.369199999999999</c:v>
                </c:pt>
                <c:pt idx="61">
                  <c:v>24.775700000000001</c:v>
                </c:pt>
                <c:pt idx="62">
                  <c:v>25.182099999999998</c:v>
                </c:pt>
                <c:pt idx="63">
                  <c:v>25.588200000000001</c:v>
                </c:pt>
                <c:pt idx="64">
                  <c:v>25.993500000000001</c:v>
                </c:pt>
                <c:pt idx="65">
                  <c:v>26.401</c:v>
                </c:pt>
                <c:pt idx="66">
                  <c:v>26.804200000000002</c:v>
                </c:pt>
                <c:pt idx="67">
                  <c:v>27.213999999999999</c:v>
                </c:pt>
                <c:pt idx="68">
                  <c:v>27.623699999999999</c:v>
                </c:pt>
                <c:pt idx="69">
                  <c:v>28.026199999999999</c:v>
                </c:pt>
                <c:pt idx="70">
                  <c:v>28.431999999999999</c:v>
                </c:pt>
                <c:pt idx="71">
                  <c:v>28.840800000000002</c:v>
                </c:pt>
                <c:pt idx="72">
                  <c:v>29.2485</c:v>
                </c:pt>
                <c:pt idx="73">
                  <c:v>29.652899999999999</c:v>
                </c:pt>
                <c:pt idx="74">
                  <c:v>30.055499999999999</c:v>
                </c:pt>
                <c:pt idx="75">
                  <c:v>30.570900000000002</c:v>
                </c:pt>
                <c:pt idx="76">
                  <c:v>30.947199999999999</c:v>
                </c:pt>
                <c:pt idx="77">
                  <c:v>31.340299999999999</c:v>
                </c:pt>
                <c:pt idx="78">
                  <c:v>31.744499999999999</c:v>
                </c:pt>
                <c:pt idx="79">
                  <c:v>32.133800000000001</c:v>
                </c:pt>
                <c:pt idx="80">
                  <c:v>32.543399999999998</c:v>
                </c:pt>
                <c:pt idx="81">
                  <c:v>32.953099999999999</c:v>
                </c:pt>
                <c:pt idx="82">
                  <c:v>33.353700000000003</c:v>
                </c:pt>
                <c:pt idx="83">
                  <c:v>33.7592</c:v>
                </c:pt>
                <c:pt idx="84">
                  <c:v>34.165799999999997</c:v>
                </c:pt>
                <c:pt idx="85">
                  <c:v>34.573999999999998</c:v>
                </c:pt>
                <c:pt idx="86">
                  <c:v>34.979700000000001</c:v>
                </c:pt>
                <c:pt idx="87">
                  <c:v>35.3857</c:v>
                </c:pt>
                <c:pt idx="88">
                  <c:v>35.790399999999998</c:v>
                </c:pt>
                <c:pt idx="89">
                  <c:v>36.200400000000002</c:v>
                </c:pt>
                <c:pt idx="90">
                  <c:v>36.604100000000003</c:v>
                </c:pt>
                <c:pt idx="91">
                  <c:v>37.011600000000001</c:v>
                </c:pt>
                <c:pt idx="92">
                  <c:v>37.414700000000003</c:v>
                </c:pt>
                <c:pt idx="93">
                  <c:v>37.821599999999997</c:v>
                </c:pt>
                <c:pt idx="94">
                  <c:v>38.231200000000001</c:v>
                </c:pt>
                <c:pt idx="95">
                  <c:v>38.637599999999999</c:v>
                </c:pt>
                <c:pt idx="96">
                  <c:v>39.043199999999999</c:v>
                </c:pt>
                <c:pt idx="97">
                  <c:v>39.447899999999997</c:v>
                </c:pt>
                <c:pt idx="98">
                  <c:v>39.854500000000002</c:v>
                </c:pt>
                <c:pt idx="99">
                  <c:v>40.262</c:v>
                </c:pt>
                <c:pt idx="100">
                  <c:v>40.667700000000004</c:v>
                </c:pt>
                <c:pt idx="101">
                  <c:v>41.073999999999998</c:v>
                </c:pt>
                <c:pt idx="102">
                  <c:v>41.480400000000003</c:v>
                </c:pt>
                <c:pt idx="103">
                  <c:v>41.883600000000001</c:v>
                </c:pt>
                <c:pt idx="104">
                  <c:v>42.2926</c:v>
                </c:pt>
                <c:pt idx="105">
                  <c:v>42.701099999999997</c:v>
                </c:pt>
                <c:pt idx="106">
                  <c:v>43.104799999999997</c:v>
                </c:pt>
                <c:pt idx="107">
                  <c:v>43.509500000000003</c:v>
                </c:pt>
                <c:pt idx="108">
                  <c:v>43.915199999999999</c:v>
                </c:pt>
                <c:pt idx="109">
                  <c:v>44.323399999999999</c:v>
                </c:pt>
                <c:pt idx="110">
                  <c:v>44.729199999999999</c:v>
                </c:pt>
                <c:pt idx="111">
                  <c:v>45.133899999999997</c:v>
                </c:pt>
                <c:pt idx="112">
                  <c:v>45.5426</c:v>
                </c:pt>
                <c:pt idx="113">
                  <c:v>45.9512</c:v>
                </c:pt>
                <c:pt idx="114">
                  <c:v>46.354199999999999</c:v>
                </c:pt>
                <c:pt idx="115">
                  <c:v>46.760399999999997</c:v>
                </c:pt>
                <c:pt idx="116">
                  <c:v>47.166400000000003</c:v>
                </c:pt>
                <c:pt idx="117">
                  <c:v>47.572299999999998</c:v>
                </c:pt>
                <c:pt idx="118">
                  <c:v>47.978299999999997</c:v>
                </c:pt>
                <c:pt idx="119">
                  <c:v>48.383800000000001</c:v>
                </c:pt>
                <c:pt idx="120">
                  <c:v>48.792099999999998</c:v>
                </c:pt>
                <c:pt idx="121">
                  <c:v>49.198300000000003</c:v>
                </c:pt>
                <c:pt idx="122">
                  <c:v>49.604199999999999</c:v>
                </c:pt>
                <c:pt idx="123">
                  <c:v>50.012799999999999</c:v>
                </c:pt>
                <c:pt idx="124">
                  <c:v>50.417099999999998</c:v>
                </c:pt>
                <c:pt idx="125">
                  <c:v>50.8232</c:v>
                </c:pt>
                <c:pt idx="126">
                  <c:v>51.230499999999999</c:v>
                </c:pt>
                <c:pt idx="127">
                  <c:v>51.636099999999999</c:v>
                </c:pt>
                <c:pt idx="128">
                  <c:v>52.039499999999997</c:v>
                </c:pt>
                <c:pt idx="129">
                  <c:v>52.449599999999997</c:v>
                </c:pt>
                <c:pt idx="130">
                  <c:v>52.854700000000001</c:v>
                </c:pt>
                <c:pt idx="131">
                  <c:v>53.259900000000002</c:v>
                </c:pt>
                <c:pt idx="132">
                  <c:v>53.666800000000002</c:v>
                </c:pt>
                <c:pt idx="133">
                  <c:v>54.075000000000003</c:v>
                </c:pt>
                <c:pt idx="134">
                  <c:v>54.479900000000001</c:v>
                </c:pt>
                <c:pt idx="135">
                  <c:v>54.885899999999999</c:v>
                </c:pt>
                <c:pt idx="136">
                  <c:v>55.290100000000002</c:v>
                </c:pt>
                <c:pt idx="137">
                  <c:v>55.698</c:v>
                </c:pt>
                <c:pt idx="138">
                  <c:v>56.105899999999998</c:v>
                </c:pt>
                <c:pt idx="139">
                  <c:v>56.512099999999997</c:v>
                </c:pt>
                <c:pt idx="140">
                  <c:v>56.915500000000002</c:v>
                </c:pt>
                <c:pt idx="141">
                  <c:v>57.321100000000001</c:v>
                </c:pt>
                <c:pt idx="142">
                  <c:v>57.7333</c:v>
                </c:pt>
                <c:pt idx="143">
                  <c:v>58.138100000000001</c:v>
                </c:pt>
                <c:pt idx="144">
                  <c:v>58.546799999999998</c:v>
                </c:pt>
                <c:pt idx="145">
                  <c:v>58.947699999999998</c:v>
                </c:pt>
                <c:pt idx="146">
                  <c:v>59.355499999999999</c:v>
                </c:pt>
                <c:pt idx="147">
                  <c:v>59.763500000000001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50.423099999999998</c:v>
                </c:pt>
                <c:pt idx="1">
                  <c:v>49.25</c:v>
                </c:pt>
                <c:pt idx="2">
                  <c:v>48.305799999999998</c:v>
                </c:pt>
                <c:pt idx="3">
                  <c:v>47.351999999999997</c:v>
                </c:pt>
                <c:pt idx="4">
                  <c:v>46.357900000000001</c:v>
                </c:pt>
                <c:pt idx="5">
                  <c:v>45.254199999999997</c:v>
                </c:pt>
                <c:pt idx="6">
                  <c:v>44.0486</c:v>
                </c:pt>
                <c:pt idx="7">
                  <c:v>42.879199999999997</c:v>
                </c:pt>
                <c:pt idx="8">
                  <c:v>41.768300000000004</c:v>
                </c:pt>
                <c:pt idx="9">
                  <c:v>40.760200000000005</c:v>
                </c:pt>
                <c:pt idx="10">
                  <c:v>39.915399999999998</c:v>
                </c:pt>
                <c:pt idx="11">
                  <c:v>39.162799999999997</c:v>
                </c:pt>
                <c:pt idx="12">
                  <c:v>38.589600000000004</c:v>
                </c:pt>
                <c:pt idx="13">
                  <c:v>38.172200000000004</c:v>
                </c:pt>
                <c:pt idx="14">
                  <c:v>37.798200000000001</c:v>
                </c:pt>
                <c:pt idx="15">
                  <c:v>37.533300000000004</c:v>
                </c:pt>
                <c:pt idx="16">
                  <c:v>37.51</c:v>
                </c:pt>
                <c:pt idx="17">
                  <c:v>37.543900000000001</c:v>
                </c:pt>
                <c:pt idx="18">
                  <c:v>37.623800000000003</c:v>
                </c:pt>
                <c:pt idx="19">
                  <c:v>37.783899999999996</c:v>
                </c:pt>
                <c:pt idx="20">
                  <c:v>37.967300000000002</c:v>
                </c:pt>
                <c:pt idx="21">
                  <c:v>38.281599999999997</c:v>
                </c:pt>
                <c:pt idx="22">
                  <c:v>38.5304</c:v>
                </c:pt>
                <c:pt idx="23">
                  <c:v>38.723700000000001</c:v>
                </c:pt>
                <c:pt idx="24">
                  <c:v>38.799700000000001</c:v>
                </c:pt>
                <c:pt idx="25">
                  <c:v>38.787199999999999</c:v>
                </c:pt>
                <c:pt idx="26">
                  <c:v>38.825900000000004</c:v>
                </c:pt>
                <c:pt idx="27">
                  <c:v>38.913699999999999</c:v>
                </c:pt>
                <c:pt idx="28">
                  <c:v>38.966799999999999</c:v>
                </c:pt>
                <c:pt idx="29">
                  <c:v>38.9268</c:v>
                </c:pt>
                <c:pt idx="30">
                  <c:v>38.904899999999998</c:v>
                </c:pt>
                <c:pt idx="31">
                  <c:v>38.845400000000005</c:v>
                </c:pt>
                <c:pt idx="32">
                  <c:v>38.7575</c:v>
                </c:pt>
                <c:pt idx="33">
                  <c:v>38.744199999999999</c:v>
                </c:pt>
                <c:pt idx="34">
                  <c:v>38.704100000000004</c:v>
                </c:pt>
                <c:pt idx="35">
                  <c:v>38.6952</c:v>
                </c:pt>
                <c:pt idx="36">
                  <c:v>38.712699999999998</c:v>
                </c:pt>
                <c:pt idx="37">
                  <c:v>38.738599999999998</c:v>
                </c:pt>
                <c:pt idx="38">
                  <c:v>38.823900000000002</c:v>
                </c:pt>
                <c:pt idx="39">
                  <c:v>38.9893</c:v>
                </c:pt>
                <c:pt idx="40">
                  <c:v>39.220300000000002</c:v>
                </c:pt>
                <c:pt idx="41">
                  <c:v>39.407199999999996</c:v>
                </c:pt>
                <c:pt idx="42">
                  <c:v>39.660000000000004</c:v>
                </c:pt>
                <c:pt idx="43">
                  <c:v>40.054299999999998</c:v>
                </c:pt>
                <c:pt idx="44">
                  <c:v>40.508800000000001</c:v>
                </c:pt>
                <c:pt idx="45">
                  <c:v>41.009700000000002</c:v>
                </c:pt>
                <c:pt idx="46">
                  <c:v>41.476500000000001</c:v>
                </c:pt>
                <c:pt idx="47">
                  <c:v>42.009700000000002</c:v>
                </c:pt>
                <c:pt idx="48">
                  <c:v>42.575499999999998</c:v>
                </c:pt>
                <c:pt idx="49">
                  <c:v>43.285000000000004</c:v>
                </c:pt>
                <c:pt idx="50">
                  <c:v>43.824300000000001</c:v>
                </c:pt>
                <c:pt idx="51">
                  <c:v>44.631700000000002</c:v>
                </c:pt>
                <c:pt idx="52">
                  <c:v>45.445999999999998</c:v>
                </c:pt>
                <c:pt idx="53">
                  <c:v>46.292999999999999</c:v>
                </c:pt>
                <c:pt idx="54">
                  <c:v>47.188200000000002</c:v>
                </c:pt>
                <c:pt idx="55">
                  <c:v>48.042099999999998</c:v>
                </c:pt>
                <c:pt idx="56">
                  <c:v>48.998599999999996</c:v>
                </c:pt>
                <c:pt idx="57">
                  <c:v>49.706099999999999</c:v>
                </c:pt>
                <c:pt idx="58">
                  <c:v>50.341299999999997</c:v>
                </c:pt>
                <c:pt idx="59">
                  <c:v>50.972399999999993</c:v>
                </c:pt>
                <c:pt idx="60">
                  <c:v>51.5169</c:v>
                </c:pt>
                <c:pt idx="61">
                  <c:v>52.014099999999999</c:v>
                </c:pt>
                <c:pt idx="62">
                  <c:v>52.523699999999998</c:v>
                </c:pt>
                <c:pt idx="63">
                  <c:v>52.974900000000005</c:v>
                </c:pt>
                <c:pt idx="64">
                  <c:v>53.436999999999998</c:v>
                </c:pt>
                <c:pt idx="65">
                  <c:v>53.849299999999999</c:v>
                </c:pt>
                <c:pt idx="66">
                  <c:v>54.241599999999998</c:v>
                </c:pt>
                <c:pt idx="67">
                  <c:v>54.624600000000001</c:v>
                </c:pt>
                <c:pt idx="68">
                  <c:v>54.783200000000001</c:v>
                </c:pt>
                <c:pt idx="69">
                  <c:v>54.878599999999999</c:v>
                </c:pt>
                <c:pt idx="70">
                  <c:v>54.980300000000007</c:v>
                </c:pt>
                <c:pt idx="71">
                  <c:v>54.897600000000004</c:v>
                </c:pt>
                <c:pt idx="72">
                  <c:v>54.845500000000001</c:v>
                </c:pt>
                <c:pt idx="73">
                  <c:v>54.804499999999997</c:v>
                </c:pt>
                <c:pt idx="74">
                  <c:v>54.631399999999999</c:v>
                </c:pt>
                <c:pt idx="75">
                  <c:v>54.487900000000003</c:v>
                </c:pt>
                <c:pt idx="76">
                  <c:v>54.414900000000003</c:v>
                </c:pt>
                <c:pt idx="77">
                  <c:v>54.340999999999994</c:v>
                </c:pt>
                <c:pt idx="78">
                  <c:v>54.306600000000003</c:v>
                </c:pt>
                <c:pt idx="79">
                  <c:v>54.347299999999997</c:v>
                </c:pt>
                <c:pt idx="80">
                  <c:v>54.431399999999996</c:v>
                </c:pt>
                <c:pt idx="81">
                  <c:v>54.541700000000006</c:v>
                </c:pt>
                <c:pt idx="82">
                  <c:v>54.645200000000003</c:v>
                </c:pt>
                <c:pt idx="83">
                  <c:v>54.729099999999995</c:v>
                </c:pt>
                <c:pt idx="84">
                  <c:v>54.795700000000004</c:v>
                </c:pt>
                <c:pt idx="85">
                  <c:v>54.919899999999998</c:v>
                </c:pt>
                <c:pt idx="86">
                  <c:v>55.121900000000004</c:v>
                </c:pt>
                <c:pt idx="87">
                  <c:v>55.460900000000002</c:v>
                </c:pt>
                <c:pt idx="88">
                  <c:v>55.720499999999994</c:v>
                </c:pt>
                <c:pt idx="89">
                  <c:v>55.889800000000001</c:v>
                </c:pt>
                <c:pt idx="90">
                  <c:v>56.0107</c:v>
                </c:pt>
                <c:pt idx="91">
                  <c:v>56.101299999999995</c:v>
                </c:pt>
                <c:pt idx="92">
                  <c:v>56.120599999999996</c:v>
                </c:pt>
                <c:pt idx="93">
                  <c:v>56.058900000000001</c:v>
                </c:pt>
                <c:pt idx="94">
                  <c:v>55.8889</c:v>
                </c:pt>
                <c:pt idx="95">
                  <c:v>55.623999999999995</c:v>
                </c:pt>
                <c:pt idx="96">
                  <c:v>55.215199999999996</c:v>
                </c:pt>
                <c:pt idx="97">
                  <c:v>54.6175</c:v>
                </c:pt>
                <c:pt idx="98">
                  <c:v>53.971699999999998</c:v>
                </c:pt>
                <c:pt idx="99">
                  <c:v>53.360399999999998</c:v>
                </c:pt>
                <c:pt idx="100">
                  <c:v>52.877799999999993</c:v>
                </c:pt>
                <c:pt idx="101">
                  <c:v>52.388199999999998</c:v>
                </c:pt>
                <c:pt idx="102">
                  <c:v>51.951599999999999</c:v>
                </c:pt>
                <c:pt idx="103">
                  <c:v>51.563400000000001</c:v>
                </c:pt>
                <c:pt idx="104">
                  <c:v>51.1556</c:v>
                </c:pt>
                <c:pt idx="105">
                  <c:v>50.8371</c:v>
                </c:pt>
                <c:pt idx="106">
                  <c:v>50.448300000000003</c:v>
                </c:pt>
                <c:pt idx="107">
                  <c:v>50.071899999999999</c:v>
                </c:pt>
                <c:pt idx="108">
                  <c:v>49.676500000000004</c:v>
                </c:pt>
                <c:pt idx="109">
                  <c:v>49.225099999999998</c:v>
                </c:pt>
                <c:pt idx="110">
                  <c:v>48.695699999999995</c:v>
                </c:pt>
                <c:pt idx="111">
                  <c:v>48.225299999999997</c:v>
                </c:pt>
                <c:pt idx="112">
                  <c:v>47.690300000000001</c:v>
                </c:pt>
                <c:pt idx="113">
                  <c:v>47.045700000000004</c:v>
                </c:pt>
                <c:pt idx="114">
                  <c:v>46.357599999999998</c:v>
                </c:pt>
                <c:pt idx="115">
                  <c:v>45.650800000000004</c:v>
                </c:pt>
                <c:pt idx="116">
                  <c:v>44.832599999999999</c:v>
                </c:pt>
                <c:pt idx="117">
                  <c:v>44.126599999999996</c:v>
                </c:pt>
                <c:pt idx="118">
                  <c:v>43.473099999999995</c:v>
                </c:pt>
                <c:pt idx="119">
                  <c:v>42.8337</c:v>
                </c:pt>
                <c:pt idx="120">
                  <c:v>42.164499999999997</c:v>
                </c:pt>
                <c:pt idx="121">
                  <c:v>41.6126</c:v>
                </c:pt>
                <c:pt idx="122">
                  <c:v>41.065300000000001</c:v>
                </c:pt>
                <c:pt idx="123">
                  <c:v>40.640300000000003</c:v>
                </c:pt>
                <c:pt idx="124">
                  <c:v>40.3093</c:v>
                </c:pt>
                <c:pt idx="125">
                  <c:v>39.9208</c:v>
                </c:pt>
                <c:pt idx="126">
                  <c:v>39.477000000000004</c:v>
                </c:pt>
                <c:pt idx="127">
                  <c:v>39.066400000000002</c:v>
                </c:pt>
                <c:pt idx="128">
                  <c:v>38.664100000000005</c:v>
                </c:pt>
                <c:pt idx="129">
                  <c:v>38.283299999999997</c:v>
                </c:pt>
                <c:pt idx="130">
                  <c:v>37.866799999999998</c:v>
                </c:pt>
                <c:pt idx="131">
                  <c:v>37.452300000000001</c:v>
                </c:pt>
                <c:pt idx="132">
                  <c:v>37.0642</c:v>
                </c:pt>
                <c:pt idx="133">
                  <c:v>36.710900000000002</c:v>
                </c:pt>
                <c:pt idx="134">
                  <c:v>36.379800000000003</c:v>
                </c:pt>
                <c:pt idx="135">
                  <c:v>36.169699999999999</c:v>
                </c:pt>
                <c:pt idx="136">
                  <c:v>35.932600000000001</c:v>
                </c:pt>
                <c:pt idx="137">
                  <c:v>35.661100000000005</c:v>
                </c:pt>
                <c:pt idx="138">
                  <c:v>35.429500000000004</c:v>
                </c:pt>
                <c:pt idx="139">
                  <c:v>35.229300000000002</c:v>
                </c:pt>
                <c:pt idx="140">
                  <c:v>35.105599999999995</c:v>
                </c:pt>
                <c:pt idx="141">
                  <c:v>35.124699999999997</c:v>
                </c:pt>
                <c:pt idx="142">
                  <c:v>35.054699999999997</c:v>
                </c:pt>
                <c:pt idx="143">
                  <c:v>34.984099999999998</c:v>
                </c:pt>
                <c:pt idx="144">
                  <c:v>34.856099999999998</c:v>
                </c:pt>
                <c:pt idx="145">
                  <c:v>35.119499999999995</c:v>
                </c:pt>
                <c:pt idx="146">
                  <c:v>34.544499999999999</c:v>
                </c:pt>
                <c:pt idx="147">
                  <c:v>33.915800000000004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0.401835</c:v>
                </c:pt>
                <c:pt idx="2">
                  <c:v>0.80713999999999997</c:v>
                </c:pt>
                <c:pt idx="3">
                  <c:v>1.21139</c:v>
                </c:pt>
                <c:pt idx="4">
                  <c:v>1.6203799999999999</c:v>
                </c:pt>
                <c:pt idx="5">
                  <c:v>2.0281099999999999</c:v>
                </c:pt>
                <c:pt idx="6">
                  <c:v>2.4335</c:v>
                </c:pt>
                <c:pt idx="7">
                  <c:v>2.8397000000000001</c:v>
                </c:pt>
                <c:pt idx="8">
                  <c:v>3.2453599999999998</c:v>
                </c:pt>
                <c:pt idx="9">
                  <c:v>3.65211</c:v>
                </c:pt>
                <c:pt idx="10">
                  <c:v>4.0586599999999997</c:v>
                </c:pt>
                <c:pt idx="11">
                  <c:v>4.4659899999999997</c:v>
                </c:pt>
                <c:pt idx="12">
                  <c:v>4.8683500000000004</c:v>
                </c:pt>
                <c:pt idx="13">
                  <c:v>5.2759200000000002</c:v>
                </c:pt>
                <c:pt idx="14">
                  <c:v>5.6814799999999996</c:v>
                </c:pt>
                <c:pt idx="15">
                  <c:v>6.0917700000000004</c:v>
                </c:pt>
                <c:pt idx="16">
                  <c:v>6.4970600000000003</c:v>
                </c:pt>
                <c:pt idx="17">
                  <c:v>6.9047799999999997</c:v>
                </c:pt>
                <c:pt idx="18">
                  <c:v>7.3063200000000004</c:v>
                </c:pt>
                <c:pt idx="19">
                  <c:v>7.7128399999999999</c:v>
                </c:pt>
                <c:pt idx="20">
                  <c:v>8.1222100000000008</c:v>
                </c:pt>
                <c:pt idx="21">
                  <c:v>8.5308899999999994</c:v>
                </c:pt>
                <c:pt idx="22">
                  <c:v>8.9328299999999992</c:v>
                </c:pt>
                <c:pt idx="23">
                  <c:v>9.3407499999999999</c:v>
                </c:pt>
                <c:pt idx="24">
                  <c:v>9.7481100000000005</c:v>
                </c:pt>
                <c:pt idx="25">
                  <c:v>10.151400000000001</c:v>
                </c:pt>
                <c:pt idx="26">
                  <c:v>10.5587</c:v>
                </c:pt>
                <c:pt idx="27">
                  <c:v>10.964399999999999</c:v>
                </c:pt>
                <c:pt idx="28">
                  <c:v>11.373100000000001</c:v>
                </c:pt>
                <c:pt idx="29">
                  <c:v>11.777900000000001</c:v>
                </c:pt>
                <c:pt idx="30">
                  <c:v>12.1836</c:v>
                </c:pt>
                <c:pt idx="31">
                  <c:v>12.588200000000001</c:v>
                </c:pt>
                <c:pt idx="32">
                  <c:v>12.9985</c:v>
                </c:pt>
                <c:pt idx="33">
                  <c:v>13.4026</c:v>
                </c:pt>
                <c:pt idx="34">
                  <c:v>13.8096</c:v>
                </c:pt>
                <c:pt idx="35">
                  <c:v>14.2142</c:v>
                </c:pt>
                <c:pt idx="36">
                  <c:v>14.618600000000001</c:v>
                </c:pt>
                <c:pt idx="37">
                  <c:v>15.0236</c:v>
                </c:pt>
                <c:pt idx="38">
                  <c:v>15.435</c:v>
                </c:pt>
                <c:pt idx="39">
                  <c:v>15.839499999999999</c:v>
                </c:pt>
                <c:pt idx="40">
                  <c:v>16.2453</c:v>
                </c:pt>
                <c:pt idx="41">
                  <c:v>16.649100000000001</c:v>
                </c:pt>
                <c:pt idx="42">
                  <c:v>17.054200000000002</c:v>
                </c:pt>
                <c:pt idx="43">
                  <c:v>17.464400000000001</c:v>
                </c:pt>
                <c:pt idx="44">
                  <c:v>17.8703</c:v>
                </c:pt>
                <c:pt idx="45">
                  <c:v>18.279900000000001</c:v>
                </c:pt>
                <c:pt idx="46">
                  <c:v>18.680700000000002</c:v>
                </c:pt>
                <c:pt idx="47">
                  <c:v>19.088999999999999</c:v>
                </c:pt>
                <c:pt idx="48">
                  <c:v>19.495799999999999</c:v>
                </c:pt>
                <c:pt idx="49">
                  <c:v>19.904900000000001</c:v>
                </c:pt>
                <c:pt idx="50">
                  <c:v>20.306000000000001</c:v>
                </c:pt>
                <c:pt idx="51">
                  <c:v>20.712800000000001</c:v>
                </c:pt>
                <c:pt idx="52">
                  <c:v>21.118300000000001</c:v>
                </c:pt>
                <c:pt idx="53">
                  <c:v>21.527000000000001</c:v>
                </c:pt>
                <c:pt idx="54">
                  <c:v>21.9313</c:v>
                </c:pt>
                <c:pt idx="55">
                  <c:v>22.338999999999999</c:v>
                </c:pt>
                <c:pt idx="56">
                  <c:v>22.745699999999999</c:v>
                </c:pt>
                <c:pt idx="57">
                  <c:v>23.151199999999999</c:v>
                </c:pt>
                <c:pt idx="58">
                  <c:v>23.561599999999999</c:v>
                </c:pt>
                <c:pt idx="59">
                  <c:v>23.965699999999998</c:v>
                </c:pt>
                <c:pt idx="60">
                  <c:v>24.369199999999999</c:v>
                </c:pt>
                <c:pt idx="61">
                  <c:v>24.775700000000001</c:v>
                </c:pt>
                <c:pt idx="62">
                  <c:v>25.182099999999998</c:v>
                </c:pt>
                <c:pt idx="63">
                  <c:v>25.588200000000001</c:v>
                </c:pt>
                <c:pt idx="64">
                  <c:v>25.993500000000001</c:v>
                </c:pt>
                <c:pt idx="65">
                  <c:v>26.401</c:v>
                </c:pt>
                <c:pt idx="66">
                  <c:v>26.804200000000002</c:v>
                </c:pt>
                <c:pt idx="67">
                  <c:v>27.213999999999999</c:v>
                </c:pt>
                <c:pt idx="68">
                  <c:v>27.623699999999999</c:v>
                </c:pt>
                <c:pt idx="69">
                  <c:v>28.026199999999999</c:v>
                </c:pt>
                <c:pt idx="70">
                  <c:v>28.431999999999999</c:v>
                </c:pt>
                <c:pt idx="71">
                  <c:v>28.840800000000002</c:v>
                </c:pt>
                <c:pt idx="72">
                  <c:v>29.2485</c:v>
                </c:pt>
                <c:pt idx="73">
                  <c:v>29.652899999999999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50.423099999999998</c:v>
                </c:pt>
                <c:pt idx="1">
                  <c:v>49.25</c:v>
                </c:pt>
                <c:pt idx="2">
                  <c:v>48.305799999999998</c:v>
                </c:pt>
                <c:pt idx="3">
                  <c:v>47.351999999999997</c:v>
                </c:pt>
                <c:pt idx="4">
                  <c:v>46.357900000000001</c:v>
                </c:pt>
                <c:pt idx="5">
                  <c:v>45.254199999999997</c:v>
                </c:pt>
                <c:pt idx="6">
                  <c:v>44.0486</c:v>
                </c:pt>
                <c:pt idx="7">
                  <c:v>42.879199999999997</c:v>
                </c:pt>
                <c:pt idx="8">
                  <c:v>41.768300000000004</c:v>
                </c:pt>
                <c:pt idx="9">
                  <c:v>40.760200000000005</c:v>
                </c:pt>
                <c:pt idx="10">
                  <c:v>39.915399999999998</c:v>
                </c:pt>
                <c:pt idx="11">
                  <c:v>39.162799999999997</c:v>
                </c:pt>
                <c:pt idx="12">
                  <c:v>38.589600000000004</c:v>
                </c:pt>
                <c:pt idx="13">
                  <c:v>38.172200000000004</c:v>
                </c:pt>
                <c:pt idx="14">
                  <c:v>37.798200000000001</c:v>
                </c:pt>
                <c:pt idx="15">
                  <c:v>37.533300000000004</c:v>
                </c:pt>
                <c:pt idx="16">
                  <c:v>37.51</c:v>
                </c:pt>
                <c:pt idx="17">
                  <c:v>37.543900000000001</c:v>
                </c:pt>
                <c:pt idx="18">
                  <c:v>37.623800000000003</c:v>
                </c:pt>
                <c:pt idx="19">
                  <c:v>37.783899999999996</c:v>
                </c:pt>
                <c:pt idx="20">
                  <c:v>37.967300000000002</c:v>
                </c:pt>
                <c:pt idx="21">
                  <c:v>38.281599999999997</c:v>
                </c:pt>
                <c:pt idx="22">
                  <c:v>38.5304</c:v>
                </c:pt>
                <c:pt idx="23">
                  <c:v>38.723700000000001</c:v>
                </c:pt>
                <c:pt idx="24">
                  <c:v>38.799700000000001</c:v>
                </c:pt>
                <c:pt idx="25">
                  <c:v>38.787199999999999</c:v>
                </c:pt>
                <c:pt idx="26">
                  <c:v>38.825900000000004</c:v>
                </c:pt>
                <c:pt idx="27">
                  <c:v>38.913699999999999</c:v>
                </c:pt>
                <c:pt idx="28">
                  <c:v>38.966799999999999</c:v>
                </c:pt>
                <c:pt idx="29">
                  <c:v>38.9268</c:v>
                </c:pt>
                <c:pt idx="30">
                  <c:v>38.904899999999998</c:v>
                </c:pt>
                <c:pt idx="31">
                  <c:v>38.845400000000005</c:v>
                </c:pt>
                <c:pt idx="32">
                  <c:v>38.7575</c:v>
                </c:pt>
                <c:pt idx="33">
                  <c:v>38.744199999999999</c:v>
                </c:pt>
                <c:pt idx="34">
                  <c:v>38.704100000000004</c:v>
                </c:pt>
                <c:pt idx="35">
                  <c:v>38.6952</c:v>
                </c:pt>
                <c:pt idx="36">
                  <c:v>38.712699999999998</c:v>
                </c:pt>
                <c:pt idx="37">
                  <c:v>38.738599999999998</c:v>
                </c:pt>
                <c:pt idx="38">
                  <c:v>38.823900000000002</c:v>
                </c:pt>
                <c:pt idx="39">
                  <c:v>38.9893</c:v>
                </c:pt>
                <c:pt idx="40">
                  <c:v>39.220300000000002</c:v>
                </c:pt>
                <c:pt idx="41">
                  <c:v>39.407199999999996</c:v>
                </c:pt>
                <c:pt idx="42">
                  <c:v>39.660000000000004</c:v>
                </c:pt>
                <c:pt idx="43">
                  <c:v>40.054299999999998</c:v>
                </c:pt>
                <c:pt idx="44">
                  <c:v>40.508800000000001</c:v>
                </c:pt>
                <c:pt idx="45">
                  <c:v>41.009700000000002</c:v>
                </c:pt>
                <c:pt idx="46">
                  <c:v>41.476500000000001</c:v>
                </c:pt>
                <c:pt idx="47">
                  <c:v>42.009700000000002</c:v>
                </c:pt>
                <c:pt idx="48">
                  <c:v>42.575499999999998</c:v>
                </c:pt>
                <c:pt idx="49">
                  <c:v>43.285000000000004</c:v>
                </c:pt>
                <c:pt idx="50">
                  <c:v>43.824300000000001</c:v>
                </c:pt>
                <c:pt idx="51">
                  <c:v>44.631700000000002</c:v>
                </c:pt>
                <c:pt idx="52">
                  <c:v>45.445999999999998</c:v>
                </c:pt>
                <c:pt idx="53">
                  <c:v>46.292999999999999</c:v>
                </c:pt>
                <c:pt idx="54">
                  <c:v>47.188200000000002</c:v>
                </c:pt>
                <c:pt idx="55">
                  <c:v>48.042099999999998</c:v>
                </c:pt>
                <c:pt idx="56">
                  <c:v>48.998599999999996</c:v>
                </c:pt>
                <c:pt idx="57">
                  <c:v>49.706099999999999</c:v>
                </c:pt>
                <c:pt idx="58">
                  <c:v>50.341299999999997</c:v>
                </c:pt>
                <c:pt idx="59">
                  <c:v>50.972399999999993</c:v>
                </c:pt>
                <c:pt idx="60">
                  <c:v>51.5169</c:v>
                </c:pt>
                <c:pt idx="61">
                  <c:v>52.014099999999999</c:v>
                </c:pt>
                <c:pt idx="62">
                  <c:v>52.523699999999998</c:v>
                </c:pt>
                <c:pt idx="63">
                  <c:v>52.974900000000005</c:v>
                </c:pt>
                <c:pt idx="64">
                  <c:v>53.436999999999998</c:v>
                </c:pt>
                <c:pt idx="65">
                  <c:v>53.849299999999999</c:v>
                </c:pt>
                <c:pt idx="66">
                  <c:v>54.241599999999998</c:v>
                </c:pt>
                <c:pt idx="67">
                  <c:v>54.624600000000001</c:v>
                </c:pt>
                <c:pt idx="68">
                  <c:v>54.783200000000001</c:v>
                </c:pt>
                <c:pt idx="69">
                  <c:v>54.878599999999999</c:v>
                </c:pt>
                <c:pt idx="70">
                  <c:v>54.980300000000007</c:v>
                </c:pt>
                <c:pt idx="71">
                  <c:v>54.897600000000004</c:v>
                </c:pt>
                <c:pt idx="72">
                  <c:v>54.845500000000001</c:v>
                </c:pt>
                <c:pt idx="73">
                  <c:v>54.804499999999997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29.652899999999999</c:v>
                </c:pt>
                <c:pt idx="1">
                  <c:v>30.055499999999999</c:v>
                </c:pt>
                <c:pt idx="2">
                  <c:v>30.570900000000002</c:v>
                </c:pt>
                <c:pt idx="3">
                  <c:v>30.947199999999999</c:v>
                </c:pt>
                <c:pt idx="4">
                  <c:v>31.340299999999999</c:v>
                </c:pt>
                <c:pt idx="5">
                  <c:v>31.744499999999999</c:v>
                </c:pt>
                <c:pt idx="6">
                  <c:v>32.133800000000001</c:v>
                </c:pt>
                <c:pt idx="7">
                  <c:v>32.543399999999998</c:v>
                </c:pt>
                <c:pt idx="8">
                  <c:v>32.953099999999999</c:v>
                </c:pt>
                <c:pt idx="9">
                  <c:v>33.353700000000003</c:v>
                </c:pt>
                <c:pt idx="10">
                  <c:v>33.7592</c:v>
                </c:pt>
                <c:pt idx="11">
                  <c:v>34.165799999999997</c:v>
                </c:pt>
                <c:pt idx="12">
                  <c:v>34.573999999999998</c:v>
                </c:pt>
                <c:pt idx="13">
                  <c:v>34.979700000000001</c:v>
                </c:pt>
                <c:pt idx="14">
                  <c:v>35.3857</c:v>
                </c:pt>
                <c:pt idx="15">
                  <c:v>35.790399999999998</c:v>
                </c:pt>
                <c:pt idx="16">
                  <c:v>36.200400000000002</c:v>
                </c:pt>
                <c:pt idx="17">
                  <c:v>36.604100000000003</c:v>
                </c:pt>
                <c:pt idx="18">
                  <c:v>37.011600000000001</c:v>
                </c:pt>
                <c:pt idx="19">
                  <c:v>37.414700000000003</c:v>
                </c:pt>
                <c:pt idx="20">
                  <c:v>37.821599999999997</c:v>
                </c:pt>
                <c:pt idx="21">
                  <c:v>38.231200000000001</c:v>
                </c:pt>
                <c:pt idx="22">
                  <c:v>38.637599999999999</c:v>
                </c:pt>
                <c:pt idx="23">
                  <c:v>39.043199999999999</c:v>
                </c:pt>
                <c:pt idx="24">
                  <c:v>39.447899999999997</c:v>
                </c:pt>
                <c:pt idx="25">
                  <c:v>39.854500000000002</c:v>
                </c:pt>
                <c:pt idx="26">
                  <c:v>40.262</c:v>
                </c:pt>
                <c:pt idx="27">
                  <c:v>40.667700000000004</c:v>
                </c:pt>
                <c:pt idx="28">
                  <c:v>41.073999999999998</c:v>
                </c:pt>
                <c:pt idx="29">
                  <c:v>41.480400000000003</c:v>
                </c:pt>
                <c:pt idx="30">
                  <c:v>41.883600000000001</c:v>
                </c:pt>
                <c:pt idx="31">
                  <c:v>42.2926</c:v>
                </c:pt>
                <c:pt idx="32">
                  <c:v>42.701099999999997</c:v>
                </c:pt>
                <c:pt idx="33">
                  <c:v>43.104799999999997</c:v>
                </c:pt>
                <c:pt idx="34">
                  <c:v>43.509500000000003</c:v>
                </c:pt>
                <c:pt idx="35">
                  <c:v>43.915199999999999</c:v>
                </c:pt>
                <c:pt idx="36">
                  <c:v>44.323399999999999</c:v>
                </c:pt>
                <c:pt idx="37">
                  <c:v>44.729199999999999</c:v>
                </c:pt>
                <c:pt idx="38">
                  <c:v>45.133899999999997</c:v>
                </c:pt>
                <c:pt idx="39">
                  <c:v>45.5426</c:v>
                </c:pt>
                <c:pt idx="40">
                  <c:v>45.9512</c:v>
                </c:pt>
                <c:pt idx="41">
                  <c:v>46.354199999999999</c:v>
                </c:pt>
                <c:pt idx="42">
                  <c:v>46.760399999999997</c:v>
                </c:pt>
                <c:pt idx="43">
                  <c:v>47.166400000000003</c:v>
                </c:pt>
                <c:pt idx="44">
                  <c:v>47.572299999999998</c:v>
                </c:pt>
                <c:pt idx="45">
                  <c:v>47.978299999999997</c:v>
                </c:pt>
                <c:pt idx="46">
                  <c:v>48.383800000000001</c:v>
                </c:pt>
                <c:pt idx="47">
                  <c:v>48.792099999999998</c:v>
                </c:pt>
                <c:pt idx="48">
                  <c:v>49.198300000000003</c:v>
                </c:pt>
                <c:pt idx="49">
                  <c:v>49.604199999999999</c:v>
                </c:pt>
                <c:pt idx="50">
                  <c:v>50.012799999999999</c:v>
                </c:pt>
                <c:pt idx="51">
                  <c:v>50.417099999999998</c:v>
                </c:pt>
                <c:pt idx="52">
                  <c:v>50.8232</c:v>
                </c:pt>
                <c:pt idx="53">
                  <c:v>51.230499999999999</c:v>
                </c:pt>
                <c:pt idx="54">
                  <c:v>51.636099999999999</c:v>
                </c:pt>
                <c:pt idx="55">
                  <c:v>52.039499999999997</c:v>
                </c:pt>
                <c:pt idx="56">
                  <c:v>52.449599999999997</c:v>
                </c:pt>
                <c:pt idx="57">
                  <c:v>52.854700000000001</c:v>
                </c:pt>
                <c:pt idx="58">
                  <c:v>53.259900000000002</c:v>
                </c:pt>
                <c:pt idx="59">
                  <c:v>53.666800000000002</c:v>
                </c:pt>
                <c:pt idx="60">
                  <c:v>54.075000000000003</c:v>
                </c:pt>
                <c:pt idx="61">
                  <c:v>54.479900000000001</c:v>
                </c:pt>
                <c:pt idx="62">
                  <c:v>54.885899999999999</c:v>
                </c:pt>
                <c:pt idx="63">
                  <c:v>55.290100000000002</c:v>
                </c:pt>
                <c:pt idx="64">
                  <c:v>55.698</c:v>
                </c:pt>
                <c:pt idx="65">
                  <c:v>56.105899999999998</c:v>
                </c:pt>
                <c:pt idx="66">
                  <c:v>56.512099999999997</c:v>
                </c:pt>
                <c:pt idx="67">
                  <c:v>56.915500000000002</c:v>
                </c:pt>
                <c:pt idx="68">
                  <c:v>57.321100000000001</c:v>
                </c:pt>
                <c:pt idx="69">
                  <c:v>57.7333</c:v>
                </c:pt>
                <c:pt idx="70">
                  <c:v>58.138100000000001</c:v>
                </c:pt>
                <c:pt idx="71">
                  <c:v>58.546799999999998</c:v>
                </c:pt>
                <c:pt idx="72">
                  <c:v>58.947699999999998</c:v>
                </c:pt>
                <c:pt idx="73">
                  <c:v>59.355499999999999</c:v>
                </c:pt>
                <c:pt idx="74">
                  <c:v>59.763500000000001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54.804499999999997</c:v>
                </c:pt>
                <c:pt idx="1">
                  <c:v>54.631399999999999</c:v>
                </c:pt>
                <c:pt idx="2">
                  <c:v>54.487900000000003</c:v>
                </c:pt>
                <c:pt idx="3">
                  <c:v>54.414900000000003</c:v>
                </c:pt>
                <c:pt idx="4">
                  <c:v>54.340999999999994</c:v>
                </c:pt>
                <c:pt idx="5">
                  <c:v>54.306600000000003</c:v>
                </c:pt>
                <c:pt idx="6">
                  <c:v>54.347299999999997</c:v>
                </c:pt>
                <c:pt idx="7">
                  <c:v>54.431399999999996</c:v>
                </c:pt>
                <c:pt idx="8">
                  <c:v>54.541700000000006</c:v>
                </c:pt>
                <c:pt idx="9">
                  <c:v>54.645200000000003</c:v>
                </c:pt>
                <c:pt idx="10">
                  <c:v>54.729099999999995</c:v>
                </c:pt>
                <c:pt idx="11">
                  <c:v>54.795700000000004</c:v>
                </c:pt>
                <c:pt idx="12">
                  <c:v>54.919899999999998</c:v>
                </c:pt>
                <c:pt idx="13">
                  <c:v>55.121900000000004</c:v>
                </c:pt>
                <c:pt idx="14">
                  <c:v>55.460900000000002</c:v>
                </c:pt>
                <c:pt idx="15">
                  <c:v>55.720499999999994</c:v>
                </c:pt>
                <c:pt idx="16">
                  <c:v>55.889800000000001</c:v>
                </c:pt>
                <c:pt idx="17">
                  <c:v>56.0107</c:v>
                </c:pt>
                <c:pt idx="18">
                  <c:v>56.101299999999995</c:v>
                </c:pt>
                <c:pt idx="19">
                  <c:v>56.120599999999996</c:v>
                </c:pt>
                <c:pt idx="20">
                  <c:v>56.058900000000001</c:v>
                </c:pt>
                <c:pt idx="21">
                  <c:v>55.8889</c:v>
                </c:pt>
                <c:pt idx="22">
                  <c:v>55.623999999999995</c:v>
                </c:pt>
                <c:pt idx="23">
                  <c:v>55.215199999999996</c:v>
                </c:pt>
                <c:pt idx="24">
                  <c:v>54.6175</c:v>
                </c:pt>
                <c:pt idx="25">
                  <c:v>53.971699999999998</c:v>
                </c:pt>
                <c:pt idx="26">
                  <c:v>53.360399999999998</c:v>
                </c:pt>
                <c:pt idx="27">
                  <c:v>52.877799999999993</c:v>
                </c:pt>
                <c:pt idx="28">
                  <c:v>52.388199999999998</c:v>
                </c:pt>
                <c:pt idx="29">
                  <c:v>51.951599999999999</c:v>
                </c:pt>
                <c:pt idx="30">
                  <c:v>51.563400000000001</c:v>
                </c:pt>
                <c:pt idx="31">
                  <c:v>51.1556</c:v>
                </c:pt>
                <c:pt idx="32">
                  <c:v>50.8371</c:v>
                </c:pt>
                <c:pt idx="33">
                  <c:v>50.448300000000003</c:v>
                </c:pt>
                <c:pt idx="34">
                  <c:v>50.071899999999999</c:v>
                </c:pt>
                <c:pt idx="35">
                  <c:v>49.676500000000004</c:v>
                </c:pt>
                <c:pt idx="36">
                  <c:v>49.225099999999998</c:v>
                </c:pt>
                <c:pt idx="37">
                  <c:v>48.695699999999995</c:v>
                </c:pt>
                <c:pt idx="38">
                  <c:v>48.225299999999997</c:v>
                </c:pt>
                <c:pt idx="39">
                  <c:v>47.690300000000001</c:v>
                </c:pt>
                <c:pt idx="40">
                  <c:v>47.045700000000004</c:v>
                </c:pt>
                <c:pt idx="41">
                  <c:v>46.357599999999998</c:v>
                </c:pt>
                <c:pt idx="42">
                  <c:v>45.650800000000004</c:v>
                </c:pt>
                <c:pt idx="43">
                  <c:v>44.832599999999999</c:v>
                </c:pt>
                <c:pt idx="44">
                  <c:v>44.126599999999996</c:v>
                </c:pt>
                <c:pt idx="45">
                  <c:v>43.473099999999995</c:v>
                </c:pt>
                <c:pt idx="46">
                  <c:v>42.8337</c:v>
                </c:pt>
                <c:pt idx="47">
                  <c:v>42.164499999999997</c:v>
                </c:pt>
                <c:pt idx="48">
                  <c:v>41.6126</c:v>
                </c:pt>
                <c:pt idx="49">
                  <c:v>41.065300000000001</c:v>
                </c:pt>
                <c:pt idx="50">
                  <c:v>40.640300000000003</c:v>
                </c:pt>
                <c:pt idx="51">
                  <c:v>40.3093</c:v>
                </c:pt>
                <c:pt idx="52">
                  <c:v>39.9208</c:v>
                </c:pt>
                <c:pt idx="53">
                  <c:v>39.477000000000004</c:v>
                </c:pt>
                <c:pt idx="54">
                  <c:v>39.066400000000002</c:v>
                </c:pt>
                <c:pt idx="55">
                  <c:v>38.664100000000005</c:v>
                </c:pt>
                <c:pt idx="56">
                  <c:v>38.283299999999997</c:v>
                </c:pt>
                <c:pt idx="57">
                  <c:v>37.866799999999998</c:v>
                </c:pt>
                <c:pt idx="58">
                  <c:v>37.452300000000001</c:v>
                </c:pt>
                <c:pt idx="59">
                  <c:v>37.0642</c:v>
                </c:pt>
                <c:pt idx="60">
                  <c:v>36.710900000000002</c:v>
                </c:pt>
                <c:pt idx="61">
                  <c:v>36.379800000000003</c:v>
                </c:pt>
                <c:pt idx="62">
                  <c:v>36.169699999999999</c:v>
                </c:pt>
                <c:pt idx="63">
                  <c:v>35.932600000000001</c:v>
                </c:pt>
                <c:pt idx="64">
                  <c:v>35.661100000000005</c:v>
                </c:pt>
                <c:pt idx="65">
                  <c:v>35.429500000000004</c:v>
                </c:pt>
                <c:pt idx="66">
                  <c:v>35.229300000000002</c:v>
                </c:pt>
                <c:pt idx="67">
                  <c:v>35.105599999999995</c:v>
                </c:pt>
                <c:pt idx="68">
                  <c:v>35.124699999999997</c:v>
                </c:pt>
                <c:pt idx="69">
                  <c:v>35.054699999999997</c:v>
                </c:pt>
                <c:pt idx="70">
                  <c:v>34.984099999999998</c:v>
                </c:pt>
                <c:pt idx="71">
                  <c:v>34.856099999999998</c:v>
                </c:pt>
                <c:pt idx="72">
                  <c:v>35.119499999999995</c:v>
                </c:pt>
                <c:pt idx="73">
                  <c:v>34.544499999999999</c:v>
                </c:pt>
                <c:pt idx="74">
                  <c:v>33.915800000000004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14.940875</c:v>
                </c:pt>
                <c:pt idx="1">
                  <c:v>44.822625000000002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43.941808108108084</c:v>
                </c:pt>
                <c:pt idx="1">
                  <c:v>46.522785135135116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2.4210799999999999</c:v>
                </c:pt>
                <c:pt idx="1">
                  <c:v>2.5201000000000002</c:v>
                </c:pt>
                <c:pt idx="2">
                  <c:v>2.6155600000000003</c:v>
                </c:pt>
                <c:pt idx="3">
                  <c:v>2.70397</c:v>
                </c:pt>
                <c:pt idx="4">
                  <c:v>2.7926699999999998</c:v>
                </c:pt>
                <c:pt idx="5">
                  <c:v>2.8790300000000002</c:v>
                </c:pt>
                <c:pt idx="6">
                  <c:v>2.96502</c:v>
                </c:pt>
                <c:pt idx="7">
                  <c:v>3.05186</c:v>
                </c:pt>
                <c:pt idx="8">
                  <c:v>3.1390699999999998</c:v>
                </c:pt>
                <c:pt idx="9">
                  <c:v>3.2272499999999997</c:v>
                </c:pt>
                <c:pt idx="10">
                  <c:v>3.31454</c:v>
                </c:pt>
                <c:pt idx="11">
                  <c:v>3.4000999999999997</c:v>
                </c:pt>
                <c:pt idx="12">
                  <c:v>3.4847399999999999</c:v>
                </c:pt>
                <c:pt idx="13">
                  <c:v>3.5672300000000003</c:v>
                </c:pt>
                <c:pt idx="14">
                  <c:v>3.6494500000000003</c:v>
                </c:pt>
                <c:pt idx="15">
                  <c:v>3.7295299999999996</c:v>
                </c:pt>
                <c:pt idx="16">
                  <c:v>3.8040000000000003</c:v>
                </c:pt>
                <c:pt idx="17">
                  <c:v>3.8729799999999996</c:v>
                </c:pt>
                <c:pt idx="18">
                  <c:v>3.9380799999999998</c:v>
                </c:pt>
                <c:pt idx="19">
                  <c:v>3.9978699999999998</c:v>
                </c:pt>
                <c:pt idx="20">
                  <c:v>4.0521200000000004</c:v>
                </c:pt>
                <c:pt idx="21">
                  <c:v>4.1008499999999994</c:v>
                </c:pt>
                <c:pt idx="22">
                  <c:v>4.1477700000000004</c:v>
                </c:pt>
                <c:pt idx="23">
                  <c:v>4.1885300000000001</c:v>
                </c:pt>
                <c:pt idx="24">
                  <c:v>4.2259600000000006</c:v>
                </c:pt>
                <c:pt idx="25">
                  <c:v>4.25786</c:v>
                </c:pt>
                <c:pt idx="26">
                  <c:v>4.2867600000000001</c:v>
                </c:pt>
                <c:pt idx="27">
                  <c:v>4.3118400000000001</c:v>
                </c:pt>
                <c:pt idx="28">
                  <c:v>4.3340499999999995</c:v>
                </c:pt>
                <c:pt idx="29">
                  <c:v>4.34999</c:v>
                </c:pt>
                <c:pt idx="30">
                  <c:v>4.3580999999999994</c:v>
                </c:pt>
                <c:pt idx="31">
                  <c:v>4.3578099999999997</c:v>
                </c:pt>
                <c:pt idx="32">
                  <c:v>4.3541800000000004</c:v>
                </c:pt>
                <c:pt idx="33">
                  <c:v>4.3488500000000005</c:v>
                </c:pt>
                <c:pt idx="34">
                  <c:v>4.34131</c:v>
                </c:pt>
                <c:pt idx="35">
                  <c:v>4.3304200000000002</c:v>
                </c:pt>
                <c:pt idx="36">
                  <c:v>4.32097</c:v>
                </c:pt>
                <c:pt idx="37">
                  <c:v>4.3128899999999994</c:v>
                </c:pt>
                <c:pt idx="38">
                  <c:v>4.3056100000000006</c:v>
                </c:pt>
                <c:pt idx="39">
                  <c:v>4.29711</c:v>
                </c:pt>
                <c:pt idx="40">
                  <c:v>4.2890699999999997</c:v>
                </c:pt>
                <c:pt idx="41">
                  <c:v>4.2819000000000003</c:v>
                </c:pt>
                <c:pt idx="42">
                  <c:v>4.2764799999999994</c:v>
                </c:pt>
                <c:pt idx="43">
                  <c:v>4.2698999999999998</c:v>
                </c:pt>
                <c:pt idx="44">
                  <c:v>4.2620000000000005</c:v>
                </c:pt>
                <c:pt idx="45">
                  <c:v>4.2534200000000002</c:v>
                </c:pt>
                <c:pt idx="46">
                  <c:v>4.2463499999999996</c:v>
                </c:pt>
                <c:pt idx="47">
                  <c:v>4.2349100000000002</c:v>
                </c:pt>
                <c:pt idx="48">
                  <c:v>4.2235199999999997</c:v>
                </c:pt>
                <c:pt idx="49">
                  <c:v>4.2115799999999997</c:v>
                </c:pt>
                <c:pt idx="50">
                  <c:v>4.2027999999999999</c:v>
                </c:pt>
                <c:pt idx="51">
                  <c:v>4.1950700000000003</c:v>
                </c:pt>
                <c:pt idx="52">
                  <c:v>4.1906499999999998</c:v>
                </c:pt>
                <c:pt idx="53">
                  <c:v>4.1876600000000002</c:v>
                </c:pt>
                <c:pt idx="54">
                  <c:v>4.1866599999999998</c:v>
                </c:pt>
                <c:pt idx="55">
                  <c:v>4.18851</c:v>
                </c:pt>
                <c:pt idx="56">
                  <c:v>4.1863799999999998</c:v>
                </c:pt>
                <c:pt idx="57">
                  <c:v>4.18302</c:v>
                </c:pt>
                <c:pt idx="58">
                  <c:v>4.1780600000000003</c:v>
                </c:pt>
                <c:pt idx="59">
                  <c:v>4.1716100000000003</c:v>
                </c:pt>
                <c:pt idx="60">
                  <c:v>4.1675800000000001</c:v>
                </c:pt>
                <c:pt idx="61">
                  <c:v>4.1601300000000005</c:v>
                </c:pt>
                <c:pt idx="62">
                  <c:v>4.1547200000000002</c:v>
                </c:pt>
                <c:pt idx="63">
                  <c:v>4.1357699999999999</c:v>
                </c:pt>
                <c:pt idx="64">
                  <c:v>4.12385</c:v>
                </c:pt>
                <c:pt idx="65">
                  <c:v>4.1028599999999997</c:v>
                </c:pt>
                <c:pt idx="66">
                  <c:v>4.0802300000000002</c:v>
                </c:pt>
                <c:pt idx="67">
                  <c:v>4.05443</c:v>
                </c:pt>
                <c:pt idx="68">
                  <c:v>4.0192199999999998</c:v>
                </c:pt>
                <c:pt idx="69">
                  <c:v>3.9917899999999999</c:v>
                </c:pt>
                <c:pt idx="70">
                  <c:v>3.9734399999999996</c:v>
                </c:pt>
                <c:pt idx="71">
                  <c:v>3.9385300000000001</c:v>
                </c:pt>
                <c:pt idx="72">
                  <c:v>3.91384</c:v>
                </c:pt>
                <c:pt idx="73">
                  <c:v>3.8980999999999999</c:v>
                </c:pt>
                <c:pt idx="74">
                  <c:v>3.8706800000000001</c:v>
                </c:pt>
                <c:pt idx="75">
                  <c:v>3.8339099999999999</c:v>
                </c:pt>
                <c:pt idx="76">
                  <c:v>3.8010699999999997</c:v>
                </c:pt>
                <c:pt idx="77">
                  <c:v>3.7654300000000003</c:v>
                </c:pt>
                <c:pt idx="78">
                  <c:v>3.7265100000000002</c:v>
                </c:pt>
                <c:pt idx="79">
                  <c:v>3.6872400000000001</c:v>
                </c:pt>
                <c:pt idx="80">
                  <c:v>3.6507299999999998</c:v>
                </c:pt>
                <c:pt idx="81">
                  <c:v>3.6208400000000003</c:v>
                </c:pt>
                <c:pt idx="82">
                  <c:v>3.5939199999999998</c:v>
                </c:pt>
                <c:pt idx="83">
                  <c:v>3.5690200000000001</c:v>
                </c:pt>
                <c:pt idx="84">
                  <c:v>3.5471000000000004</c:v>
                </c:pt>
                <c:pt idx="85">
                  <c:v>3.5251600000000001</c:v>
                </c:pt>
                <c:pt idx="86">
                  <c:v>3.5036399999999999</c:v>
                </c:pt>
                <c:pt idx="87">
                  <c:v>3.4835500000000001</c:v>
                </c:pt>
                <c:pt idx="88">
                  <c:v>3.4694099999999999</c:v>
                </c:pt>
                <c:pt idx="89">
                  <c:v>3.46055</c:v>
                </c:pt>
                <c:pt idx="90">
                  <c:v>3.4539599999999999</c:v>
                </c:pt>
                <c:pt idx="91">
                  <c:v>3.4515200000000004</c:v>
                </c:pt>
                <c:pt idx="92">
                  <c:v>3.4515800000000003</c:v>
                </c:pt>
                <c:pt idx="93">
                  <c:v>3.4548399999999999</c:v>
                </c:pt>
                <c:pt idx="94">
                  <c:v>3.4632299999999998</c:v>
                </c:pt>
                <c:pt idx="95">
                  <c:v>3.47546</c:v>
                </c:pt>
                <c:pt idx="96">
                  <c:v>3.4932400000000001</c:v>
                </c:pt>
                <c:pt idx="97">
                  <c:v>3.5165600000000001</c:v>
                </c:pt>
                <c:pt idx="98">
                  <c:v>3.5428999999999999</c:v>
                </c:pt>
                <c:pt idx="99">
                  <c:v>3.5715999999999997</c:v>
                </c:pt>
                <c:pt idx="100">
                  <c:v>3.59707</c:v>
                </c:pt>
                <c:pt idx="101">
                  <c:v>3.6274800000000003</c:v>
                </c:pt>
                <c:pt idx="102">
                  <c:v>3.65801</c:v>
                </c:pt>
                <c:pt idx="103">
                  <c:v>3.6901800000000002</c:v>
                </c:pt>
                <c:pt idx="104">
                  <c:v>3.7215799999999999</c:v>
                </c:pt>
                <c:pt idx="105">
                  <c:v>3.7494399999999999</c:v>
                </c:pt>
                <c:pt idx="106">
                  <c:v>3.7752799999999995</c:v>
                </c:pt>
                <c:pt idx="107">
                  <c:v>3.8001299999999998</c:v>
                </c:pt>
                <c:pt idx="108">
                  <c:v>3.8257300000000001</c:v>
                </c:pt>
                <c:pt idx="109">
                  <c:v>3.8525499999999999</c:v>
                </c:pt>
                <c:pt idx="110">
                  <c:v>3.8788200000000002</c:v>
                </c:pt>
                <c:pt idx="111">
                  <c:v>3.9038599999999999</c:v>
                </c:pt>
                <c:pt idx="112">
                  <c:v>3.9280500000000003</c:v>
                </c:pt>
                <c:pt idx="113">
                  <c:v>3.9516600000000004</c:v>
                </c:pt>
                <c:pt idx="114">
                  <c:v>3.9727800000000002</c:v>
                </c:pt>
                <c:pt idx="115">
                  <c:v>3.9944500000000001</c:v>
                </c:pt>
                <c:pt idx="116">
                  <c:v>4.0188800000000002</c:v>
                </c:pt>
                <c:pt idx="117">
                  <c:v>4.0408400000000002</c:v>
                </c:pt>
                <c:pt idx="118">
                  <c:v>4.0602999999999998</c:v>
                </c:pt>
                <c:pt idx="119">
                  <c:v>4.0774600000000003</c:v>
                </c:pt>
                <c:pt idx="120">
                  <c:v>4.0913199999999996</c:v>
                </c:pt>
                <c:pt idx="121">
                  <c:v>4.10337</c:v>
                </c:pt>
                <c:pt idx="122">
                  <c:v>4.1110799999999994</c:v>
                </c:pt>
                <c:pt idx="123">
                  <c:v>4.1154999999999999</c:v>
                </c:pt>
                <c:pt idx="124">
                  <c:v>4.1185600000000004</c:v>
                </c:pt>
                <c:pt idx="125">
                  <c:v>4.1246700000000001</c:v>
                </c:pt>
                <c:pt idx="126">
                  <c:v>4.1287099999999999</c:v>
                </c:pt>
                <c:pt idx="127">
                  <c:v>4.1345399999999994</c:v>
                </c:pt>
                <c:pt idx="128">
                  <c:v>4.1407699999999998</c:v>
                </c:pt>
                <c:pt idx="129">
                  <c:v>4.1477199999999996</c:v>
                </c:pt>
                <c:pt idx="130">
                  <c:v>4.1576599999999999</c:v>
                </c:pt>
                <c:pt idx="131">
                  <c:v>4.1672199999999995</c:v>
                </c:pt>
                <c:pt idx="132">
                  <c:v>4.1791900000000002</c:v>
                </c:pt>
                <c:pt idx="133">
                  <c:v>4.1914899999999999</c:v>
                </c:pt>
                <c:pt idx="134">
                  <c:v>4.2017500000000005</c:v>
                </c:pt>
                <c:pt idx="135">
                  <c:v>4.2129099999999999</c:v>
                </c:pt>
                <c:pt idx="136">
                  <c:v>4.2268299999999996</c:v>
                </c:pt>
                <c:pt idx="137">
                  <c:v>4.2387200000000007</c:v>
                </c:pt>
                <c:pt idx="138">
                  <c:v>4.2466699999999999</c:v>
                </c:pt>
                <c:pt idx="139">
                  <c:v>4.2521700000000004</c:v>
                </c:pt>
                <c:pt idx="140">
                  <c:v>4.2538599999999995</c:v>
                </c:pt>
                <c:pt idx="141">
                  <c:v>4.2449399999999997</c:v>
                </c:pt>
                <c:pt idx="142">
                  <c:v>4.24444</c:v>
                </c:pt>
                <c:pt idx="143">
                  <c:v>4.2507799999999998</c:v>
                </c:pt>
                <c:pt idx="144">
                  <c:v>4.2572399999999995</c:v>
                </c:pt>
                <c:pt idx="145">
                  <c:v>4.2705399999999996</c:v>
                </c:pt>
                <c:pt idx="146">
                  <c:v>4.2662399999999998</c:v>
                </c:pt>
                <c:pt idx="147">
                  <c:v>4.2834099999999999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50.423099999999998</c:v>
                </c:pt>
                <c:pt idx="1">
                  <c:v>49.25</c:v>
                </c:pt>
                <c:pt idx="2">
                  <c:v>48.305799999999998</c:v>
                </c:pt>
                <c:pt idx="3">
                  <c:v>47.351999999999997</c:v>
                </c:pt>
                <c:pt idx="4">
                  <c:v>46.357900000000001</c:v>
                </c:pt>
                <c:pt idx="5">
                  <c:v>45.254199999999997</c:v>
                </c:pt>
                <c:pt idx="6">
                  <c:v>44.0486</c:v>
                </c:pt>
                <c:pt idx="7">
                  <c:v>42.879199999999997</c:v>
                </c:pt>
                <c:pt idx="8">
                  <c:v>41.768300000000004</c:v>
                </c:pt>
                <c:pt idx="9">
                  <c:v>40.760200000000005</c:v>
                </c:pt>
                <c:pt idx="10">
                  <c:v>39.915399999999998</c:v>
                </c:pt>
                <c:pt idx="11">
                  <c:v>39.162799999999997</c:v>
                </c:pt>
                <c:pt idx="12">
                  <c:v>38.589600000000004</c:v>
                </c:pt>
                <c:pt idx="13">
                  <c:v>38.172200000000004</c:v>
                </c:pt>
                <c:pt idx="14">
                  <c:v>37.798200000000001</c:v>
                </c:pt>
                <c:pt idx="15">
                  <c:v>37.533300000000004</c:v>
                </c:pt>
                <c:pt idx="16">
                  <c:v>37.51</c:v>
                </c:pt>
                <c:pt idx="17">
                  <c:v>37.543900000000001</c:v>
                </c:pt>
                <c:pt idx="18">
                  <c:v>37.623800000000003</c:v>
                </c:pt>
                <c:pt idx="19">
                  <c:v>37.783899999999996</c:v>
                </c:pt>
                <c:pt idx="20">
                  <c:v>37.967300000000002</c:v>
                </c:pt>
                <c:pt idx="21">
                  <c:v>38.281599999999997</c:v>
                </c:pt>
                <c:pt idx="22">
                  <c:v>38.5304</c:v>
                </c:pt>
                <c:pt idx="23">
                  <c:v>38.723700000000001</c:v>
                </c:pt>
                <c:pt idx="24">
                  <c:v>38.799700000000001</c:v>
                </c:pt>
                <c:pt idx="25">
                  <c:v>38.787199999999999</c:v>
                </c:pt>
                <c:pt idx="26">
                  <c:v>38.825900000000004</c:v>
                </c:pt>
                <c:pt idx="27">
                  <c:v>38.913699999999999</c:v>
                </c:pt>
                <c:pt idx="28">
                  <c:v>38.966799999999999</c:v>
                </c:pt>
                <c:pt idx="29">
                  <c:v>38.9268</c:v>
                </c:pt>
                <c:pt idx="30">
                  <c:v>38.904899999999998</c:v>
                </c:pt>
                <c:pt idx="31">
                  <c:v>38.845400000000005</c:v>
                </c:pt>
                <c:pt idx="32">
                  <c:v>38.7575</c:v>
                </c:pt>
                <c:pt idx="33">
                  <c:v>38.744199999999999</c:v>
                </c:pt>
                <c:pt idx="34">
                  <c:v>38.704100000000004</c:v>
                </c:pt>
                <c:pt idx="35">
                  <c:v>38.6952</c:v>
                </c:pt>
                <c:pt idx="36">
                  <c:v>38.712699999999998</c:v>
                </c:pt>
                <c:pt idx="37">
                  <c:v>38.738599999999998</c:v>
                </c:pt>
                <c:pt idx="38">
                  <c:v>38.823900000000002</c:v>
                </c:pt>
                <c:pt idx="39">
                  <c:v>38.9893</c:v>
                </c:pt>
                <c:pt idx="40">
                  <c:v>39.220300000000002</c:v>
                </c:pt>
                <c:pt idx="41">
                  <c:v>39.407199999999996</c:v>
                </c:pt>
                <c:pt idx="42">
                  <c:v>39.660000000000004</c:v>
                </c:pt>
                <c:pt idx="43">
                  <c:v>40.054299999999998</c:v>
                </c:pt>
                <c:pt idx="44">
                  <c:v>40.508800000000001</c:v>
                </c:pt>
                <c:pt idx="45">
                  <c:v>41.009700000000002</c:v>
                </c:pt>
                <c:pt idx="46">
                  <c:v>41.476500000000001</c:v>
                </c:pt>
                <c:pt idx="47">
                  <c:v>42.009700000000002</c:v>
                </c:pt>
                <c:pt idx="48">
                  <c:v>42.575499999999998</c:v>
                </c:pt>
                <c:pt idx="49">
                  <c:v>43.285000000000004</c:v>
                </c:pt>
                <c:pt idx="50">
                  <c:v>43.824300000000001</c:v>
                </c:pt>
                <c:pt idx="51">
                  <c:v>44.631700000000002</c:v>
                </c:pt>
                <c:pt idx="52">
                  <c:v>45.445999999999998</c:v>
                </c:pt>
                <c:pt idx="53">
                  <c:v>46.292999999999999</c:v>
                </c:pt>
                <c:pt idx="54">
                  <c:v>47.188200000000002</c:v>
                </c:pt>
                <c:pt idx="55">
                  <c:v>48.042099999999998</c:v>
                </c:pt>
                <c:pt idx="56">
                  <c:v>48.998599999999996</c:v>
                </c:pt>
                <c:pt idx="57">
                  <c:v>49.706099999999999</c:v>
                </c:pt>
                <c:pt idx="58">
                  <c:v>50.341299999999997</c:v>
                </c:pt>
                <c:pt idx="59">
                  <c:v>50.972399999999993</c:v>
                </c:pt>
                <c:pt idx="60">
                  <c:v>51.5169</c:v>
                </c:pt>
                <c:pt idx="61">
                  <c:v>52.014099999999999</c:v>
                </c:pt>
                <c:pt idx="62">
                  <c:v>52.523699999999998</c:v>
                </c:pt>
                <c:pt idx="63">
                  <c:v>52.974900000000005</c:v>
                </c:pt>
                <c:pt idx="64">
                  <c:v>53.436999999999998</c:v>
                </c:pt>
                <c:pt idx="65">
                  <c:v>53.849299999999999</c:v>
                </c:pt>
                <c:pt idx="66">
                  <c:v>54.241599999999998</c:v>
                </c:pt>
                <c:pt idx="67">
                  <c:v>54.624600000000001</c:v>
                </c:pt>
                <c:pt idx="68">
                  <c:v>54.783200000000001</c:v>
                </c:pt>
                <c:pt idx="69">
                  <c:v>54.878599999999999</c:v>
                </c:pt>
                <c:pt idx="70">
                  <c:v>54.980300000000007</c:v>
                </c:pt>
                <c:pt idx="71">
                  <c:v>54.897600000000004</c:v>
                </c:pt>
                <c:pt idx="72">
                  <c:v>54.845500000000001</c:v>
                </c:pt>
                <c:pt idx="73">
                  <c:v>54.804499999999997</c:v>
                </c:pt>
                <c:pt idx="74">
                  <c:v>54.631399999999999</c:v>
                </c:pt>
                <c:pt idx="75">
                  <c:v>54.487900000000003</c:v>
                </c:pt>
                <c:pt idx="76">
                  <c:v>54.414900000000003</c:v>
                </c:pt>
                <c:pt idx="77">
                  <c:v>54.340999999999994</c:v>
                </c:pt>
                <c:pt idx="78">
                  <c:v>54.306600000000003</c:v>
                </c:pt>
                <c:pt idx="79">
                  <c:v>54.347299999999997</c:v>
                </c:pt>
                <c:pt idx="80">
                  <c:v>54.431399999999996</c:v>
                </c:pt>
                <c:pt idx="81">
                  <c:v>54.541700000000006</c:v>
                </c:pt>
                <c:pt idx="82">
                  <c:v>54.645200000000003</c:v>
                </c:pt>
                <c:pt idx="83">
                  <c:v>54.729099999999995</c:v>
                </c:pt>
                <c:pt idx="84">
                  <c:v>54.795700000000004</c:v>
                </c:pt>
                <c:pt idx="85">
                  <c:v>54.919899999999998</c:v>
                </c:pt>
                <c:pt idx="86">
                  <c:v>55.121900000000004</c:v>
                </c:pt>
                <c:pt idx="87">
                  <c:v>55.460900000000002</c:v>
                </c:pt>
                <c:pt idx="88">
                  <c:v>55.720499999999994</c:v>
                </c:pt>
                <c:pt idx="89">
                  <c:v>55.889800000000001</c:v>
                </c:pt>
                <c:pt idx="90">
                  <c:v>56.0107</c:v>
                </c:pt>
                <c:pt idx="91">
                  <c:v>56.101299999999995</c:v>
                </c:pt>
                <c:pt idx="92">
                  <c:v>56.120599999999996</c:v>
                </c:pt>
                <c:pt idx="93">
                  <c:v>56.058900000000001</c:v>
                </c:pt>
                <c:pt idx="94">
                  <c:v>55.8889</c:v>
                </c:pt>
                <c:pt idx="95">
                  <c:v>55.623999999999995</c:v>
                </c:pt>
                <c:pt idx="96">
                  <c:v>55.215199999999996</c:v>
                </c:pt>
                <c:pt idx="97">
                  <c:v>54.6175</c:v>
                </c:pt>
                <c:pt idx="98">
                  <c:v>53.971699999999998</c:v>
                </c:pt>
                <c:pt idx="99">
                  <c:v>53.360399999999998</c:v>
                </c:pt>
                <c:pt idx="100">
                  <c:v>52.877799999999993</c:v>
                </c:pt>
                <c:pt idx="101">
                  <c:v>52.388199999999998</c:v>
                </c:pt>
                <c:pt idx="102">
                  <c:v>51.951599999999999</c:v>
                </c:pt>
                <c:pt idx="103">
                  <c:v>51.563400000000001</c:v>
                </c:pt>
                <c:pt idx="104">
                  <c:v>51.1556</c:v>
                </c:pt>
                <c:pt idx="105">
                  <c:v>50.8371</c:v>
                </c:pt>
                <c:pt idx="106">
                  <c:v>50.448300000000003</c:v>
                </c:pt>
                <c:pt idx="107">
                  <c:v>50.071899999999999</c:v>
                </c:pt>
                <c:pt idx="108">
                  <c:v>49.676500000000004</c:v>
                </c:pt>
                <c:pt idx="109">
                  <c:v>49.225099999999998</c:v>
                </c:pt>
                <c:pt idx="110">
                  <c:v>48.695699999999995</c:v>
                </c:pt>
                <c:pt idx="111">
                  <c:v>48.225299999999997</c:v>
                </c:pt>
                <c:pt idx="112">
                  <c:v>47.690300000000001</c:v>
                </c:pt>
                <c:pt idx="113">
                  <c:v>47.045700000000004</c:v>
                </c:pt>
                <c:pt idx="114">
                  <c:v>46.357599999999998</c:v>
                </c:pt>
                <c:pt idx="115">
                  <c:v>45.650800000000004</c:v>
                </c:pt>
                <c:pt idx="116">
                  <c:v>44.832599999999999</c:v>
                </c:pt>
                <c:pt idx="117">
                  <c:v>44.126599999999996</c:v>
                </c:pt>
                <c:pt idx="118">
                  <c:v>43.473099999999995</c:v>
                </c:pt>
                <c:pt idx="119">
                  <c:v>42.8337</c:v>
                </c:pt>
                <c:pt idx="120">
                  <c:v>42.164499999999997</c:v>
                </c:pt>
                <c:pt idx="121">
                  <c:v>41.6126</c:v>
                </c:pt>
                <c:pt idx="122">
                  <c:v>41.065300000000001</c:v>
                </c:pt>
                <c:pt idx="123">
                  <c:v>40.640300000000003</c:v>
                </c:pt>
                <c:pt idx="124">
                  <c:v>40.3093</c:v>
                </c:pt>
                <c:pt idx="125">
                  <c:v>39.9208</c:v>
                </c:pt>
                <c:pt idx="126">
                  <c:v>39.477000000000004</c:v>
                </c:pt>
                <c:pt idx="127">
                  <c:v>39.066400000000002</c:v>
                </c:pt>
                <c:pt idx="128">
                  <c:v>38.664100000000005</c:v>
                </c:pt>
                <c:pt idx="129">
                  <c:v>38.283299999999997</c:v>
                </c:pt>
                <c:pt idx="130">
                  <c:v>37.866799999999998</c:v>
                </c:pt>
                <c:pt idx="131">
                  <c:v>37.452300000000001</c:v>
                </c:pt>
                <c:pt idx="132">
                  <c:v>37.0642</c:v>
                </c:pt>
                <c:pt idx="133">
                  <c:v>36.710900000000002</c:v>
                </c:pt>
                <c:pt idx="134">
                  <c:v>36.379800000000003</c:v>
                </c:pt>
                <c:pt idx="135">
                  <c:v>36.169699999999999</c:v>
                </c:pt>
                <c:pt idx="136">
                  <c:v>35.932600000000001</c:v>
                </c:pt>
                <c:pt idx="137">
                  <c:v>35.661100000000005</c:v>
                </c:pt>
                <c:pt idx="138">
                  <c:v>35.429500000000004</c:v>
                </c:pt>
                <c:pt idx="139">
                  <c:v>35.229300000000002</c:v>
                </c:pt>
                <c:pt idx="140">
                  <c:v>35.105599999999995</c:v>
                </c:pt>
                <c:pt idx="141">
                  <c:v>35.124699999999997</c:v>
                </c:pt>
                <c:pt idx="142">
                  <c:v>35.054699999999997</c:v>
                </c:pt>
                <c:pt idx="143">
                  <c:v>34.984099999999998</c:v>
                </c:pt>
                <c:pt idx="144">
                  <c:v>34.856099999999998</c:v>
                </c:pt>
                <c:pt idx="145">
                  <c:v>35.119499999999995</c:v>
                </c:pt>
                <c:pt idx="146">
                  <c:v>34.544499999999999</c:v>
                </c:pt>
                <c:pt idx="147">
                  <c:v>33.915800000000004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2.4210799999999999</c:v>
                </c:pt>
                <c:pt idx="1">
                  <c:v>2.5201000000000002</c:v>
                </c:pt>
                <c:pt idx="2">
                  <c:v>2.6155600000000003</c:v>
                </c:pt>
                <c:pt idx="3">
                  <c:v>2.70397</c:v>
                </c:pt>
                <c:pt idx="4">
                  <c:v>2.7926699999999998</c:v>
                </c:pt>
                <c:pt idx="5">
                  <c:v>2.8790300000000002</c:v>
                </c:pt>
                <c:pt idx="6">
                  <c:v>2.96502</c:v>
                </c:pt>
                <c:pt idx="7">
                  <c:v>3.05186</c:v>
                </c:pt>
                <c:pt idx="8">
                  <c:v>3.1390699999999998</c:v>
                </c:pt>
                <c:pt idx="9">
                  <c:v>3.2272499999999997</c:v>
                </c:pt>
                <c:pt idx="10">
                  <c:v>3.31454</c:v>
                </c:pt>
                <c:pt idx="11">
                  <c:v>3.4000999999999997</c:v>
                </c:pt>
                <c:pt idx="12">
                  <c:v>3.4847399999999999</c:v>
                </c:pt>
                <c:pt idx="13">
                  <c:v>3.5672300000000003</c:v>
                </c:pt>
                <c:pt idx="14">
                  <c:v>3.6494500000000003</c:v>
                </c:pt>
                <c:pt idx="15">
                  <c:v>3.7295299999999996</c:v>
                </c:pt>
                <c:pt idx="16">
                  <c:v>3.8040000000000003</c:v>
                </c:pt>
                <c:pt idx="17">
                  <c:v>3.8729799999999996</c:v>
                </c:pt>
                <c:pt idx="18">
                  <c:v>3.9380799999999998</c:v>
                </c:pt>
                <c:pt idx="19">
                  <c:v>3.9978699999999998</c:v>
                </c:pt>
                <c:pt idx="20">
                  <c:v>4.0521200000000004</c:v>
                </c:pt>
                <c:pt idx="21">
                  <c:v>4.1008499999999994</c:v>
                </c:pt>
                <c:pt idx="22">
                  <c:v>4.1477700000000004</c:v>
                </c:pt>
                <c:pt idx="23">
                  <c:v>4.1885300000000001</c:v>
                </c:pt>
                <c:pt idx="24">
                  <c:v>4.2259600000000006</c:v>
                </c:pt>
                <c:pt idx="25">
                  <c:v>4.25786</c:v>
                </c:pt>
                <c:pt idx="26">
                  <c:v>4.2867600000000001</c:v>
                </c:pt>
                <c:pt idx="27">
                  <c:v>4.3118400000000001</c:v>
                </c:pt>
                <c:pt idx="28">
                  <c:v>4.3340499999999995</c:v>
                </c:pt>
                <c:pt idx="29">
                  <c:v>4.34999</c:v>
                </c:pt>
                <c:pt idx="30">
                  <c:v>4.3580999999999994</c:v>
                </c:pt>
                <c:pt idx="31">
                  <c:v>4.3578099999999997</c:v>
                </c:pt>
                <c:pt idx="32">
                  <c:v>4.3541800000000004</c:v>
                </c:pt>
                <c:pt idx="33">
                  <c:v>4.3488500000000005</c:v>
                </c:pt>
                <c:pt idx="34">
                  <c:v>4.34131</c:v>
                </c:pt>
                <c:pt idx="35">
                  <c:v>4.3304200000000002</c:v>
                </c:pt>
                <c:pt idx="36">
                  <c:v>4.32097</c:v>
                </c:pt>
                <c:pt idx="37">
                  <c:v>4.3128899999999994</c:v>
                </c:pt>
                <c:pt idx="38">
                  <c:v>4.3056100000000006</c:v>
                </c:pt>
                <c:pt idx="39">
                  <c:v>4.29711</c:v>
                </c:pt>
                <c:pt idx="40">
                  <c:v>4.2890699999999997</c:v>
                </c:pt>
                <c:pt idx="41">
                  <c:v>4.2819000000000003</c:v>
                </c:pt>
                <c:pt idx="42">
                  <c:v>4.2764799999999994</c:v>
                </c:pt>
                <c:pt idx="43">
                  <c:v>4.2698999999999998</c:v>
                </c:pt>
                <c:pt idx="44">
                  <c:v>4.2620000000000005</c:v>
                </c:pt>
                <c:pt idx="45">
                  <c:v>4.2534200000000002</c:v>
                </c:pt>
                <c:pt idx="46">
                  <c:v>4.2463499999999996</c:v>
                </c:pt>
                <c:pt idx="47">
                  <c:v>4.2349100000000002</c:v>
                </c:pt>
                <c:pt idx="48">
                  <c:v>4.2235199999999997</c:v>
                </c:pt>
                <c:pt idx="49">
                  <c:v>4.2115799999999997</c:v>
                </c:pt>
                <c:pt idx="50">
                  <c:v>4.2027999999999999</c:v>
                </c:pt>
                <c:pt idx="51">
                  <c:v>4.1950700000000003</c:v>
                </c:pt>
                <c:pt idx="52">
                  <c:v>4.1906499999999998</c:v>
                </c:pt>
                <c:pt idx="53">
                  <c:v>4.1876600000000002</c:v>
                </c:pt>
                <c:pt idx="54">
                  <c:v>4.1866599999999998</c:v>
                </c:pt>
                <c:pt idx="55">
                  <c:v>4.18851</c:v>
                </c:pt>
                <c:pt idx="56">
                  <c:v>4.1863799999999998</c:v>
                </c:pt>
                <c:pt idx="57">
                  <c:v>4.18302</c:v>
                </c:pt>
                <c:pt idx="58">
                  <c:v>4.1780600000000003</c:v>
                </c:pt>
                <c:pt idx="59">
                  <c:v>4.1716100000000003</c:v>
                </c:pt>
                <c:pt idx="60">
                  <c:v>4.1675800000000001</c:v>
                </c:pt>
                <c:pt idx="61">
                  <c:v>4.1601300000000005</c:v>
                </c:pt>
                <c:pt idx="62">
                  <c:v>4.1547200000000002</c:v>
                </c:pt>
                <c:pt idx="63">
                  <c:v>4.1357699999999999</c:v>
                </c:pt>
                <c:pt idx="64">
                  <c:v>4.12385</c:v>
                </c:pt>
                <c:pt idx="65">
                  <c:v>4.1028599999999997</c:v>
                </c:pt>
                <c:pt idx="66">
                  <c:v>4.0802300000000002</c:v>
                </c:pt>
                <c:pt idx="67">
                  <c:v>4.05443</c:v>
                </c:pt>
                <c:pt idx="68">
                  <c:v>4.0192199999999998</c:v>
                </c:pt>
                <c:pt idx="69">
                  <c:v>3.9917899999999999</c:v>
                </c:pt>
                <c:pt idx="70">
                  <c:v>3.9734399999999996</c:v>
                </c:pt>
                <c:pt idx="71">
                  <c:v>3.9385300000000001</c:v>
                </c:pt>
                <c:pt idx="72">
                  <c:v>3.91384</c:v>
                </c:pt>
                <c:pt idx="73">
                  <c:v>3.8980999999999999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50.423099999999998</c:v>
                </c:pt>
                <c:pt idx="1">
                  <c:v>49.25</c:v>
                </c:pt>
                <c:pt idx="2">
                  <c:v>48.305799999999998</c:v>
                </c:pt>
                <c:pt idx="3">
                  <c:v>47.351999999999997</c:v>
                </c:pt>
                <c:pt idx="4">
                  <c:v>46.357900000000001</c:v>
                </c:pt>
                <c:pt idx="5">
                  <c:v>45.254199999999997</c:v>
                </c:pt>
                <c:pt idx="6">
                  <c:v>44.0486</c:v>
                </c:pt>
                <c:pt idx="7">
                  <c:v>42.879199999999997</c:v>
                </c:pt>
                <c:pt idx="8">
                  <c:v>41.768300000000004</c:v>
                </c:pt>
                <c:pt idx="9">
                  <c:v>40.760200000000005</c:v>
                </c:pt>
                <c:pt idx="10">
                  <c:v>39.915399999999998</c:v>
                </c:pt>
                <c:pt idx="11">
                  <c:v>39.162799999999997</c:v>
                </c:pt>
                <c:pt idx="12">
                  <c:v>38.589600000000004</c:v>
                </c:pt>
                <c:pt idx="13">
                  <c:v>38.172200000000004</c:v>
                </c:pt>
                <c:pt idx="14">
                  <c:v>37.798200000000001</c:v>
                </c:pt>
                <c:pt idx="15">
                  <c:v>37.533300000000004</c:v>
                </c:pt>
                <c:pt idx="16">
                  <c:v>37.51</c:v>
                </c:pt>
                <c:pt idx="17">
                  <c:v>37.543900000000001</c:v>
                </c:pt>
                <c:pt idx="18">
                  <c:v>37.623800000000003</c:v>
                </c:pt>
                <c:pt idx="19">
                  <c:v>37.783899999999996</c:v>
                </c:pt>
                <c:pt idx="20">
                  <c:v>37.967300000000002</c:v>
                </c:pt>
                <c:pt idx="21">
                  <c:v>38.281599999999997</c:v>
                </c:pt>
                <c:pt idx="22">
                  <c:v>38.5304</c:v>
                </c:pt>
                <c:pt idx="23">
                  <c:v>38.723700000000001</c:v>
                </c:pt>
                <c:pt idx="24">
                  <c:v>38.799700000000001</c:v>
                </c:pt>
                <c:pt idx="25">
                  <c:v>38.787199999999999</c:v>
                </c:pt>
                <c:pt idx="26">
                  <c:v>38.825900000000004</c:v>
                </c:pt>
                <c:pt idx="27">
                  <c:v>38.913699999999999</c:v>
                </c:pt>
                <c:pt idx="28">
                  <c:v>38.966799999999999</c:v>
                </c:pt>
                <c:pt idx="29">
                  <c:v>38.9268</c:v>
                </c:pt>
                <c:pt idx="30">
                  <c:v>38.904899999999998</c:v>
                </c:pt>
                <c:pt idx="31">
                  <c:v>38.845400000000005</c:v>
                </c:pt>
                <c:pt idx="32">
                  <c:v>38.7575</c:v>
                </c:pt>
                <c:pt idx="33">
                  <c:v>38.744199999999999</c:v>
                </c:pt>
                <c:pt idx="34">
                  <c:v>38.704100000000004</c:v>
                </c:pt>
                <c:pt idx="35">
                  <c:v>38.6952</c:v>
                </c:pt>
                <c:pt idx="36">
                  <c:v>38.712699999999998</c:v>
                </c:pt>
                <c:pt idx="37">
                  <c:v>38.738599999999998</c:v>
                </c:pt>
                <c:pt idx="38">
                  <c:v>38.823900000000002</c:v>
                </c:pt>
                <c:pt idx="39">
                  <c:v>38.9893</c:v>
                </c:pt>
                <c:pt idx="40">
                  <c:v>39.220300000000002</c:v>
                </c:pt>
                <c:pt idx="41">
                  <c:v>39.407199999999996</c:v>
                </c:pt>
                <c:pt idx="42">
                  <c:v>39.660000000000004</c:v>
                </c:pt>
                <c:pt idx="43">
                  <c:v>40.054299999999998</c:v>
                </c:pt>
                <c:pt idx="44">
                  <c:v>40.508800000000001</c:v>
                </c:pt>
                <c:pt idx="45">
                  <c:v>41.009700000000002</c:v>
                </c:pt>
                <c:pt idx="46">
                  <c:v>41.476500000000001</c:v>
                </c:pt>
                <c:pt idx="47">
                  <c:v>42.009700000000002</c:v>
                </c:pt>
                <c:pt idx="48">
                  <c:v>42.575499999999998</c:v>
                </c:pt>
                <c:pt idx="49">
                  <c:v>43.285000000000004</c:v>
                </c:pt>
                <c:pt idx="50">
                  <c:v>43.824300000000001</c:v>
                </c:pt>
                <c:pt idx="51">
                  <c:v>44.631700000000002</c:v>
                </c:pt>
                <c:pt idx="52">
                  <c:v>45.445999999999998</c:v>
                </c:pt>
                <c:pt idx="53">
                  <c:v>46.292999999999999</c:v>
                </c:pt>
                <c:pt idx="54">
                  <c:v>47.188200000000002</c:v>
                </c:pt>
                <c:pt idx="55">
                  <c:v>48.042099999999998</c:v>
                </c:pt>
                <c:pt idx="56">
                  <c:v>48.998599999999996</c:v>
                </c:pt>
                <c:pt idx="57">
                  <c:v>49.706099999999999</c:v>
                </c:pt>
                <c:pt idx="58">
                  <c:v>50.341299999999997</c:v>
                </c:pt>
                <c:pt idx="59">
                  <c:v>50.972399999999993</c:v>
                </c:pt>
                <c:pt idx="60">
                  <c:v>51.5169</c:v>
                </c:pt>
                <c:pt idx="61">
                  <c:v>52.014099999999999</c:v>
                </c:pt>
                <c:pt idx="62">
                  <c:v>52.523699999999998</c:v>
                </c:pt>
                <c:pt idx="63">
                  <c:v>52.974900000000005</c:v>
                </c:pt>
                <c:pt idx="64">
                  <c:v>53.436999999999998</c:v>
                </c:pt>
                <c:pt idx="65">
                  <c:v>53.849299999999999</c:v>
                </c:pt>
                <c:pt idx="66">
                  <c:v>54.241599999999998</c:v>
                </c:pt>
                <c:pt idx="67">
                  <c:v>54.624600000000001</c:v>
                </c:pt>
                <c:pt idx="68">
                  <c:v>54.783200000000001</c:v>
                </c:pt>
                <c:pt idx="69">
                  <c:v>54.878599999999999</c:v>
                </c:pt>
                <c:pt idx="70">
                  <c:v>54.980300000000007</c:v>
                </c:pt>
                <c:pt idx="71">
                  <c:v>54.897600000000004</c:v>
                </c:pt>
                <c:pt idx="72">
                  <c:v>54.845500000000001</c:v>
                </c:pt>
                <c:pt idx="73">
                  <c:v>54.804499999999997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3.8980999999999999</c:v>
                </c:pt>
                <c:pt idx="1">
                  <c:v>3.8706800000000001</c:v>
                </c:pt>
                <c:pt idx="2">
                  <c:v>3.8339099999999999</c:v>
                </c:pt>
                <c:pt idx="3">
                  <c:v>3.8010699999999997</c:v>
                </c:pt>
                <c:pt idx="4">
                  <c:v>3.7654300000000003</c:v>
                </c:pt>
                <c:pt idx="5">
                  <c:v>3.7265100000000002</c:v>
                </c:pt>
                <c:pt idx="6">
                  <c:v>3.6872400000000001</c:v>
                </c:pt>
                <c:pt idx="7">
                  <c:v>3.6507299999999998</c:v>
                </c:pt>
                <c:pt idx="8">
                  <c:v>3.6208400000000003</c:v>
                </c:pt>
                <c:pt idx="9">
                  <c:v>3.5939199999999998</c:v>
                </c:pt>
                <c:pt idx="10">
                  <c:v>3.5690200000000001</c:v>
                </c:pt>
                <c:pt idx="11">
                  <c:v>3.5471000000000004</c:v>
                </c:pt>
                <c:pt idx="12">
                  <c:v>3.5251600000000001</c:v>
                </c:pt>
                <c:pt idx="13">
                  <c:v>3.5036399999999999</c:v>
                </c:pt>
                <c:pt idx="14">
                  <c:v>3.4835500000000001</c:v>
                </c:pt>
                <c:pt idx="15">
                  <c:v>3.4694099999999999</c:v>
                </c:pt>
                <c:pt idx="16">
                  <c:v>3.46055</c:v>
                </c:pt>
                <c:pt idx="17">
                  <c:v>3.4539599999999999</c:v>
                </c:pt>
                <c:pt idx="18">
                  <c:v>3.4515200000000004</c:v>
                </c:pt>
                <c:pt idx="19">
                  <c:v>3.4515800000000003</c:v>
                </c:pt>
                <c:pt idx="20">
                  <c:v>3.4548399999999999</c:v>
                </c:pt>
                <c:pt idx="21">
                  <c:v>3.4632299999999998</c:v>
                </c:pt>
                <c:pt idx="22">
                  <c:v>3.47546</c:v>
                </c:pt>
                <c:pt idx="23">
                  <c:v>3.4932400000000001</c:v>
                </c:pt>
                <c:pt idx="24">
                  <c:v>3.5165600000000001</c:v>
                </c:pt>
                <c:pt idx="25">
                  <c:v>3.5428999999999999</c:v>
                </c:pt>
                <c:pt idx="26">
                  <c:v>3.5715999999999997</c:v>
                </c:pt>
                <c:pt idx="27">
                  <c:v>3.59707</c:v>
                </c:pt>
                <c:pt idx="28">
                  <c:v>3.6274800000000003</c:v>
                </c:pt>
                <c:pt idx="29">
                  <c:v>3.65801</c:v>
                </c:pt>
                <c:pt idx="30">
                  <c:v>3.6901800000000002</c:v>
                </c:pt>
                <c:pt idx="31">
                  <c:v>3.7215799999999999</c:v>
                </c:pt>
                <c:pt idx="32">
                  <c:v>3.7494399999999999</c:v>
                </c:pt>
                <c:pt idx="33">
                  <c:v>3.7752799999999995</c:v>
                </c:pt>
                <c:pt idx="34">
                  <c:v>3.8001299999999998</c:v>
                </c:pt>
                <c:pt idx="35">
                  <c:v>3.8257300000000001</c:v>
                </c:pt>
                <c:pt idx="36">
                  <c:v>3.8525499999999999</c:v>
                </c:pt>
                <c:pt idx="37">
                  <c:v>3.8788200000000002</c:v>
                </c:pt>
                <c:pt idx="38">
                  <c:v>3.9038599999999999</c:v>
                </c:pt>
                <c:pt idx="39">
                  <c:v>3.9280500000000003</c:v>
                </c:pt>
                <c:pt idx="40">
                  <c:v>3.9516600000000004</c:v>
                </c:pt>
                <c:pt idx="41">
                  <c:v>3.9727800000000002</c:v>
                </c:pt>
                <c:pt idx="42">
                  <c:v>3.9944500000000001</c:v>
                </c:pt>
                <c:pt idx="43">
                  <c:v>4.0188800000000002</c:v>
                </c:pt>
                <c:pt idx="44">
                  <c:v>4.0408400000000002</c:v>
                </c:pt>
                <c:pt idx="45">
                  <c:v>4.0602999999999998</c:v>
                </c:pt>
                <c:pt idx="46">
                  <c:v>4.0774600000000003</c:v>
                </c:pt>
                <c:pt idx="47">
                  <c:v>4.0913199999999996</c:v>
                </c:pt>
                <c:pt idx="48">
                  <c:v>4.10337</c:v>
                </c:pt>
                <c:pt idx="49">
                  <c:v>4.1110799999999994</c:v>
                </c:pt>
                <c:pt idx="50">
                  <c:v>4.1154999999999999</c:v>
                </c:pt>
                <c:pt idx="51">
                  <c:v>4.1185600000000004</c:v>
                </c:pt>
                <c:pt idx="52">
                  <c:v>4.1246700000000001</c:v>
                </c:pt>
                <c:pt idx="53">
                  <c:v>4.1287099999999999</c:v>
                </c:pt>
                <c:pt idx="54">
                  <c:v>4.1345399999999994</c:v>
                </c:pt>
                <c:pt idx="55">
                  <c:v>4.1407699999999998</c:v>
                </c:pt>
                <c:pt idx="56">
                  <c:v>4.1477199999999996</c:v>
                </c:pt>
                <c:pt idx="57">
                  <c:v>4.1576599999999999</c:v>
                </c:pt>
                <c:pt idx="58">
                  <c:v>4.1672199999999995</c:v>
                </c:pt>
                <c:pt idx="59">
                  <c:v>4.1791900000000002</c:v>
                </c:pt>
                <c:pt idx="60">
                  <c:v>4.1914899999999999</c:v>
                </c:pt>
                <c:pt idx="61">
                  <c:v>4.2017500000000005</c:v>
                </c:pt>
                <c:pt idx="62">
                  <c:v>4.2129099999999999</c:v>
                </c:pt>
                <c:pt idx="63">
                  <c:v>4.2268299999999996</c:v>
                </c:pt>
                <c:pt idx="64">
                  <c:v>4.2387200000000007</c:v>
                </c:pt>
                <c:pt idx="65">
                  <c:v>4.2466699999999999</c:v>
                </c:pt>
                <c:pt idx="66">
                  <c:v>4.2521700000000004</c:v>
                </c:pt>
                <c:pt idx="67">
                  <c:v>4.2538599999999995</c:v>
                </c:pt>
                <c:pt idx="68">
                  <c:v>4.2449399999999997</c:v>
                </c:pt>
                <c:pt idx="69">
                  <c:v>4.24444</c:v>
                </c:pt>
                <c:pt idx="70">
                  <c:v>4.2507799999999998</c:v>
                </c:pt>
                <c:pt idx="71">
                  <c:v>4.2572399999999995</c:v>
                </c:pt>
                <c:pt idx="72">
                  <c:v>4.2705399999999996</c:v>
                </c:pt>
                <c:pt idx="73">
                  <c:v>4.2662399999999998</c:v>
                </c:pt>
                <c:pt idx="74">
                  <c:v>4.2834099999999999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54.804499999999997</c:v>
                </c:pt>
                <c:pt idx="1">
                  <c:v>54.631399999999999</c:v>
                </c:pt>
                <c:pt idx="2">
                  <c:v>54.487900000000003</c:v>
                </c:pt>
                <c:pt idx="3">
                  <c:v>54.414900000000003</c:v>
                </c:pt>
                <c:pt idx="4">
                  <c:v>54.340999999999994</c:v>
                </c:pt>
                <c:pt idx="5">
                  <c:v>54.306600000000003</c:v>
                </c:pt>
                <c:pt idx="6">
                  <c:v>54.347299999999997</c:v>
                </c:pt>
                <c:pt idx="7">
                  <c:v>54.431399999999996</c:v>
                </c:pt>
                <c:pt idx="8">
                  <c:v>54.541700000000006</c:v>
                </c:pt>
                <c:pt idx="9">
                  <c:v>54.645200000000003</c:v>
                </c:pt>
                <c:pt idx="10">
                  <c:v>54.729099999999995</c:v>
                </c:pt>
                <c:pt idx="11">
                  <c:v>54.795700000000004</c:v>
                </c:pt>
                <c:pt idx="12">
                  <c:v>54.919899999999998</c:v>
                </c:pt>
                <c:pt idx="13">
                  <c:v>55.121900000000004</c:v>
                </c:pt>
                <c:pt idx="14">
                  <c:v>55.460900000000002</c:v>
                </c:pt>
                <c:pt idx="15">
                  <c:v>55.720499999999994</c:v>
                </c:pt>
                <c:pt idx="16">
                  <c:v>55.889800000000001</c:v>
                </c:pt>
                <c:pt idx="17">
                  <c:v>56.0107</c:v>
                </c:pt>
                <c:pt idx="18">
                  <c:v>56.101299999999995</c:v>
                </c:pt>
                <c:pt idx="19">
                  <c:v>56.120599999999996</c:v>
                </c:pt>
                <c:pt idx="20">
                  <c:v>56.058900000000001</c:v>
                </c:pt>
                <c:pt idx="21">
                  <c:v>55.8889</c:v>
                </c:pt>
                <c:pt idx="22">
                  <c:v>55.623999999999995</c:v>
                </c:pt>
                <c:pt idx="23">
                  <c:v>55.215199999999996</c:v>
                </c:pt>
                <c:pt idx="24">
                  <c:v>54.6175</c:v>
                </c:pt>
                <c:pt idx="25">
                  <c:v>53.971699999999998</c:v>
                </c:pt>
                <c:pt idx="26">
                  <c:v>53.360399999999998</c:v>
                </c:pt>
                <c:pt idx="27">
                  <c:v>52.877799999999993</c:v>
                </c:pt>
                <c:pt idx="28">
                  <c:v>52.388199999999998</c:v>
                </c:pt>
                <c:pt idx="29">
                  <c:v>51.951599999999999</c:v>
                </c:pt>
                <c:pt idx="30">
                  <c:v>51.563400000000001</c:v>
                </c:pt>
                <c:pt idx="31">
                  <c:v>51.1556</c:v>
                </c:pt>
                <c:pt idx="32">
                  <c:v>50.8371</c:v>
                </c:pt>
                <c:pt idx="33">
                  <c:v>50.448300000000003</c:v>
                </c:pt>
                <c:pt idx="34">
                  <c:v>50.071899999999999</c:v>
                </c:pt>
                <c:pt idx="35">
                  <c:v>49.676500000000004</c:v>
                </c:pt>
                <c:pt idx="36">
                  <c:v>49.225099999999998</c:v>
                </c:pt>
                <c:pt idx="37">
                  <c:v>48.695699999999995</c:v>
                </c:pt>
                <c:pt idx="38">
                  <c:v>48.225299999999997</c:v>
                </c:pt>
                <c:pt idx="39">
                  <c:v>47.690300000000001</c:v>
                </c:pt>
                <c:pt idx="40">
                  <c:v>47.045700000000004</c:v>
                </c:pt>
                <c:pt idx="41">
                  <c:v>46.357599999999998</c:v>
                </c:pt>
                <c:pt idx="42">
                  <c:v>45.650800000000004</c:v>
                </c:pt>
                <c:pt idx="43">
                  <c:v>44.832599999999999</c:v>
                </c:pt>
                <c:pt idx="44">
                  <c:v>44.126599999999996</c:v>
                </c:pt>
                <c:pt idx="45">
                  <c:v>43.473099999999995</c:v>
                </c:pt>
                <c:pt idx="46">
                  <c:v>42.8337</c:v>
                </c:pt>
                <c:pt idx="47">
                  <c:v>42.164499999999997</c:v>
                </c:pt>
                <c:pt idx="48">
                  <c:v>41.6126</c:v>
                </c:pt>
                <c:pt idx="49">
                  <c:v>41.065300000000001</c:v>
                </c:pt>
                <c:pt idx="50">
                  <c:v>40.640300000000003</c:v>
                </c:pt>
                <c:pt idx="51">
                  <c:v>40.3093</c:v>
                </c:pt>
                <c:pt idx="52">
                  <c:v>39.9208</c:v>
                </c:pt>
                <c:pt idx="53">
                  <c:v>39.477000000000004</c:v>
                </c:pt>
                <c:pt idx="54">
                  <c:v>39.066400000000002</c:v>
                </c:pt>
                <c:pt idx="55">
                  <c:v>38.664100000000005</c:v>
                </c:pt>
                <c:pt idx="56">
                  <c:v>38.283299999999997</c:v>
                </c:pt>
                <c:pt idx="57">
                  <c:v>37.866799999999998</c:v>
                </c:pt>
                <c:pt idx="58">
                  <c:v>37.452300000000001</c:v>
                </c:pt>
                <c:pt idx="59">
                  <c:v>37.0642</c:v>
                </c:pt>
                <c:pt idx="60">
                  <c:v>36.710900000000002</c:v>
                </c:pt>
                <c:pt idx="61">
                  <c:v>36.379800000000003</c:v>
                </c:pt>
                <c:pt idx="62">
                  <c:v>36.169699999999999</c:v>
                </c:pt>
                <c:pt idx="63">
                  <c:v>35.932600000000001</c:v>
                </c:pt>
                <c:pt idx="64">
                  <c:v>35.661100000000005</c:v>
                </c:pt>
                <c:pt idx="65">
                  <c:v>35.429500000000004</c:v>
                </c:pt>
                <c:pt idx="66">
                  <c:v>35.229300000000002</c:v>
                </c:pt>
                <c:pt idx="67">
                  <c:v>35.105599999999995</c:v>
                </c:pt>
                <c:pt idx="68">
                  <c:v>35.124699999999997</c:v>
                </c:pt>
                <c:pt idx="69">
                  <c:v>35.054699999999997</c:v>
                </c:pt>
                <c:pt idx="70">
                  <c:v>34.984099999999998</c:v>
                </c:pt>
                <c:pt idx="71">
                  <c:v>34.856099999999998</c:v>
                </c:pt>
                <c:pt idx="72">
                  <c:v>35.119499999999995</c:v>
                </c:pt>
                <c:pt idx="73">
                  <c:v>34.544499999999999</c:v>
                </c:pt>
                <c:pt idx="74">
                  <c:v>33.915800000000004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2.4210799999999999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50.423099999999998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3.9431236486486494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43.941808108108084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3.8847364864864851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46.522785135135116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3.8847364864864851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46.522785135135116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518</v>
      </c>
      <c r="D5" s="191"/>
      <c r="E5" s="191"/>
      <c r="F5" s="192"/>
      <c r="G5" s="48" t="str">
        <f>lang!B27</f>
        <v>编号</v>
      </c>
      <c r="H5" s="190">
        <v>2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517</v>
      </c>
      <c r="D6" s="145"/>
      <c r="E6" s="145"/>
      <c r="F6" s="146"/>
      <c r="G6" s="49" t="str">
        <f>lang!B28</f>
        <v xml:space="preserve"> 日期</v>
      </c>
      <c r="H6" s="129">
        <f>FH_info!A2</f>
        <v>43615.643726851849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50</v>
      </c>
      <c r="D7" s="148"/>
      <c r="E7" s="148"/>
      <c r="F7" s="149"/>
      <c r="G7" s="50" t="str">
        <f>lang!B29</f>
        <v>误差率（%）</v>
      </c>
      <c r="H7" s="132">
        <f>M!B17*1</f>
        <v>15.3901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38.5854</v>
      </c>
      <c r="O8" s="59">
        <f>M!C5*1</f>
        <v>7.7843600000000004</v>
      </c>
      <c r="P8" s="59">
        <f>M!D5*1</f>
        <v>20.174399999999999</v>
      </c>
      <c r="Q8" s="59">
        <f>M!E5*1</f>
        <v>20</v>
      </c>
      <c r="R8" s="59">
        <f>M!F5*1</f>
        <v>11.8957</v>
      </c>
      <c r="S8" s="59">
        <f>M!G5*1</f>
        <v>50</v>
      </c>
      <c r="T8" s="59">
        <f>M!H5*1</f>
        <v>54.651299999999999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25.0609</v>
      </c>
      <c r="O9" s="59">
        <f>M!C6*1</f>
        <v>3.2304499999999998</v>
      </c>
      <c r="P9" s="59">
        <f>M!D6*1</f>
        <v>12.8904</v>
      </c>
      <c r="Q9" s="59">
        <f>M!E6*1</f>
        <v>20</v>
      </c>
      <c r="R9" s="59">
        <f>M!F6*1</f>
        <v>17.200600000000001</v>
      </c>
      <c r="S9" s="59">
        <f>M!G6*1</f>
        <v>40</v>
      </c>
      <c r="T9" s="59">
        <f>M!H6*1</f>
        <v>30.196100000000001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11.8957</v>
      </c>
      <c r="D10" s="99">
        <f>N8</f>
        <v>38.5854</v>
      </c>
      <c r="E10" s="100">
        <f>T8</f>
        <v>54.651299999999999</v>
      </c>
      <c r="F10" s="91">
        <f>P8</f>
        <v>20.174399999999999</v>
      </c>
      <c r="G10" s="81" t="str">
        <f>CONCATENATE(M9,"
(20 ~ 40)")</f>
        <v>压力
(20 ~ 40)</v>
      </c>
      <c r="H10" s="98">
        <f>R9</f>
        <v>17.200600000000001</v>
      </c>
      <c r="I10" s="108">
        <f>N9</f>
        <v>25.0609</v>
      </c>
      <c r="J10" s="98">
        <f>T9</f>
        <v>30.196100000000001</v>
      </c>
      <c r="K10" s="92">
        <f>P9</f>
        <v>12.8904</v>
      </c>
      <c r="L10" s="6"/>
      <c r="M10" s="27" t="str">
        <f>lang!B16</f>
        <v>焦虑</v>
      </c>
      <c r="N10" s="59">
        <f>M!B7*1</f>
        <v>27.481999999999999</v>
      </c>
      <c r="O10" s="59">
        <f>M!C7*1</f>
        <v>8.0501699999999996</v>
      </c>
      <c r="P10" s="59">
        <f>M!D7*1</f>
        <v>29.2926</v>
      </c>
      <c r="Q10" s="59">
        <f>M!E7*1</f>
        <v>15</v>
      </c>
      <c r="R10" s="59">
        <f>M!F7*1</f>
        <v>7.5781999999999998</v>
      </c>
      <c r="S10" s="59">
        <f>M!G7*1</f>
        <v>40</v>
      </c>
      <c r="T10" s="59">
        <f>M!H7*1</f>
        <v>55.6663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7.5781999999999998</v>
      </c>
      <c r="D11" s="102">
        <f>N10</f>
        <v>27.481999999999999</v>
      </c>
      <c r="E11" s="103">
        <f>T10</f>
        <v>55.6663</v>
      </c>
      <c r="F11" s="94">
        <f>P10</f>
        <v>29.2926</v>
      </c>
      <c r="G11" s="52" t="str">
        <f>CONCATENATE(M11,"
(20 ~ 50)")</f>
        <v>可疑
(20 ~ 50)</v>
      </c>
      <c r="H11" s="101">
        <f>R11</f>
        <v>22.5989</v>
      </c>
      <c r="I11" s="104">
        <f>N11</f>
        <v>29.113399999999999</v>
      </c>
      <c r="J11" s="101">
        <f>T11</f>
        <v>38.026000000000003</v>
      </c>
      <c r="K11" s="95">
        <f>P11</f>
        <v>11.3332</v>
      </c>
      <c r="L11" s="4"/>
      <c r="M11" s="27" t="str">
        <f>lang!B17</f>
        <v>可疑</v>
      </c>
      <c r="N11" s="59">
        <f>M!B8*1</f>
        <v>29.113399999999999</v>
      </c>
      <c r="O11" s="59">
        <f>M!C8*1</f>
        <v>3.29949</v>
      </c>
      <c r="P11" s="59">
        <f>M!D8*1</f>
        <v>11.3332</v>
      </c>
      <c r="Q11" s="59">
        <f>M!E8*1</f>
        <v>20</v>
      </c>
      <c r="R11" s="59">
        <f>M!F8*1</f>
        <v>22.5989</v>
      </c>
      <c r="S11" s="59">
        <f>M!G8*1</f>
        <v>50</v>
      </c>
      <c r="T11" s="59">
        <f>M!H8*1</f>
        <v>38.026000000000003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62.3005</v>
      </c>
      <c r="D12" s="104">
        <f>N12</f>
        <v>74.322100000000006</v>
      </c>
      <c r="E12" s="101">
        <f>T12</f>
        <v>87.094099999999997</v>
      </c>
      <c r="F12" s="93">
        <f>P12</f>
        <v>5.7137000000000002</v>
      </c>
      <c r="G12" s="52" t="str">
        <f>CONCATENATE(M13,"
(40 ~ 100)")</f>
        <v>自信
(40 ~ 100)</v>
      </c>
      <c r="H12" s="101">
        <f>R13</f>
        <v>73.114699999999999</v>
      </c>
      <c r="I12" s="104">
        <f>N13</f>
        <v>81.814099999999996</v>
      </c>
      <c r="J12" s="101">
        <f>T13</f>
        <v>86.919200000000004</v>
      </c>
      <c r="K12" s="95">
        <f>P13</f>
        <v>3.3045100000000001</v>
      </c>
      <c r="L12" s="4"/>
      <c r="M12" s="27" t="str">
        <f>lang!B18</f>
        <v>平衡</v>
      </c>
      <c r="N12" s="59">
        <f>M!B9*1</f>
        <v>74.322100000000006</v>
      </c>
      <c r="O12" s="59">
        <f>M!C9*1</f>
        <v>4.2465400000000004</v>
      </c>
      <c r="P12" s="59">
        <f>M!D9*1</f>
        <v>5.7137000000000002</v>
      </c>
      <c r="Q12" s="59">
        <f>M!E9*1</f>
        <v>50</v>
      </c>
      <c r="R12" s="59">
        <f>M!F9*1</f>
        <v>62.3005</v>
      </c>
      <c r="S12" s="59">
        <f>M!G9*1</f>
        <v>100</v>
      </c>
      <c r="T12" s="59">
        <f>M!H9*1</f>
        <v>87.094099999999997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7.97403</v>
      </c>
      <c r="D13" s="102">
        <f>N14</f>
        <v>28.934100000000001</v>
      </c>
      <c r="E13" s="103">
        <f>T14</f>
        <v>33.898899999999998</v>
      </c>
      <c r="F13" s="94">
        <f>P14</f>
        <v>19.841200000000001</v>
      </c>
      <c r="G13" s="52" t="str">
        <f>CONCATENATE(M15,"
(50 ~ 100)")</f>
        <v>自我调节
(50 ~ 100)</v>
      </c>
      <c r="H13" s="101">
        <f>R15</f>
        <v>70.494</v>
      </c>
      <c r="I13" s="104">
        <f>N15</f>
        <v>77.7</v>
      </c>
      <c r="J13" s="101">
        <f>T15</f>
        <v>85.775099999999995</v>
      </c>
      <c r="K13" s="95">
        <f>P15</f>
        <v>3.6250599999999999</v>
      </c>
      <c r="L13" s="4"/>
      <c r="M13" s="27" t="str">
        <f>lang!B19</f>
        <v>自信</v>
      </c>
      <c r="N13" s="59">
        <f>M!B10*1</f>
        <v>81.814099999999996</v>
      </c>
      <c r="O13" s="59">
        <f>M!C10*1</f>
        <v>2.70356</v>
      </c>
      <c r="P13" s="59">
        <f>M!D10*1</f>
        <v>3.3045100000000001</v>
      </c>
      <c r="Q13" s="59">
        <f>M!E10*1</f>
        <v>40</v>
      </c>
      <c r="R13" s="59">
        <f>M!F10*1</f>
        <v>73.114699999999999</v>
      </c>
      <c r="S13" s="59">
        <f>M!G10*1</f>
        <v>100</v>
      </c>
      <c r="T13" s="59">
        <f>M!H10*1</f>
        <v>86.919200000000004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12.2117</v>
      </c>
      <c r="D14" s="106">
        <f>N16</f>
        <v>17.574300000000001</v>
      </c>
      <c r="E14" s="107">
        <f>T16</f>
        <v>24.06</v>
      </c>
      <c r="F14" s="96">
        <f>P16</f>
        <v>13.0609</v>
      </c>
      <c r="G14" s="112" t="str">
        <f>CONCATENATE(M17,"
(10 ~ 50)")</f>
        <v>神经质
(10 ~ 50)</v>
      </c>
      <c r="H14" s="105">
        <f>R17</f>
        <v>0.66807899999999998</v>
      </c>
      <c r="I14" s="106">
        <f>N17</f>
        <v>22.953600000000002</v>
      </c>
      <c r="J14" s="107">
        <f>T17</f>
        <v>25.56</v>
      </c>
      <c r="K14" s="97">
        <f>P17</f>
        <v>34.665500000000002</v>
      </c>
      <c r="M14" s="27" t="str">
        <f>lang!B20</f>
        <v>活力</v>
      </c>
      <c r="N14" s="59">
        <f>M!B11*1</f>
        <v>28.934100000000001</v>
      </c>
      <c r="O14" s="59">
        <f>M!C11*1</f>
        <v>5.7408900000000003</v>
      </c>
      <c r="P14" s="59">
        <f>M!D11*1</f>
        <v>19.841200000000001</v>
      </c>
      <c r="Q14" s="59">
        <f>M!E11*1</f>
        <v>10</v>
      </c>
      <c r="R14" s="59">
        <f>M!F11*1</f>
        <v>7.97403</v>
      </c>
      <c r="S14" s="59">
        <f>M!G11*1</f>
        <v>50</v>
      </c>
      <c r="T14" s="59">
        <f>M!H11*1</f>
        <v>33.898899999999998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77.7</v>
      </c>
      <c r="O15" s="59">
        <f>M!C12*1</f>
        <v>2.8166699999999998</v>
      </c>
      <c r="P15" s="59">
        <f>M!D12*1</f>
        <v>3.6250599999999999</v>
      </c>
      <c r="Q15" s="59">
        <f>M!E12*1</f>
        <v>50</v>
      </c>
      <c r="R15" s="59">
        <f>M!F12*1</f>
        <v>70.494</v>
      </c>
      <c r="S15" s="59">
        <f>M!G12*1</f>
        <v>100</v>
      </c>
      <c r="T15" s="59">
        <f>M!H12*1</f>
        <v>85.775099999999995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17.574300000000001</v>
      </c>
      <c r="O16" s="59">
        <f>M!C13*1</f>
        <v>2.2953600000000001</v>
      </c>
      <c r="P16" s="59">
        <f>M!D13*1</f>
        <v>13.0609</v>
      </c>
      <c r="Q16" s="59">
        <f>M!E13*1</f>
        <v>10</v>
      </c>
      <c r="R16" s="59">
        <f>M!F13*1</f>
        <v>12.2117</v>
      </c>
      <c r="S16" s="59">
        <f>M!G13*1</f>
        <v>25</v>
      </c>
      <c r="T16" s="59">
        <f>M!H13*1</f>
        <v>24.06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22.953600000000002</v>
      </c>
      <c r="O17" s="59">
        <f>M!C14*1</f>
        <v>7.9569700000000001</v>
      </c>
      <c r="P17" s="59">
        <f>M!D14*1</f>
        <v>34.665500000000002</v>
      </c>
      <c r="Q17" s="59">
        <f>M!E14*1</f>
        <v>10</v>
      </c>
      <c r="R17" s="59">
        <f>M!F14*1</f>
        <v>0.66807899999999998</v>
      </c>
      <c r="S17" s="59">
        <f>M!G14*1</f>
        <v>50</v>
      </c>
      <c r="T17" s="59">
        <f>M!H14*1</f>
        <v>25.56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65.692575000000005</v>
      </c>
      <c r="O18" s="22">
        <f>N18/(N18+N19+N20)</f>
        <v>0.56623256343146411</v>
      </c>
      <c r="P18" s="65">
        <f>SUM(P12:P15)/4</f>
        <v>8.1211175000000004</v>
      </c>
      <c r="Q18" s="22">
        <f>P18/(P18+P19+P20)</f>
        <v>0.1611110110918694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30.060424999999999</v>
      </c>
      <c r="O19" s="22">
        <f>N19/(N18+N19+N20)</f>
        <v>0.25910373441122175</v>
      </c>
      <c r="P19" s="18">
        <f>SUM(P8:P11)/4</f>
        <v>18.422650000000001</v>
      </c>
      <c r="Q19" s="22">
        <f>P19/(P18+P19+P20)</f>
        <v>0.36547824464941281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20.263950000000001</v>
      </c>
      <c r="O20" s="22">
        <f>N20/(N18+N19+N20)</f>
        <v>0.17466370215731408</v>
      </c>
      <c r="P20" s="18">
        <f>(P16+P17)/2</f>
        <v>23.863199999999999</v>
      </c>
      <c r="Q20" s="22">
        <f>P20/(P18+P19+P20)</f>
        <v>0.47341074425871776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3.1648486486486771E-2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1.8869775392824988</v>
      </c>
      <c r="D25" s="44" t="str">
        <f>lang!B11</f>
        <v>频率方差</v>
      </c>
      <c r="E25" s="182">
        <f ca="1">FH!L3</f>
        <v>0.59803606949035937</v>
      </c>
      <c r="F25" s="183"/>
      <c r="G25" s="174" t="str">
        <f>lang!B12</f>
        <v>生理变化率</v>
      </c>
      <c r="H25" s="175"/>
      <c r="I25" s="62" t="str">
        <f ca="1">CONCATENATE(info!M7,"-",info!M8)</f>
        <v>33.9-56.1</v>
      </c>
      <c r="J25" s="42" t="str">
        <f>lang!B13</f>
        <v>千卡l/分钟</v>
      </c>
      <c r="K25" s="41" t="str">
        <f ca="1">CONCATENATE(info!M5,"-",info!M6)</f>
        <v>2.4-4.4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46.885800000000003</v>
      </c>
      <c r="F28" s="121"/>
      <c r="G28" s="135" t="str">
        <f>lang!B33</f>
        <v>稳定性</v>
      </c>
      <c r="H28" s="136"/>
      <c r="I28" s="137"/>
      <c r="J28" s="138">
        <f>M!B19*100</f>
        <v>51.647799999999997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43615.643726851849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-3.5213999999999999</v>
      </c>
      <c r="O7" s="59">
        <f t="shared" ref="O7:T7" si="2">AG7-X7</f>
        <v>-4.9795199999999999</v>
      </c>
      <c r="P7" s="59">
        <f t="shared" si="2"/>
        <v>-10.945799999999998</v>
      </c>
      <c r="Q7" s="59">
        <f t="shared" si="2"/>
        <v>0</v>
      </c>
      <c r="R7" s="59">
        <f t="shared" si="2"/>
        <v>19.621099999999998</v>
      </c>
      <c r="S7" s="59">
        <f t="shared" si="2"/>
        <v>0</v>
      </c>
      <c r="T7" s="59">
        <f t="shared" si="2"/>
        <v>5.2631999999999977</v>
      </c>
      <c r="U7" s="14"/>
      <c r="V7" s="27" t="str">
        <f>M7</f>
        <v>攻击性</v>
      </c>
      <c r="W7" s="59">
        <f>'M1'!B5*1</f>
        <v>41.433</v>
      </c>
      <c r="X7" s="59">
        <f>'M1'!C5*1</f>
        <v>9.7634699999999999</v>
      </c>
      <c r="Y7" s="59">
        <f>'M1'!D5*1</f>
        <v>23.564499999999999</v>
      </c>
      <c r="Z7" s="59">
        <f>'M1'!E5*1</f>
        <v>20</v>
      </c>
      <c r="AA7" s="59">
        <f>'M1'!F5*1</f>
        <v>11.8957</v>
      </c>
      <c r="AB7" s="59">
        <f>'M1'!G5*1</f>
        <v>50</v>
      </c>
      <c r="AC7" s="59">
        <f>'M1'!H5*1</f>
        <v>49.388100000000001</v>
      </c>
      <c r="AE7" s="27" t="str">
        <f>V7</f>
        <v>攻击性</v>
      </c>
      <c r="AF7" s="59">
        <f>'M2'!B5*1</f>
        <v>37.9116</v>
      </c>
      <c r="AG7" s="59">
        <f>'M2'!C5*1</f>
        <v>4.7839499999999999</v>
      </c>
      <c r="AH7" s="59">
        <f>'M2'!D5*1</f>
        <v>12.6187</v>
      </c>
      <c r="AI7" s="59">
        <f>'M2'!E5*1</f>
        <v>20</v>
      </c>
      <c r="AJ7" s="59">
        <f>'M2'!F5*1</f>
        <v>31.5168</v>
      </c>
      <c r="AK7" s="59">
        <f>'M2'!G5*1</f>
        <v>50</v>
      </c>
      <c r="AL7" s="59">
        <f>'M2'!H5*1</f>
        <v>54.651299999999999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-4.1132999999999988</v>
      </c>
      <c r="O8" s="59">
        <f t="shared" ref="O8:O16" si="5">AG8-X8</f>
        <v>1.33196</v>
      </c>
      <c r="P8" s="59">
        <f t="shared" ref="P8:P16" si="6">AH8-Y8</f>
        <v>7.9094700000000007</v>
      </c>
      <c r="Q8" s="59">
        <f t="shared" ref="Q8:Q16" si="7">AI8-Z8</f>
        <v>0</v>
      </c>
      <c r="R8" s="59">
        <f t="shared" ref="R8:R16" si="8">AJ8-AA8</f>
        <v>-1.0535999999999994</v>
      </c>
      <c r="S8" s="59">
        <f t="shared" ref="S8:S16" si="9">AK8-AB8</f>
        <v>0</v>
      </c>
      <c r="T8" s="59">
        <f t="shared" ref="T8:T16" si="10">AL8-AC8</f>
        <v>-0.72150000000000247</v>
      </c>
      <c r="U8" s="15"/>
      <c r="V8" s="27" t="str">
        <f t="shared" ref="V8:V16" si="11">M8</f>
        <v>压力</v>
      </c>
      <c r="W8" s="59">
        <f>'M1'!B6*1</f>
        <v>25.6403</v>
      </c>
      <c r="X8" s="59">
        <f>'M1'!C6*1</f>
        <v>2.3107899999999999</v>
      </c>
      <c r="Y8" s="59">
        <f>'M1'!D6*1</f>
        <v>9.0123300000000004</v>
      </c>
      <c r="Z8" s="59">
        <f>'M1'!E6*1</f>
        <v>20</v>
      </c>
      <c r="AA8" s="59">
        <f>'M1'!F6*1</f>
        <v>18.254200000000001</v>
      </c>
      <c r="AB8" s="59">
        <f>'M1'!G6*1</f>
        <v>40</v>
      </c>
      <c r="AC8" s="59">
        <f>'M1'!H6*1</f>
        <v>30.196100000000001</v>
      </c>
      <c r="AE8" s="27" t="str">
        <f t="shared" ref="AE8:AE16" si="12">V8</f>
        <v>压力</v>
      </c>
      <c r="AF8" s="59">
        <f>'M2'!B6*1</f>
        <v>21.527000000000001</v>
      </c>
      <c r="AG8" s="59">
        <f>'M2'!C6*1</f>
        <v>3.6427499999999999</v>
      </c>
      <c r="AH8" s="59">
        <f>'M2'!D6*1</f>
        <v>16.921800000000001</v>
      </c>
      <c r="AI8" s="59">
        <f>'M2'!E6*1</f>
        <v>20</v>
      </c>
      <c r="AJ8" s="59">
        <f>'M2'!F6*1</f>
        <v>17.200600000000001</v>
      </c>
      <c r="AK8" s="59">
        <f>'M2'!G6*1</f>
        <v>40</v>
      </c>
      <c r="AL8" s="59">
        <f>'M2'!H6*1</f>
        <v>29.474599999999999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19.621099999999998</v>
      </c>
      <c r="D9" s="78">
        <f>N7</f>
        <v>-3.5213999999999999</v>
      </c>
      <c r="E9" s="79">
        <f>T7</f>
        <v>5.2631999999999977</v>
      </c>
      <c r="F9" s="79">
        <f>P7</f>
        <v>-10.945799999999998</v>
      </c>
      <c r="G9" s="80" t="str">
        <f>CONCATENATE(M8,"
(20 ~ 40)")</f>
        <v>压力
(20 ~ 40)</v>
      </c>
      <c r="H9" s="77">
        <f>R8</f>
        <v>-1.0535999999999994</v>
      </c>
      <c r="I9" s="81">
        <f>N8</f>
        <v>-4.1132999999999988</v>
      </c>
      <c r="J9" s="77">
        <f>T8</f>
        <v>-0.72150000000000247</v>
      </c>
      <c r="K9" s="82">
        <f>P8</f>
        <v>7.9094700000000007</v>
      </c>
      <c r="L9" s="6"/>
      <c r="M9" s="27" t="str">
        <f>lang!B16</f>
        <v>焦虑</v>
      </c>
      <c r="N9" s="59">
        <f t="shared" si="4"/>
        <v>-0.28640000000000043</v>
      </c>
      <c r="O9" s="59">
        <f t="shared" si="5"/>
        <v>-5.2804599999999997</v>
      </c>
      <c r="P9" s="59">
        <f t="shared" si="6"/>
        <v>-18.854299999999999</v>
      </c>
      <c r="Q9" s="59">
        <f t="shared" si="7"/>
        <v>0</v>
      </c>
      <c r="R9" s="59">
        <f t="shared" si="8"/>
        <v>0.68249000000000049</v>
      </c>
      <c r="S9" s="59">
        <f t="shared" si="9"/>
        <v>0</v>
      </c>
      <c r="T9" s="59">
        <f t="shared" si="10"/>
        <v>-16.847000000000001</v>
      </c>
      <c r="U9" s="14"/>
      <c r="V9" s="27" t="str">
        <f t="shared" si="11"/>
        <v>焦虑</v>
      </c>
      <c r="W9" s="59">
        <f>'M1'!B7*1</f>
        <v>27.7346</v>
      </c>
      <c r="X9" s="59">
        <f>'M1'!C7*1</f>
        <v>10.199999999999999</v>
      </c>
      <c r="Y9" s="59">
        <f>'M1'!D7*1</f>
        <v>36.777299999999997</v>
      </c>
      <c r="Z9" s="59">
        <f>'M1'!E7*1</f>
        <v>15</v>
      </c>
      <c r="AA9" s="59">
        <f>'M1'!F7*1</f>
        <v>7.5781999999999998</v>
      </c>
      <c r="AB9" s="59">
        <f>'M1'!G7*1</f>
        <v>40</v>
      </c>
      <c r="AC9" s="59">
        <f>'M1'!H7*1</f>
        <v>55.6663</v>
      </c>
      <c r="AE9" s="27" t="str">
        <f t="shared" si="12"/>
        <v>焦虑</v>
      </c>
      <c r="AF9" s="59">
        <f>'M2'!B7*1</f>
        <v>27.4482</v>
      </c>
      <c r="AG9" s="59">
        <f>'M2'!C7*1</f>
        <v>4.9195399999999996</v>
      </c>
      <c r="AH9" s="59">
        <f>'M2'!D7*1</f>
        <v>17.922999999999998</v>
      </c>
      <c r="AI9" s="59">
        <f>'M2'!E7*1</f>
        <v>15</v>
      </c>
      <c r="AJ9" s="59">
        <f>'M2'!F7*1</f>
        <v>8.2606900000000003</v>
      </c>
      <c r="AK9" s="59">
        <f>'M2'!G7*1</f>
        <v>40</v>
      </c>
      <c r="AL9" s="59">
        <f>'M2'!H7*1</f>
        <v>38.819299999999998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0.68249000000000049</v>
      </c>
      <c r="D10" s="51">
        <f>N9</f>
        <v>-0.28640000000000043</v>
      </c>
      <c r="E10" s="53">
        <f>T9</f>
        <v>-16.847000000000001</v>
      </c>
      <c r="F10" s="53">
        <f>P9</f>
        <v>-18.854299999999999</v>
      </c>
      <c r="G10" s="73" t="str">
        <f>CONCATENATE(M10,"
(20 ~ 50)")</f>
        <v>可疑
(20 ~ 50)</v>
      </c>
      <c r="H10" s="24">
        <f>R10</f>
        <v>-0.11430000000000007</v>
      </c>
      <c r="I10" s="52">
        <f>N10</f>
        <v>-1.3170000000000002</v>
      </c>
      <c r="J10" s="24">
        <f>T10</f>
        <v>3.8320000000000007</v>
      </c>
      <c r="K10" s="25">
        <f>P10</f>
        <v>1.3323999999999998</v>
      </c>
      <c r="L10" s="4"/>
      <c r="M10" s="27" t="str">
        <f>lang!B17</f>
        <v>可疑</v>
      </c>
      <c r="N10" s="59">
        <f t="shared" si="4"/>
        <v>-1.3170000000000002</v>
      </c>
      <c r="O10" s="59">
        <f t="shared" si="5"/>
        <v>0.2432000000000003</v>
      </c>
      <c r="P10" s="59">
        <f t="shared" si="6"/>
        <v>1.3323999999999998</v>
      </c>
      <c r="Q10" s="59">
        <f t="shared" si="7"/>
        <v>0</v>
      </c>
      <c r="R10" s="59">
        <f t="shared" si="8"/>
        <v>-0.11430000000000007</v>
      </c>
      <c r="S10" s="59">
        <f t="shared" si="9"/>
        <v>0</v>
      </c>
      <c r="T10" s="59">
        <f t="shared" si="10"/>
        <v>3.8320000000000007</v>
      </c>
      <c r="U10" s="14"/>
      <c r="V10" s="27" t="str">
        <f t="shared" si="11"/>
        <v>可疑</v>
      </c>
      <c r="W10" s="59">
        <f>'M1'!B8*1</f>
        <v>30.011099999999999</v>
      </c>
      <c r="X10" s="59">
        <f>'M1'!C8*1</f>
        <v>3.1700599999999999</v>
      </c>
      <c r="Y10" s="59">
        <f>'M1'!D8*1</f>
        <v>10.562900000000001</v>
      </c>
      <c r="Z10" s="59">
        <f>'M1'!E8*1</f>
        <v>20</v>
      </c>
      <c r="AA10" s="59">
        <f>'M1'!F8*1</f>
        <v>22.713200000000001</v>
      </c>
      <c r="AB10" s="59">
        <f>'M1'!G8*1</f>
        <v>50</v>
      </c>
      <c r="AC10" s="59">
        <f>'M1'!H8*1</f>
        <v>34.194000000000003</v>
      </c>
      <c r="AE10" s="27" t="str">
        <f t="shared" si="12"/>
        <v>可疑</v>
      </c>
      <c r="AF10" s="59">
        <f>'M2'!B8*1</f>
        <v>28.694099999999999</v>
      </c>
      <c r="AG10" s="59">
        <f>'M2'!C8*1</f>
        <v>3.4132600000000002</v>
      </c>
      <c r="AH10" s="59">
        <f>'M2'!D8*1</f>
        <v>11.895300000000001</v>
      </c>
      <c r="AI10" s="59">
        <f>'M2'!E8*1</f>
        <v>20</v>
      </c>
      <c r="AJ10" s="59">
        <f>'M2'!F8*1</f>
        <v>22.5989</v>
      </c>
      <c r="AK10" s="59">
        <f>'M2'!G8*1</f>
        <v>50</v>
      </c>
      <c r="AL10" s="59">
        <f>'M2'!H8*1</f>
        <v>38.026000000000003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-5.593599999999995</v>
      </c>
      <c r="D11" s="52">
        <f>N11</f>
        <v>7.4299999999993815E-2</v>
      </c>
      <c r="E11" s="24">
        <f>T11</f>
        <v>-3.3096000000000032</v>
      </c>
      <c r="F11" s="24">
        <f>P11</f>
        <v>-0.10071999999999992</v>
      </c>
      <c r="G11" s="73" t="str">
        <f>CONCATENATE(M12,"
(40 ~ 100)")</f>
        <v>自信
(40 ~ 100)</v>
      </c>
      <c r="H11" s="24">
        <f>R12</f>
        <v>3.4651000000000067</v>
      </c>
      <c r="I11" s="52">
        <f>N12</f>
        <v>-1.8025000000000091</v>
      </c>
      <c r="J11" s="24">
        <f>T12</f>
        <v>-1.652000000000001</v>
      </c>
      <c r="K11" s="25">
        <f>P12</f>
        <v>8.9459999999999873E-2</v>
      </c>
      <c r="L11" s="4"/>
      <c r="M11" s="27" t="str">
        <f>lang!B18</f>
        <v>平衡</v>
      </c>
      <c r="N11" s="59">
        <f t="shared" si="4"/>
        <v>7.4299999999993815E-2</v>
      </c>
      <c r="O11" s="59">
        <f t="shared" si="5"/>
        <v>-7.0629999999999526E-2</v>
      </c>
      <c r="P11" s="59">
        <f t="shared" si="6"/>
        <v>-0.10071999999999992</v>
      </c>
      <c r="Q11" s="59">
        <f t="shared" si="7"/>
        <v>0</v>
      </c>
      <c r="R11" s="59">
        <f t="shared" si="8"/>
        <v>-5.593599999999995</v>
      </c>
      <c r="S11" s="59">
        <f t="shared" si="9"/>
        <v>0</v>
      </c>
      <c r="T11" s="59">
        <f t="shared" si="10"/>
        <v>-3.3096000000000032</v>
      </c>
      <c r="U11" s="14"/>
      <c r="V11" s="27" t="str">
        <f t="shared" si="11"/>
        <v>平衡</v>
      </c>
      <c r="W11" s="59">
        <f>'M1'!B9*1</f>
        <v>74.292000000000002</v>
      </c>
      <c r="X11" s="59">
        <f>'M1'!C9*1</f>
        <v>4.2648299999999999</v>
      </c>
      <c r="Y11" s="59">
        <f>'M1'!D9*1</f>
        <v>5.7406300000000003</v>
      </c>
      <c r="Z11" s="59">
        <f>'M1'!E9*1</f>
        <v>50</v>
      </c>
      <c r="AA11" s="59">
        <f>'M1'!F9*1</f>
        <v>67.894099999999995</v>
      </c>
      <c r="AB11" s="59">
        <f>'M1'!G9*1</f>
        <v>100</v>
      </c>
      <c r="AC11" s="59">
        <f>'M1'!H9*1</f>
        <v>87.094099999999997</v>
      </c>
      <c r="AE11" s="27" t="str">
        <f t="shared" si="12"/>
        <v>平衡</v>
      </c>
      <c r="AF11" s="59">
        <f>'M2'!B9*1</f>
        <v>74.366299999999995</v>
      </c>
      <c r="AG11" s="59">
        <f>'M2'!C9*1</f>
        <v>4.1942000000000004</v>
      </c>
      <c r="AH11" s="59">
        <f>'M2'!D9*1</f>
        <v>5.6399100000000004</v>
      </c>
      <c r="AI11" s="59">
        <f>'M2'!E9*1</f>
        <v>50</v>
      </c>
      <c r="AJ11" s="59">
        <f>'M2'!F9*1</f>
        <v>62.3005</v>
      </c>
      <c r="AK11" s="59">
        <f>'M2'!G9*1</f>
        <v>100</v>
      </c>
      <c r="AL11" s="59">
        <f>'M2'!H9*1</f>
        <v>83.784499999999994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15.849270000000001</v>
      </c>
      <c r="D12" s="51">
        <f>N13</f>
        <v>-0.20390000000000086</v>
      </c>
      <c r="E12" s="53">
        <f>T13</f>
        <v>0.90979999999999706</v>
      </c>
      <c r="F12" s="53">
        <f>P13</f>
        <v>-17.150230000000001</v>
      </c>
      <c r="G12" s="73" t="str">
        <f>CONCATENATE(M14,"
(50 ~ 100)")</f>
        <v>自我调节
(50 ~ 100)</v>
      </c>
      <c r="H12" s="24">
        <f>R14</f>
        <v>-2.416799999999995</v>
      </c>
      <c r="I12" s="52">
        <f>N14</f>
        <v>9.9400000000002819E-2</v>
      </c>
      <c r="J12" s="24">
        <f>T14</f>
        <v>-2.1578999999999979</v>
      </c>
      <c r="K12" s="25">
        <f>P14</f>
        <v>0.20196999999999976</v>
      </c>
      <c r="L12" s="4"/>
      <c r="M12" s="27" t="str">
        <f>lang!B19</f>
        <v>自信</v>
      </c>
      <c r="N12" s="59">
        <f t="shared" si="4"/>
        <v>-1.8025000000000091</v>
      </c>
      <c r="O12" s="59">
        <f t="shared" si="5"/>
        <v>1.3500000000000068E-2</v>
      </c>
      <c r="P12" s="59">
        <f t="shared" si="6"/>
        <v>8.9459999999999873E-2</v>
      </c>
      <c r="Q12" s="59">
        <f t="shared" si="7"/>
        <v>0</v>
      </c>
      <c r="R12" s="59">
        <f t="shared" si="8"/>
        <v>3.4651000000000067</v>
      </c>
      <c r="S12" s="59">
        <f t="shared" si="9"/>
        <v>0</v>
      </c>
      <c r="T12" s="59">
        <f t="shared" si="10"/>
        <v>-1.652000000000001</v>
      </c>
      <c r="U12" s="15"/>
      <c r="V12" s="27" t="str">
        <f t="shared" si="11"/>
        <v>自信</v>
      </c>
      <c r="W12" s="59">
        <f>'M1'!B10*1</f>
        <v>82.210700000000003</v>
      </c>
      <c r="X12" s="59">
        <f>'M1'!C10*1</f>
        <v>2.6650999999999998</v>
      </c>
      <c r="Y12" s="59">
        <f>'M1'!D10*1</f>
        <v>3.2417899999999999</v>
      </c>
      <c r="Z12" s="59">
        <f>'M1'!E10*1</f>
        <v>40</v>
      </c>
      <c r="AA12" s="59">
        <f>'M1'!F10*1</f>
        <v>73.114699999999999</v>
      </c>
      <c r="AB12" s="59">
        <f>'M1'!G10*1</f>
        <v>100</v>
      </c>
      <c r="AC12" s="59">
        <f>'M1'!H10*1</f>
        <v>86.919200000000004</v>
      </c>
      <c r="AE12" s="27" t="str">
        <f t="shared" si="12"/>
        <v>自信</v>
      </c>
      <c r="AF12" s="59">
        <f>'M2'!B10*1</f>
        <v>80.408199999999994</v>
      </c>
      <c r="AG12" s="59">
        <f>'M2'!C10*1</f>
        <v>2.6785999999999999</v>
      </c>
      <c r="AH12" s="59">
        <f>'M2'!D10*1</f>
        <v>3.3312499999999998</v>
      </c>
      <c r="AI12" s="59">
        <f>'M2'!E10*1</f>
        <v>40</v>
      </c>
      <c r="AJ12" s="59">
        <f>'M2'!F10*1</f>
        <v>76.579800000000006</v>
      </c>
      <c r="AK12" s="59">
        <f>'M2'!G10*1</f>
        <v>100</v>
      </c>
      <c r="AL12" s="59">
        <f>'M2'!H10*1</f>
        <v>85.267200000000003</v>
      </c>
    </row>
    <row r="13" spans="2:38" ht="25.5" customHeight="1" thickBot="1">
      <c r="B13" s="72" t="str">
        <f>CONCATENATE(M15,"
(10 ~ 25)")</f>
        <v>抑郁
(10 ~ 25)</v>
      </c>
      <c r="C13" s="54">
        <f>R15</f>
        <v>0.47569999999999979</v>
      </c>
      <c r="D13" s="55">
        <f>N15</f>
        <v>-0.27730000000000032</v>
      </c>
      <c r="E13" s="56">
        <f>T15</f>
        <v>0.91959999999999908</v>
      </c>
      <c r="F13" s="56">
        <f>P15</f>
        <v>6.7500000000000782E-2</v>
      </c>
      <c r="G13" s="74" t="str">
        <f>CONCATENATE(M16,"
(10 ~ 50)")</f>
        <v>神经质
(10 ~ 50)</v>
      </c>
      <c r="H13" s="54">
        <f>R16</f>
        <v>2.531031</v>
      </c>
      <c r="I13" s="55">
        <f>N16</f>
        <v>-0.23829999999999885</v>
      </c>
      <c r="J13" s="56">
        <f>T16</f>
        <v>-1.1747999999999976</v>
      </c>
      <c r="K13" s="57">
        <f>P16</f>
        <v>-1.8393000000000015</v>
      </c>
      <c r="M13" s="27" t="str">
        <f>lang!B20</f>
        <v>活力</v>
      </c>
      <c r="N13" s="59">
        <f t="shared" si="4"/>
        <v>-0.20390000000000086</v>
      </c>
      <c r="O13" s="59">
        <f t="shared" si="5"/>
        <v>-5.0070500000000004</v>
      </c>
      <c r="P13" s="59">
        <f t="shared" si="6"/>
        <v>-17.150230000000001</v>
      </c>
      <c r="Q13" s="59">
        <f t="shared" si="7"/>
        <v>0</v>
      </c>
      <c r="R13" s="59">
        <f t="shared" si="8"/>
        <v>15.849270000000001</v>
      </c>
      <c r="S13" s="59">
        <f t="shared" si="9"/>
        <v>0</v>
      </c>
      <c r="T13" s="59">
        <f t="shared" si="10"/>
        <v>0.90979999999999706</v>
      </c>
      <c r="U13" s="14"/>
      <c r="V13" s="27" t="str">
        <f t="shared" si="11"/>
        <v>活力</v>
      </c>
      <c r="W13" s="59">
        <f>'M1'!B11*1</f>
        <v>29.093800000000002</v>
      </c>
      <c r="X13" s="59">
        <f>'M1'!C11*1</f>
        <v>7.4721900000000003</v>
      </c>
      <c r="Y13" s="59">
        <f>'M1'!D11*1</f>
        <v>25.6831</v>
      </c>
      <c r="Z13" s="59">
        <f>'M1'!E11*1</f>
        <v>10</v>
      </c>
      <c r="AA13" s="59">
        <f>'M1'!F11*1</f>
        <v>7.97403</v>
      </c>
      <c r="AB13" s="59">
        <f>'M1'!G11*1</f>
        <v>50</v>
      </c>
      <c r="AC13" s="59">
        <f>'M1'!H11*1</f>
        <v>32.989100000000001</v>
      </c>
      <c r="AE13" s="27" t="str">
        <f t="shared" si="12"/>
        <v>活力</v>
      </c>
      <c r="AF13" s="59">
        <f>'M2'!B11*1</f>
        <v>28.889900000000001</v>
      </c>
      <c r="AG13" s="59">
        <f>'M2'!C11*1</f>
        <v>2.4651399999999999</v>
      </c>
      <c r="AH13" s="59">
        <f>'M2'!D11*1</f>
        <v>8.5328700000000008</v>
      </c>
      <c r="AI13" s="59">
        <f>'M2'!E11*1</f>
        <v>10</v>
      </c>
      <c r="AJ13" s="59">
        <f>'M2'!F11*1</f>
        <v>23.8233</v>
      </c>
      <c r="AK13" s="59">
        <f>'M2'!G11*1</f>
        <v>50</v>
      </c>
      <c r="AL13" s="59">
        <f>'M2'!H11*1</f>
        <v>33.898899999999998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9.9400000000002819E-2</v>
      </c>
      <c r="O14" s="59">
        <f t="shared" si="5"/>
        <v>0.16050999999999993</v>
      </c>
      <c r="P14" s="59">
        <f t="shared" si="6"/>
        <v>0.20196999999999976</v>
      </c>
      <c r="Q14" s="59">
        <f t="shared" si="7"/>
        <v>0</v>
      </c>
      <c r="R14" s="59">
        <f t="shared" si="8"/>
        <v>-2.416799999999995</v>
      </c>
      <c r="S14" s="59">
        <f t="shared" si="9"/>
        <v>0</v>
      </c>
      <c r="T14" s="59">
        <f t="shared" si="10"/>
        <v>-2.1578999999999979</v>
      </c>
      <c r="U14" s="14"/>
      <c r="V14" s="27" t="str">
        <f t="shared" si="11"/>
        <v>自我调节</v>
      </c>
      <c r="W14" s="59">
        <f>'M1'!B12*1</f>
        <v>77.655699999999996</v>
      </c>
      <c r="X14" s="59">
        <f>'M1'!C12*1</f>
        <v>2.7077100000000001</v>
      </c>
      <c r="Y14" s="59">
        <f>'M1'!D12*1</f>
        <v>3.4868100000000002</v>
      </c>
      <c r="Z14" s="59">
        <f>'M1'!E12*1</f>
        <v>50</v>
      </c>
      <c r="AA14" s="59">
        <f>'M1'!F12*1</f>
        <v>72.910799999999995</v>
      </c>
      <c r="AB14" s="59">
        <f>'M1'!G12*1</f>
        <v>100</v>
      </c>
      <c r="AC14" s="59">
        <f>'M1'!H12*1</f>
        <v>85.775099999999995</v>
      </c>
      <c r="AE14" s="27" t="str">
        <f t="shared" si="12"/>
        <v>自我调节</v>
      </c>
      <c r="AF14" s="59">
        <f>'M2'!B12*1</f>
        <v>77.755099999999999</v>
      </c>
      <c r="AG14" s="59">
        <f>'M2'!C12*1</f>
        <v>2.86822</v>
      </c>
      <c r="AH14" s="59">
        <f>'M2'!D12*1</f>
        <v>3.6887799999999999</v>
      </c>
      <c r="AI14" s="59">
        <f>'M2'!E12*1</f>
        <v>50</v>
      </c>
      <c r="AJ14" s="59">
        <f>'M2'!F12*1</f>
        <v>70.494</v>
      </c>
      <c r="AK14" s="59">
        <f>'M2'!G12*1</f>
        <v>100</v>
      </c>
      <c r="AL14" s="59">
        <f>'M2'!H12*1</f>
        <v>83.617199999999997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-0.27730000000000032</v>
      </c>
      <c r="O15" s="59">
        <f t="shared" si="5"/>
        <v>-2.3829999999999796E-2</v>
      </c>
      <c r="P15" s="59">
        <f t="shared" si="6"/>
        <v>6.7500000000000782E-2</v>
      </c>
      <c r="Q15" s="59">
        <f t="shared" si="7"/>
        <v>0</v>
      </c>
      <c r="R15" s="59">
        <f t="shared" si="8"/>
        <v>0.47569999999999979</v>
      </c>
      <c r="S15" s="59">
        <f t="shared" si="9"/>
        <v>0</v>
      </c>
      <c r="T15" s="59">
        <f t="shared" si="10"/>
        <v>0.91959999999999908</v>
      </c>
      <c r="U15" s="14"/>
      <c r="V15" s="27" t="str">
        <f t="shared" si="11"/>
        <v>抑郁</v>
      </c>
      <c r="W15" s="59">
        <f>'M1'!B13*1</f>
        <v>17.768899999999999</v>
      </c>
      <c r="X15" s="59">
        <f>'M1'!C13*1</f>
        <v>2.2838699999999998</v>
      </c>
      <c r="Y15" s="59">
        <f>'M1'!D13*1</f>
        <v>12.853199999999999</v>
      </c>
      <c r="Z15" s="59">
        <f>'M1'!E13*1</f>
        <v>10</v>
      </c>
      <c r="AA15" s="59">
        <f>'M1'!F13*1</f>
        <v>12.2117</v>
      </c>
      <c r="AB15" s="59">
        <f>'M1'!G13*1</f>
        <v>25</v>
      </c>
      <c r="AC15" s="59">
        <f>'M1'!H13*1</f>
        <v>23.1404</v>
      </c>
      <c r="AE15" s="27" t="str">
        <f t="shared" si="12"/>
        <v>抑郁</v>
      </c>
      <c r="AF15" s="59">
        <f>'M2'!B13*1</f>
        <v>17.491599999999998</v>
      </c>
      <c r="AG15" s="59">
        <f>'M2'!C13*1</f>
        <v>2.26004</v>
      </c>
      <c r="AH15" s="59">
        <f>'M2'!D13*1</f>
        <v>12.9207</v>
      </c>
      <c r="AI15" s="59">
        <f>'M2'!E13*1</f>
        <v>10</v>
      </c>
      <c r="AJ15" s="59">
        <f>'M2'!F13*1</f>
        <v>12.6874</v>
      </c>
      <c r="AK15" s="59">
        <f>'M2'!G13*1</f>
        <v>25</v>
      </c>
      <c r="AL15" s="59">
        <f>'M2'!H13*1</f>
        <v>24.06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-0.23829999999999885</v>
      </c>
      <c r="O16" s="59">
        <f t="shared" si="5"/>
        <v>-0.50075999999999965</v>
      </c>
      <c r="P16" s="59">
        <f t="shared" si="6"/>
        <v>-1.8393000000000015</v>
      </c>
      <c r="Q16" s="59">
        <f t="shared" si="7"/>
        <v>0</v>
      </c>
      <c r="R16" s="59">
        <f t="shared" si="8"/>
        <v>2.531031</v>
      </c>
      <c r="S16" s="59">
        <f t="shared" si="9"/>
        <v>0</v>
      </c>
      <c r="T16" s="59">
        <f t="shared" si="10"/>
        <v>-1.1747999999999976</v>
      </c>
      <c r="U16" s="15"/>
      <c r="V16" s="27" t="str">
        <f t="shared" si="11"/>
        <v>神经质</v>
      </c>
      <c r="W16" s="59">
        <f>'M1'!B14*1</f>
        <v>22.838699999999999</v>
      </c>
      <c r="X16" s="59">
        <f>'M1'!C14*1</f>
        <v>8.1513899999999992</v>
      </c>
      <c r="Y16" s="59">
        <f>'M1'!D14*1</f>
        <v>35.691099999999999</v>
      </c>
      <c r="Z16" s="59">
        <f>'M1'!E14*1</f>
        <v>10</v>
      </c>
      <c r="AA16" s="59">
        <f>'M1'!F14*1</f>
        <v>0.66807899999999998</v>
      </c>
      <c r="AB16" s="59">
        <f>'M1'!G14*1</f>
        <v>50</v>
      </c>
      <c r="AC16" s="59">
        <f>'M1'!H14*1</f>
        <v>25.56</v>
      </c>
      <c r="AE16" s="27" t="str">
        <f t="shared" si="12"/>
        <v>神经质</v>
      </c>
      <c r="AF16" s="59">
        <f>'M2'!B14*1</f>
        <v>22.6004</v>
      </c>
      <c r="AG16" s="59">
        <f>'M2'!C14*1</f>
        <v>7.6506299999999996</v>
      </c>
      <c r="AH16" s="59">
        <f>'M2'!D14*1</f>
        <v>33.851799999999997</v>
      </c>
      <c r="AI16" s="59">
        <f>'M2'!E14*1</f>
        <v>10</v>
      </c>
      <c r="AJ16" s="59">
        <f>'M2'!F14*1</f>
        <v>3.1991100000000001</v>
      </c>
      <c r="AK16" s="59">
        <f>'M2'!G14*1</f>
        <v>50</v>
      </c>
      <c r="AL16" s="59">
        <f>'M2'!H14*1</f>
        <v>24.385200000000001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-0.45817500000000333</v>
      </c>
      <c r="O17" s="22">
        <f>N17/(N17+N18+N19)</f>
        <v>0.151437778879525</v>
      </c>
      <c r="P17" s="65">
        <f>SUM(P11:P14)/4</f>
        <v>-4.2398800000000003</v>
      </c>
      <c r="Q17" s="22">
        <f>P17/(P17+P18+P19)</f>
        <v>0.41302879715352769</v>
      </c>
      <c r="R17" s="14"/>
      <c r="S17" s="14"/>
      <c r="T17" s="14"/>
      <c r="U17" s="14"/>
      <c r="V17" s="21" t="str">
        <f>M17</f>
        <v>Positive</v>
      </c>
      <c r="W17" s="65">
        <f>SUM(W11:W14)/4</f>
        <v>65.813050000000004</v>
      </c>
      <c r="X17" s="22">
        <f>W17/(W17+W18+W19)</f>
        <v>0.56096277241360504</v>
      </c>
      <c r="Y17" s="65">
        <f>SUM(Y11:Y14)/4</f>
        <v>9.5380824999999998</v>
      </c>
      <c r="Z17" s="22">
        <f>Y17/(Y17+Y18+Y19)</f>
        <v>0.17732241930533268</v>
      </c>
      <c r="AA17" s="14"/>
      <c r="AB17" s="14"/>
      <c r="AC17" s="14"/>
      <c r="AE17" s="21" t="str">
        <f>V17</f>
        <v>Positive</v>
      </c>
      <c r="AF17" s="65">
        <f>SUM(AF11:AF14)/4</f>
        <v>65.354874999999993</v>
      </c>
      <c r="AG17" s="22">
        <f>AF17/(AF17+AF18+AF19)</f>
        <v>0.57180319363477838</v>
      </c>
      <c r="AH17" s="65">
        <f>SUM(AH11:AH14)/4</f>
        <v>5.2982025000000004</v>
      </c>
      <c r="AI17" s="22">
        <f>AH17/(AH17+AH18+AH19)</f>
        <v>0.12173017039217479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-2.3095249999999998</v>
      </c>
      <c r="O18" s="22">
        <f>N18/(N17+N18+N19)</f>
        <v>0.76335316476615356</v>
      </c>
      <c r="P18" s="18">
        <f>SUM(P7:P10)/4</f>
        <v>-5.1395574999999987</v>
      </c>
      <c r="Q18" s="22">
        <f>P18/(P17+P18+P19)</f>
        <v>0.50067106902232872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31.204750000000001</v>
      </c>
      <c r="X18" s="22">
        <f>W18/(W17+W18+W19)</f>
        <v>0.26597617148078445</v>
      </c>
      <c r="Y18" s="18">
        <f>SUM(Y7:Y10)/4</f>
        <v>19.979257499999999</v>
      </c>
      <c r="Z18" s="22">
        <f>Y18/(Y17+Y18+Y19)</f>
        <v>0.37143422441819024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28.895224999999996</v>
      </c>
      <c r="AG18" s="22">
        <f>AF18/(AF17+AF18+AF19)</f>
        <v>0.25281024461902024</v>
      </c>
      <c r="AH18" s="18">
        <f>SUM(AH7:AH10)/4</f>
        <v>14.839699999999999</v>
      </c>
      <c r="AI18" s="22">
        <f>AH18/(AH17+AH18+AH19)</f>
        <v>0.34095322131774991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-0.25779999999999959</v>
      </c>
      <c r="O19" s="22">
        <f>N19/(N17+N18+N19)</f>
        <v>8.5209056354321383E-2</v>
      </c>
      <c r="P19" s="18">
        <f>(P15+P16)/2</f>
        <v>-0.88590000000000035</v>
      </c>
      <c r="Q19" s="22">
        <f>P19/(P17+P18+P19)</f>
        <v>8.6300133824143685E-2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20.303799999999999</v>
      </c>
      <c r="X19" s="22">
        <f>W19/(W17+W18+W19)</f>
        <v>0.17306105610561054</v>
      </c>
      <c r="Y19" s="18">
        <f>(Y15+Y16)/2</f>
        <v>24.27215</v>
      </c>
      <c r="Z19" s="22">
        <f>Y19/(Y17+Y18+Y19)</f>
        <v>0.45124335627647705</v>
      </c>
      <c r="AA19" s="14"/>
      <c r="AB19" s="14"/>
      <c r="AC19" s="14"/>
      <c r="AE19" s="21" t="str">
        <f t="shared" si="14"/>
        <v>Physiological</v>
      </c>
      <c r="AF19" s="18">
        <f>(AF15+AF16)/2</f>
        <v>20.045999999999999</v>
      </c>
      <c r="AG19" s="22">
        <f>AF19/(AF17+AF18+AF19)</f>
        <v>0.17538656174620132</v>
      </c>
      <c r="AH19" s="18">
        <f>(AH15+AH16)/2</f>
        <v>23.386249999999997</v>
      </c>
      <c r="AI19" s="22">
        <f>AH19/(AH17+AH18+AH19)</f>
        <v>0.53731660829007521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1.87/1.9</v>
      </c>
      <c r="D24" s="44" t="str">
        <f>lang!B11</f>
        <v>频率方差</v>
      </c>
      <c r="E24" s="182" t="str">
        <f ca="1">CONCATENATE(ROUND('FH1'!L3,2),"/",ROUND('FH2'!L3,2))</f>
        <v>0.67/0.52</v>
      </c>
      <c r="F24" s="183"/>
      <c r="G24" s="174" t="str">
        <f>lang!B12</f>
        <v>生理变化率</v>
      </c>
      <c r="H24" s="175"/>
      <c r="I24" s="62" t="str">
        <f ca="1">CONCATENATE(info!M7,"-",info!M8)</f>
        <v>33.9-56.1</v>
      </c>
      <c r="J24" s="42" t="str">
        <f>lang!B13</f>
        <v>千卡l/分钟</v>
      </c>
      <c r="K24" s="41" t="str">
        <f ca="1">CONCATENATE(info!M5,"-",info!M6)</f>
        <v>2.4-4.4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-11.973000000000001</v>
      </c>
      <c r="F27" s="121"/>
      <c r="G27" s="135" t="str">
        <f>lang!B33</f>
        <v>稳定性</v>
      </c>
      <c r="H27" s="136"/>
      <c r="I27" s="137"/>
      <c r="J27" s="138">
        <f>dM!B19*100</f>
        <v>7.1599999999993891E-2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-0.15593825277051185</v>
      </c>
      <c r="C2">
        <f t="array" aca="1" ref="C2" ca="1">CORREL(FT_E02,FT_PH02)</f>
        <v>-0.9561729422552746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2.4210799999999999</v>
      </c>
      <c r="G2" s="61">
        <f>IF(FT!B2&lt;&gt;"",FT!B2*100,"")</f>
        <v>50.423099999999998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2.5201000000000002</v>
      </c>
      <c r="G3" s="61">
        <f>IF(FT!B3&lt;&gt;"",FT!B3*100,"")</f>
        <v>49.25</v>
      </c>
      <c r="H3" s="61">
        <f t="shared" ref="H3:H66" si="1">(IF(F3&lt;&gt;"",1,""))</f>
        <v>1</v>
      </c>
      <c r="I3" t="str">
        <f>IF(FT!B3&lt;&gt;"",FT!E3,"")</f>
        <v>1 [0.401835]</v>
      </c>
      <c r="J3">
        <f>IF(FT!B3&lt;&gt;"",FT!C3,"")</f>
        <v>0.401835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0.43941808108108082</v>
      </c>
      <c r="V3">
        <f ca="1">AVERAGE(OFFSET(FT!B2,info!$L$3/2,0,info!$L$3/2,1))</f>
        <v>0.4652278513513512</v>
      </c>
      <c r="W3">
        <f ca="1">AVERAGE(OFFSET(FT!A2,0,0,info!$L$3/2,1))</f>
        <v>0.39431236486486493</v>
      </c>
      <c r="X3">
        <f ca="1">AVERAGE(OFFSET(FT!A2,info!$L$3/2,0,info!$L$3/2,1))</f>
        <v>0.38847364864864853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2.6155600000000003</v>
      </c>
      <c r="G4" s="61">
        <f>IF(FT!B4&lt;&gt;"",FT!B4*100,"")</f>
        <v>48.305799999999998</v>
      </c>
      <c r="H4" s="61">
        <f t="shared" si="1"/>
        <v>1</v>
      </c>
      <c r="I4" t="str">
        <f>IF(FT!B4&lt;&gt;"",FT!E4,"")</f>
        <v>1 [0.807140]</v>
      </c>
      <c r="J4">
        <f>IF(FT!B4&lt;&gt;"",FT!C4,"")</f>
        <v>0.80713999999999997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14.940875</v>
      </c>
      <c r="V4">
        <f>U4*3</f>
        <v>44.822625000000002</v>
      </c>
      <c r="W4">
        <f>U4</f>
        <v>14.940875</v>
      </c>
      <c r="X4">
        <f>V4</f>
        <v>44.822625000000002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2.70397</v>
      </c>
      <c r="G5" s="61">
        <f>IF(FT!B5&lt;&gt;"",FT!B5*100,"")</f>
        <v>47.351999999999997</v>
      </c>
      <c r="H5" s="61">
        <f t="shared" si="1"/>
        <v>1</v>
      </c>
      <c r="I5" t="str">
        <f>IF(FT!B5&lt;&gt;"",FT!E5,"")</f>
        <v>1 [1.211392]</v>
      </c>
      <c r="J5">
        <f>IF(FT!B5&lt;&gt;"",FT!C5,"")</f>
        <v>1.21139</v>
      </c>
      <c r="K5" t="s">
        <v>53</v>
      </c>
      <c r="L5" s="63">
        <f ca="1">MIN(FT_E)</f>
        <v>2.4210799999999999</v>
      </c>
      <c r="M5" s="63">
        <f ca="1">ROUND(L5,1)</f>
        <v>2.4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43.941808108108084</v>
      </c>
      <c r="V5">
        <f ca="1">V3*100</f>
        <v>46.522785135135116</v>
      </c>
      <c r="W5">
        <f ca="1">W3*10</f>
        <v>3.9431236486486494</v>
      </c>
      <c r="X5">
        <f ca="1">X3*10</f>
        <v>3.8847364864864851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2.7926699999999998</v>
      </c>
      <c r="G6" s="61">
        <f>IF(FT!B6&lt;&gt;"",FT!B6*100,"")</f>
        <v>46.357900000000001</v>
      </c>
      <c r="H6" s="61">
        <f t="shared" si="1"/>
        <v>1</v>
      </c>
      <c r="I6" t="str">
        <f>IF(FT!B6&lt;&gt;"",FT!E6,"")</f>
        <v>1 [1.620379]</v>
      </c>
      <c r="J6">
        <f>IF(FT!B6&lt;&gt;"",FT!C6,"")</f>
        <v>1.6203799999999999</v>
      </c>
      <c r="K6" t="s">
        <v>54</v>
      </c>
      <c r="L6" s="63">
        <f ca="1">MAX(FT_E)</f>
        <v>4.3580999999999994</v>
      </c>
      <c r="M6" s="63">
        <f ca="1">ROUND(L6,1)</f>
        <v>4.4000000000000004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2.8790300000000002</v>
      </c>
      <c r="G7" s="61">
        <f>IF(FT!B7&lt;&gt;"",FT!B7*100,"")</f>
        <v>45.254199999999997</v>
      </c>
      <c r="H7" s="61">
        <f t="shared" si="1"/>
        <v>1</v>
      </c>
      <c r="I7" t="str">
        <f>IF(FT!B7&lt;&gt;"",FT!E7,"")</f>
        <v>1 [2.028114]</v>
      </c>
      <c r="J7">
        <f>IF(FT!B7&lt;&gt;"",FT!C7,"")</f>
        <v>2.0281099999999999</v>
      </c>
      <c r="K7" t="s">
        <v>55</v>
      </c>
      <c r="L7" s="63">
        <f ca="1">MIN(FT_PH)</f>
        <v>33.915800000000004</v>
      </c>
      <c r="M7" s="63">
        <f ca="1">ROUND(L7,1)</f>
        <v>33.9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970</v>
      </c>
      <c r="D8" s="61">
        <f>FH!B8*1</f>
        <v>970</v>
      </c>
      <c r="E8">
        <f t="shared" si="3"/>
        <v>6</v>
      </c>
      <c r="F8" s="61">
        <f>IF(FT!A8&lt;&gt;"",FT!A8*10,"")</f>
        <v>2.96502</v>
      </c>
      <c r="G8" s="61">
        <f>IF(FT!B8&lt;&gt;"",FT!B8*100,"")</f>
        <v>44.0486</v>
      </c>
      <c r="H8" s="61">
        <f t="shared" si="1"/>
        <v>1</v>
      </c>
      <c r="I8" t="str">
        <f>IF(FT!B8&lt;&gt;"",FT!E8,"")</f>
        <v>1 [2.433502]</v>
      </c>
      <c r="J8">
        <f>IF(FT!B8&lt;&gt;"",FT!C8,"")</f>
        <v>2.4335</v>
      </c>
      <c r="K8" t="s">
        <v>56</v>
      </c>
      <c r="L8" s="63">
        <f ca="1">MAX(FT_PH)</f>
        <v>56.120599999999996</v>
      </c>
      <c r="M8" s="63">
        <f ca="1">ROUND(L8,1)</f>
        <v>56.1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3.05186</v>
      </c>
      <c r="G9" s="61">
        <f>IF(FT!B9&lt;&gt;"",FT!B9*100,"")</f>
        <v>42.879199999999997</v>
      </c>
      <c r="H9" s="61">
        <f t="shared" si="1"/>
        <v>1</v>
      </c>
      <c r="I9" t="str">
        <f>IF(FT!B9&lt;&gt;"",FT!E9,"")</f>
        <v>1 [2.839701]</v>
      </c>
      <c r="J9">
        <f>IF(FT!B9&lt;&gt;"",FT!C9,"")</f>
        <v>2.8397000000000001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902</v>
      </c>
      <c r="D10" s="61">
        <f>FH!B10*1</f>
        <v>902</v>
      </c>
      <c r="E10">
        <f t="shared" si="3"/>
        <v>8</v>
      </c>
      <c r="F10" s="61">
        <f>IF(FT!A10&lt;&gt;"",FT!A10*10,"")</f>
        <v>3.1390699999999998</v>
      </c>
      <c r="G10" s="61">
        <f>IF(FT!B10&lt;&gt;"",FT!B10*100,"")</f>
        <v>41.768300000000004</v>
      </c>
      <c r="H10" s="61">
        <f t="shared" si="1"/>
        <v>1</v>
      </c>
      <c r="I10" t="str">
        <f>IF(FT!B10&lt;&gt;"",FT!E10,"")</f>
        <v>1 [3.245360]</v>
      </c>
      <c r="J10">
        <f>IF(FT!B10&lt;&gt;"",FT!C10,"")</f>
        <v>3.2453599999999998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3.2272499999999997</v>
      </c>
      <c r="G11" s="61">
        <f>IF(FT!B11&lt;&gt;"",FT!B11*100,"")</f>
        <v>40.760200000000005</v>
      </c>
      <c r="H11" s="61">
        <f t="shared" si="1"/>
        <v>1</v>
      </c>
      <c r="I11" t="str">
        <f>IF(FT!B11&lt;&gt;"",FT!E11,"")</f>
        <v>1 [3.652115]</v>
      </c>
      <c r="J11">
        <f>IF(FT!B11&lt;&gt;"",FT!C11,"")</f>
        <v>3.65211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3.31454</v>
      </c>
      <c r="G12" s="61">
        <f>IF(FT!B12&lt;&gt;"",FT!B12*100,"")</f>
        <v>39.915399999999998</v>
      </c>
      <c r="H12" s="61">
        <f t="shared" si="1"/>
        <v>1</v>
      </c>
      <c r="I12" t="str">
        <f>IF(FT!B12&lt;&gt;"",FT!E12,"")</f>
        <v>1 [4.058658]</v>
      </c>
      <c r="J12">
        <f>IF(FT!B12&lt;&gt;"",FT!C12,"")</f>
        <v>4.0586599999999997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1548</v>
      </c>
      <c r="D13" s="61">
        <f>FH!B13*1</f>
        <v>1548</v>
      </c>
      <c r="E13">
        <f t="shared" si="3"/>
        <v>11</v>
      </c>
      <c r="F13" s="61">
        <f>IF(FT!A13&lt;&gt;"",FT!A13*10,"")</f>
        <v>3.4000999999999997</v>
      </c>
      <c r="G13" s="61">
        <f>IF(FT!B13&lt;&gt;"",FT!B13*100,"")</f>
        <v>39.162799999999997</v>
      </c>
      <c r="H13" s="61">
        <f t="shared" si="1"/>
        <v>1</v>
      </c>
      <c r="I13" t="str">
        <f>IF(FT!B13&lt;&gt;"",FT!E13,"")</f>
        <v>1 [4.465989]</v>
      </c>
      <c r="J13">
        <f>IF(FT!B13&lt;&gt;"",FT!C13,"")</f>
        <v>4.4659899999999997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3.4847399999999999</v>
      </c>
      <c r="G14" s="61">
        <f>IF(FT!B14&lt;&gt;"",FT!B14*100,"")</f>
        <v>38.589600000000004</v>
      </c>
      <c r="H14" s="61">
        <f t="shared" si="1"/>
        <v>1</v>
      </c>
      <c r="I14" t="str">
        <f>IF(FT!B14&lt;&gt;"",FT!E14,"")</f>
        <v>1 [4.868354]</v>
      </c>
      <c r="J14">
        <f>IF(FT!B14&lt;&gt;"",FT!C14,"")</f>
        <v>4.8683500000000004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2997</v>
      </c>
      <c r="D15" s="61">
        <f>FH!B15*1</f>
        <v>2997</v>
      </c>
      <c r="E15">
        <f t="shared" si="3"/>
        <v>13</v>
      </c>
      <c r="F15" s="61">
        <f>IF(FT!A15&lt;&gt;"",FT!A15*10,"")</f>
        <v>3.5672300000000003</v>
      </c>
      <c r="G15" s="61">
        <f>IF(FT!B15&lt;&gt;"",FT!B15*100,"")</f>
        <v>38.172200000000004</v>
      </c>
      <c r="H15" s="61">
        <f t="shared" si="1"/>
        <v>1</v>
      </c>
      <c r="I15" t="str">
        <f>IF(FT!B15&lt;&gt;"",FT!E15,"")</f>
        <v>1 [5.275920]</v>
      </c>
      <c r="J15">
        <f>IF(FT!B15&lt;&gt;"",FT!C15,"")</f>
        <v>5.2759200000000002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3.6494500000000003</v>
      </c>
      <c r="G16" s="61">
        <f>IF(FT!B16&lt;&gt;"",FT!B16*100,"")</f>
        <v>37.798200000000001</v>
      </c>
      <c r="H16" s="61">
        <f t="shared" si="1"/>
        <v>1</v>
      </c>
      <c r="I16" t="str">
        <f>IF(FT!B16&lt;&gt;"",FT!E16,"")</f>
        <v>1 [5.681478]</v>
      </c>
      <c r="J16">
        <f>IF(FT!B16&lt;&gt;"",FT!C16,"")</f>
        <v>5.6814799999999996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3.7295299999999996</v>
      </c>
      <c r="G17" s="61">
        <f>IF(FT!B17&lt;&gt;"",FT!B17*100,"")</f>
        <v>37.533300000000004</v>
      </c>
      <c r="H17" s="61">
        <f t="shared" si="1"/>
        <v>1</v>
      </c>
      <c r="I17" t="str">
        <f>IF(FT!B17&lt;&gt;"",FT!E17,"")</f>
        <v>1 [6.091771]</v>
      </c>
      <c r="J17">
        <f>IF(FT!B17&lt;&gt;"",FT!C17,"")</f>
        <v>6.0917700000000004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5074</v>
      </c>
      <c r="D18" s="61">
        <f>FH!B18*1</f>
        <v>5074</v>
      </c>
      <c r="E18">
        <f t="shared" si="3"/>
        <v>16</v>
      </c>
      <c r="F18" s="61">
        <f>IF(FT!A18&lt;&gt;"",FT!A18*10,"")</f>
        <v>3.8040000000000003</v>
      </c>
      <c r="G18" s="61">
        <f>IF(FT!B18&lt;&gt;"",FT!B18*100,"")</f>
        <v>37.51</v>
      </c>
      <c r="H18" s="61">
        <f t="shared" si="1"/>
        <v>1</v>
      </c>
      <c r="I18" t="str">
        <f>IF(FT!B18&lt;&gt;"",FT!E18,"")</f>
        <v>1 [6.497064]</v>
      </c>
      <c r="J18">
        <f>IF(FT!B18&lt;&gt;"",FT!C18,"")</f>
        <v>6.4970600000000003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3.8729799999999996</v>
      </c>
      <c r="G19" s="61">
        <f>IF(FT!B19&lt;&gt;"",FT!B19*100,"")</f>
        <v>37.543900000000001</v>
      </c>
      <c r="H19" s="61">
        <f t="shared" si="1"/>
        <v>1</v>
      </c>
      <c r="I19" t="str">
        <f>IF(FT!B19&lt;&gt;"",FT!E19,"")</f>
        <v>1 [6.904784]</v>
      </c>
      <c r="J19">
        <f>IF(FT!B19&lt;&gt;"",FT!C19,"")</f>
        <v>6.9047799999999997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3.9380799999999998</v>
      </c>
      <c r="G20" s="61">
        <f>IF(FT!B20&lt;&gt;"",FT!B20*100,"")</f>
        <v>37.623800000000003</v>
      </c>
      <c r="H20" s="61">
        <f t="shared" si="1"/>
        <v>1</v>
      </c>
      <c r="I20" t="str">
        <f>IF(FT!B20&lt;&gt;"",FT!E20,"")</f>
        <v>1 [7.306322]</v>
      </c>
      <c r="J20">
        <f>IF(FT!B20&lt;&gt;"",FT!C20,"")</f>
        <v>7.3063200000000004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8475</v>
      </c>
      <c r="D21" s="61">
        <f>FH!B21*1</f>
        <v>8475</v>
      </c>
      <c r="E21">
        <f t="shared" si="3"/>
        <v>19</v>
      </c>
      <c r="F21" s="61">
        <f>IF(FT!A21&lt;&gt;"",FT!A21*10,"")</f>
        <v>3.9978699999999998</v>
      </c>
      <c r="G21" s="61">
        <f>IF(FT!B21&lt;&gt;"",FT!B21*100,"")</f>
        <v>37.783899999999996</v>
      </c>
      <c r="H21" s="61">
        <f t="shared" si="1"/>
        <v>1</v>
      </c>
      <c r="I21" t="str">
        <f>IF(FT!B21&lt;&gt;"",FT!E21,"")</f>
        <v>1 [7.712835]</v>
      </c>
      <c r="J21">
        <f>IF(FT!B21&lt;&gt;"",FT!C21,"")</f>
        <v>7.7128399999999999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4.0521200000000004</v>
      </c>
      <c r="G22" s="61">
        <f>IF(FT!B22&lt;&gt;"",FT!B22*100,"")</f>
        <v>37.967300000000002</v>
      </c>
      <c r="H22" s="61">
        <f t="shared" si="1"/>
        <v>1</v>
      </c>
      <c r="I22" t="str">
        <f>IF(FT!B22&lt;&gt;"",FT!E22,"")</f>
        <v>1 [8.122215]</v>
      </c>
      <c r="J22">
        <f>IF(FT!B22&lt;&gt;"",FT!C22,"")</f>
        <v>8.1222100000000008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12122</v>
      </c>
      <c r="D23" s="61">
        <f>FH!B23*1</f>
        <v>12122</v>
      </c>
      <c r="E23">
        <f t="shared" si="3"/>
        <v>21</v>
      </c>
      <c r="F23" s="61">
        <f>IF(FT!A23&lt;&gt;"",FT!A23*10,"")</f>
        <v>4.1008499999999994</v>
      </c>
      <c r="G23" s="61">
        <f>IF(FT!B23&lt;&gt;"",FT!B23*100,"")</f>
        <v>38.281599999999997</v>
      </c>
      <c r="H23" s="61">
        <f t="shared" si="1"/>
        <v>1</v>
      </c>
      <c r="I23" t="str">
        <f>IF(FT!B23&lt;&gt;"",FT!E23,"")</f>
        <v>1 [8.530890]</v>
      </c>
      <c r="J23">
        <f>IF(FT!B23&lt;&gt;"",FT!C23,"")</f>
        <v>8.5308899999999994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4.1477700000000004</v>
      </c>
      <c r="G24" s="61">
        <f>IF(FT!B24&lt;&gt;"",FT!B24*100,"")</f>
        <v>38.5304</v>
      </c>
      <c r="H24" s="61">
        <f t="shared" si="1"/>
        <v>1</v>
      </c>
      <c r="I24" t="str">
        <f>IF(FT!B24&lt;&gt;"",FT!E24,"")</f>
        <v>1 [8.932827]</v>
      </c>
      <c r="J24">
        <f>IF(FT!B24&lt;&gt;"",FT!C24,"")</f>
        <v>8.9328299999999992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4.1885300000000001</v>
      </c>
      <c r="G25" s="61">
        <f>IF(FT!B25&lt;&gt;"",FT!B25*100,"")</f>
        <v>38.723700000000001</v>
      </c>
      <c r="H25" s="61">
        <f t="shared" si="1"/>
        <v>1</v>
      </c>
      <c r="I25" t="str">
        <f>IF(FT!B25&lt;&gt;"",FT!E25,"")</f>
        <v>1 [9.340749]</v>
      </c>
      <c r="J25">
        <f>IF(FT!B25&lt;&gt;"",FT!C25,"")</f>
        <v>9.3407499999999999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14526</v>
      </c>
      <c r="D26" s="61">
        <f>FH!B26*1</f>
        <v>14526</v>
      </c>
      <c r="E26">
        <f t="shared" si="3"/>
        <v>24</v>
      </c>
      <c r="F26" s="61">
        <f>IF(FT!A26&lt;&gt;"",FT!A26*10,"")</f>
        <v>4.2259600000000006</v>
      </c>
      <c r="G26" s="61">
        <f>IF(FT!B26&lt;&gt;"",FT!B26*100,"")</f>
        <v>38.799700000000001</v>
      </c>
      <c r="H26" s="61">
        <f t="shared" si="1"/>
        <v>1</v>
      </c>
      <c r="I26" t="str">
        <f>IF(FT!B26&lt;&gt;"",FT!E26,"")</f>
        <v>1 [9.748113]</v>
      </c>
      <c r="J26">
        <f>IF(FT!B26&lt;&gt;"",FT!C26,"")</f>
        <v>9.7481100000000005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4.25786</v>
      </c>
      <c r="G27" s="61">
        <f>IF(FT!B27&lt;&gt;"",FT!B27*100,"")</f>
        <v>38.787199999999999</v>
      </c>
      <c r="H27" s="61">
        <f t="shared" si="1"/>
        <v>1</v>
      </c>
      <c r="I27" t="str">
        <f>IF(FT!B27&lt;&gt;"",FT!E27,"")</f>
        <v>1 [10.151394]</v>
      </c>
      <c r="J27">
        <f>IF(FT!B27&lt;&gt;"",FT!C27,"")</f>
        <v>10.151400000000001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17543</v>
      </c>
      <c r="D28" s="61">
        <f>FH!B28*1</f>
        <v>17543</v>
      </c>
      <c r="E28">
        <f t="shared" si="3"/>
        <v>26</v>
      </c>
      <c r="F28" s="61">
        <f>IF(FT!A28&lt;&gt;"",FT!A28*10,"")</f>
        <v>4.2867600000000001</v>
      </c>
      <c r="G28" s="61">
        <f>IF(FT!B28&lt;&gt;"",FT!B28*100,"")</f>
        <v>38.825900000000004</v>
      </c>
      <c r="H28" s="61">
        <f t="shared" si="1"/>
        <v>1</v>
      </c>
      <c r="I28" t="str">
        <f>IF(FT!B28&lt;&gt;"",FT!E28,"")</f>
        <v>1 [10.558659]</v>
      </c>
      <c r="J28">
        <f>IF(FT!B28&lt;&gt;"",FT!C28,"")</f>
        <v>10.5587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4.3118400000000001</v>
      </c>
      <c r="G29" s="61">
        <f>IF(FT!B29&lt;&gt;"",FT!B29*100,"")</f>
        <v>38.913699999999999</v>
      </c>
      <c r="H29" s="61">
        <f t="shared" si="1"/>
        <v>1</v>
      </c>
      <c r="I29" t="str">
        <f>IF(FT!B29&lt;&gt;"",FT!E29,"")</f>
        <v>1 [10.964400]</v>
      </c>
      <c r="J29">
        <f>IF(FT!B29&lt;&gt;"",FT!C29,"")</f>
        <v>10.964399999999999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4.3340499999999995</v>
      </c>
      <c r="G30" s="61">
        <f>IF(FT!B30&lt;&gt;"",FT!B30*100,"")</f>
        <v>38.966799999999999</v>
      </c>
      <c r="H30" s="61">
        <f t="shared" si="1"/>
        <v>1</v>
      </c>
      <c r="I30" t="str">
        <f>IF(FT!B30&lt;&gt;"",FT!E30,"")</f>
        <v>1 [11.373111]</v>
      </c>
      <c r="J30">
        <f>IF(FT!B30&lt;&gt;"",FT!C30,"")</f>
        <v>11.373100000000001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21926</v>
      </c>
      <c r="D31" s="61">
        <f>FH!B31*1</f>
        <v>21926</v>
      </c>
      <c r="E31">
        <f t="shared" si="3"/>
        <v>29</v>
      </c>
      <c r="F31" s="61">
        <f>IF(FT!A31&lt;&gt;"",FT!A31*10,"")</f>
        <v>4.34999</v>
      </c>
      <c r="G31" s="61">
        <f>IF(FT!B31&lt;&gt;"",FT!B31*100,"")</f>
        <v>38.9268</v>
      </c>
      <c r="H31" s="61">
        <f t="shared" si="1"/>
        <v>1</v>
      </c>
      <c r="I31" t="str">
        <f>IF(FT!B31&lt;&gt;"",FT!E31,"")</f>
        <v>1 [11.777875]</v>
      </c>
      <c r="J31">
        <f>IF(FT!B31&lt;&gt;"",FT!C31,"")</f>
        <v>11.777900000000001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4.3580999999999994</v>
      </c>
      <c r="G32" s="61">
        <f>IF(FT!B32&lt;&gt;"",FT!B32*100,"")</f>
        <v>38.904899999999998</v>
      </c>
      <c r="H32" s="61">
        <f t="shared" si="1"/>
        <v>1</v>
      </c>
      <c r="I32" t="str">
        <f>IF(FT!B32&lt;&gt;"",FT!E32,"")</f>
        <v>1 [12.183580]</v>
      </c>
      <c r="J32">
        <f>IF(FT!B32&lt;&gt;"",FT!C32,"")</f>
        <v>12.1836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28465</v>
      </c>
      <c r="D33" s="61">
        <f>FH!B33*1</f>
        <v>28465</v>
      </c>
      <c r="E33">
        <f t="shared" si="3"/>
        <v>31</v>
      </c>
      <c r="F33" s="61">
        <f>IF(FT!A33&lt;&gt;"",FT!A33*10,"")</f>
        <v>4.3578099999999997</v>
      </c>
      <c r="G33" s="61">
        <f>IF(FT!B33&lt;&gt;"",FT!B33*100,"")</f>
        <v>38.845400000000005</v>
      </c>
      <c r="H33" s="61">
        <f t="shared" si="1"/>
        <v>1</v>
      </c>
      <c r="I33" t="str">
        <f>IF(FT!B33&lt;&gt;"",FT!E33,"")</f>
        <v>1 [12.588242]</v>
      </c>
      <c r="J33">
        <f>IF(FT!B33&lt;&gt;"",FT!C33,"")</f>
        <v>12.588200000000001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4.3541800000000004</v>
      </c>
      <c r="G34" s="61">
        <f>IF(FT!B34&lt;&gt;"",FT!B34*100,"")</f>
        <v>38.7575</v>
      </c>
      <c r="H34" s="61">
        <f t="shared" si="1"/>
        <v>1</v>
      </c>
      <c r="I34" t="str">
        <f>IF(FT!B34&lt;&gt;"",FT!E34,"")</f>
        <v>1 [12.998468]</v>
      </c>
      <c r="J34">
        <f>IF(FT!B34&lt;&gt;"",FT!C34,"")</f>
        <v>12.9985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4.3488500000000005</v>
      </c>
      <c r="G35" s="61">
        <f>IF(FT!B35&lt;&gt;"",FT!B35*100,"")</f>
        <v>38.744199999999999</v>
      </c>
      <c r="H35" s="61">
        <f t="shared" si="1"/>
        <v>1</v>
      </c>
      <c r="I35" t="str">
        <f>IF(FT!B35&lt;&gt;"",FT!E35,"")</f>
        <v>1 [13.402643]</v>
      </c>
      <c r="J35">
        <f>IF(FT!B35&lt;&gt;"",FT!C35,"")</f>
        <v>13.4026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32741</v>
      </c>
      <c r="D36" s="61">
        <f>FH!B36*1</f>
        <v>32741</v>
      </c>
      <c r="E36">
        <f t="shared" si="3"/>
        <v>34</v>
      </c>
      <c r="F36" s="61">
        <f>IF(FT!A36&lt;&gt;"",FT!A36*10,"")</f>
        <v>4.34131</v>
      </c>
      <c r="G36" s="61">
        <f>IF(FT!B36&lt;&gt;"",FT!B36*100,"")</f>
        <v>38.704100000000004</v>
      </c>
      <c r="H36" s="61">
        <f t="shared" si="1"/>
        <v>1</v>
      </c>
      <c r="I36" t="str">
        <f>IF(FT!B36&lt;&gt;"",FT!E36,"")</f>
        <v>1 [13.809588]</v>
      </c>
      <c r="J36">
        <f>IF(FT!B36&lt;&gt;"",FT!C36,"")</f>
        <v>13.8096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4.3304200000000002</v>
      </c>
      <c r="G37" s="61">
        <f>IF(FT!B37&lt;&gt;"",FT!B37*100,"")</f>
        <v>38.6952</v>
      </c>
      <c r="H37" s="61">
        <f t="shared" si="1"/>
        <v>1</v>
      </c>
      <c r="I37" t="str">
        <f>IF(FT!B37&lt;&gt;"",FT!E37,"")</f>
        <v>1 [14.214236]</v>
      </c>
      <c r="J37">
        <f>IF(FT!B37&lt;&gt;"",FT!C37,"")</f>
        <v>14.2142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4.32097</v>
      </c>
      <c r="G38" s="61">
        <f>IF(FT!B38&lt;&gt;"",FT!B38*100,"")</f>
        <v>38.712699999999998</v>
      </c>
      <c r="H38" s="61">
        <f t="shared" si="1"/>
        <v>1</v>
      </c>
      <c r="I38" t="str">
        <f>IF(FT!B38&lt;&gt;"",FT!E38,"")</f>
        <v>1 [14.618558]</v>
      </c>
      <c r="J38">
        <f>IF(FT!B38&lt;&gt;"",FT!C38,"")</f>
        <v>14.618600000000001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37913</v>
      </c>
      <c r="D39" s="61">
        <f>FH!B39*1</f>
        <v>37913</v>
      </c>
      <c r="E39">
        <f t="shared" si="3"/>
        <v>37</v>
      </c>
      <c r="F39" s="61">
        <f>IF(FT!A39&lt;&gt;"",FT!A39*10,"")</f>
        <v>4.3128899999999994</v>
      </c>
      <c r="G39" s="61">
        <f>IF(FT!B39&lt;&gt;"",FT!B39*100,"")</f>
        <v>38.738599999999998</v>
      </c>
      <c r="H39" s="61">
        <f t="shared" si="1"/>
        <v>1</v>
      </c>
      <c r="I39" t="str">
        <f>IF(FT!B39&lt;&gt;"",FT!E39,"")</f>
        <v>1 [15.023626]</v>
      </c>
      <c r="J39">
        <f>IF(FT!B39&lt;&gt;"",FT!C39,"")</f>
        <v>15.0236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4.3056100000000006</v>
      </c>
      <c r="G40" s="61">
        <f>IF(FT!B40&lt;&gt;"",FT!B40*100,"")</f>
        <v>38.823900000000002</v>
      </c>
      <c r="H40" s="61">
        <f t="shared" si="1"/>
        <v>1</v>
      </c>
      <c r="I40" t="str">
        <f>IF(FT!B40&lt;&gt;"",FT!E40,"")</f>
        <v>1 [15.434985]</v>
      </c>
      <c r="J40">
        <f>IF(FT!B40&lt;&gt;"",FT!C40,"")</f>
        <v>15.435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42675</v>
      </c>
      <c r="D41" s="61">
        <f>FH!B41*1</f>
        <v>42675</v>
      </c>
      <c r="E41">
        <f t="shared" si="3"/>
        <v>39</v>
      </c>
      <c r="F41" s="61">
        <f>IF(FT!A41&lt;&gt;"",FT!A41*10,"")</f>
        <v>4.29711</v>
      </c>
      <c r="G41" s="61">
        <f>IF(FT!B41&lt;&gt;"",FT!B41*100,"")</f>
        <v>38.9893</v>
      </c>
      <c r="H41" s="61">
        <f t="shared" si="1"/>
        <v>1</v>
      </c>
      <c r="I41" t="str">
        <f>IF(FT!B41&lt;&gt;"",FT!E41,"")</f>
        <v>1 [15.839515]</v>
      </c>
      <c r="J41">
        <f>IF(FT!B41&lt;&gt;"",FT!C41,"")</f>
        <v>15.839499999999999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4.2890699999999997</v>
      </c>
      <c r="G42" s="61">
        <f>IF(FT!B42&lt;&gt;"",FT!B42*100,"")</f>
        <v>39.220300000000002</v>
      </c>
      <c r="H42" s="61">
        <f t="shared" si="1"/>
        <v>1</v>
      </c>
      <c r="I42" t="str">
        <f>IF(FT!B42&lt;&gt;"",FT!E42,"")</f>
        <v>1 [16.245310]</v>
      </c>
      <c r="J42">
        <f>IF(FT!B42&lt;&gt;"",FT!C42,"")</f>
        <v>16.2453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4.2819000000000003</v>
      </c>
      <c r="G43" s="61">
        <f>IF(FT!B43&lt;&gt;"",FT!B43*100,"")</f>
        <v>39.407199999999996</v>
      </c>
      <c r="H43" s="61">
        <f t="shared" si="1"/>
        <v>1</v>
      </c>
      <c r="I43" t="str">
        <f>IF(FT!B43&lt;&gt;"",FT!E43,"")</f>
        <v>1 [16.649099]</v>
      </c>
      <c r="J43">
        <f>IF(FT!B43&lt;&gt;"",FT!C43,"")</f>
        <v>16.649100000000001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45101</v>
      </c>
      <c r="D44" s="61">
        <f>FH!B44*1</f>
        <v>45101</v>
      </c>
      <c r="E44">
        <f t="shared" si="3"/>
        <v>42</v>
      </c>
      <c r="F44" s="61">
        <f>IF(FT!A44&lt;&gt;"",FT!A44*10,"")</f>
        <v>4.2764799999999994</v>
      </c>
      <c r="G44" s="61">
        <f>IF(FT!B44&lt;&gt;"",FT!B44*100,"")</f>
        <v>39.660000000000004</v>
      </c>
      <c r="H44" s="61">
        <f t="shared" si="1"/>
        <v>1</v>
      </c>
      <c r="I44" t="str">
        <f>IF(FT!B44&lt;&gt;"",FT!E44,"")</f>
        <v>1 [17.054183]</v>
      </c>
      <c r="J44">
        <f>IF(FT!B44&lt;&gt;"",FT!C44,"")</f>
        <v>17.054200000000002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4.2698999999999998</v>
      </c>
      <c r="G45" s="61">
        <f>IF(FT!B45&lt;&gt;"",FT!B45*100,"")</f>
        <v>40.054299999999998</v>
      </c>
      <c r="H45" s="61">
        <f t="shared" si="1"/>
        <v>1</v>
      </c>
      <c r="I45" t="str">
        <f>IF(FT!B45&lt;&gt;"",FT!E45,"")</f>
        <v>1 [17.464433]</v>
      </c>
      <c r="J45">
        <f>IF(FT!B45&lt;&gt;"",FT!C45,"")</f>
        <v>17.464400000000001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51359</v>
      </c>
      <c r="D46" s="61">
        <f>FH!B46*1</f>
        <v>51359</v>
      </c>
      <c r="E46">
        <f t="shared" si="3"/>
        <v>44</v>
      </c>
      <c r="F46" s="61">
        <f>IF(FT!A46&lt;&gt;"",FT!A46*10,"")</f>
        <v>4.2620000000000005</v>
      </c>
      <c r="G46" s="61">
        <f>IF(FT!B46&lt;&gt;"",FT!B46*100,"")</f>
        <v>40.508800000000001</v>
      </c>
      <c r="H46" s="61">
        <f t="shared" si="1"/>
        <v>1</v>
      </c>
      <c r="I46" t="str">
        <f>IF(FT!B46&lt;&gt;"",FT!E46,"")</f>
        <v>1 [17.870252]</v>
      </c>
      <c r="J46">
        <f>IF(FT!B46&lt;&gt;"",FT!C46,"")</f>
        <v>17.8703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4.2534200000000002</v>
      </c>
      <c r="G47" s="61">
        <f>IF(FT!B47&lt;&gt;"",FT!B47*100,"")</f>
        <v>41.009700000000002</v>
      </c>
      <c r="H47" s="61">
        <f t="shared" si="1"/>
        <v>1</v>
      </c>
      <c r="I47" t="str">
        <f>IF(FT!B47&lt;&gt;"",FT!E47,"")</f>
        <v>1 [18.279894]</v>
      </c>
      <c r="J47">
        <f>IF(FT!B47&lt;&gt;"",FT!C47,"")</f>
        <v>18.279900000000001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4.2463499999999996</v>
      </c>
      <c r="G48" s="61">
        <f>IF(FT!B48&lt;&gt;"",FT!B48*100,"")</f>
        <v>41.476500000000001</v>
      </c>
      <c r="H48" s="61">
        <f t="shared" si="1"/>
        <v>1</v>
      </c>
      <c r="I48" t="str">
        <f>IF(FT!B48&lt;&gt;"",FT!E48,"")</f>
        <v>1 [18.680700]</v>
      </c>
      <c r="J48">
        <f>IF(FT!B48&lt;&gt;"",FT!C48,"")</f>
        <v>18.680700000000002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59788</v>
      </c>
      <c r="D49" s="61">
        <f>FH!B49*1</f>
        <v>59788</v>
      </c>
      <c r="E49">
        <f t="shared" si="3"/>
        <v>47</v>
      </c>
      <c r="F49" s="61">
        <f>IF(FT!A49&lt;&gt;"",FT!A49*10,"")</f>
        <v>4.2349100000000002</v>
      </c>
      <c r="G49" s="61">
        <f>IF(FT!B49&lt;&gt;"",FT!B49*100,"")</f>
        <v>42.009700000000002</v>
      </c>
      <c r="H49" s="61">
        <f t="shared" si="1"/>
        <v>1</v>
      </c>
      <c r="I49" t="str">
        <f>IF(FT!B49&lt;&gt;"",FT!E49,"")</f>
        <v>1 [19.088951]</v>
      </c>
      <c r="J49">
        <f>IF(FT!B49&lt;&gt;"",FT!C49,"")</f>
        <v>19.088999999999999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4.2235199999999997</v>
      </c>
      <c r="G50" s="61">
        <f>IF(FT!B50&lt;&gt;"",FT!B50*100,"")</f>
        <v>42.575499999999998</v>
      </c>
      <c r="H50" s="61">
        <f t="shared" si="1"/>
        <v>1</v>
      </c>
      <c r="I50" t="str">
        <f>IF(FT!B50&lt;&gt;"",FT!E50,"")</f>
        <v>1 [19.495782]</v>
      </c>
      <c r="J50">
        <f>IF(FT!B50&lt;&gt;"",FT!C50,"")</f>
        <v>19.495799999999999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68747</v>
      </c>
      <c r="D51" s="61">
        <f>FH!B51*1</f>
        <v>68747</v>
      </c>
      <c r="E51">
        <f t="shared" si="3"/>
        <v>49</v>
      </c>
      <c r="F51" s="61">
        <f>IF(FT!A51&lt;&gt;"",FT!A51*10,"")</f>
        <v>4.2115799999999997</v>
      </c>
      <c r="G51" s="61">
        <f>IF(FT!B51&lt;&gt;"",FT!B51*100,"")</f>
        <v>43.285000000000004</v>
      </c>
      <c r="H51" s="61">
        <f t="shared" si="1"/>
        <v>1</v>
      </c>
      <c r="I51" t="str">
        <f>IF(FT!B51&lt;&gt;"",FT!E51,"")</f>
        <v>1 [19.904864]</v>
      </c>
      <c r="J51">
        <f>IF(FT!B51&lt;&gt;"",FT!C51,"")</f>
        <v>19.904900000000001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4.2027999999999999</v>
      </c>
      <c r="G52" s="61">
        <f>IF(FT!B52&lt;&gt;"",FT!B52*100,"")</f>
        <v>43.824300000000001</v>
      </c>
      <c r="H52" s="61">
        <f t="shared" si="1"/>
        <v>1</v>
      </c>
      <c r="I52" t="str">
        <f>IF(FT!B52&lt;&gt;"",FT!E52,"")</f>
        <v>1 [20.305962]</v>
      </c>
      <c r="J52">
        <f>IF(FT!B52&lt;&gt;"",FT!C52,"")</f>
        <v>20.306000000000001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4.1950700000000003</v>
      </c>
      <c r="G53" s="61">
        <f>IF(FT!B53&lt;&gt;"",FT!B53*100,"")</f>
        <v>44.631700000000002</v>
      </c>
      <c r="H53" s="61">
        <f t="shared" si="1"/>
        <v>1</v>
      </c>
      <c r="I53" t="str">
        <f>IF(FT!B53&lt;&gt;"",FT!E53,"")</f>
        <v>1 [20.712766]</v>
      </c>
      <c r="J53">
        <f>IF(FT!B53&lt;&gt;"",FT!C53,"")</f>
        <v>20.712800000000001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79303</v>
      </c>
      <c r="D54" s="61">
        <f>FH!B54*1</f>
        <v>79303</v>
      </c>
      <c r="E54">
        <f t="shared" si="3"/>
        <v>52</v>
      </c>
      <c r="F54" s="61">
        <f>IF(FT!A54&lt;&gt;"",FT!A54*10,"")</f>
        <v>4.1906499999999998</v>
      </c>
      <c r="G54" s="61">
        <f>IF(FT!B54&lt;&gt;"",FT!B54*100,"")</f>
        <v>45.445999999999998</v>
      </c>
      <c r="H54" s="61">
        <f t="shared" si="1"/>
        <v>1</v>
      </c>
      <c r="I54" t="str">
        <f>IF(FT!B54&lt;&gt;"",FT!E54,"")</f>
        <v>1 [21.118331]</v>
      </c>
      <c r="J54">
        <f>IF(FT!B54&lt;&gt;"",FT!C54,"")</f>
        <v>21.118300000000001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4.1876600000000002</v>
      </c>
      <c r="G55" s="61">
        <f>IF(FT!B55&lt;&gt;"",FT!B55*100,"")</f>
        <v>46.292999999999999</v>
      </c>
      <c r="H55" s="61">
        <f t="shared" si="1"/>
        <v>1</v>
      </c>
      <c r="I55" t="str">
        <f>IF(FT!B55&lt;&gt;"",FT!E55,"")</f>
        <v>1 [21.527024]</v>
      </c>
      <c r="J55">
        <f>IF(FT!B55&lt;&gt;"",FT!C55,"")</f>
        <v>21.527000000000001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4.1866599999999998</v>
      </c>
      <c r="G56" s="61">
        <f>IF(FT!B56&lt;&gt;"",FT!B56*100,"")</f>
        <v>47.188200000000002</v>
      </c>
      <c r="H56" s="61">
        <f t="shared" si="1"/>
        <v>1</v>
      </c>
      <c r="I56" t="str">
        <f>IF(FT!B56&lt;&gt;"",FT!E56,"")</f>
        <v>1 [21.931275]</v>
      </c>
      <c r="J56">
        <f>IF(FT!B56&lt;&gt;"",FT!C56,"")</f>
        <v>21.9313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86149</v>
      </c>
      <c r="D57" s="61">
        <f>FH!B57*1</f>
        <v>86149</v>
      </c>
      <c r="E57">
        <f t="shared" si="3"/>
        <v>55</v>
      </c>
      <c r="F57" s="61">
        <f>IF(FT!A57&lt;&gt;"",FT!A57*10,"")</f>
        <v>4.18851</v>
      </c>
      <c r="G57" s="61">
        <f>IF(FT!B57&lt;&gt;"",FT!B57*100,"")</f>
        <v>48.042099999999998</v>
      </c>
      <c r="H57" s="61">
        <f t="shared" si="1"/>
        <v>1</v>
      </c>
      <c r="I57" t="str">
        <f>IF(FT!B57&lt;&gt;"",FT!E57,"")</f>
        <v>1 [22.338955]</v>
      </c>
      <c r="J57">
        <f>IF(FT!B57&lt;&gt;"",FT!C57,"")</f>
        <v>22.338999999999999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4.1863799999999998</v>
      </c>
      <c r="G58" s="61">
        <f>IF(FT!B58&lt;&gt;"",FT!B58*100,"")</f>
        <v>48.998599999999996</v>
      </c>
      <c r="H58" s="61">
        <f t="shared" si="1"/>
        <v>1</v>
      </c>
      <c r="I58" t="str">
        <f>IF(FT!B58&lt;&gt;"",FT!E58,"")</f>
        <v>1 [22.745661]</v>
      </c>
      <c r="J58">
        <f>IF(FT!B58&lt;&gt;"",FT!C58,"")</f>
        <v>22.745699999999999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93573</v>
      </c>
      <c r="D59" s="61">
        <f>FH!B59*1</f>
        <v>93573</v>
      </c>
      <c r="E59">
        <f t="shared" si="3"/>
        <v>57</v>
      </c>
      <c r="F59" s="61">
        <f>IF(FT!A59&lt;&gt;"",FT!A59*10,"")</f>
        <v>4.18302</v>
      </c>
      <c r="G59" s="61">
        <f>IF(FT!B59&lt;&gt;"",FT!B59*100,"")</f>
        <v>49.706099999999999</v>
      </c>
      <c r="H59" s="61">
        <f t="shared" si="1"/>
        <v>1</v>
      </c>
      <c r="I59" t="str">
        <f>IF(FT!B59&lt;&gt;"",FT!E59,"")</f>
        <v>1 [23.151183]</v>
      </c>
      <c r="J59">
        <f>IF(FT!B59&lt;&gt;"",FT!C59,"")</f>
        <v>23.151199999999999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4.1780600000000003</v>
      </c>
      <c r="G60" s="61">
        <f>IF(FT!B60&lt;&gt;"",FT!B60*100,"")</f>
        <v>50.341299999999997</v>
      </c>
      <c r="H60" s="61">
        <f t="shared" si="1"/>
        <v>1</v>
      </c>
      <c r="I60" t="str">
        <f>IF(FT!B60&lt;&gt;"",FT!E60,"")</f>
        <v>1 [23.561611]</v>
      </c>
      <c r="J60">
        <f>IF(FT!B60&lt;&gt;"",FT!C60,"")</f>
        <v>23.561599999999999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4.1716100000000003</v>
      </c>
      <c r="G61" s="61">
        <f>IF(FT!B61&lt;&gt;"",FT!B61*100,"")</f>
        <v>50.972399999999993</v>
      </c>
      <c r="H61" s="61">
        <f t="shared" si="1"/>
        <v>1</v>
      </c>
      <c r="I61" t="str">
        <f>IF(FT!B61&lt;&gt;"",FT!E61,"")</f>
        <v>1 [23.965749]</v>
      </c>
      <c r="J61">
        <f>IF(FT!B61&lt;&gt;"",FT!C61,"")</f>
        <v>23.965699999999998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98576</v>
      </c>
      <c r="D62" s="61">
        <f>FH!B62*1</f>
        <v>98576</v>
      </c>
      <c r="E62">
        <f t="shared" si="3"/>
        <v>60</v>
      </c>
      <c r="F62" s="61">
        <f>IF(FT!A62&lt;&gt;"",FT!A62*10,"")</f>
        <v>4.1675800000000001</v>
      </c>
      <c r="G62" s="61">
        <f>IF(FT!B62&lt;&gt;"",FT!B62*100,"")</f>
        <v>51.5169</v>
      </c>
      <c r="H62" s="61">
        <f t="shared" si="1"/>
        <v>1</v>
      </c>
      <c r="I62" t="str">
        <f>IF(FT!B62&lt;&gt;"",FT!E62,"")</f>
        <v>1 [24.369221]</v>
      </c>
      <c r="J62">
        <f>IF(FT!B62&lt;&gt;"",FT!C62,"")</f>
        <v>24.369199999999999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4.1601300000000005</v>
      </c>
      <c r="G63" s="61">
        <f>IF(FT!B63&lt;&gt;"",FT!B63*100,"")</f>
        <v>52.014099999999999</v>
      </c>
      <c r="H63" s="61">
        <f t="shared" si="1"/>
        <v>1</v>
      </c>
      <c r="I63" t="str">
        <f>IF(FT!B63&lt;&gt;"",FT!E63,"")</f>
        <v>1 [24.775661]</v>
      </c>
      <c r="J63">
        <f>IF(FT!B63&lt;&gt;"",FT!C63,"")</f>
        <v>24.775700000000001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111437</v>
      </c>
      <c r="D64" s="61">
        <f>FH!B64*1</f>
        <v>111437</v>
      </c>
      <c r="E64">
        <f t="shared" si="3"/>
        <v>62</v>
      </c>
      <c r="F64" s="61">
        <f>IF(FT!A64&lt;&gt;"",FT!A64*10,"")</f>
        <v>4.1547200000000002</v>
      </c>
      <c r="G64" s="61">
        <f>IF(FT!B64&lt;&gt;"",FT!B64*100,"")</f>
        <v>52.523699999999998</v>
      </c>
      <c r="H64" s="61">
        <f t="shared" si="1"/>
        <v>1</v>
      </c>
      <c r="I64" t="str">
        <f>IF(FT!B64&lt;&gt;"",FT!E64,"")</f>
        <v>1 [25.182088]</v>
      </c>
      <c r="J64">
        <f>IF(FT!B64&lt;&gt;"",FT!C64,"")</f>
        <v>25.182099999999998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4.1357699999999999</v>
      </c>
      <c r="G65" s="61">
        <f>IF(FT!B65&lt;&gt;"",FT!B65*100,"")</f>
        <v>52.974900000000005</v>
      </c>
      <c r="H65" s="61">
        <f t="shared" si="1"/>
        <v>1</v>
      </c>
      <c r="I65" t="str">
        <f>IF(FT!B65&lt;&gt;"",FT!E65,"")</f>
        <v>1 [25.588245]</v>
      </c>
      <c r="J65">
        <f>IF(FT!B65&lt;&gt;"",FT!C65,"")</f>
        <v>25.588200000000001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4.12385</v>
      </c>
      <c r="G66" s="61">
        <f>IF(FT!B66&lt;&gt;"",FT!B66*100,"")</f>
        <v>53.436999999999998</v>
      </c>
      <c r="H66" s="61">
        <f t="shared" si="1"/>
        <v>1</v>
      </c>
      <c r="I66" t="str">
        <f>IF(FT!B66&lt;&gt;"",FT!E66,"")</f>
        <v>1 [25.993506]</v>
      </c>
      <c r="J66">
        <f>IF(FT!B66&lt;&gt;"",FT!C66,"")</f>
        <v>25.993500000000001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118991</v>
      </c>
      <c r="D67" s="61">
        <f>FH!B67*1</f>
        <v>118991</v>
      </c>
      <c r="E67">
        <f t="shared" si="3"/>
        <v>65</v>
      </c>
      <c r="F67" s="61">
        <f>IF(FT!A67&lt;&gt;"",FT!A67*10,"")</f>
        <v>4.1028599999999997</v>
      </c>
      <c r="G67" s="61">
        <f>IF(FT!B67&lt;&gt;"",FT!B67*100,"")</f>
        <v>53.849299999999999</v>
      </c>
      <c r="H67" s="61">
        <f t="shared" ref="H67:H130" si="9">(IF(F67&lt;&gt;"",1,""))</f>
        <v>1</v>
      </c>
      <c r="I67" t="str">
        <f>IF(FT!B67&lt;&gt;"",FT!E67,"")</f>
        <v>1 [26.401009]</v>
      </c>
      <c r="J67">
        <f>IF(FT!B67&lt;&gt;"",FT!C67,"")</f>
        <v>26.401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4.0802300000000002</v>
      </c>
      <c r="G68" s="61">
        <f>IF(FT!B68&lt;&gt;"",FT!B68*100,"")</f>
        <v>54.241599999999998</v>
      </c>
      <c r="H68" s="61">
        <f t="shared" si="9"/>
        <v>1</v>
      </c>
      <c r="I68" t="str">
        <f>IF(FT!B68&lt;&gt;"",FT!E68,"")</f>
        <v>1 [26.804152]</v>
      </c>
      <c r="J68">
        <f>IF(FT!B68&lt;&gt;"",FT!C68,"")</f>
        <v>26.804200000000002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130730</v>
      </c>
      <c r="D69" s="61">
        <f>FH!B69*1</f>
        <v>130730</v>
      </c>
      <c r="E69">
        <f t="shared" si="11"/>
        <v>67</v>
      </c>
      <c r="F69" s="61">
        <f>IF(FT!A69&lt;&gt;"",FT!A69*10,"")</f>
        <v>4.05443</v>
      </c>
      <c r="G69" s="61">
        <f>IF(FT!B69&lt;&gt;"",FT!B69*100,"")</f>
        <v>54.624600000000001</v>
      </c>
      <c r="H69" s="61">
        <f t="shared" si="9"/>
        <v>1</v>
      </c>
      <c r="I69" t="str">
        <f>IF(FT!B69&lt;&gt;"",FT!E69,"")</f>
        <v>1 [27.213976]</v>
      </c>
      <c r="J69">
        <f>IF(FT!B69&lt;&gt;"",FT!C69,"")</f>
        <v>27.213999999999999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4.0192199999999998</v>
      </c>
      <c r="G70" s="61">
        <f>IF(FT!B70&lt;&gt;"",FT!B70*100,"")</f>
        <v>54.783200000000001</v>
      </c>
      <c r="H70" s="61">
        <f t="shared" si="9"/>
        <v>1</v>
      </c>
      <c r="I70" t="str">
        <f>IF(FT!B70&lt;&gt;"",FT!E70,"")</f>
        <v>1 [27.623708]</v>
      </c>
      <c r="J70">
        <f>IF(FT!B70&lt;&gt;"",FT!C70,"")</f>
        <v>27.623699999999999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3.9917899999999999</v>
      </c>
      <c r="G71" s="61">
        <f>IF(FT!B71&lt;&gt;"",FT!B71*100,"")</f>
        <v>54.878599999999999</v>
      </c>
      <c r="H71" s="61">
        <f t="shared" si="9"/>
        <v>1</v>
      </c>
      <c r="I71" t="str">
        <f>IF(FT!B71&lt;&gt;"",FT!E71,"")</f>
        <v>1 [28.026245]</v>
      </c>
      <c r="J71">
        <f>IF(FT!B71&lt;&gt;"",FT!C71,"")</f>
        <v>28.026199999999999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136661</v>
      </c>
      <c r="D72" s="61">
        <f>FH!B72*1</f>
        <v>136661</v>
      </c>
      <c r="E72">
        <f t="shared" si="11"/>
        <v>70</v>
      </c>
      <c r="F72" s="61">
        <f>IF(FT!A72&lt;&gt;"",FT!A72*10,"")</f>
        <v>3.9734399999999996</v>
      </c>
      <c r="G72" s="61">
        <f>IF(FT!B72&lt;&gt;"",FT!B72*100,"")</f>
        <v>54.980300000000007</v>
      </c>
      <c r="H72" s="61">
        <f t="shared" si="9"/>
        <v>1</v>
      </c>
      <c r="I72" t="str">
        <f>IF(FT!B72&lt;&gt;"",FT!E72,"")</f>
        <v>1 [28.432039]</v>
      </c>
      <c r="J72">
        <f>IF(FT!B72&lt;&gt;"",FT!C72,"")</f>
        <v>28.431999999999999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3.9385300000000001</v>
      </c>
      <c r="G73" s="61">
        <f>IF(FT!B73&lt;&gt;"",FT!B73*100,"")</f>
        <v>54.897600000000004</v>
      </c>
      <c r="H73" s="61">
        <f t="shared" si="9"/>
        <v>1</v>
      </c>
      <c r="I73" t="str">
        <f>IF(FT!B73&lt;&gt;"",FT!E73,"")</f>
        <v>1 [28.840797]</v>
      </c>
      <c r="J73">
        <f>IF(FT!B73&lt;&gt;"",FT!C73,"")</f>
        <v>28.840800000000002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3.91384</v>
      </c>
      <c r="G74" s="61">
        <f>IF(FT!B74&lt;&gt;"",FT!B74*100,"")</f>
        <v>54.845500000000001</v>
      </c>
      <c r="H74" s="61">
        <f t="shared" si="9"/>
        <v>1</v>
      </c>
      <c r="I74" t="str">
        <f>IF(FT!B74&lt;&gt;"",FT!E74,"")</f>
        <v>1 [29.248522]</v>
      </c>
      <c r="J74">
        <f>IF(FT!B74&lt;&gt;"",FT!C74,"")</f>
        <v>29.2485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144284</v>
      </c>
      <c r="D75" s="61">
        <f>FH!B75*1</f>
        <v>144284</v>
      </c>
      <c r="E75">
        <f t="shared" si="11"/>
        <v>73</v>
      </c>
      <c r="F75" s="61">
        <f>IF(FT!A75&lt;&gt;"",FT!A75*10,"")</f>
        <v>3.8980999999999999</v>
      </c>
      <c r="G75" s="61">
        <f>IF(FT!B75&lt;&gt;"",FT!B75*100,"")</f>
        <v>54.804499999999997</v>
      </c>
      <c r="H75" s="61">
        <f t="shared" si="9"/>
        <v>1</v>
      </c>
      <c r="I75" t="str">
        <f>IF(FT!B75&lt;&gt;"",FT!E75,"")</f>
        <v>1 [29.652876]</v>
      </c>
      <c r="J75">
        <f>IF(FT!B75&lt;&gt;"",FT!C75,"")</f>
        <v>29.652899999999999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3.8706800000000001</v>
      </c>
      <c r="G76" s="61">
        <f>IF(FT!B76&lt;&gt;"",FT!B76*100,"")</f>
        <v>54.631399999999999</v>
      </c>
      <c r="H76" s="61">
        <f t="shared" si="9"/>
        <v>1</v>
      </c>
      <c r="I76" t="str">
        <f>IF(FT!B76&lt;&gt;"",FT!E76,"")</f>
        <v>2 [30.055465]</v>
      </c>
      <c r="J76">
        <f>IF(FT!B76&lt;&gt;"",FT!C76,"")</f>
        <v>30.055499999999999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162081</v>
      </c>
      <c r="D77" s="61">
        <f>FH!B77*1</f>
        <v>162081</v>
      </c>
      <c r="E77">
        <f t="shared" si="11"/>
        <v>75</v>
      </c>
      <c r="F77" s="61">
        <f>IF(FT!A77&lt;&gt;"",FT!A77*10,"")</f>
        <v>3.8339099999999999</v>
      </c>
      <c r="G77" s="61">
        <f>IF(FT!B77&lt;&gt;"",FT!B77*100,"")</f>
        <v>54.487900000000003</v>
      </c>
      <c r="H77" s="61">
        <f t="shared" si="9"/>
        <v>1</v>
      </c>
      <c r="I77" t="str">
        <f>IF(FT!B77&lt;&gt;"",FT!E77,"")</f>
        <v>2 [30.570950]</v>
      </c>
      <c r="J77">
        <f>IF(FT!B77&lt;&gt;"",FT!C77,"")</f>
        <v>30.570900000000002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3.8010699999999997</v>
      </c>
      <c r="G78" s="61">
        <f>IF(FT!B78&lt;&gt;"",FT!B78*100,"")</f>
        <v>54.414900000000003</v>
      </c>
      <c r="H78" s="61">
        <f t="shared" si="9"/>
        <v>1</v>
      </c>
      <c r="I78" t="str">
        <f>IF(FT!B78&lt;&gt;"",FT!E78,"")</f>
        <v>2 [30.947172]</v>
      </c>
      <c r="J78">
        <f>IF(FT!B78&lt;&gt;"",FT!C78,"")</f>
        <v>30.947199999999999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3.7654300000000003</v>
      </c>
      <c r="G79" s="61">
        <f>IF(FT!B79&lt;&gt;"",FT!B79*100,"")</f>
        <v>54.340999999999994</v>
      </c>
      <c r="H79" s="61">
        <f t="shared" si="9"/>
        <v>1</v>
      </c>
      <c r="I79" t="str">
        <f>IF(FT!B79&lt;&gt;"",FT!E79,"")</f>
        <v>2 [31.340314]</v>
      </c>
      <c r="J79">
        <f>IF(FT!B79&lt;&gt;"",FT!C79,"")</f>
        <v>31.340299999999999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171575</v>
      </c>
      <c r="D80" s="61">
        <f>FH!B80*1</f>
        <v>171575</v>
      </c>
      <c r="E80">
        <f t="shared" si="11"/>
        <v>78</v>
      </c>
      <c r="F80" s="61">
        <f>IF(FT!A80&lt;&gt;"",FT!A80*10,"")</f>
        <v>3.7265100000000002</v>
      </c>
      <c r="G80" s="61">
        <f>IF(FT!B80&lt;&gt;"",FT!B80*100,"")</f>
        <v>54.306600000000003</v>
      </c>
      <c r="H80" s="61">
        <f t="shared" si="9"/>
        <v>1</v>
      </c>
      <c r="I80" t="str">
        <f>IF(FT!B80&lt;&gt;"",FT!E80,"")</f>
        <v>2 [31.744545]</v>
      </c>
      <c r="J80">
        <f>IF(FT!B80&lt;&gt;"",FT!C80,"")</f>
        <v>31.744499999999999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3.6872400000000001</v>
      </c>
      <c r="G81" s="61">
        <f>IF(FT!B81&lt;&gt;"",FT!B81*100,"")</f>
        <v>54.347299999999997</v>
      </c>
      <c r="H81" s="61">
        <f t="shared" si="9"/>
        <v>1</v>
      </c>
      <c r="I81" t="str">
        <f>IF(FT!B81&lt;&gt;"",FT!E81,"")</f>
        <v>2 [32.133759]</v>
      </c>
      <c r="J81">
        <f>IF(FT!B81&lt;&gt;"",FT!C81,"")</f>
        <v>32.133800000000001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176742</v>
      </c>
      <c r="D82" s="61">
        <f>FH!B82*1</f>
        <v>176742</v>
      </c>
      <c r="E82">
        <f t="shared" si="11"/>
        <v>80</v>
      </c>
      <c r="F82" s="61">
        <f>IF(FT!A82&lt;&gt;"",FT!A82*10,"")</f>
        <v>3.6507299999999998</v>
      </c>
      <c r="G82" s="61">
        <f>IF(FT!B82&lt;&gt;"",FT!B82*100,"")</f>
        <v>54.431399999999996</v>
      </c>
      <c r="H82" s="61">
        <f t="shared" si="9"/>
        <v>1</v>
      </c>
      <c r="I82" t="str">
        <f>IF(FT!B82&lt;&gt;"",FT!E82,"")</f>
        <v>2 [32.543371]</v>
      </c>
      <c r="J82">
        <f>IF(FT!B82&lt;&gt;"",FT!C82,"")</f>
        <v>32.543399999999998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3.6208400000000003</v>
      </c>
      <c r="G83" s="61">
        <f>IF(FT!B83&lt;&gt;"",FT!B83*100,"")</f>
        <v>54.541700000000006</v>
      </c>
      <c r="H83" s="61">
        <f t="shared" si="9"/>
        <v>1</v>
      </c>
      <c r="I83" t="str">
        <f>IF(FT!B83&lt;&gt;"",FT!E83,"")</f>
        <v>2 [32.953098]</v>
      </c>
      <c r="J83">
        <f>IF(FT!B83&lt;&gt;"",FT!C83,"")</f>
        <v>32.953099999999999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3.5939199999999998</v>
      </c>
      <c r="G84" s="61">
        <f>IF(FT!B84&lt;&gt;"",FT!B84*100,"")</f>
        <v>54.645200000000003</v>
      </c>
      <c r="H84" s="61">
        <f t="shared" si="9"/>
        <v>1</v>
      </c>
      <c r="I84" t="str">
        <f>IF(FT!B84&lt;&gt;"",FT!E84,"")</f>
        <v>2 [33.353652]</v>
      </c>
      <c r="J84">
        <f>IF(FT!B84&lt;&gt;"",FT!C84,"")</f>
        <v>33.353700000000003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195057</v>
      </c>
      <c r="D85" s="61">
        <f>FH!B85*1</f>
        <v>195057</v>
      </c>
      <c r="E85">
        <f t="shared" si="11"/>
        <v>83</v>
      </c>
      <c r="F85" s="61">
        <f>IF(FT!A85&lt;&gt;"",FT!A85*10,"")</f>
        <v>3.5690200000000001</v>
      </c>
      <c r="G85" s="61">
        <f>IF(FT!B85&lt;&gt;"",FT!B85*100,"")</f>
        <v>54.729099999999995</v>
      </c>
      <c r="H85" s="61">
        <f t="shared" si="9"/>
        <v>1</v>
      </c>
      <c r="I85" t="str">
        <f>IF(FT!B85&lt;&gt;"",FT!E85,"")</f>
        <v>2 [33.759209]</v>
      </c>
      <c r="J85">
        <f>IF(FT!B85&lt;&gt;"",FT!C85,"")</f>
        <v>33.7592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3.5471000000000004</v>
      </c>
      <c r="G86" s="61">
        <f>IF(FT!B86&lt;&gt;"",FT!B86*100,"")</f>
        <v>54.795700000000004</v>
      </c>
      <c r="H86" s="61">
        <f t="shared" si="9"/>
        <v>1</v>
      </c>
      <c r="I86" t="str">
        <f>IF(FT!B86&lt;&gt;"",FT!E86,"")</f>
        <v>2 [34.165822]</v>
      </c>
      <c r="J86">
        <f>IF(FT!B86&lt;&gt;"",FT!C86,"")</f>
        <v>34.165799999999997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3.5251600000000001</v>
      </c>
      <c r="G87" s="61">
        <f>IF(FT!B87&lt;&gt;"",FT!B87*100,"")</f>
        <v>54.919899999999998</v>
      </c>
      <c r="H87" s="61">
        <f t="shared" si="9"/>
        <v>1</v>
      </c>
      <c r="I87" t="str">
        <f>IF(FT!B87&lt;&gt;"",FT!E87,"")</f>
        <v>2 [34.574016]</v>
      </c>
      <c r="J87">
        <f>IF(FT!B87&lt;&gt;"",FT!C87,"")</f>
        <v>34.573999999999998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197989</v>
      </c>
      <c r="D88" s="61">
        <f>FH!B88*1</f>
        <v>197989</v>
      </c>
      <c r="E88">
        <f t="shared" si="11"/>
        <v>86</v>
      </c>
      <c r="F88" s="61">
        <f>IF(FT!A88&lt;&gt;"",FT!A88*10,"")</f>
        <v>3.5036399999999999</v>
      </c>
      <c r="G88" s="61">
        <f>IF(FT!B88&lt;&gt;"",FT!B88*100,"")</f>
        <v>55.121900000000004</v>
      </c>
      <c r="H88" s="61">
        <f t="shared" si="9"/>
        <v>1</v>
      </c>
      <c r="I88" t="str">
        <f>IF(FT!B88&lt;&gt;"",FT!E88,"")</f>
        <v>2 [34.979679]</v>
      </c>
      <c r="J88">
        <f>IF(FT!B88&lt;&gt;"",FT!C88,"")</f>
        <v>34.979700000000001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3.4835500000000001</v>
      </c>
      <c r="G89" s="61">
        <f>IF(FT!B89&lt;&gt;"",FT!B89*100,"")</f>
        <v>55.460900000000002</v>
      </c>
      <c r="H89" s="61">
        <f t="shared" si="9"/>
        <v>1</v>
      </c>
      <c r="I89" t="str">
        <f>IF(FT!B89&lt;&gt;"",FT!E89,"")</f>
        <v>2 [35.385748]</v>
      </c>
      <c r="J89">
        <f>IF(FT!B89&lt;&gt;"",FT!C89,"")</f>
        <v>35.3857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206070</v>
      </c>
      <c r="D90" s="61">
        <f>FH!B90*1</f>
        <v>206070</v>
      </c>
      <c r="E90">
        <f t="shared" si="11"/>
        <v>88</v>
      </c>
      <c r="F90" s="61">
        <f>IF(FT!A90&lt;&gt;"",FT!A90*10,"")</f>
        <v>3.4694099999999999</v>
      </c>
      <c r="G90" s="61">
        <f>IF(FT!B90&lt;&gt;"",FT!B90*100,"")</f>
        <v>55.720499999999994</v>
      </c>
      <c r="H90" s="61">
        <f t="shared" si="9"/>
        <v>1</v>
      </c>
      <c r="I90" t="str">
        <f>IF(FT!B90&lt;&gt;"",FT!E90,"")</f>
        <v>2 [35.790377]</v>
      </c>
      <c r="J90">
        <f>IF(FT!B90&lt;&gt;"",FT!C90,"")</f>
        <v>35.790399999999998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3.46055</v>
      </c>
      <c r="G91" s="61">
        <f>IF(FT!B91&lt;&gt;"",FT!B91*100,"")</f>
        <v>55.889800000000001</v>
      </c>
      <c r="H91" s="61">
        <f t="shared" si="9"/>
        <v>1</v>
      </c>
      <c r="I91" t="str">
        <f>IF(FT!B91&lt;&gt;"",FT!E91,"")</f>
        <v>2 [36.200381]</v>
      </c>
      <c r="J91">
        <f>IF(FT!B91&lt;&gt;"",FT!C91,"")</f>
        <v>36.200400000000002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3.4539599999999999</v>
      </c>
      <c r="G92" s="61">
        <f>IF(FT!B92&lt;&gt;"",FT!B92*100,"")</f>
        <v>56.0107</v>
      </c>
      <c r="H92" s="61">
        <f t="shared" si="9"/>
        <v>1</v>
      </c>
      <c r="I92" t="str">
        <f>IF(FT!B92&lt;&gt;"",FT!E92,"")</f>
        <v>2 [36.604105]</v>
      </c>
      <c r="J92">
        <f>IF(FT!B92&lt;&gt;"",FT!C92,"")</f>
        <v>36.604100000000003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223727</v>
      </c>
      <c r="D93" s="61">
        <f>FH!B93*1</f>
        <v>223727</v>
      </c>
      <c r="E93">
        <f t="shared" si="11"/>
        <v>91</v>
      </c>
      <c r="F93" s="61">
        <f>IF(FT!A93&lt;&gt;"",FT!A93*10,"")</f>
        <v>3.4515200000000004</v>
      </c>
      <c r="G93" s="61">
        <f>IF(FT!B93&lt;&gt;"",FT!B93*100,"")</f>
        <v>56.101299999999995</v>
      </c>
      <c r="H93" s="61">
        <f t="shared" si="9"/>
        <v>1</v>
      </c>
      <c r="I93" t="str">
        <f>IF(FT!B93&lt;&gt;"",FT!E93,"")</f>
        <v>2 [37.011613]</v>
      </c>
      <c r="J93">
        <f>IF(FT!B93&lt;&gt;"",FT!C93,"")</f>
        <v>37.011600000000001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3.4515800000000003</v>
      </c>
      <c r="G94" s="61">
        <f>IF(FT!B94&lt;&gt;"",FT!B94*100,"")</f>
        <v>56.120599999999996</v>
      </c>
      <c r="H94" s="61">
        <f t="shared" si="9"/>
        <v>1</v>
      </c>
      <c r="I94" t="str">
        <f>IF(FT!B94&lt;&gt;"",FT!E94,"")</f>
        <v>2 [37.414698]</v>
      </c>
      <c r="J94">
        <f>IF(FT!B94&lt;&gt;"",FT!C94,"")</f>
        <v>37.414700000000003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225516</v>
      </c>
      <c r="D95" s="61">
        <f>FH!B95*1</f>
        <v>225516</v>
      </c>
      <c r="E95">
        <f t="shared" si="11"/>
        <v>93</v>
      </c>
      <c r="F95" s="61">
        <f>IF(FT!A95&lt;&gt;"",FT!A95*10,"")</f>
        <v>3.4548399999999999</v>
      </c>
      <c r="G95" s="61">
        <f>IF(FT!B95&lt;&gt;"",FT!B95*100,"")</f>
        <v>56.058900000000001</v>
      </c>
      <c r="H95" s="61">
        <f t="shared" si="9"/>
        <v>1</v>
      </c>
      <c r="I95" t="str">
        <f>IF(FT!B95&lt;&gt;"",FT!E95,"")</f>
        <v>2 [37.821644]</v>
      </c>
      <c r="J95">
        <f>IF(FT!B95&lt;&gt;"",FT!C95,"")</f>
        <v>37.821599999999997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3.4632299999999998</v>
      </c>
      <c r="G96" s="61">
        <f>IF(FT!B96&lt;&gt;"",FT!B96*100,"")</f>
        <v>55.8889</v>
      </c>
      <c r="H96" s="61">
        <f t="shared" si="9"/>
        <v>1</v>
      </c>
      <c r="I96" t="str">
        <f>IF(FT!B96&lt;&gt;"",FT!E96,"")</f>
        <v>2 [38.231218]</v>
      </c>
      <c r="J96">
        <f>IF(FT!B96&lt;&gt;"",FT!C96,"")</f>
        <v>38.231200000000001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3.47546</v>
      </c>
      <c r="G97" s="61">
        <f>IF(FT!B97&lt;&gt;"",FT!B97*100,"")</f>
        <v>55.623999999999995</v>
      </c>
      <c r="H97" s="61">
        <f t="shared" si="9"/>
        <v>1</v>
      </c>
      <c r="I97" t="str">
        <f>IF(FT!B97&lt;&gt;"",FT!E97,"")</f>
        <v>2 [38.637589]</v>
      </c>
      <c r="J97">
        <f>IF(FT!B97&lt;&gt;"",FT!C97,"")</f>
        <v>38.637599999999999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232206</v>
      </c>
      <c r="D98" s="61">
        <f>FH!B98*1</f>
        <v>232206</v>
      </c>
      <c r="E98">
        <f t="shared" si="11"/>
        <v>96</v>
      </c>
      <c r="F98" s="61">
        <f>IF(FT!A98&lt;&gt;"",FT!A98*10,"")</f>
        <v>3.4932400000000001</v>
      </c>
      <c r="G98" s="61">
        <f>IF(FT!B98&lt;&gt;"",FT!B98*100,"")</f>
        <v>55.215199999999996</v>
      </c>
      <c r="H98" s="61">
        <f t="shared" si="9"/>
        <v>1</v>
      </c>
      <c r="I98" t="str">
        <f>IF(FT!B98&lt;&gt;"",FT!E98,"")</f>
        <v>2 [39.043162]</v>
      </c>
      <c r="J98">
        <f>IF(FT!B98&lt;&gt;"",FT!C98,"")</f>
        <v>39.043199999999999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3.5165600000000001</v>
      </c>
      <c r="G99" s="61">
        <f>IF(FT!B99&lt;&gt;"",FT!B99*100,"")</f>
        <v>54.6175</v>
      </c>
      <c r="H99" s="61">
        <f t="shared" si="9"/>
        <v>1</v>
      </c>
      <c r="I99" t="str">
        <f>IF(FT!B99&lt;&gt;"",FT!E99,"")</f>
        <v>2 [39.447895]</v>
      </c>
      <c r="J99">
        <f>IF(FT!B99&lt;&gt;"",FT!C99,"")</f>
        <v>39.447899999999997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225761</v>
      </c>
      <c r="D100" s="61">
        <f>FH!B100*1</f>
        <v>225761</v>
      </c>
      <c r="E100">
        <f t="shared" si="11"/>
        <v>98</v>
      </c>
      <c r="F100" s="61">
        <f>IF(FT!A100&lt;&gt;"",FT!A100*10,"")</f>
        <v>3.5428999999999999</v>
      </c>
      <c r="G100" s="61">
        <f>IF(FT!B100&lt;&gt;"",FT!B100*100,"")</f>
        <v>53.971699999999998</v>
      </c>
      <c r="H100" s="61">
        <f t="shared" si="9"/>
        <v>1</v>
      </c>
      <c r="I100" t="str">
        <f>IF(FT!B100&lt;&gt;"",FT!E100,"")</f>
        <v>2 [39.854465]</v>
      </c>
      <c r="J100">
        <f>IF(FT!B100&lt;&gt;"",FT!C100,"")</f>
        <v>39.854500000000002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3.5715999999999997</v>
      </c>
      <c r="G101" s="61">
        <f>IF(FT!B101&lt;&gt;"",FT!B101*100,"")</f>
        <v>53.360399999999998</v>
      </c>
      <c r="H101" s="61">
        <f t="shared" si="9"/>
        <v>1</v>
      </c>
      <c r="I101" t="str">
        <f>IF(FT!B101&lt;&gt;"",FT!E101,"")</f>
        <v>2 [40.262014]</v>
      </c>
      <c r="J101">
        <f>IF(FT!B101&lt;&gt;"",FT!C101,"")</f>
        <v>40.262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3.59707</v>
      </c>
      <c r="G102" s="61">
        <f>IF(FT!B102&lt;&gt;"",FT!B102*100,"")</f>
        <v>52.877799999999993</v>
      </c>
      <c r="H102" s="61">
        <f t="shared" si="9"/>
        <v>1</v>
      </c>
      <c r="I102" t="str">
        <f>IF(FT!B102&lt;&gt;"",FT!E102,"")</f>
        <v>2 [40.667676]</v>
      </c>
      <c r="J102">
        <f>IF(FT!B102&lt;&gt;"",FT!C102,"")</f>
        <v>40.667700000000004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227968</v>
      </c>
      <c r="D103" s="61">
        <f>FH!B103*1</f>
        <v>227968</v>
      </c>
      <c r="E103">
        <f t="shared" si="11"/>
        <v>101</v>
      </c>
      <c r="F103" s="61">
        <f>IF(FT!A103&lt;&gt;"",FT!A103*10,"")</f>
        <v>3.6274800000000003</v>
      </c>
      <c r="G103" s="61">
        <f>IF(FT!B103&lt;&gt;"",FT!B103*100,"")</f>
        <v>52.388199999999998</v>
      </c>
      <c r="H103" s="61">
        <f t="shared" si="9"/>
        <v>1</v>
      </c>
      <c r="I103" t="str">
        <f>IF(FT!B103&lt;&gt;"",FT!E103,"")</f>
        <v>2 [41.073956]</v>
      </c>
      <c r="J103">
        <f>IF(FT!B103&lt;&gt;"",FT!C103,"")</f>
        <v>41.073999999999998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3.65801</v>
      </c>
      <c r="G104" s="61">
        <f>IF(FT!B104&lt;&gt;"",FT!B104*100,"")</f>
        <v>51.951599999999999</v>
      </c>
      <c r="H104" s="61">
        <f t="shared" si="9"/>
        <v>1</v>
      </c>
      <c r="I104" t="str">
        <f>IF(FT!B104&lt;&gt;"",FT!E104,"")</f>
        <v>2 [41.480365]</v>
      </c>
      <c r="J104">
        <f>IF(FT!B104&lt;&gt;"",FT!C104,"")</f>
        <v>41.480400000000003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3.6901800000000002</v>
      </c>
      <c r="G105" s="61">
        <f>IF(FT!B105&lt;&gt;"",FT!B105*100,"")</f>
        <v>51.563400000000001</v>
      </c>
      <c r="H105" s="61">
        <f t="shared" si="9"/>
        <v>1</v>
      </c>
      <c r="I105" t="str">
        <f>IF(FT!B105&lt;&gt;"",FT!E105,"")</f>
        <v>2 [41.883649]</v>
      </c>
      <c r="J105">
        <f>IF(FT!B105&lt;&gt;"",FT!C105,"")</f>
        <v>41.883600000000001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229950</v>
      </c>
      <c r="D106" s="61">
        <f>FH!B106*1</f>
        <v>229950</v>
      </c>
      <c r="E106">
        <f t="shared" si="11"/>
        <v>104</v>
      </c>
      <c r="F106" s="61">
        <f>IF(FT!A106&lt;&gt;"",FT!A106*10,"")</f>
        <v>3.7215799999999999</v>
      </c>
      <c r="G106" s="61">
        <f>IF(FT!B106&lt;&gt;"",FT!B106*100,"")</f>
        <v>51.1556</v>
      </c>
      <c r="H106" s="61">
        <f t="shared" si="9"/>
        <v>1</v>
      </c>
      <c r="I106" t="str">
        <f>IF(FT!B106&lt;&gt;"",FT!E106,"")</f>
        <v>2 [42.292629]</v>
      </c>
      <c r="J106">
        <f>IF(FT!B106&lt;&gt;"",FT!C106,"")</f>
        <v>42.2926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3.7494399999999999</v>
      </c>
      <c r="G107" s="61">
        <f>IF(FT!B107&lt;&gt;"",FT!B107*100,"")</f>
        <v>50.8371</v>
      </c>
      <c r="H107" s="61">
        <f t="shared" si="9"/>
        <v>1</v>
      </c>
      <c r="I107" t="str">
        <f>IF(FT!B107&lt;&gt;"",FT!E107,"")</f>
        <v>2 [42.701087]</v>
      </c>
      <c r="J107">
        <f>IF(FT!B107&lt;&gt;"",FT!C107,"")</f>
        <v>42.701099999999997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229402</v>
      </c>
      <c r="D108" s="61">
        <f>FH!B108*1</f>
        <v>229402</v>
      </c>
      <c r="E108">
        <f t="shared" si="11"/>
        <v>106</v>
      </c>
      <c r="F108" s="61">
        <f>IF(FT!A108&lt;&gt;"",FT!A108*10,"")</f>
        <v>3.7752799999999995</v>
      </c>
      <c r="G108" s="61">
        <f>IF(FT!B108&lt;&gt;"",FT!B108*100,"")</f>
        <v>50.448300000000003</v>
      </c>
      <c r="H108" s="61">
        <f t="shared" si="9"/>
        <v>1</v>
      </c>
      <c r="I108" t="str">
        <f>IF(FT!B108&lt;&gt;"",FT!E108,"")</f>
        <v>2 [43.104789]</v>
      </c>
      <c r="J108">
        <f>IF(FT!B108&lt;&gt;"",FT!C108,"")</f>
        <v>43.104799999999997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3.8001299999999998</v>
      </c>
      <c r="G109" s="61">
        <f>IF(FT!B109&lt;&gt;"",FT!B109*100,"")</f>
        <v>50.071899999999999</v>
      </c>
      <c r="H109" s="61">
        <f t="shared" si="9"/>
        <v>1</v>
      </c>
      <c r="I109" t="str">
        <f>IF(FT!B109&lt;&gt;"",FT!E109,"")</f>
        <v>2 [43.509546]</v>
      </c>
      <c r="J109">
        <f>IF(FT!B109&lt;&gt;"",FT!C109,"")</f>
        <v>43.509500000000003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3.8257300000000001</v>
      </c>
      <c r="G110" s="61">
        <f>IF(FT!B110&lt;&gt;"",FT!B110*100,"")</f>
        <v>49.676500000000004</v>
      </c>
      <c r="H110" s="61">
        <f t="shared" si="9"/>
        <v>1</v>
      </c>
      <c r="I110" t="str">
        <f>IF(FT!B110&lt;&gt;"",FT!E110,"")</f>
        <v>2 [43.915235]</v>
      </c>
      <c r="J110">
        <f>IF(FT!B110&lt;&gt;"",FT!C110,"")</f>
        <v>43.915199999999999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228137</v>
      </c>
      <c r="D111" s="61">
        <f>FH!B111*1</f>
        <v>228137</v>
      </c>
      <c r="E111">
        <f t="shared" si="11"/>
        <v>109</v>
      </c>
      <c r="F111" s="61">
        <f>IF(FT!A111&lt;&gt;"",FT!A111*10,"")</f>
        <v>3.8525499999999999</v>
      </c>
      <c r="G111" s="61">
        <f>IF(FT!B111&lt;&gt;"",FT!B111*100,"")</f>
        <v>49.225099999999998</v>
      </c>
      <c r="H111" s="61">
        <f t="shared" si="9"/>
        <v>1</v>
      </c>
      <c r="I111" t="str">
        <f>IF(FT!B111&lt;&gt;"",FT!E111,"")</f>
        <v>2 [44.323360]</v>
      </c>
      <c r="J111">
        <f>IF(FT!B111&lt;&gt;"",FT!C111,"")</f>
        <v>44.323399999999999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3.8788200000000002</v>
      </c>
      <c r="G112" s="61">
        <f>IF(FT!B112&lt;&gt;"",FT!B112*100,"")</f>
        <v>48.695699999999995</v>
      </c>
      <c r="H112" s="61">
        <f t="shared" si="9"/>
        <v>1</v>
      </c>
      <c r="I112" t="str">
        <f>IF(FT!B112&lt;&gt;"",FT!E112,"")</f>
        <v>2 [44.729218]</v>
      </c>
      <c r="J112">
        <f>IF(FT!B112&lt;&gt;"",FT!C112,"")</f>
        <v>44.729199999999999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216126</v>
      </c>
      <c r="D113" s="61">
        <f>FH!B113*1</f>
        <v>216126</v>
      </c>
      <c r="E113">
        <f t="shared" si="11"/>
        <v>111</v>
      </c>
      <c r="F113" s="61">
        <f>IF(FT!A113&lt;&gt;"",FT!A113*10,"")</f>
        <v>3.9038599999999999</v>
      </c>
      <c r="G113" s="61">
        <f>IF(FT!B113&lt;&gt;"",FT!B113*100,"")</f>
        <v>48.225299999999997</v>
      </c>
      <c r="H113" s="61">
        <f t="shared" si="9"/>
        <v>1</v>
      </c>
      <c r="I113" t="str">
        <f>IF(FT!B113&lt;&gt;"",FT!E113,"")</f>
        <v>2 [45.133946]</v>
      </c>
      <c r="J113">
        <f>IF(FT!B113&lt;&gt;"",FT!C113,"")</f>
        <v>45.133899999999997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3.9280500000000003</v>
      </c>
      <c r="G114" s="61">
        <f>IF(FT!B114&lt;&gt;"",FT!B114*100,"")</f>
        <v>47.690300000000001</v>
      </c>
      <c r="H114" s="61">
        <f t="shared" si="9"/>
        <v>1</v>
      </c>
      <c r="I114" t="str">
        <f>IF(FT!B114&lt;&gt;"",FT!E114,"")</f>
        <v>2 [45.542602]</v>
      </c>
      <c r="J114">
        <f>IF(FT!B114&lt;&gt;"",FT!C114,"")</f>
        <v>45.5426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3.9516600000000004</v>
      </c>
      <c r="G115" s="61">
        <f>IF(FT!B115&lt;&gt;"",FT!B115*100,"")</f>
        <v>47.045700000000004</v>
      </c>
      <c r="H115" s="61">
        <f t="shared" si="9"/>
        <v>1</v>
      </c>
      <c r="I115" t="str">
        <f>IF(FT!B115&lt;&gt;"",FT!E115,"")</f>
        <v>2 [45.951190]</v>
      </c>
      <c r="J115">
        <f>IF(FT!B115&lt;&gt;"",FT!C115,"")</f>
        <v>45.9512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201661</v>
      </c>
      <c r="D116" s="61">
        <f>FH!B116*1</f>
        <v>201661</v>
      </c>
      <c r="E116">
        <f t="shared" si="11"/>
        <v>114</v>
      </c>
      <c r="F116" s="61">
        <f>IF(FT!A116&lt;&gt;"",FT!A116*10,"")</f>
        <v>3.9727800000000002</v>
      </c>
      <c r="G116" s="61">
        <f>IF(FT!B116&lt;&gt;"",FT!B116*100,"")</f>
        <v>46.357599999999998</v>
      </c>
      <c r="H116" s="61">
        <f t="shared" si="9"/>
        <v>1</v>
      </c>
      <c r="I116" t="str">
        <f>IF(FT!B116&lt;&gt;"",FT!E116,"")</f>
        <v>2 [46.354190]</v>
      </c>
      <c r="J116">
        <f>IF(FT!B116&lt;&gt;"",FT!C116,"")</f>
        <v>46.354199999999999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3.9944500000000001</v>
      </c>
      <c r="G117" s="61">
        <f>IF(FT!B117&lt;&gt;"",FT!B117*100,"")</f>
        <v>45.650800000000004</v>
      </c>
      <c r="H117" s="61">
        <f t="shared" si="9"/>
        <v>1</v>
      </c>
      <c r="I117" t="str">
        <f>IF(FT!B117&lt;&gt;"",FT!E117,"")</f>
        <v>2 [46.760393]</v>
      </c>
      <c r="J117">
        <f>IF(FT!B117&lt;&gt;"",FT!C117,"")</f>
        <v>46.760399999999997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178619</v>
      </c>
      <c r="D118" s="61">
        <f>FH!B118*1</f>
        <v>178619</v>
      </c>
      <c r="E118">
        <f t="shared" si="11"/>
        <v>116</v>
      </c>
      <c r="F118" s="61">
        <f>IF(FT!A118&lt;&gt;"",FT!A118*10,"")</f>
        <v>4.0188800000000002</v>
      </c>
      <c r="G118" s="61">
        <f>IF(FT!B118&lt;&gt;"",FT!B118*100,"")</f>
        <v>44.832599999999999</v>
      </c>
      <c r="H118" s="61">
        <f t="shared" si="9"/>
        <v>1</v>
      </c>
      <c r="I118" t="str">
        <f>IF(FT!B118&lt;&gt;"",FT!E118,"")</f>
        <v>2 [47.166365]</v>
      </c>
      <c r="J118">
        <f>IF(FT!B118&lt;&gt;"",FT!C118,"")</f>
        <v>47.166400000000003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4.0408400000000002</v>
      </c>
      <c r="G119" s="61">
        <f>IF(FT!B119&lt;&gt;"",FT!B119*100,"")</f>
        <v>44.126599999999996</v>
      </c>
      <c r="H119" s="61">
        <f t="shared" si="9"/>
        <v>1</v>
      </c>
      <c r="I119" t="str">
        <f>IF(FT!B119&lt;&gt;"",FT!E119,"")</f>
        <v>2 [47.572306]</v>
      </c>
      <c r="J119">
        <f>IF(FT!B119&lt;&gt;"",FT!C119,"")</f>
        <v>47.572299999999998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4.0602999999999998</v>
      </c>
      <c r="G120" s="61">
        <f>IF(FT!B120&lt;&gt;"",FT!B120*100,"")</f>
        <v>43.473099999999995</v>
      </c>
      <c r="H120" s="61">
        <f t="shared" si="9"/>
        <v>1</v>
      </c>
      <c r="I120" t="str">
        <f>IF(FT!B120&lt;&gt;"",FT!E120,"")</f>
        <v>2 [47.978255]</v>
      </c>
      <c r="J120">
        <f>IF(FT!B120&lt;&gt;"",FT!C120,"")</f>
        <v>47.978299999999997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160284</v>
      </c>
      <c r="D121" s="61">
        <f>FH!B121*1</f>
        <v>160284</v>
      </c>
      <c r="E121">
        <f t="shared" si="11"/>
        <v>119</v>
      </c>
      <c r="F121" s="61">
        <f>IF(FT!A121&lt;&gt;"",FT!A121*10,"")</f>
        <v>4.0774600000000003</v>
      </c>
      <c r="G121" s="61">
        <f>IF(FT!B121&lt;&gt;"",FT!B121*100,"")</f>
        <v>42.8337</v>
      </c>
      <c r="H121" s="61">
        <f t="shared" si="9"/>
        <v>1</v>
      </c>
      <c r="I121" t="str">
        <f>IF(FT!B121&lt;&gt;"",FT!E121,"")</f>
        <v>2 [48.383768]</v>
      </c>
      <c r="J121">
        <f>IF(FT!B121&lt;&gt;"",FT!C121,"")</f>
        <v>48.383800000000001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4.0913199999999996</v>
      </c>
      <c r="G122" s="61">
        <f>IF(FT!B122&lt;&gt;"",FT!B122*100,"")</f>
        <v>42.164499999999997</v>
      </c>
      <c r="H122" s="61">
        <f t="shared" si="9"/>
        <v>1</v>
      </c>
      <c r="I122" t="str">
        <f>IF(FT!B122&lt;&gt;"",FT!E122,"")</f>
        <v>2 [48.792065]</v>
      </c>
      <c r="J122">
        <f>IF(FT!B122&lt;&gt;"",FT!C122,"")</f>
        <v>48.792099999999998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4.10337</v>
      </c>
      <c r="G123" s="61">
        <f>IF(FT!B123&lt;&gt;"",FT!B123*100,"")</f>
        <v>41.6126</v>
      </c>
      <c r="H123" s="61">
        <f t="shared" si="9"/>
        <v>1</v>
      </c>
      <c r="I123" t="str">
        <f>IF(FT!B123&lt;&gt;"",FT!E123,"")</f>
        <v>2 [49.198349]</v>
      </c>
      <c r="J123">
        <f>IF(FT!B123&lt;&gt;"",FT!C123,"")</f>
        <v>49.198300000000003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145040</v>
      </c>
      <c r="D124" s="61">
        <f>FH!B124*1</f>
        <v>145040</v>
      </c>
      <c r="E124">
        <f t="shared" si="11"/>
        <v>122</v>
      </c>
      <c r="F124" s="61">
        <f>IF(FT!A124&lt;&gt;"",FT!A124*10,"")</f>
        <v>4.1110799999999994</v>
      </c>
      <c r="G124" s="61">
        <f>IF(FT!B124&lt;&gt;"",FT!B124*100,"")</f>
        <v>41.065300000000001</v>
      </c>
      <c r="H124" s="61">
        <f t="shared" si="9"/>
        <v>1</v>
      </c>
      <c r="I124" t="str">
        <f>IF(FT!B124&lt;&gt;"",FT!E124,"")</f>
        <v>2 [49.604202]</v>
      </c>
      <c r="J124">
        <f>IF(FT!B124&lt;&gt;"",FT!C124,"")</f>
        <v>49.604199999999999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4.1154999999999999</v>
      </c>
      <c r="G125" s="61">
        <f>IF(FT!B125&lt;&gt;"",FT!B125*100,"")</f>
        <v>40.640300000000003</v>
      </c>
      <c r="H125" s="61">
        <f t="shared" si="9"/>
        <v>1</v>
      </c>
      <c r="I125" t="str">
        <f>IF(FT!B125&lt;&gt;"",FT!E125,"")</f>
        <v>2 [50.012822]</v>
      </c>
      <c r="J125">
        <f>IF(FT!B125&lt;&gt;"",FT!C125,"")</f>
        <v>50.012799999999999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136962</v>
      </c>
      <c r="D126" s="61">
        <f>FH!B126*1</f>
        <v>136962</v>
      </c>
      <c r="E126">
        <f t="shared" si="11"/>
        <v>124</v>
      </c>
      <c r="F126" s="61">
        <f>IF(FT!A126&lt;&gt;"",FT!A126*10,"")</f>
        <v>4.1185600000000004</v>
      </c>
      <c r="G126" s="61">
        <f>IF(FT!B126&lt;&gt;"",FT!B126*100,"")</f>
        <v>40.3093</v>
      </c>
      <c r="H126" s="61">
        <f t="shared" si="9"/>
        <v>1</v>
      </c>
      <c r="I126" t="str">
        <f>IF(FT!B126&lt;&gt;"",FT!E126,"")</f>
        <v>2 [50.417127]</v>
      </c>
      <c r="J126">
        <f>IF(FT!B126&lt;&gt;"",FT!C126,"")</f>
        <v>50.417099999999998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4.1246700000000001</v>
      </c>
      <c r="G127" s="61">
        <f>IF(FT!B127&lt;&gt;"",FT!B127*100,"")</f>
        <v>39.9208</v>
      </c>
      <c r="H127" s="61">
        <f t="shared" si="9"/>
        <v>1</v>
      </c>
      <c r="I127" t="str">
        <f>IF(FT!B127&lt;&gt;"",FT!E127,"")</f>
        <v>2 [50.823151]</v>
      </c>
      <c r="J127">
        <f>IF(FT!B127&lt;&gt;"",FT!C127,"")</f>
        <v>50.8232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4.1287099999999999</v>
      </c>
      <c r="G128" s="61">
        <f>IF(FT!B128&lt;&gt;"",FT!B128*100,"")</f>
        <v>39.477000000000004</v>
      </c>
      <c r="H128" s="61">
        <f t="shared" si="9"/>
        <v>1</v>
      </c>
      <c r="I128" t="str">
        <f>IF(FT!B128&lt;&gt;"",FT!E128,"")</f>
        <v>2 [51.230513]</v>
      </c>
      <c r="J128">
        <f>IF(FT!B128&lt;&gt;"",FT!C128,"")</f>
        <v>51.230499999999999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131157</v>
      </c>
      <c r="D129" s="61">
        <f>FH!B129*1</f>
        <v>131157</v>
      </c>
      <c r="E129">
        <f t="shared" si="11"/>
        <v>127</v>
      </c>
      <c r="F129" s="61">
        <f>IF(FT!A129&lt;&gt;"",FT!A129*10,"")</f>
        <v>4.1345399999999994</v>
      </c>
      <c r="G129" s="61">
        <f>IF(FT!B129&lt;&gt;"",FT!B129*100,"")</f>
        <v>39.066400000000002</v>
      </c>
      <c r="H129" s="61">
        <f t="shared" si="9"/>
        <v>1</v>
      </c>
      <c r="I129" t="str">
        <f>IF(FT!B129&lt;&gt;"",FT!E129,"")</f>
        <v>2 [51.636147]</v>
      </c>
      <c r="J129">
        <f>IF(FT!B129&lt;&gt;"",FT!C129,"")</f>
        <v>51.636099999999999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4.1407699999999998</v>
      </c>
      <c r="G130" s="61">
        <f>IF(FT!B130&lt;&gt;"",FT!B130*100,"")</f>
        <v>38.664100000000005</v>
      </c>
      <c r="H130" s="61">
        <f t="shared" si="9"/>
        <v>1</v>
      </c>
      <c r="I130" t="str">
        <f>IF(FT!B130&lt;&gt;"",FT!E130,"")</f>
        <v>2 [52.039538]</v>
      </c>
      <c r="J130">
        <f>IF(FT!B130&lt;&gt;"",FT!C130,"")</f>
        <v>52.039499999999997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125600</v>
      </c>
      <c r="D131" s="61">
        <f>FH!B131*1</f>
        <v>125600</v>
      </c>
      <c r="E131">
        <f t="shared" si="11"/>
        <v>129</v>
      </c>
      <c r="F131" s="61">
        <f>IF(FT!A131&lt;&gt;"",FT!A131*10,"")</f>
        <v>4.1477199999999996</v>
      </c>
      <c r="G131" s="61">
        <f>IF(FT!B131&lt;&gt;"",FT!B131*100,"")</f>
        <v>38.283299999999997</v>
      </c>
      <c r="H131" s="61">
        <f t="shared" ref="H131:H194" si="13">(IF(F131&lt;&gt;"",1,""))</f>
        <v>1</v>
      </c>
      <c r="I131" t="str">
        <f>IF(FT!B131&lt;&gt;"",FT!E131,"")</f>
        <v>2 [52.449604]</v>
      </c>
      <c r="J131">
        <f>IF(FT!B131&lt;&gt;"",FT!C131,"")</f>
        <v>52.449599999999997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4.1576599999999999</v>
      </c>
      <c r="G132" s="61">
        <f>IF(FT!B132&lt;&gt;"",FT!B132*100,"")</f>
        <v>37.866799999999998</v>
      </c>
      <c r="H132" s="61">
        <f t="shared" si="13"/>
        <v>1</v>
      </c>
      <c r="I132" t="str">
        <f>IF(FT!B132&lt;&gt;"",FT!E132,"")</f>
        <v>2 [52.854657]</v>
      </c>
      <c r="J132">
        <f>IF(FT!B132&lt;&gt;"",FT!C132,"")</f>
        <v>52.854700000000001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4.1672199999999995</v>
      </c>
      <c r="G133" s="61">
        <f>IF(FT!B133&lt;&gt;"",FT!B133*100,"")</f>
        <v>37.452300000000001</v>
      </c>
      <c r="H133" s="61">
        <f t="shared" si="13"/>
        <v>1</v>
      </c>
      <c r="I133" t="str">
        <f>IF(FT!B133&lt;&gt;"",FT!E133,"")</f>
        <v>2 [53.259896]</v>
      </c>
      <c r="J133">
        <f>IF(FT!B133&lt;&gt;"",FT!C133,"")</f>
        <v>53.259900000000002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104246</v>
      </c>
      <c r="D134" s="61">
        <f>FH!B134*1</f>
        <v>104246</v>
      </c>
      <c r="E134">
        <f t="shared" si="15"/>
        <v>132</v>
      </c>
      <c r="F134" s="61">
        <f>IF(FT!A134&lt;&gt;"",FT!A134*10,"")</f>
        <v>4.1791900000000002</v>
      </c>
      <c r="G134" s="61">
        <f>IF(FT!B134&lt;&gt;"",FT!B134*100,"")</f>
        <v>37.0642</v>
      </c>
      <c r="H134" s="61">
        <f t="shared" si="13"/>
        <v>1</v>
      </c>
      <c r="I134" t="str">
        <f>IF(FT!B134&lt;&gt;"",FT!E134,"")</f>
        <v>2 [53.666812]</v>
      </c>
      <c r="J134">
        <f>IF(FT!B134&lt;&gt;"",FT!C134,"")</f>
        <v>53.666800000000002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4.1914899999999999</v>
      </c>
      <c r="G135" s="61">
        <f>IF(FT!B135&lt;&gt;"",FT!B135*100,"")</f>
        <v>36.710900000000002</v>
      </c>
      <c r="H135" s="61">
        <f t="shared" si="13"/>
        <v>1</v>
      </c>
      <c r="I135" t="str">
        <f>IF(FT!B135&lt;&gt;"",FT!E135,"")</f>
        <v>2 [54.075011]</v>
      </c>
      <c r="J135">
        <f>IF(FT!B135&lt;&gt;"",FT!C135,"")</f>
        <v>54.075000000000003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95558</v>
      </c>
      <c r="D136" s="61">
        <f>FH!B136*1</f>
        <v>95558</v>
      </c>
      <c r="E136">
        <f t="shared" si="15"/>
        <v>134</v>
      </c>
      <c r="F136" s="61">
        <f>IF(FT!A136&lt;&gt;"",FT!A136*10,"")</f>
        <v>4.2017500000000005</v>
      </c>
      <c r="G136" s="61">
        <f>IF(FT!B136&lt;&gt;"",FT!B136*100,"")</f>
        <v>36.379800000000003</v>
      </c>
      <c r="H136" s="61">
        <f t="shared" si="13"/>
        <v>1</v>
      </c>
      <c r="I136" t="str">
        <f>IF(FT!B136&lt;&gt;"",FT!E136,"")</f>
        <v>2 [54.479896]</v>
      </c>
      <c r="J136">
        <f>IF(FT!B136&lt;&gt;"",FT!C136,"")</f>
        <v>54.479900000000001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4.2129099999999999</v>
      </c>
      <c r="G137" s="61">
        <f>IF(FT!B137&lt;&gt;"",FT!B137*100,"")</f>
        <v>36.169699999999999</v>
      </c>
      <c r="H137" s="61">
        <f t="shared" si="13"/>
        <v>1</v>
      </c>
      <c r="I137" t="str">
        <f>IF(FT!B137&lt;&gt;"",FT!E137,"")</f>
        <v>2 [54.885875]</v>
      </c>
      <c r="J137">
        <f>IF(FT!B137&lt;&gt;"",FT!C137,"")</f>
        <v>54.885899999999999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4.2268299999999996</v>
      </c>
      <c r="G138" s="61">
        <f>IF(FT!B138&lt;&gt;"",FT!B138*100,"")</f>
        <v>35.932600000000001</v>
      </c>
      <c r="H138" s="61">
        <f t="shared" si="13"/>
        <v>1</v>
      </c>
      <c r="I138" t="str">
        <f>IF(FT!B138&lt;&gt;"",FT!E138,"")</f>
        <v>2 [55.290055]</v>
      </c>
      <c r="J138">
        <f>IF(FT!B138&lt;&gt;"",FT!C138,"")</f>
        <v>55.290100000000002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86918</v>
      </c>
      <c r="D139" s="61">
        <f>FH!B139*1</f>
        <v>86918</v>
      </c>
      <c r="E139">
        <f t="shared" si="15"/>
        <v>137</v>
      </c>
      <c r="F139" s="61">
        <f>IF(FT!A139&lt;&gt;"",FT!A139*10,"")</f>
        <v>4.2387200000000007</v>
      </c>
      <c r="G139" s="61">
        <f>IF(FT!B139&lt;&gt;"",FT!B139*100,"")</f>
        <v>35.661100000000005</v>
      </c>
      <c r="H139" s="61">
        <f t="shared" si="13"/>
        <v>1</v>
      </c>
      <c r="I139" t="str">
        <f>IF(FT!B139&lt;&gt;"",FT!E139,"")</f>
        <v>2 [55.698003]</v>
      </c>
      <c r="J139">
        <f>IF(FT!B139&lt;&gt;"",FT!C139,"")</f>
        <v>55.698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4.2466699999999999</v>
      </c>
      <c r="G140" s="61">
        <f>IF(FT!B140&lt;&gt;"",FT!B140*100,"")</f>
        <v>35.429500000000004</v>
      </c>
      <c r="H140" s="61">
        <f t="shared" si="13"/>
        <v>1</v>
      </c>
      <c r="I140" t="str">
        <f>IF(FT!B140&lt;&gt;"",FT!E140,"")</f>
        <v>2 [56.105858]</v>
      </c>
      <c r="J140">
        <f>IF(FT!B140&lt;&gt;"",FT!C140,"")</f>
        <v>56.105899999999998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4.2521700000000004</v>
      </c>
      <c r="G141" s="61">
        <f>IF(FT!B141&lt;&gt;"",FT!B141*100,"")</f>
        <v>35.229300000000002</v>
      </c>
      <c r="H141" s="61">
        <f t="shared" si="13"/>
        <v>1</v>
      </c>
      <c r="I141" t="str">
        <f>IF(FT!B141&lt;&gt;"",FT!E141,"")</f>
        <v>2 [56.512131]</v>
      </c>
      <c r="J141">
        <f>IF(FT!B141&lt;&gt;"",FT!C141,"")</f>
        <v>56.512099999999997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75661</v>
      </c>
      <c r="D142" s="61">
        <f>FH!B142*1</f>
        <v>75661</v>
      </c>
      <c r="E142">
        <f t="shared" si="15"/>
        <v>140</v>
      </c>
      <c r="F142" s="61">
        <f>IF(FT!A142&lt;&gt;"",FT!A142*10,"")</f>
        <v>4.2538599999999995</v>
      </c>
      <c r="G142" s="61">
        <f>IF(FT!B142&lt;&gt;"",FT!B142*100,"")</f>
        <v>35.105599999999995</v>
      </c>
      <c r="H142" s="61">
        <f t="shared" si="13"/>
        <v>1</v>
      </c>
      <c r="I142" t="str">
        <f>IF(FT!B142&lt;&gt;"",FT!E142,"")</f>
        <v>2 [56.915523]</v>
      </c>
      <c r="J142">
        <f>IF(FT!B142&lt;&gt;"",FT!C142,"")</f>
        <v>56.915500000000002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4.2449399999999997</v>
      </c>
      <c r="G143" s="61">
        <f>IF(FT!B143&lt;&gt;"",FT!B143*100,"")</f>
        <v>35.124699999999997</v>
      </c>
      <c r="H143" s="61">
        <f t="shared" si="13"/>
        <v>1</v>
      </c>
      <c r="I143" t="str">
        <f>IF(FT!B143&lt;&gt;"",FT!E143,"")</f>
        <v>2 [57.321118]</v>
      </c>
      <c r="J143">
        <f>IF(FT!B143&lt;&gt;"",FT!C143,"")</f>
        <v>57.321100000000001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73014</v>
      </c>
      <c r="D144" s="61">
        <f>FH!B144*1</f>
        <v>73014</v>
      </c>
      <c r="E144">
        <f t="shared" si="15"/>
        <v>142</v>
      </c>
      <c r="F144" s="61">
        <f>IF(FT!A144&lt;&gt;"",FT!A144*10,"")</f>
        <v>4.24444</v>
      </c>
      <c r="G144" s="61">
        <f>IF(FT!B144&lt;&gt;"",FT!B144*100,"")</f>
        <v>35.054699999999997</v>
      </c>
      <c r="H144" s="61">
        <f t="shared" si="13"/>
        <v>1</v>
      </c>
      <c r="I144" t="str">
        <f>IF(FT!B144&lt;&gt;"",FT!E144,"")</f>
        <v>2 [57.733333]</v>
      </c>
      <c r="J144">
        <f>IF(FT!B144&lt;&gt;"",FT!C144,"")</f>
        <v>57.7333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4.2507799999999998</v>
      </c>
      <c r="G145" s="61">
        <f>IF(FT!B145&lt;&gt;"",FT!B145*100,"")</f>
        <v>34.984099999999998</v>
      </c>
      <c r="H145" s="61">
        <f t="shared" si="13"/>
        <v>1</v>
      </c>
      <c r="I145" t="str">
        <f>IF(FT!B145&lt;&gt;"",FT!E145,"")</f>
        <v>2 [58.138104]</v>
      </c>
      <c r="J145">
        <f>IF(FT!B145&lt;&gt;"",FT!C145,"")</f>
        <v>58.138100000000001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4.2572399999999995</v>
      </c>
      <c r="G146" s="61">
        <f>IF(FT!B146&lt;&gt;"",FT!B146*100,"")</f>
        <v>34.856099999999998</v>
      </c>
      <c r="H146" s="61">
        <f t="shared" si="13"/>
        <v>1</v>
      </c>
      <c r="I146" t="str">
        <f>IF(FT!B146&lt;&gt;"",FT!E146,"")</f>
        <v>2 [58.546768]</v>
      </c>
      <c r="J146">
        <f>IF(FT!B146&lt;&gt;"",FT!C146,"")</f>
        <v>58.546799999999998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68059</v>
      </c>
      <c r="D147" s="61">
        <f>FH!B147*1</f>
        <v>68059</v>
      </c>
      <c r="E147">
        <f t="shared" si="15"/>
        <v>145</v>
      </c>
      <c r="F147" s="61">
        <f>IF(FT!A147&lt;&gt;"",FT!A147*10,"")</f>
        <v>4.2705399999999996</v>
      </c>
      <c r="G147" s="61">
        <f>IF(FT!B147&lt;&gt;"",FT!B147*100,"")</f>
        <v>35.119499999999995</v>
      </c>
      <c r="H147" s="61">
        <f t="shared" si="13"/>
        <v>1</v>
      </c>
      <c r="I147" t="str">
        <f>IF(FT!B147&lt;&gt;"",FT!E147,"")</f>
        <v>2 [58.947653]</v>
      </c>
      <c r="J147">
        <f>IF(FT!B147&lt;&gt;"",FT!C147,"")</f>
        <v>58.947699999999998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4.2662399999999998</v>
      </c>
      <c r="G148" s="61">
        <f>IF(FT!B148&lt;&gt;"",FT!B148*100,"")</f>
        <v>34.544499999999999</v>
      </c>
      <c r="H148" s="61">
        <f t="shared" si="13"/>
        <v>1</v>
      </c>
      <c r="I148" t="str">
        <f>IF(FT!B148&lt;&gt;"",FT!E148,"")</f>
        <v>2 [59.355538]</v>
      </c>
      <c r="J148">
        <f>IF(FT!B148&lt;&gt;"",FT!C148,"")</f>
        <v>59.355499999999999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64952</v>
      </c>
      <c r="D149" s="61">
        <f>FH!B149*1</f>
        <v>64952</v>
      </c>
      <c r="E149">
        <f t="shared" si="15"/>
        <v>147</v>
      </c>
      <c r="F149" s="61">
        <f>IF(FT!A149&lt;&gt;"",FT!A149*10,"")</f>
        <v>4.2834099999999999</v>
      </c>
      <c r="G149" s="61">
        <f>IF(FT!B149&lt;&gt;"",FT!B149*100,"")</f>
        <v>33.915800000000004</v>
      </c>
      <c r="H149" s="61">
        <f t="shared" si="13"/>
        <v>1</v>
      </c>
      <c r="I149" t="str">
        <f>IF(FT!B149&lt;&gt;"",FT!E149,"")</f>
        <v>2 [59.763507]</v>
      </c>
      <c r="J149">
        <f>IF(FT!B149&lt;&gt;"",FT!C149,"")</f>
        <v>59.763500000000001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56789</v>
      </c>
      <c r="D152" s="61">
        <f>FH!B152*1</f>
        <v>56789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48093</v>
      </c>
      <c r="D154" s="61">
        <f>FH!B154*1</f>
        <v>48093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43021</v>
      </c>
      <c r="D157" s="61">
        <f>FH!B157*1</f>
        <v>43021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39921</v>
      </c>
      <c r="D160" s="61">
        <f>FH!B160*1</f>
        <v>39921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37203</v>
      </c>
      <c r="D162" s="61">
        <f>FH!B162*1</f>
        <v>37203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30639</v>
      </c>
      <c r="D165" s="61">
        <f>FH!B165*1</f>
        <v>30639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25615</v>
      </c>
      <c r="D167" s="61">
        <f>FH!B167*1</f>
        <v>25615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20849</v>
      </c>
      <c r="D170" s="61">
        <f>FH!B170*1</f>
        <v>20849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18575</v>
      </c>
      <c r="D173" s="61">
        <f>FH!B173*1</f>
        <v>18575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11820</v>
      </c>
      <c r="D175" s="61">
        <f>FH!B175*1</f>
        <v>11820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9568</v>
      </c>
      <c r="D178" s="61">
        <f>FH!B178*1</f>
        <v>9568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6874</v>
      </c>
      <c r="D180" s="61">
        <f>FH!B180*1</f>
        <v>6874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4436</v>
      </c>
      <c r="D183" s="61">
        <f>FH!B183*1</f>
        <v>4436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3321</v>
      </c>
      <c r="D185" s="61">
        <f>FH!B185*1</f>
        <v>3321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3082</v>
      </c>
      <c r="D188" s="61">
        <f>FH!B188*1</f>
        <v>3082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3436</v>
      </c>
      <c r="D191" s="61">
        <f>FH!B191*1</f>
        <v>3436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2684</v>
      </c>
      <c r="D193" s="61">
        <f>FH!B193*1</f>
        <v>2684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2672</v>
      </c>
      <c r="D196" s="61">
        <f>FH!B196*1</f>
        <v>2672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1738</v>
      </c>
      <c r="D198" s="61">
        <f>FH!B198*1</f>
        <v>1738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907</v>
      </c>
      <c r="D201" s="61">
        <f>FH!B201*1</f>
        <v>907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624</v>
      </c>
      <c r="D203" s="61">
        <f>FH!B203*1</f>
        <v>624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161</v>
      </c>
      <c r="D206" s="61">
        <f>FH!B206*1</f>
        <v>161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149</v>
      </c>
      <c r="D209" s="61">
        <f>FH!B209*1</f>
        <v>149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50</v>
      </c>
      <c r="D211" s="61">
        <f>FH!B211*1</f>
        <v>50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50</v>
      </c>
      <c r="D214" s="61">
        <f>FH!B214*1</f>
        <v>50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38.5854</v>
      </c>
      <c r="C5" s="66">
        <v>7.7843600000000004</v>
      </c>
      <c r="D5" s="66">
        <v>20.174399999999999</v>
      </c>
      <c r="E5" s="66">
        <v>20</v>
      </c>
      <c r="F5" s="66">
        <v>11.8957</v>
      </c>
      <c r="G5" s="66">
        <v>50</v>
      </c>
      <c r="H5" s="66">
        <v>54.651299999999999</v>
      </c>
    </row>
    <row r="6" spans="1:8">
      <c r="A6" s="58" t="s">
        <v>303</v>
      </c>
      <c r="B6" s="66">
        <v>25.0609</v>
      </c>
      <c r="C6" s="66">
        <v>3.2304499999999998</v>
      </c>
      <c r="D6" s="66">
        <v>12.8904</v>
      </c>
      <c r="E6" s="66">
        <v>20</v>
      </c>
      <c r="F6" s="66">
        <v>17.200600000000001</v>
      </c>
      <c r="G6" s="66">
        <v>40</v>
      </c>
      <c r="H6" s="66">
        <v>30.196100000000001</v>
      </c>
    </row>
    <row r="7" spans="1:8">
      <c r="A7" s="58" t="s">
        <v>304</v>
      </c>
      <c r="B7" s="66">
        <v>27.481999999999999</v>
      </c>
      <c r="C7" s="66">
        <v>8.0501699999999996</v>
      </c>
      <c r="D7" s="66">
        <v>29.2926</v>
      </c>
      <c r="E7" s="66">
        <v>15</v>
      </c>
      <c r="F7" s="66">
        <v>7.5781999999999998</v>
      </c>
      <c r="G7" s="66">
        <v>40</v>
      </c>
      <c r="H7" s="66">
        <v>55.6663</v>
      </c>
    </row>
    <row r="8" spans="1:8">
      <c r="A8" s="58" t="s">
        <v>305</v>
      </c>
      <c r="B8" s="66">
        <v>29.113399999999999</v>
      </c>
      <c r="C8" s="66">
        <v>3.29949</v>
      </c>
      <c r="D8" s="66">
        <v>11.3332</v>
      </c>
      <c r="E8" s="66">
        <v>20</v>
      </c>
      <c r="F8" s="66">
        <v>22.5989</v>
      </c>
      <c r="G8" s="66">
        <v>50</v>
      </c>
      <c r="H8" s="66">
        <v>38.026000000000003</v>
      </c>
    </row>
    <row r="9" spans="1:8">
      <c r="A9" s="58" t="s">
        <v>306</v>
      </c>
      <c r="B9" s="66">
        <v>74.322100000000006</v>
      </c>
      <c r="C9" s="66">
        <v>4.2465400000000004</v>
      </c>
      <c r="D9" s="66">
        <v>5.7137000000000002</v>
      </c>
      <c r="E9" s="66">
        <v>50</v>
      </c>
      <c r="F9" s="66">
        <v>62.3005</v>
      </c>
      <c r="G9" s="66">
        <v>100</v>
      </c>
      <c r="H9" s="66">
        <v>87.094099999999997</v>
      </c>
    </row>
    <row r="10" spans="1:8">
      <c r="A10" s="58" t="s">
        <v>307</v>
      </c>
      <c r="B10" s="66">
        <v>81.814099999999996</v>
      </c>
      <c r="C10" s="66">
        <v>2.70356</v>
      </c>
      <c r="D10" s="66">
        <v>3.3045100000000001</v>
      </c>
      <c r="E10" s="66">
        <v>40</v>
      </c>
      <c r="F10" s="66">
        <v>73.114699999999999</v>
      </c>
      <c r="G10" s="66">
        <v>100</v>
      </c>
      <c r="H10" s="66">
        <v>86.919200000000004</v>
      </c>
    </row>
    <row r="11" spans="1:8">
      <c r="A11" s="58" t="s">
        <v>308</v>
      </c>
      <c r="B11" s="66">
        <v>28.934100000000001</v>
      </c>
      <c r="C11" s="66">
        <v>5.7408900000000003</v>
      </c>
      <c r="D11" s="66">
        <v>19.841200000000001</v>
      </c>
      <c r="E11" s="66">
        <v>10</v>
      </c>
      <c r="F11" s="66">
        <v>7.97403</v>
      </c>
      <c r="G11" s="66">
        <v>50</v>
      </c>
      <c r="H11" s="66">
        <v>33.898899999999998</v>
      </c>
    </row>
    <row r="12" spans="1:8">
      <c r="A12" s="58" t="s">
        <v>309</v>
      </c>
      <c r="B12" s="66">
        <v>77.7</v>
      </c>
      <c r="C12" s="66">
        <v>2.8166699999999998</v>
      </c>
      <c r="D12" s="66">
        <v>3.6250599999999999</v>
      </c>
      <c r="E12" s="66">
        <v>50</v>
      </c>
      <c r="F12" s="66">
        <v>70.494</v>
      </c>
      <c r="G12" s="66">
        <v>100</v>
      </c>
      <c r="H12" s="66">
        <v>85.775099999999995</v>
      </c>
    </row>
    <row r="13" spans="1:8">
      <c r="A13" s="58" t="s">
        <v>310</v>
      </c>
      <c r="B13" s="66">
        <v>17.574300000000001</v>
      </c>
      <c r="C13" s="66">
        <v>2.2953600000000001</v>
      </c>
      <c r="D13" s="66">
        <v>13.0609</v>
      </c>
      <c r="E13" s="66">
        <v>10</v>
      </c>
      <c r="F13" s="66">
        <v>12.2117</v>
      </c>
      <c r="G13" s="66">
        <v>25</v>
      </c>
      <c r="H13" s="66">
        <v>24.06</v>
      </c>
    </row>
    <row r="14" spans="1:8">
      <c r="A14" s="58" t="s">
        <v>311</v>
      </c>
      <c r="B14" s="66">
        <v>22.953600000000002</v>
      </c>
      <c r="C14" s="66">
        <v>7.9569700000000001</v>
      </c>
      <c r="D14" s="66">
        <v>34.665500000000002</v>
      </c>
      <c r="E14" s="66">
        <v>10</v>
      </c>
      <c r="F14" s="66">
        <v>0.66807899999999998</v>
      </c>
      <c r="G14" s="66">
        <v>50</v>
      </c>
      <c r="H14" s="66">
        <v>25.56</v>
      </c>
    </row>
    <row r="15" spans="1:8">
      <c r="A15" s="58" t="s">
        <v>312</v>
      </c>
      <c r="B15" s="66">
        <v>3.0198699999999998E-2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-9.31594E-4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15.3901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0.468858</v>
      </c>
      <c r="C18" s="66">
        <v>7.4835299999999993E-2</v>
      </c>
      <c r="D18" s="66">
        <v>0.159612</v>
      </c>
      <c r="E18" s="66">
        <v>0</v>
      </c>
      <c r="F18" s="66">
        <v>0.39402300000000001</v>
      </c>
      <c r="G18" s="66">
        <v>0</v>
      </c>
      <c r="H18" s="66">
        <v>0.54369400000000001</v>
      </c>
    </row>
    <row r="19" spans="1:8">
      <c r="A19" s="58" t="s">
        <v>316</v>
      </c>
      <c r="B19" s="66">
        <v>0.51647799999999999</v>
      </c>
      <c r="C19" s="66">
        <v>1.29336E-2</v>
      </c>
      <c r="D19" s="66">
        <v>2.5041899999999999E-2</v>
      </c>
      <c r="E19" s="66">
        <v>0</v>
      </c>
      <c r="F19" s="66">
        <v>0.50354500000000002</v>
      </c>
      <c r="G19" s="66">
        <v>0</v>
      </c>
      <c r="H19" s="66">
        <v>0.52941199999999999</v>
      </c>
    </row>
    <row r="20" spans="1:8">
      <c r="A20" s="58" t="s">
        <v>317</v>
      </c>
      <c r="B20" s="66">
        <v>3.6207000000000001E-3</v>
      </c>
      <c r="C20" s="66">
        <v>3.1245700000000001E-2</v>
      </c>
      <c r="D20" s="66">
        <v>8.6297300000000003</v>
      </c>
      <c r="E20" s="66">
        <v>0</v>
      </c>
      <c r="F20" s="66">
        <v>1.47164E-3</v>
      </c>
      <c r="G20" s="66">
        <v>0</v>
      </c>
      <c r="H20" s="66">
        <v>0.38066699999999998</v>
      </c>
    </row>
    <row r="21" spans="1:8">
      <c r="A21" s="58" t="s">
        <v>318</v>
      </c>
      <c r="B21" s="66">
        <v>0.14075499999999999</v>
      </c>
      <c r="C21" s="66">
        <v>0.47913299999999998</v>
      </c>
      <c r="D21" s="66">
        <v>3.40402</v>
      </c>
      <c r="E21" s="66">
        <v>0</v>
      </c>
      <c r="F21" s="66">
        <v>6.5684999999999997E-3</v>
      </c>
      <c r="G21" s="66">
        <v>0</v>
      </c>
      <c r="H21" s="66">
        <v>3.5033799999999999</v>
      </c>
    </row>
    <row r="22" spans="1:8">
      <c r="A22" s="58" t="s">
        <v>319</v>
      </c>
      <c r="B22" s="66">
        <v>30.247900000000001</v>
      </c>
      <c r="C22" s="66">
        <v>11.7904</v>
      </c>
      <c r="D22" s="66">
        <v>0.389793</v>
      </c>
      <c r="E22" s="66">
        <v>0</v>
      </c>
      <c r="F22" s="66">
        <v>18.724499999999999</v>
      </c>
      <c r="G22" s="66">
        <v>0</v>
      </c>
      <c r="H22" s="66">
        <v>81.625500000000002</v>
      </c>
    </row>
    <row r="23" spans="1:8">
      <c r="A23" s="58" t="s">
        <v>320</v>
      </c>
      <c r="B23" s="66">
        <v>15.6349</v>
      </c>
      <c r="C23" s="66">
        <v>3.5906199999999999</v>
      </c>
      <c r="D23" s="66">
        <v>0.229654</v>
      </c>
      <c r="E23" s="66">
        <v>0</v>
      </c>
      <c r="F23" s="66">
        <v>5.6337099999999998</v>
      </c>
      <c r="G23" s="66">
        <v>0</v>
      </c>
      <c r="H23" s="66">
        <v>22.192900000000002</v>
      </c>
    </row>
    <row r="24" spans="1:8">
      <c r="A24" s="58" t="s">
        <v>321</v>
      </c>
      <c r="B24" s="66">
        <v>4.5315599999999996E-3</v>
      </c>
      <c r="C24" s="66">
        <v>2.7570000000000001E-2</v>
      </c>
      <c r="D24" s="66">
        <v>6.08399</v>
      </c>
      <c r="E24" s="66">
        <v>0</v>
      </c>
      <c r="F24" s="66">
        <v>2.23894E-3</v>
      </c>
      <c r="G24" s="66">
        <v>0</v>
      </c>
      <c r="H24" s="66">
        <v>0.25389099999999998</v>
      </c>
    </row>
    <row r="25" spans="1:8">
      <c r="A25" s="58" t="s">
        <v>322</v>
      </c>
      <c r="B25" s="66">
        <v>0.162185</v>
      </c>
      <c r="C25" s="66">
        <v>0.33621000000000001</v>
      </c>
      <c r="D25" s="66">
        <v>2.0729899999999999</v>
      </c>
      <c r="E25" s="66">
        <v>0</v>
      </c>
      <c r="F25" s="66">
        <v>4.93404E-2</v>
      </c>
      <c r="G25" s="66">
        <v>0</v>
      </c>
      <c r="H25" s="66">
        <v>1.6670499999999999</v>
      </c>
    </row>
    <row r="26" spans="1:8">
      <c r="A26" s="58" t="s">
        <v>323</v>
      </c>
      <c r="B26" s="66">
        <v>7.5663100000000001E-4</v>
      </c>
      <c r="C26" s="66">
        <v>4.9866700000000003E-3</v>
      </c>
      <c r="D26" s="66">
        <v>6.59063</v>
      </c>
      <c r="E26" s="66">
        <v>0</v>
      </c>
      <c r="F26" s="66">
        <v>2.7245299999999997E-4</v>
      </c>
      <c r="G26" s="66">
        <v>0</v>
      </c>
      <c r="H26" s="66">
        <v>4.9547000000000001E-2</v>
      </c>
    </row>
    <row r="27" spans="1:8">
      <c r="A27" s="58" t="s">
        <v>324</v>
      </c>
      <c r="B27" s="196">
        <v>-3.2825599999999999E-6</v>
      </c>
      <c r="C27" s="66">
        <v>1.46185E-3</v>
      </c>
      <c r="D27" s="66">
        <v>-445.33800000000002</v>
      </c>
      <c r="E27" s="66">
        <v>0</v>
      </c>
      <c r="F27" s="66">
        <v>-1.8221500000000002E-2</v>
      </c>
      <c r="G27" s="66">
        <v>0</v>
      </c>
      <c r="H27" s="66">
        <v>1.5067000000000001E-2</v>
      </c>
    </row>
    <row r="28" spans="1:8">
      <c r="A28" s="58" t="s">
        <v>325</v>
      </c>
      <c r="B28" s="66">
        <v>2.3808599999999999E-2</v>
      </c>
      <c r="C28" s="66">
        <v>3.5537399999999997E-2</v>
      </c>
      <c r="D28" s="66">
        <v>1.4926299999999999</v>
      </c>
      <c r="E28" s="66">
        <v>0</v>
      </c>
      <c r="F28" s="66">
        <v>1.27279E-3</v>
      </c>
      <c r="G28" s="66">
        <v>0</v>
      </c>
      <c r="H28" s="66">
        <v>0.20391599999999999</v>
      </c>
    </row>
    <row r="29" spans="1:8">
      <c r="A29" s="58" t="s">
        <v>326</v>
      </c>
      <c r="B29" s="66">
        <v>72.023399999999995</v>
      </c>
      <c r="C29" s="66">
        <v>9.2507699999999993</v>
      </c>
      <c r="D29" s="66">
        <v>0.128441</v>
      </c>
      <c r="E29" s="66">
        <v>0</v>
      </c>
      <c r="F29" s="66">
        <v>53.075099999999999</v>
      </c>
      <c r="G29" s="66">
        <v>0</v>
      </c>
      <c r="H29" s="66">
        <v>106.804</v>
      </c>
    </row>
    <row r="30" spans="1:8">
      <c r="A30" s="58" t="s">
        <v>327</v>
      </c>
      <c r="B30" s="66">
        <v>28.073599999999999</v>
      </c>
      <c r="C30" s="66">
        <v>5.0270999999999999</v>
      </c>
      <c r="D30" s="66">
        <v>0.17906900000000001</v>
      </c>
      <c r="E30" s="66">
        <v>0</v>
      </c>
      <c r="F30" s="66">
        <v>10.930400000000001</v>
      </c>
      <c r="G30" s="66">
        <v>0</v>
      </c>
      <c r="H30" s="66">
        <v>32.285800000000002</v>
      </c>
    </row>
    <row r="31" spans="1:8">
      <c r="A31" s="58" t="s">
        <v>328</v>
      </c>
      <c r="B31" s="66">
        <v>109.663</v>
      </c>
      <c r="C31" s="66">
        <v>34.712699999999998</v>
      </c>
      <c r="D31" s="66">
        <v>0.31654100000000002</v>
      </c>
      <c r="E31" s="66">
        <v>0</v>
      </c>
      <c r="F31" s="66">
        <v>16.004999999999999</v>
      </c>
      <c r="G31" s="66">
        <v>0</v>
      </c>
      <c r="H31" s="66">
        <v>153.17699999999999</v>
      </c>
    </row>
    <row r="32" spans="1:8">
      <c r="A32" s="58" t="s">
        <v>329</v>
      </c>
      <c r="B32" s="66">
        <v>0.27482000000000001</v>
      </c>
      <c r="C32" s="66">
        <v>8.0501699999999995E-2</v>
      </c>
      <c r="D32" s="66">
        <v>0.29292600000000002</v>
      </c>
      <c r="E32" s="66">
        <v>0.15</v>
      </c>
      <c r="F32" s="66">
        <v>7.5782000000000002E-2</v>
      </c>
      <c r="G32" s="66">
        <v>0.4</v>
      </c>
      <c r="H32" s="66">
        <v>0.55666300000000002</v>
      </c>
    </row>
    <row r="33" spans="1:8">
      <c r="A33" s="58" t="s">
        <v>330</v>
      </c>
      <c r="B33" s="66">
        <v>0.27165699999999998</v>
      </c>
      <c r="C33" s="66">
        <v>5.6966700000000002E-2</v>
      </c>
      <c r="D33" s="66">
        <v>0.209701</v>
      </c>
      <c r="E33" s="66">
        <v>0</v>
      </c>
      <c r="F33" s="66">
        <v>0.192159</v>
      </c>
      <c r="G33" s="66">
        <v>0</v>
      </c>
      <c r="H33" s="66">
        <v>0.439716</v>
      </c>
    </row>
    <row r="34" spans="1:8">
      <c r="A34" s="58" t="s">
        <v>331</v>
      </c>
      <c r="B34" s="66">
        <v>0.17574300000000001</v>
      </c>
      <c r="C34" s="66">
        <v>2.2953600000000001E-2</v>
      </c>
      <c r="D34" s="66">
        <v>0.130609</v>
      </c>
      <c r="E34" s="66">
        <v>0.1</v>
      </c>
      <c r="F34" s="66">
        <v>0.122117</v>
      </c>
      <c r="G34" s="66">
        <v>0.25</v>
      </c>
      <c r="H34" s="66">
        <v>0.24060000000000001</v>
      </c>
    </row>
    <row r="35" spans="1:8">
      <c r="A35" s="58" t="s">
        <v>332</v>
      </c>
      <c r="B35" s="66">
        <v>7.1831400000000004E-2</v>
      </c>
      <c r="C35" s="66">
        <v>2.02588E-2</v>
      </c>
      <c r="D35" s="66">
        <v>0.28203299999999998</v>
      </c>
      <c r="E35" s="66">
        <v>0</v>
      </c>
      <c r="F35" s="66">
        <v>2.0826799999999999E-2</v>
      </c>
      <c r="G35" s="66">
        <v>0</v>
      </c>
      <c r="H35" s="66">
        <v>0.13369</v>
      </c>
    </row>
    <row r="36" spans="1:8">
      <c r="A36" s="58" t="s">
        <v>333</v>
      </c>
      <c r="B36" s="66">
        <v>0.16750399999999999</v>
      </c>
      <c r="C36" s="66">
        <v>8.2932900000000004E-2</v>
      </c>
      <c r="D36" s="66">
        <v>0.49510999999999999</v>
      </c>
      <c r="E36" s="66">
        <v>0</v>
      </c>
      <c r="F36" s="66">
        <v>3.5761300000000003E-2</v>
      </c>
      <c r="G36" s="66">
        <v>0</v>
      </c>
      <c r="H36" s="66">
        <v>0.48319299999999998</v>
      </c>
    </row>
    <row r="37" spans="1:8">
      <c r="A37" s="58" t="s">
        <v>334</v>
      </c>
      <c r="B37" s="66">
        <v>0.22953599999999999</v>
      </c>
      <c r="C37" s="66">
        <v>7.9569699999999993E-2</v>
      </c>
      <c r="D37" s="66">
        <v>0.34665499999999999</v>
      </c>
      <c r="E37" s="66">
        <v>0.1</v>
      </c>
      <c r="F37" s="66">
        <v>6.6807899999999998E-3</v>
      </c>
      <c r="G37" s="66">
        <v>0.5</v>
      </c>
      <c r="H37" s="66">
        <v>0.25559999999999999</v>
      </c>
    </row>
    <row r="38" spans="1:8">
      <c r="A38" s="58" t="s">
        <v>335</v>
      </c>
      <c r="B38" s="66">
        <v>-10.3979</v>
      </c>
      <c r="C38" s="66">
        <v>44.5548</v>
      </c>
      <c r="D38" s="66">
        <v>-4.2850000000000001</v>
      </c>
      <c r="E38" s="66">
        <v>0</v>
      </c>
      <c r="F38" s="66">
        <v>-214.95</v>
      </c>
      <c r="G38" s="66">
        <v>0</v>
      </c>
      <c r="H38" s="66">
        <v>73.483800000000002</v>
      </c>
    </row>
    <row r="39" spans="1:8">
      <c r="A39" s="58" t="s">
        <v>336</v>
      </c>
      <c r="B39" s="66">
        <v>-0.14679800000000001</v>
      </c>
      <c r="C39" s="66">
        <v>6.7239000000000004</v>
      </c>
      <c r="D39" s="66">
        <v>-45.803899999999999</v>
      </c>
      <c r="E39" s="66">
        <v>0</v>
      </c>
      <c r="F39" s="66">
        <v>-30.506</v>
      </c>
      <c r="G39" s="66">
        <v>0</v>
      </c>
      <c r="H39" s="66">
        <v>7.1044999999999998</v>
      </c>
    </row>
    <row r="40" spans="1:8">
      <c r="A40" s="58" t="s">
        <v>337</v>
      </c>
      <c r="B40" s="66">
        <v>-0.78828200000000004</v>
      </c>
      <c r="C40" s="66">
        <v>1.8013300000000001</v>
      </c>
      <c r="D40" s="66">
        <v>-2.2851400000000002</v>
      </c>
      <c r="E40" s="66">
        <v>0</v>
      </c>
      <c r="F40" s="66">
        <v>-5.0157100000000003</v>
      </c>
      <c r="G40" s="66">
        <v>0</v>
      </c>
      <c r="H40" s="66">
        <v>1.80647</v>
      </c>
    </row>
    <row r="41" spans="1:8">
      <c r="A41" s="58" t="s">
        <v>338</v>
      </c>
      <c r="B41" s="66">
        <v>-5.5010000000000003E-2</v>
      </c>
      <c r="C41" s="66">
        <v>0.27616099999999999</v>
      </c>
      <c r="D41" s="66">
        <v>-5.0202</v>
      </c>
      <c r="E41" s="66">
        <v>0</v>
      </c>
      <c r="F41" s="66">
        <v>-0.93243200000000004</v>
      </c>
      <c r="G41" s="66">
        <v>0</v>
      </c>
      <c r="H41" s="66">
        <v>0.76623399999999997</v>
      </c>
    </row>
    <row r="42" spans="1:8">
      <c r="A42" s="58" t="s">
        <v>339</v>
      </c>
      <c r="B42" s="66">
        <v>1.8243700000000002E-2</v>
      </c>
      <c r="C42" s="66">
        <v>0.111079</v>
      </c>
      <c r="D42" s="66">
        <v>6.0886399999999998</v>
      </c>
      <c r="E42" s="66">
        <v>0</v>
      </c>
      <c r="F42" s="66">
        <v>-0.32484600000000002</v>
      </c>
      <c r="G42" s="66">
        <v>0</v>
      </c>
      <c r="H42" s="66">
        <v>0.260216</v>
      </c>
    </row>
    <row r="43" spans="1:8">
      <c r="A43" s="58" t="s">
        <v>340</v>
      </c>
      <c r="B43" s="66">
        <v>-5.1664500000000002E-2</v>
      </c>
      <c r="C43" s="66">
        <v>0.10203</v>
      </c>
      <c r="D43" s="66">
        <v>-1.9748600000000001</v>
      </c>
      <c r="E43" s="66">
        <v>0</v>
      </c>
      <c r="F43" s="66">
        <v>-0.25554399999999999</v>
      </c>
      <c r="G43" s="66">
        <v>0</v>
      </c>
      <c r="H43" s="66">
        <v>0.157329</v>
      </c>
    </row>
    <row r="44" spans="1:8">
      <c r="A44" s="58" t="s">
        <v>341</v>
      </c>
      <c r="B44" s="66">
        <v>8.1359600000000007</v>
      </c>
      <c r="C44" s="66">
        <v>8.4617699999999996</v>
      </c>
      <c r="D44" s="66">
        <v>1.0400499999999999</v>
      </c>
      <c r="E44" s="66">
        <v>0</v>
      </c>
      <c r="F44" s="66">
        <v>-14.210900000000001</v>
      </c>
      <c r="G44" s="66">
        <v>0</v>
      </c>
      <c r="H44" s="66">
        <v>20.0626</v>
      </c>
    </row>
    <row r="45" spans="1:8">
      <c r="A45" s="58" t="s">
        <v>342</v>
      </c>
      <c r="B45" s="66">
        <v>46.1843</v>
      </c>
      <c r="C45" s="66">
        <v>7.8604700000000003</v>
      </c>
      <c r="D45" s="66">
        <v>0.17019799999999999</v>
      </c>
      <c r="E45" s="66">
        <v>0</v>
      </c>
      <c r="F45" s="66">
        <v>28.976299999999998</v>
      </c>
      <c r="G45" s="66">
        <v>0</v>
      </c>
      <c r="H45" s="66">
        <v>73.685299999999998</v>
      </c>
    </row>
    <row r="46" spans="1:8">
      <c r="A46" s="58" t="s">
        <v>343</v>
      </c>
      <c r="B46" s="66">
        <v>26.375699999999998</v>
      </c>
      <c r="C46" s="66">
        <v>6.0281099999999999</v>
      </c>
      <c r="D46" s="66">
        <v>0.228548</v>
      </c>
      <c r="E46" s="66">
        <v>0</v>
      </c>
      <c r="F46" s="66">
        <v>8.89236</v>
      </c>
      <c r="G46" s="66">
        <v>0</v>
      </c>
      <c r="H46" s="66">
        <v>34.596899999999998</v>
      </c>
    </row>
    <row r="47" spans="1:8">
      <c r="A47" s="58" t="s">
        <v>344</v>
      </c>
      <c r="B47" s="66">
        <v>1.36819</v>
      </c>
      <c r="C47" s="66">
        <v>0.66294799999999998</v>
      </c>
      <c r="D47" s="66">
        <v>0.48454399999999997</v>
      </c>
      <c r="E47" s="66">
        <v>0</v>
      </c>
      <c r="F47" s="66">
        <v>0.46084599999999998</v>
      </c>
      <c r="G47" s="66">
        <v>0</v>
      </c>
      <c r="H47" s="66">
        <v>6.3385600000000002</v>
      </c>
    </row>
    <row r="48" spans="1:8">
      <c r="A48" s="58" t="s">
        <v>345</v>
      </c>
      <c r="B48" s="66">
        <v>1.20404</v>
      </c>
      <c r="C48" s="66">
        <v>0.21118999999999999</v>
      </c>
      <c r="D48" s="66">
        <v>0.175401</v>
      </c>
      <c r="E48" s="66">
        <v>0</v>
      </c>
      <c r="F48" s="66">
        <v>0.81626200000000004</v>
      </c>
      <c r="G48" s="66">
        <v>0</v>
      </c>
      <c r="H48" s="66">
        <v>1.54508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-3.5213999999999999</v>
      </c>
      <c r="C5" s="66">
        <f>'M2'!C5-'M1'!C5</f>
        <v>-4.9795199999999999</v>
      </c>
      <c r="D5" s="66">
        <f>'M2'!D5-'M1'!D5</f>
        <v>-10.945799999999998</v>
      </c>
      <c r="E5" s="66">
        <f>'M2'!E5-'M1'!E5</f>
        <v>0</v>
      </c>
      <c r="F5" s="66">
        <f>'M2'!F5-'M1'!F5</f>
        <v>19.621099999999998</v>
      </c>
      <c r="G5" s="66">
        <f>'M2'!G5-'M1'!G5</f>
        <v>0</v>
      </c>
      <c r="H5" s="66">
        <f>'M2'!H5-'M1'!H5</f>
        <v>5.2631999999999977</v>
      </c>
    </row>
    <row r="6" spans="1:8">
      <c r="A6" s="66" t="s">
        <v>244</v>
      </c>
      <c r="B6" s="66">
        <f>'M2'!B6-'M1'!B6</f>
        <v>-4.1132999999999988</v>
      </c>
      <c r="C6" s="66">
        <f>'M2'!C6-'M1'!C6</f>
        <v>1.33196</v>
      </c>
      <c r="D6" s="66">
        <f>'M2'!D6-'M1'!D6</f>
        <v>7.9094700000000007</v>
      </c>
      <c r="E6" s="66">
        <f>'M2'!E6-'M1'!E6</f>
        <v>0</v>
      </c>
      <c r="F6" s="66">
        <f>'M2'!F6-'M1'!F6</f>
        <v>-1.0535999999999994</v>
      </c>
      <c r="G6" s="66">
        <f>'M2'!G6-'M1'!G6</f>
        <v>0</v>
      </c>
      <c r="H6" s="66">
        <f>'M2'!H6-'M1'!H6</f>
        <v>-0.72150000000000247</v>
      </c>
    </row>
    <row r="7" spans="1:8">
      <c r="A7" s="66" t="s">
        <v>245</v>
      </c>
      <c r="B7" s="66">
        <f>'M2'!B7-'M1'!B7</f>
        <v>-0.28640000000000043</v>
      </c>
      <c r="C7" s="66">
        <f>'M2'!C7-'M1'!C7</f>
        <v>-5.2804599999999997</v>
      </c>
      <c r="D7" s="66">
        <f>'M2'!D7-'M1'!D7</f>
        <v>-18.854299999999999</v>
      </c>
      <c r="E7" s="66">
        <f>'M2'!E7-'M1'!E7</f>
        <v>0</v>
      </c>
      <c r="F7" s="66">
        <f>'M2'!F7-'M1'!F7</f>
        <v>0.68249000000000049</v>
      </c>
      <c r="G7" s="66">
        <f>'M2'!G7-'M1'!G7</f>
        <v>0</v>
      </c>
      <c r="H7" s="66">
        <f>'M2'!H7-'M1'!H7</f>
        <v>-16.847000000000001</v>
      </c>
    </row>
    <row r="8" spans="1:8">
      <c r="A8" s="66" t="s">
        <v>246</v>
      </c>
      <c r="B8" s="66">
        <f>'M2'!B8-'M1'!B8</f>
        <v>-1.3170000000000002</v>
      </c>
      <c r="C8" s="66">
        <f>'M2'!C8-'M1'!C8</f>
        <v>0.2432000000000003</v>
      </c>
      <c r="D8" s="66">
        <f>'M2'!D8-'M1'!D8</f>
        <v>1.3323999999999998</v>
      </c>
      <c r="E8" s="66">
        <f>'M2'!E8-'M1'!E8</f>
        <v>0</v>
      </c>
      <c r="F8" s="66">
        <f>'M2'!F8-'M1'!F8</f>
        <v>-0.11430000000000007</v>
      </c>
      <c r="G8" s="66">
        <f>'M2'!G8-'M1'!G8</f>
        <v>0</v>
      </c>
      <c r="H8" s="66">
        <f>'M2'!H8-'M1'!H8</f>
        <v>3.8320000000000007</v>
      </c>
    </row>
    <row r="9" spans="1:8">
      <c r="A9" s="66" t="s">
        <v>247</v>
      </c>
      <c r="B9" s="66">
        <f>'M2'!B9-'M1'!B9</f>
        <v>7.4299999999993815E-2</v>
      </c>
      <c r="C9" s="66">
        <f>'M2'!C9-'M1'!C9</f>
        <v>-7.0629999999999526E-2</v>
      </c>
      <c r="D9" s="66">
        <f>'M2'!D9-'M1'!D9</f>
        <v>-0.10071999999999992</v>
      </c>
      <c r="E9" s="66">
        <f>'M2'!E9-'M1'!E9</f>
        <v>0</v>
      </c>
      <c r="F9" s="66">
        <f>'M2'!F9-'M1'!F9</f>
        <v>-5.593599999999995</v>
      </c>
      <c r="G9" s="66">
        <f>'M2'!G9-'M1'!G9</f>
        <v>0</v>
      </c>
      <c r="H9" s="66">
        <f>'M2'!H9-'M1'!H9</f>
        <v>-3.3096000000000032</v>
      </c>
    </row>
    <row r="10" spans="1:8">
      <c r="A10" s="66" t="s">
        <v>248</v>
      </c>
      <c r="B10" s="66">
        <f>'M2'!B10-'M1'!B10</f>
        <v>-1.8025000000000091</v>
      </c>
      <c r="C10" s="66">
        <f>'M2'!C10-'M1'!C10</f>
        <v>1.3500000000000068E-2</v>
      </c>
      <c r="D10" s="66">
        <f>'M2'!D10-'M1'!D10</f>
        <v>8.9459999999999873E-2</v>
      </c>
      <c r="E10" s="66">
        <f>'M2'!E10-'M1'!E10</f>
        <v>0</v>
      </c>
      <c r="F10" s="66">
        <f>'M2'!F10-'M1'!F10</f>
        <v>3.4651000000000067</v>
      </c>
      <c r="G10" s="66">
        <f>'M2'!G10-'M1'!G10</f>
        <v>0</v>
      </c>
      <c r="H10" s="66">
        <f>'M2'!H10-'M1'!H10</f>
        <v>-1.652000000000001</v>
      </c>
    </row>
    <row r="11" spans="1:8">
      <c r="A11" s="66" t="s">
        <v>249</v>
      </c>
      <c r="B11" s="66">
        <f>'M2'!B11-'M1'!B11</f>
        <v>-0.20390000000000086</v>
      </c>
      <c r="C11" s="66">
        <f>'M2'!C11-'M1'!C11</f>
        <v>-5.0070500000000004</v>
      </c>
      <c r="D11" s="66">
        <f>'M2'!D11-'M1'!D11</f>
        <v>-17.150230000000001</v>
      </c>
      <c r="E11" s="66">
        <f>'M2'!E11-'M1'!E11</f>
        <v>0</v>
      </c>
      <c r="F11" s="66">
        <f>'M2'!F11-'M1'!F11</f>
        <v>15.849270000000001</v>
      </c>
      <c r="G11" s="66">
        <f>'M2'!G11-'M1'!G11</f>
        <v>0</v>
      </c>
      <c r="H11" s="66">
        <f>'M2'!H11-'M1'!H11</f>
        <v>0.90979999999999706</v>
      </c>
    </row>
    <row r="12" spans="1:8">
      <c r="A12" s="66" t="s">
        <v>250</v>
      </c>
      <c r="B12" s="66">
        <f>'M2'!B12-'M1'!B12</f>
        <v>9.9400000000002819E-2</v>
      </c>
      <c r="C12" s="66">
        <f>'M2'!C12-'M1'!C12</f>
        <v>0.16050999999999993</v>
      </c>
      <c r="D12" s="66">
        <f>'M2'!D12-'M1'!D12</f>
        <v>0.20196999999999976</v>
      </c>
      <c r="E12" s="66">
        <f>'M2'!E12-'M1'!E12</f>
        <v>0</v>
      </c>
      <c r="F12" s="66">
        <f>'M2'!F12-'M1'!F12</f>
        <v>-2.416799999999995</v>
      </c>
      <c r="G12" s="66">
        <f>'M2'!G12-'M1'!G12</f>
        <v>0</v>
      </c>
      <c r="H12" s="66">
        <f>'M2'!H12-'M1'!H12</f>
        <v>-2.1578999999999979</v>
      </c>
    </row>
    <row r="13" spans="1:8">
      <c r="A13" s="66" t="s">
        <v>251</v>
      </c>
      <c r="B13" s="66">
        <f>'M2'!B13-'M1'!B13</f>
        <v>-0.27730000000000032</v>
      </c>
      <c r="C13" s="66">
        <f>'M2'!C13-'M1'!C13</f>
        <v>-2.3829999999999796E-2</v>
      </c>
      <c r="D13" s="66">
        <f>'M2'!D13-'M1'!D13</f>
        <v>6.7500000000000782E-2</v>
      </c>
      <c r="E13" s="66">
        <f>'M2'!E13-'M1'!E13</f>
        <v>0</v>
      </c>
      <c r="F13" s="66">
        <f>'M2'!F13-'M1'!F13</f>
        <v>0.47569999999999979</v>
      </c>
      <c r="G13" s="66">
        <f>'M2'!G13-'M1'!G13</f>
        <v>0</v>
      </c>
      <c r="H13" s="66">
        <f>'M2'!H13-'M1'!H13</f>
        <v>0.91959999999999908</v>
      </c>
    </row>
    <row r="14" spans="1:8">
      <c r="A14" s="66" t="s">
        <v>252</v>
      </c>
      <c r="B14" s="66">
        <f>'M2'!B14-'M1'!B14</f>
        <v>-0.23829999999999885</v>
      </c>
      <c r="C14" s="66">
        <f>'M2'!C14-'M1'!C14</f>
        <v>-0.50075999999999965</v>
      </c>
      <c r="D14" s="66">
        <f>'M2'!D14-'M1'!D14</f>
        <v>-1.8393000000000015</v>
      </c>
      <c r="E14" s="66">
        <f>'M2'!E14-'M1'!E14</f>
        <v>0</v>
      </c>
      <c r="F14" s="66">
        <f>'M2'!F14-'M1'!F14</f>
        <v>2.531031</v>
      </c>
      <c r="G14" s="66">
        <f>'M2'!G14-'M1'!G14</f>
        <v>0</v>
      </c>
      <c r="H14" s="66">
        <f>'M2'!H14-'M1'!H14</f>
        <v>-1.1747999999999976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-0.11973</v>
      </c>
      <c r="C18" s="66">
        <f>'M2'!C18-'M1'!C18</f>
        <v>7.4835299999999993E-2</v>
      </c>
      <c r="D18" s="66">
        <f>'M2'!D18-'M1'!D18</f>
        <v>0.159612</v>
      </c>
      <c r="E18" s="66">
        <f>'M2'!E18-'M1'!E18</f>
        <v>0</v>
      </c>
      <c r="F18" s="66">
        <f>'M2'!F18-'M1'!F18</f>
        <v>0.39402300000000001</v>
      </c>
      <c r="G18" s="66">
        <f>'M2'!G18-'M1'!G18</f>
        <v>0</v>
      </c>
      <c r="H18" s="66">
        <f>'M2'!H18-'M1'!H18</f>
        <v>0.54369400000000001</v>
      </c>
    </row>
    <row r="19" spans="1:8">
      <c r="A19" s="66" t="s">
        <v>256</v>
      </c>
      <c r="B19" s="66">
        <f>'M2'!B19-'M1'!B19</f>
        <v>7.1599999999993891E-4</v>
      </c>
      <c r="C19" s="66">
        <f>'M2'!C19-'M1'!C19</f>
        <v>1.29336E-2</v>
      </c>
      <c r="D19" s="66">
        <f>'M2'!D19-'M1'!D19</f>
        <v>2.5041899999999999E-2</v>
      </c>
      <c r="E19" s="66">
        <f>'M2'!E19-'M1'!E19</f>
        <v>0</v>
      </c>
      <c r="F19" s="66">
        <f>'M2'!F19-'M1'!F19</f>
        <v>0.50354500000000002</v>
      </c>
      <c r="G19" s="66">
        <f>'M2'!G19-'M1'!G19</f>
        <v>0</v>
      </c>
      <c r="H19" s="66">
        <f>'M2'!H19-'M1'!H19</f>
        <v>0.52941199999999999</v>
      </c>
    </row>
    <row r="20" spans="1:8">
      <c r="A20" s="66" t="s">
        <v>63</v>
      </c>
      <c r="B20" s="66">
        <f>'M2'!B20-'M1'!B20</f>
        <v>-1.3508900000000004E-3</v>
      </c>
      <c r="C20" s="66">
        <f>'M2'!C20-'M1'!C20</f>
        <v>-3.551932E-2</v>
      </c>
      <c r="D20" s="66">
        <f>'M2'!D20-'M1'!D20</f>
        <v>-7.3158899999999996</v>
      </c>
      <c r="E20" s="66">
        <f>'M2'!E20-'M1'!E20</f>
        <v>0</v>
      </c>
      <c r="F20" s="66">
        <f>'M2'!F20-'M1'!F20</f>
        <v>-9.6380000000000077E-5</v>
      </c>
      <c r="G20" s="66">
        <f>'M2'!G20-'M1'!G20</f>
        <v>0</v>
      </c>
      <c r="H20" s="66">
        <f>'M2'!H20-'M1'!H20</f>
        <v>-0.32048919999999997</v>
      </c>
    </row>
    <row r="21" spans="1:8">
      <c r="A21" s="66" t="s">
        <v>64</v>
      </c>
      <c r="B21" s="66">
        <f>'M2'!B21-'M1'!B21</f>
        <v>-9.4811199999999998E-2</v>
      </c>
      <c r="C21" s="66">
        <f>'M2'!C21-'M1'!C21</f>
        <v>-0.45772500000000005</v>
      </c>
      <c r="D21" s="66">
        <f>'M2'!D21-'M1'!D21</f>
        <v>-1.5319199999999999</v>
      </c>
      <c r="E21" s="66">
        <f>'M2'!E21-'M1'!E21</f>
        <v>0</v>
      </c>
      <c r="F21" s="66">
        <f>'M2'!F21-'M1'!F21</f>
        <v>-9.4246999999999994E-4</v>
      </c>
      <c r="G21" s="66">
        <f>'M2'!G21-'M1'!G21</f>
        <v>0</v>
      </c>
      <c r="H21" s="66">
        <f>'M2'!H21-'M1'!H21</f>
        <v>-2.2109899999999998</v>
      </c>
    </row>
    <row r="22" spans="1:8">
      <c r="A22" s="66" t="s">
        <v>65</v>
      </c>
      <c r="B22" s="66">
        <f>'M2'!B22-'M1'!B22</f>
        <v>-6.3871000000000038</v>
      </c>
      <c r="C22" s="66">
        <f>'M2'!C22-'M1'!C22</f>
        <v>-9.0730500000000003</v>
      </c>
      <c r="D22" s="66">
        <f>'M2'!D22-'M1'!D22</f>
        <v>-0.22611899999999999</v>
      </c>
      <c r="E22" s="66">
        <f>'M2'!E22-'M1'!E22</f>
        <v>0</v>
      </c>
      <c r="F22" s="66">
        <f>'M2'!F22-'M1'!F22</f>
        <v>-1.0089000000000006</v>
      </c>
      <c r="G22" s="66">
        <f>'M2'!G22-'M1'!G22</f>
        <v>0</v>
      </c>
      <c r="H22" s="66">
        <f>'M2'!H22-'M1'!H22</f>
        <v>-36.8568</v>
      </c>
    </row>
    <row r="23" spans="1:8">
      <c r="A23" s="66" t="s">
        <v>66</v>
      </c>
      <c r="B23" s="66">
        <f>'M2'!B23-'M1'!B23</f>
        <v>-1.4649999999999999</v>
      </c>
      <c r="C23" s="66">
        <f>'M2'!C23-'M1'!C23</f>
        <v>-2.0692299999999997</v>
      </c>
      <c r="D23" s="66">
        <f>'M2'!D23-'M1'!D23</f>
        <v>-0.10935300000000003</v>
      </c>
      <c r="E23" s="66">
        <f>'M2'!E23-'M1'!E23</f>
        <v>0</v>
      </c>
      <c r="F23" s="66">
        <f>'M2'!F23-'M1'!F23</f>
        <v>6.9071900000000008</v>
      </c>
      <c r="G23" s="66">
        <f>'M2'!G23-'M1'!G23</f>
        <v>0</v>
      </c>
      <c r="H23" s="66">
        <f>'M2'!H23-'M1'!H23</f>
        <v>0.4413000000000018</v>
      </c>
    </row>
    <row r="24" spans="1:8">
      <c r="A24" s="66" t="s">
        <v>67</v>
      </c>
      <c r="B24" s="66">
        <f>'M2'!B24-'M1'!B24</f>
        <v>-2.5065199999999999E-3</v>
      </c>
      <c r="C24" s="66">
        <f>'M2'!C24-'M1'!C24</f>
        <v>-3.342738E-2</v>
      </c>
      <c r="D24" s="66">
        <f>'M2'!D24-'M1'!D24</f>
        <v>-4.9193200000000008</v>
      </c>
      <c r="E24" s="66">
        <f>'M2'!E24-'M1'!E24</f>
        <v>0</v>
      </c>
      <c r="F24" s="66">
        <f>'M2'!F24-'M1'!F24</f>
        <v>-7.7269999999999943E-5</v>
      </c>
      <c r="G24" s="66">
        <f>'M2'!G24-'M1'!G24</f>
        <v>0</v>
      </c>
      <c r="H24" s="66">
        <f>'M2'!H24-'M1'!H24</f>
        <v>-0.22335009999999997</v>
      </c>
    </row>
    <row r="25" spans="1:8">
      <c r="A25" s="66" t="s">
        <v>68</v>
      </c>
      <c r="B25" s="66">
        <f>'M2'!B25-'M1'!B25</f>
        <v>-0.11570300000000001</v>
      </c>
      <c r="C25" s="66">
        <f>'M2'!C25-'M1'!C25</f>
        <v>-0.32206699999999999</v>
      </c>
      <c r="D25" s="66">
        <f>'M2'!D25-'M1'!D25</f>
        <v>-0.93893700000000002</v>
      </c>
      <c r="E25" s="66">
        <f>'M2'!E25-'M1'!E25</f>
        <v>0</v>
      </c>
      <c r="F25" s="66">
        <f>'M2'!F25-'M1'!F25</f>
        <v>-2.3649399999999994E-2</v>
      </c>
      <c r="G25" s="66">
        <f>'M2'!G25-'M1'!G25</f>
        <v>0</v>
      </c>
      <c r="H25" s="66">
        <f>'M2'!H25-'M1'!H25</f>
        <v>-1.1133599999999999</v>
      </c>
    </row>
    <row r="26" spans="1:8">
      <c r="A26" s="66" t="s">
        <v>69</v>
      </c>
      <c r="B26" s="66">
        <f>'M2'!B26-'M1'!B26</f>
        <v>-3.5615799999999997E-4</v>
      </c>
      <c r="C26" s="66">
        <f>'M2'!C26-'M1'!C26</f>
        <v>-5.9534380000000001E-3</v>
      </c>
      <c r="D26" s="66">
        <f>'M2'!D26-'M1'!D26</f>
        <v>-5.5835699999999999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-4.124212E-2</v>
      </c>
    </row>
    <row r="27" spans="1:8">
      <c r="A27" s="66" t="s">
        <v>70</v>
      </c>
      <c r="B27" s="66">
        <f>'M2'!B27-'M1'!B27</f>
        <v>3.2825699999999997E-6</v>
      </c>
      <c r="C27" s="66">
        <f>'M2'!C27-'M1'!C27</f>
        <v>-1.421542E-3</v>
      </c>
      <c r="D27" s="66">
        <f>'M2'!D27-'M1'!D27</f>
        <v>130.33000000000001</v>
      </c>
      <c r="E27" s="66">
        <f>'M2'!E27-'M1'!E27</f>
        <v>0</v>
      </c>
      <c r="F27" s="66">
        <f>'M2'!F27-'M1'!F27</f>
        <v>1.4443270000000001E-2</v>
      </c>
      <c r="G27" s="66">
        <f>'M2'!G27-'M1'!G27</f>
        <v>0</v>
      </c>
      <c r="H27" s="66">
        <f>'M2'!H27-'M1'!H27</f>
        <v>-1.170566E-2</v>
      </c>
    </row>
    <row r="28" spans="1:8">
      <c r="A28" s="66" t="s">
        <v>71</v>
      </c>
      <c r="B28" s="66">
        <f>'M2'!B28-'M1'!B28</f>
        <v>-1.6331400000000003E-2</v>
      </c>
      <c r="C28" s="66">
        <f>'M2'!C28-'M1'!C28</f>
        <v>-2.3889799999999999E-2</v>
      </c>
      <c r="D28" s="66">
        <f>'M2'!D28-'M1'!D28</f>
        <v>-0.15366000000000013</v>
      </c>
      <c r="E28" s="66">
        <f>'M2'!E28-'M1'!E28</f>
        <v>0</v>
      </c>
      <c r="F28" s="66">
        <f>'M2'!F28-'M1'!F28</f>
        <v>-3.6782999999999998E-4</v>
      </c>
      <c r="G28" s="66">
        <f>'M2'!G28-'M1'!G28</f>
        <v>0</v>
      </c>
      <c r="H28" s="66">
        <f>'M2'!H28-'M1'!H28</f>
        <v>-7.8297999999999979E-2</v>
      </c>
    </row>
    <row r="29" spans="1:8">
      <c r="A29" s="66" t="s">
        <v>72</v>
      </c>
      <c r="B29" s="66">
        <f>'M2'!B29-'M1'!B29</f>
        <v>-6.142399999999995</v>
      </c>
      <c r="C29" s="66">
        <f>'M2'!C29-'M1'!C29</f>
        <v>-3.2210299999999998</v>
      </c>
      <c r="D29" s="66">
        <f>'M2'!D29-'M1'!D29</f>
        <v>-3.4642999999999993E-2</v>
      </c>
      <c r="E29" s="66">
        <f>'M2'!E29-'M1'!E29</f>
        <v>0</v>
      </c>
      <c r="F29" s="66">
        <f>'M2'!F29-'M1'!F29</f>
        <v>-4.2378</v>
      </c>
      <c r="G29" s="66">
        <f>'M2'!G29-'M1'!G29</f>
        <v>0</v>
      </c>
      <c r="H29" s="66">
        <f>'M2'!H29-'M1'!H29</f>
        <v>-21.587900000000005</v>
      </c>
    </row>
    <row r="30" spans="1:8">
      <c r="A30" s="66" t="s">
        <v>73</v>
      </c>
      <c r="B30" s="66">
        <f>'M2'!B30-'M1'!B30</f>
        <v>0.33910000000000196</v>
      </c>
      <c r="C30" s="66">
        <f>'M2'!C30-'M1'!C30</f>
        <v>-3.6726600000000005</v>
      </c>
      <c r="D30" s="66">
        <f>'M2'!D30-'M1'!D30</f>
        <v>-0.13324239999999998</v>
      </c>
      <c r="E30" s="66">
        <f>'M2'!E30-'M1'!E30</f>
        <v>0</v>
      </c>
      <c r="F30" s="66">
        <f>'M2'!F30-'M1'!F30</f>
        <v>11.265299999999998</v>
      </c>
      <c r="G30" s="66">
        <f>'M2'!G30-'M1'!G30</f>
        <v>0</v>
      </c>
      <c r="H30" s="66">
        <f>'M2'!H30-'M1'!H30</f>
        <v>0.98140000000000072</v>
      </c>
    </row>
    <row r="31" spans="1:8">
      <c r="A31" s="66" t="s">
        <v>74</v>
      </c>
      <c r="B31" s="66">
        <f>'M2'!B31-'M1'!B31</f>
        <v>34.660700000000006</v>
      </c>
      <c r="C31" s="66">
        <f>'M2'!C31-'M1'!C31</f>
        <v>-16.3842</v>
      </c>
      <c r="D31" s="66">
        <f>'M2'!D31-'M1'!D31</f>
        <v>-0.237734</v>
      </c>
      <c r="E31" s="66">
        <f>'M2'!E31-'M1'!E31</f>
        <v>0</v>
      </c>
      <c r="F31" s="66">
        <f>'M2'!F31-'M1'!F31</f>
        <v>73.144300000000001</v>
      </c>
      <c r="G31" s="66">
        <f>'M2'!G31-'M1'!G31</f>
        <v>0</v>
      </c>
      <c r="H31" s="66">
        <f>'M2'!H31-'M1'!H31</f>
        <v>22.447999999999979</v>
      </c>
    </row>
    <row r="32" spans="1:8">
      <c r="A32" s="66" t="s">
        <v>75</v>
      </c>
      <c r="B32" s="66">
        <f>'M2'!B32-'M1'!B32</f>
        <v>-2.8639999999999777E-3</v>
      </c>
      <c r="C32" s="66">
        <f>'M2'!C32-'M1'!C32</f>
        <v>-5.2804599999999993E-2</v>
      </c>
      <c r="D32" s="66">
        <f>'M2'!D32-'M1'!D32</f>
        <v>-0.18854300000000002</v>
      </c>
      <c r="E32" s="66">
        <f>'M2'!E32-'M1'!E32</f>
        <v>0</v>
      </c>
      <c r="F32" s="66">
        <f>'M2'!F32-'M1'!F32</f>
        <v>6.8248999999999949E-3</v>
      </c>
      <c r="G32" s="66">
        <f>'M2'!G32-'M1'!G32</f>
        <v>0</v>
      </c>
      <c r="H32" s="66">
        <f>'M2'!H32-'M1'!H32</f>
        <v>-0.16847000000000001</v>
      </c>
    </row>
    <row r="33" spans="1:8">
      <c r="A33" s="66" t="s">
        <v>76</v>
      </c>
      <c r="B33" s="66">
        <f>'M2'!B33-'M1'!B33</f>
        <v>-6.1186999999999991E-2</v>
      </c>
      <c r="C33" s="66">
        <f>'M2'!C33-'M1'!C33</f>
        <v>3.4371399999999996E-2</v>
      </c>
      <c r="D33" s="66">
        <f>'M2'!D33-'M1'!D33</f>
        <v>0.18302000000000002</v>
      </c>
      <c r="E33" s="66">
        <f>'M2'!E33-'M1'!E33</f>
        <v>0</v>
      </c>
      <c r="F33" s="66">
        <f>'M2'!F33-'M1'!F33</f>
        <v>-2.4289000000000005E-2</v>
      </c>
      <c r="G33" s="66">
        <f>'M2'!G33-'M1'!G33</f>
        <v>0</v>
      </c>
      <c r="H33" s="66">
        <f>'M2'!H33-'M1'!H33</f>
        <v>3.8845000000000018E-2</v>
      </c>
    </row>
    <row r="34" spans="1:8">
      <c r="A34" s="66" t="s">
        <v>77</v>
      </c>
      <c r="B34" s="66">
        <f>'M2'!B34-'M1'!B34</f>
        <v>-2.7730000000000254E-3</v>
      </c>
      <c r="C34" s="66">
        <f>'M2'!C34-'M1'!C34</f>
        <v>-2.3830000000000032E-4</v>
      </c>
      <c r="D34" s="66">
        <f>'M2'!D34-'M1'!D34</f>
        <v>6.7499999999998117E-4</v>
      </c>
      <c r="E34" s="66">
        <f>'M2'!E34-'M1'!E34</f>
        <v>0</v>
      </c>
      <c r="F34" s="66">
        <f>'M2'!F34-'M1'!F34</f>
        <v>4.7569999999999835E-3</v>
      </c>
      <c r="G34" s="66">
        <f>'M2'!G34-'M1'!G34</f>
        <v>0</v>
      </c>
      <c r="H34" s="66">
        <f>'M2'!H34-'M1'!H34</f>
        <v>9.1960000000000097E-3</v>
      </c>
    </row>
    <row r="35" spans="1:8">
      <c r="A35" s="66" t="s">
        <v>78</v>
      </c>
      <c r="B35" s="66">
        <f>'M2'!B35-'M1'!B35</f>
        <v>4.2910000000000031E-3</v>
      </c>
      <c r="C35" s="66">
        <f>'M2'!C35-'M1'!C35</f>
        <v>-1.1590400000000001E-2</v>
      </c>
      <c r="D35" s="66">
        <f>'M2'!D35-'M1'!D35</f>
        <v>-0.18027600000000002</v>
      </c>
      <c r="E35" s="66">
        <f>'M2'!E35-'M1'!E35</f>
        <v>0</v>
      </c>
      <c r="F35" s="66">
        <f>'M2'!F35-'M1'!F35</f>
        <v>1.7588600000000003E-2</v>
      </c>
      <c r="G35" s="66">
        <f>'M2'!G35-'M1'!G35</f>
        <v>0</v>
      </c>
      <c r="H35" s="66">
        <f>'M2'!H35-'M1'!H35</f>
        <v>-2.6446999999999998E-2</v>
      </c>
    </row>
    <row r="36" spans="1:8">
      <c r="A36" s="66" t="s">
        <v>79</v>
      </c>
      <c r="B36" s="66">
        <f>'M2'!B36-'M1'!B36</f>
        <v>-1.5285999999999994E-2</v>
      </c>
      <c r="C36" s="66">
        <f>'M2'!C36-'M1'!C36</f>
        <v>-4.9190000000000345E-4</v>
      </c>
      <c r="D36" s="66">
        <f>'M2'!D36-'M1'!D36</f>
        <v>4.3523000000000034E-2</v>
      </c>
      <c r="E36" s="66">
        <f>'M2'!E36-'M1'!E36</f>
        <v>0</v>
      </c>
      <c r="F36" s="66">
        <f>'M2'!F36-'M1'!F36</f>
        <v>-5.9527999999999942E-3</v>
      </c>
      <c r="G36" s="66">
        <f>'M2'!G36-'M1'!G36</f>
        <v>0</v>
      </c>
      <c r="H36" s="66">
        <f>'M2'!H36-'M1'!H36</f>
        <v>-1.0797999999999974E-2</v>
      </c>
    </row>
    <row r="37" spans="1:8">
      <c r="A37" s="66" t="s">
        <v>80</v>
      </c>
      <c r="B37" s="66">
        <f>'M2'!B37-'M1'!B37</f>
        <v>-2.3829999999999962E-3</v>
      </c>
      <c r="C37" s="66">
        <f>'M2'!C37-'M1'!C37</f>
        <v>-5.0076000000000009E-3</v>
      </c>
      <c r="D37" s="66">
        <f>'M2'!D37-'M1'!D37</f>
        <v>-1.8392999999999993E-2</v>
      </c>
      <c r="E37" s="66">
        <f>'M2'!E37-'M1'!E37</f>
        <v>0</v>
      </c>
      <c r="F37" s="66">
        <f>'M2'!F37-'M1'!F37</f>
        <v>2.5310310000000003E-2</v>
      </c>
      <c r="G37" s="66">
        <f>'M2'!G37-'M1'!G37</f>
        <v>0</v>
      </c>
      <c r="H37" s="66">
        <f>'M2'!H37-'M1'!H37</f>
        <v>-1.1747999999999981E-2</v>
      </c>
    </row>
    <row r="38" spans="1:8">
      <c r="A38" s="66" t="s">
        <v>81</v>
      </c>
      <c r="B38" s="66">
        <f>'M2'!B38-'M1'!B38</f>
        <v>-6.0832300000000004</v>
      </c>
      <c r="C38" s="66">
        <f>'M2'!C38-'M1'!C38</f>
        <v>0.55219999999999914</v>
      </c>
      <c r="D38" s="66">
        <f>'M2'!D38-'M1'!D38</f>
        <v>2.6546599999999998</v>
      </c>
      <c r="E38" s="66">
        <f>'M2'!E38-'M1'!E38</f>
        <v>0</v>
      </c>
      <c r="F38" s="66">
        <f>'M2'!F38-'M1'!F38</f>
        <v>-46.123999999999995</v>
      </c>
      <c r="G38" s="66">
        <f>'M2'!G38-'M1'!G38</f>
        <v>0</v>
      </c>
      <c r="H38" s="66">
        <f>'M2'!H38-'M1'!H38</f>
        <v>1.5024999999999977</v>
      </c>
    </row>
    <row r="39" spans="1:8">
      <c r="A39" s="66" t="s">
        <v>82</v>
      </c>
      <c r="B39" s="66">
        <f>'M2'!B39-'M1'!B39</f>
        <v>-0.1727726</v>
      </c>
      <c r="C39" s="66">
        <f>'M2'!C39-'M1'!C39</f>
        <v>-3.1414800000000005</v>
      </c>
      <c r="D39" s="66">
        <f>'M2'!D39-'M1'!D39</f>
        <v>361.76780000000002</v>
      </c>
      <c r="E39" s="66">
        <f>'M2'!E39-'M1'!E39</f>
        <v>0</v>
      </c>
      <c r="F39" s="66">
        <f>'M2'!F39-'M1'!F39</f>
        <v>9.7000999999999991</v>
      </c>
      <c r="G39" s="66">
        <f>'M2'!G39-'M1'!G39</f>
        <v>0</v>
      </c>
      <c r="H39" s="66">
        <f>'M2'!H39-'M1'!H39</f>
        <v>-9.5799999999999663E-2</v>
      </c>
    </row>
    <row r="40" spans="1:8">
      <c r="A40" s="66" t="s">
        <v>83</v>
      </c>
      <c r="B40" s="66">
        <f>'M2'!B40-'M1'!B40</f>
        <v>-0.61014200000000007</v>
      </c>
      <c r="C40" s="66">
        <f>'M2'!C40-'M1'!C40</f>
        <v>-0.24537000000000009</v>
      </c>
      <c r="D40" s="66">
        <f>'M2'!D40-'M1'!D40</f>
        <v>1.8231100000000002</v>
      </c>
      <c r="E40" s="66">
        <f>'M2'!E40-'M1'!E40</f>
        <v>0</v>
      </c>
      <c r="F40" s="66">
        <f>'M2'!F40-'M1'!F40</f>
        <v>-1.5850000000000364E-2</v>
      </c>
      <c r="G40" s="66">
        <f>'M2'!G40-'M1'!G40</f>
        <v>0</v>
      </c>
      <c r="H40" s="66">
        <f>'M2'!H40-'M1'!H40</f>
        <v>-0.55157000000000012</v>
      </c>
    </row>
    <row r="41" spans="1:8">
      <c r="A41" s="66" t="s">
        <v>84</v>
      </c>
      <c r="B41" s="66">
        <f>'M2'!B41-'M1'!B41</f>
        <v>-3.4286199999999996E-2</v>
      </c>
      <c r="C41" s="66">
        <f>'M2'!C41-'M1'!C41</f>
        <v>1.5349000000000002E-2</v>
      </c>
      <c r="D41" s="66">
        <f>'M2'!D41-'M1'!D41</f>
        <v>3.831900000000001</v>
      </c>
      <c r="E41" s="66">
        <f>'M2'!E41-'M1'!E41</f>
        <v>0</v>
      </c>
      <c r="F41" s="66">
        <f>'M2'!F41-'M1'!F41</f>
        <v>9.2316000000000065E-2</v>
      </c>
      <c r="G41" s="66">
        <f>'M2'!G41-'M1'!G41</f>
        <v>0</v>
      </c>
      <c r="H41" s="66">
        <f>'M2'!H41-'M1'!H41</f>
        <v>-9.9566999999999961E-2</v>
      </c>
    </row>
    <row r="42" spans="1:8">
      <c r="A42" s="66" t="s">
        <v>85</v>
      </c>
      <c r="B42" s="66">
        <f>'M2'!B42-'M1'!B42</f>
        <v>-6.2738000000000013E-3</v>
      </c>
      <c r="C42" s="66">
        <f>'M2'!C42-'M1'!C42</f>
        <v>-2.6256100000000004E-2</v>
      </c>
      <c r="D42" s="66">
        <f>'M2'!D42-'M1'!D42</f>
        <v>1.0129900000000003</v>
      </c>
      <c r="E42" s="66">
        <f>'M2'!E42-'M1'!E42</f>
        <v>0</v>
      </c>
      <c r="F42" s="66">
        <f>'M2'!F42-'M1'!F42</f>
        <v>1.5053000000000039E-2</v>
      </c>
      <c r="G42" s="66">
        <f>'M2'!G42-'M1'!G42</f>
        <v>0</v>
      </c>
      <c r="H42" s="66">
        <f>'M2'!H42-'M1'!H42</f>
        <v>-5.5957000000000007E-2</v>
      </c>
    </row>
    <row r="43" spans="1:8">
      <c r="A43" s="66" t="s">
        <v>86</v>
      </c>
      <c r="B43" s="66">
        <f>'M2'!B43-'M1'!B43</f>
        <v>5.9252600000000002E-2</v>
      </c>
      <c r="C43" s="66">
        <f>'M2'!C43-'M1'!C43</f>
        <v>-4.1139099999999998E-2</v>
      </c>
      <c r="D43" s="66">
        <f>'M2'!D43-'M1'!D43</f>
        <v>-0.57443999999999984</v>
      </c>
      <c r="E43" s="66">
        <f>'M2'!E43-'M1'!E43</f>
        <v>0</v>
      </c>
      <c r="F43" s="66">
        <f>'M2'!F43-'M1'!F43</f>
        <v>6.8401999999999991E-2</v>
      </c>
      <c r="G43" s="66">
        <f>'M2'!G43-'M1'!G43</f>
        <v>0</v>
      </c>
      <c r="H43" s="66">
        <f>'M2'!H43-'M1'!H43</f>
        <v>-3.8525999999999991E-2</v>
      </c>
    </row>
    <row r="44" spans="1:8">
      <c r="A44" s="66" t="s">
        <v>87</v>
      </c>
      <c r="B44" s="66">
        <f>'M2'!B44-'M1'!B44</f>
        <v>-0.35048999999999975</v>
      </c>
      <c r="C44" s="66">
        <f>'M2'!C44-'M1'!C44</f>
        <v>2.0708399999999996</v>
      </c>
      <c r="D44" s="66">
        <f>'M2'!D44-'M1'!D44</f>
        <v>0.30271700000000001</v>
      </c>
      <c r="E44" s="66">
        <f>'M2'!E44-'M1'!E44</f>
        <v>0</v>
      </c>
      <c r="F44" s="66">
        <f>'M2'!F44-'M1'!F44</f>
        <v>-5.1591199999999997</v>
      </c>
      <c r="G44" s="66">
        <f>'M2'!G44-'M1'!G44</f>
        <v>0</v>
      </c>
      <c r="H44" s="66">
        <f>'M2'!H44-'M1'!H44</f>
        <v>9.509999999999863E-2</v>
      </c>
    </row>
    <row r="45" spans="1:8">
      <c r="A45" s="66" t="s">
        <v>88</v>
      </c>
      <c r="B45" s="66">
        <f>'M2'!B45-'M1'!B45</f>
        <v>2.7615999999999943</v>
      </c>
      <c r="C45" s="66">
        <f>'M2'!C45-'M1'!C45</f>
        <v>2.5651099999999998</v>
      </c>
      <c r="D45" s="66">
        <f>'M2'!D45-'M1'!D45</f>
        <v>4.5554999999999984E-2</v>
      </c>
      <c r="E45" s="66">
        <f>'M2'!E45-'M1'!E45</f>
        <v>0</v>
      </c>
      <c r="F45" s="66">
        <f>'M2'!F45-'M1'!F45</f>
        <v>0.46090000000000231</v>
      </c>
      <c r="G45" s="66">
        <f>'M2'!G45-'M1'!G45</f>
        <v>0</v>
      </c>
      <c r="H45" s="66">
        <f>'M2'!H45-'M1'!H45</f>
        <v>14.489899999999999</v>
      </c>
    </row>
    <row r="46" spans="1:8">
      <c r="A46" s="66" t="s">
        <v>89</v>
      </c>
      <c r="B46" s="66">
        <f>'M2'!B46-'M1'!B46</f>
        <v>-6.0655000000000001</v>
      </c>
      <c r="C46" s="66">
        <f>'M2'!C46-'M1'!C46</f>
        <v>-3.6054699999999995</v>
      </c>
      <c r="D46" s="66">
        <f>'M2'!D46-'M1'!D46</f>
        <v>-8.593099999999998E-2</v>
      </c>
      <c r="E46" s="66">
        <f>'M2'!E46-'M1'!E46</f>
        <v>0</v>
      </c>
      <c r="F46" s="66">
        <f>'M2'!F46-'M1'!F46</f>
        <v>13.186440000000001</v>
      </c>
      <c r="G46" s="66">
        <f>'M2'!G46-'M1'!G46</f>
        <v>0</v>
      </c>
      <c r="H46" s="66">
        <f>'M2'!H46-'M1'!H46</f>
        <v>0.23219999999999885</v>
      </c>
    </row>
    <row r="47" spans="1:8">
      <c r="A47" s="66" t="s">
        <v>90</v>
      </c>
      <c r="B47" s="66">
        <f>'M2'!B47-'M1'!B47</f>
        <v>-0.43511000000000011</v>
      </c>
      <c r="C47" s="66">
        <f>'M2'!C47-'M1'!C47</f>
        <v>-0.34295299999999995</v>
      </c>
      <c r="D47" s="66">
        <f>'M2'!D47-'M1'!D47</f>
        <v>-0.11719400000000002</v>
      </c>
      <c r="E47" s="66">
        <f>'M2'!E47-'M1'!E47</f>
        <v>0</v>
      </c>
      <c r="F47" s="66">
        <f>'M2'!F47-'M1'!F47</f>
        <v>-0.29162399999999999</v>
      </c>
      <c r="G47" s="66">
        <f>'M2'!G47-'M1'!G47</f>
        <v>0</v>
      </c>
      <c r="H47" s="66">
        <f>'M2'!H47-'M1'!H47</f>
        <v>-3.9565600000000001</v>
      </c>
    </row>
    <row r="48" spans="1:8">
      <c r="A48" s="66" t="s">
        <v>91</v>
      </c>
      <c r="B48" s="66">
        <f>'M2'!B48-'M1'!B48</f>
        <v>-0.40081100000000003</v>
      </c>
      <c r="C48" s="66">
        <f>'M2'!C48-'M1'!C48</f>
        <v>2.9501199999999991E-2</v>
      </c>
      <c r="D48" s="66">
        <f>'M2'!D48-'M1'!D48</f>
        <v>6.2235999999999986E-2</v>
      </c>
      <c r="E48" s="66">
        <f>'M2'!E48-'M1'!E48</f>
        <v>0</v>
      </c>
      <c r="F48" s="66">
        <f>'M2'!F48-'M1'!F48</f>
        <v>-0.23884799999999995</v>
      </c>
      <c r="G48" s="66">
        <f>'M2'!G48-'M1'!G48</f>
        <v>0</v>
      </c>
      <c r="H48" s="66">
        <f>'M2'!H48-'M1'!H48</f>
        <v>-0.16088999999999998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41.433</v>
      </c>
      <c r="C5" s="66">
        <v>9.7634699999999999</v>
      </c>
      <c r="D5" s="66">
        <v>23.564499999999999</v>
      </c>
      <c r="E5" s="66">
        <v>20</v>
      </c>
      <c r="F5" s="66">
        <v>11.8957</v>
      </c>
      <c r="G5" s="66">
        <v>50</v>
      </c>
      <c r="H5" s="66">
        <v>49.388100000000001</v>
      </c>
    </row>
    <row r="6" spans="1:8">
      <c r="A6" s="66" t="s">
        <v>303</v>
      </c>
      <c r="B6" s="66">
        <v>25.6403</v>
      </c>
      <c r="C6" s="66">
        <v>2.3107899999999999</v>
      </c>
      <c r="D6" s="66">
        <v>9.0123300000000004</v>
      </c>
      <c r="E6" s="66">
        <v>20</v>
      </c>
      <c r="F6" s="66">
        <v>18.254200000000001</v>
      </c>
      <c r="G6" s="66">
        <v>40</v>
      </c>
      <c r="H6" s="66">
        <v>30.196100000000001</v>
      </c>
    </row>
    <row r="7" spans="1:8">
      <c r="A7" s="66" t="s">
        <v>304</v>
      </c>
      <c r="B7" s="66">
        <v>27.7346</v>
      </c>
      <c r="C7" s="66">
        <v>10.199999999999999</v>
      </c>
      <c r="D7" s="66">
        <v>36.777299999999997</v>
      </c>
      <c r="E7" s="66">
        <v>15</v>
      </c>
      <c r="F7" s="66">
        <v>7.5781999999999998</v>
      </c>
      <c r="G7" s="66">
        <v>40</v>
      </c>
      <c r="H7" s="66">
        <v>55.6663</v>
      </c>
    </row>
    <row r="8" spans="1:8">
      <c r="A8" s="66" t="s">
        <v>305</v>
      </c>
      <c r="B8" s="66">
        <v>30.011099999999999</v>
      </c>
      <c r="C8" s="66">
        <v>3.1700599999999999</v>
      </c>
      <c r="D8" s="66">
        <v>10.562900000000001</v>
      </c>
      <c r="E8" s="66">
        <v>20</v>
      </c>
      <c r="F8" s="66">
        <v>22.713200000000001</v>
      </c>
      <c r="G8" s="66">
        <v>50</v>
      </c>
      <c r="H8" s="66">
        <v>34.194000000000003</v>
      </c>
    </row>
    <row r="9" spans="1:8">
      <c r="A9" s="66" t="s">
        <v>306</v>
      </c>
      <c r="B9" s="66">
        <v>74.292000000000002</v>
      </c>
      <c r="C9" s="66">
        <v>4.2648299999999999</v>
      </c>
      <c r="D9" s="66">
        <v>5.7406300000000003</v>
      </c>
      <c r="E9" s="66">
        <v>50</v>
      </c>
      <c r="F9" s="66">
        <v>67.894099999999995</v>
      </c>
      <c r="G9" s="66">
        <v>100</v>
      </c>
      <c r="H9" s="66">
        <v>87.094099999999997</v>
      </c>
    </row>
    <row r="10" spans="1:8">
      <c r="A10" s="66" t="s">
        <v>307</v>
      </c>
      <c r="B10" s="66">
        <v>82.210700000000003</v>
      </c>
      <c r="C10" s="66">
        <v>2.6650999999999998</v>
      </c>
      <c r="D10" s="66">
        <v>3.2417899999999999</v>
      </c>
      <c r="E10" s="66">
        <v>40</v>
      </c>
      <c r="F10" s="66">
        <v>73.114699999999999</v>
      </c>
      <c r="G10" s="66">
        <v>100</v>
      </c>
      <c r="H10" s="66">
        <v>86.919200000000004</v>
      </c>
    </row>
    <row r="11" spans="1:8">
      <c r="A11" s="66" t="s">
        <v>308</v>
      </c>
      <c r="B11" s="66">
        <v>29.093800000000002</v>
      </c>
      <c r="C11" s="66">
        <v>7.4721900000000003</v>
      </c>
      <c r="D11" s="66">
        <v>25.6831</v>
      </c>
      <c r="E11" s="66">
        <v>10</v>
      </c>
      <c r="F11" s="66">
        <v>7.97403</v>
      </c>
      <c r="G11" s="66">
        <v>50</v>
      </c>
      <c r="H11" s="66">
        <v>32.989100000000001</v>
      </c>
    </row>
    <row r="12" spans="1:8">
      <c r="A12" s="66" t="s">
        <v>309</v>
      </c>
      <c r="B12" s="66">
        <v>77.655699999999996</v>
      </c>
      <c r="C12" s="66">
        <v>2.7077100000000001</v>
      </c>
      <c r="D12" s="66">
        <v>3.4868100000000002</v>
      </c>
      <c r="E12" s="66">
        <v>50</v>
      </c>
      <c r="F12" s="66">
        <v>72.910799999999995</v>
      </c>
      <c r="G12" s="66">
        <v>100</v>
      </c>
      <c r="H12" s="66">
        <v>85.775099999999995</v>
      </c>
    </row>
    <row r="13" spans="1:8">
      <c r="A13" s="66" t="s">
        <v>310</v>
      </c>
      <c r="B13" s="66">
        <v>17.768899999999999</v>
      </c>
      <c r="C13" s="66">
        <v>2.2838699999999998</v>
      </c>
      <c r="D13" s="66">
        <v>12.853199999999999</v>
      </c>
      <c r="E13" s="66">
        <v>10</v>
      </c>
      <c r="F13" s="66">
        <v>12.2117</v>
      </c>
      <c r="G13" s="66">
        <v>25</v>
      </c>
      <c r="H13" s="66">
        <v>23.1404</v>
      </c>
    </row>
    <row r="14" spans="1:8">
      <c r="A14" s="66" t="s">
        <v>311</v>
      </c>
      <c r="B14" s="66">
        <v>22.838699999999999</v>
      </c>
      <c r="C14" s="66">
        <v>8.1513899999999992</v>
      </c>
      <c r="D14" s="66">
        <v>35.691099999999999</v>
      </c>
      <c r="E14" s="66">
        <v>10</v>
      </c>
      <c r="F14" s="66">
        <v>0.66807899999999998</v>
      </c>
      <c r="G14" s="66">
        <v>50</v>
      </c>
      <c r="H14" s="66">
        <v>25.56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0.588588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0.51576200000000005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4.4291900000000004E-3</v>
      </c>
      <c r="C20" s="66">
        <v>4.2619499999999998E-2</v>
      </c>
      <c r="D20" s="66">
        <v>9.62242</v>
      </c>
      <c r="E20" s="66">
        <v>0</v>
      </c>
      <c r="F20" s="66">
        <v>1.56802E-3</v>
      </c>
      <c r="G20" s="66">
        <v>0</v>
      </c>
      <c r="H20" s="66">
        <v>0.38066699999999998</v>
      </c>
    </row>
    <row r="21" spans="1:8">
      <c r="A21" s="66" t="s">
        <v>318</v>
      </c>
      <c r="B21" s="66">
        <v>0.192829</v>
      </c>
      <c r="C21" s="66">
        <v>0.62554100000000001</v>
      </c>
      <c r="D21" s="66">
        <v>3.2440099999999998</v>
      </c>
      <c r="E21" s="66">
        <v>0</v>
      </c>
      <c r="F21" s="66">
        <v>7.5109699999999996E-3</v>
      </c>
      <c r="G21" s="66">
        <v>0</v>
      </c>
      <c r="H21" s="66">
        <v>3.5033799999999999</v>
      </c>
    </row>
    <row r="22" spans="1:8">
      <c r="A22" s="66" t="s">
        <v>319</v>
      </c>
      <c r="B22" s="66">
        <v>34.802300000000002</v>
      </c>
      <c r="C22" s="66">
        <v>14.4276</v>
      </c>
      <c r="D22" s="66">
        <v>0.41455799999999998</v>
      </c>
      <c r="E22" s="66">
        <v>0</v>
      </c>
      <c r="F22" s="66">
        <v>19.7334</v>
      </c>
      <c r="G22" s="66">
        <v>0</v>
      </c>
      <c r="H22" s="66">
        <v>81.625500000000002</v>
      </c>
    </row>
    <row r="23" spans="1:8">
      <c r="A23" s="66" t="s">
        <v>320</v>
      </c>
      <c r="B23" s="66">
        <v>16.8751</v>
      </c>
      <c r="C23" s="66">
        <v>4.4242499999999998</v>
      </c>
      <c r="D23" s="66">
        <v>0.26217600000000002</v>
      </c>
      <c r="E23" s="66">
        <v>0</v>
      </c>
      <c r="F23" s="66">
        <v>5.6337099999999998</v>
      </c>
      <c r="G23" s="66">
        <v>0</v>
      </c>
      <c r="H23" s="66">
        <v>21.7516</v>
      </c>
    </row>
    <row r="24" spans="1:8">
      <c r="A24" s="66" t="s">
        <v>321</v>
      </c>
      <c r="B24" s="66">
        <v>6.20916E-3</v>
      </c>
      <c r="C24" s="66">
        <v>3.7685499999999997E-2</v>
      </c>
      <c r="D24" s="66">
        <v>6.0693400000000004</v>
      </c>
      <c r="E24" s="66">
        <v>0</v>
      </c>
      <c r="F24" s="66">
        <v>2.31621E-3</v>
      </c>
      <c r="G24" s="66">
        <v>0</v>
      </c>
      <c r="H24" s="66">
        <v>0.25389099999999998</v>
      </c>
    </row>
    <row r="25" spans="1:8">
      <c r="A25" s="66" t="s">
        <v>322</v>
      </c>
      <c r="B25" s="66">
        <v>0.22972100000000001</v>
      </c>
      <c r="C25" s="66">
        <v>0.42689100000000002</v>
      </c>
      <c r="D25" s="66">
        <v>1.8583000000000001</v>
      </c>
      <c r="E25" s="66">
        <v>0</v>
      </c>
      <c r="F25" s="66">
        <v>7.2989799999999994E-2</v>
      </c>
      <c r="G25" s="66">
        <v>0</v>
      </c>
      <c r="H25" s="66">
        <v>1.6670499999999999</v>
      </c>
    </row>
    <row r="26" spans="1:8">
      <c r="A26" s="66" t="s">
        <v>323</v>
      </c>
      <c r="B26" s="66">
        <v>9.7984500000000002E-4</v>
      </c>
      <c r="C26" s="66">
        <v>6.7982099999999998E-3</v>
      </c>
      <c r="D26" s="66">
        <v>6.9380499999999996</v>
      </c>
      <c r="E26" s="66">
        <v>0</v>
      </c>
      <c r="F26" s="66">
        <v>2.7245299999999997E-4</v>
      </c>
      <c r="G26" s="66">
        <v>0</v>
      </c>
      <c r="H26" s="66">
        <v>4.9547000000000001E-2</v>
      </c>
    </row>
    <row r="27" spans="1:8">
      <c r="A27" s="66" t="s">
        <v>324</v>
      </c>
      <c r="B27" s="196">
        <v>-6.5651299999999996E-6</v>
      </c>
      <c r="C27" s="66">
        <v>1.98745E-3</v>
      </c>
      <c r="D27" s="66">
        <v>-302.72800000000001</v>
      </c>
      <c r="E27" s="66">
        <v>0</v>
      </c>
      <c r="F27" s="66">
        <v>-1.8221500000000002E-2</v>
      </c>
      <c r="G27" s="66">
        <v>0</v>
      </c>
      <c r="H27" s="66">
        <v>1.5067000000000001E-2</v>
      </c>
    </row>
    <row r="28" spans="1:8">
      <c r="A28" s="66" t="s">
        <v>325</v>
      </c>
      <c r="B28" s="66">
        <v>3.3059900000000003E-2</v>
      </c>
      <c r="C28" s="66">
        <v>4.3157000000000001E-2</v>
      </c>
      <c r="D28" s="66">
        <v>1.30542</v>
      </c>
      <c r="E28" s="66">
        <v>0</v>
      </c>
      <c r="F28" s="66">
        <v>1.64062E-3</v>
      </c>
      <c r="G28" s="66">
        <v>0</v>
      </c>
      <c r="H28" s="66">
        <v>0.20391599999999999</v>
      </c>
    </row>
    <row r="29" spans="1:8">
      <c r="A29" s="66" t="s">
        <v>326</v>
      </c>
      <c r="B29" s="66">
        <v>75.924499999999995</v>
      </c>
      <c r="C29" s="66">
        <v>9.9326699999999999</v>
      </c>
      <c r="D29" s="66">
        <v>0.13082299999999999</v>
      </c>
      <c r="E29" s="66">
        <v>0</v>
      </c>
      <c r="F29" s="66">
        <v>57.312899999999999</v>
      </c>
      <c r="G29" s="66">
        <v>0</v>
      </c>
      <c r="H29" s="66">
        <v>106.804</v>
      </c>
    </row>
    <row r="30" spans="1:8">
      <c r="A30" s="66" t="s">
        <v>327</v>
      </c>
      <c r="B30" s="66">
        <v>27.798999999999999</v>
      </c>
      <c r="C30" s="66">
        <v>6.2738500000000004</v>
      </c>
      <c r="D30" s="66">
        <v>0.225686</v>
      </c>
      <c r="E30" s="66">
        <v>0</v>
      </c>
      <c r="F30" s="66">
        <v>10.930400000000001</v>
      </c>
      <c r="G30" s="66">
        <v>0</v>
      </c>
      <c r="H30" s="66">
        <v>31.304400000000001</v>
      </c>
    </row>
    <row r="31" spans="1:8">
      <c r="A31" s="66" t="s">
        <v>328</v>
      </c>
      <c r="B31" s="66">
        <v>91.205299999999994</v>
      </c>
      <c r="C31" s="66">
        <v>35.624600000000001</v>
      </c>
      <c r="D31" s="66">
        <v>0.390598</v>
      </c>
      <c r="E31" s="66">
        <v>0</v>
      </c>
      <c r="F31" s="66">
        <v>16.004999999999999</v>
      </c>
      <c r="G31" s="66">
        <v>0</v>
      </c>
      <c r="H31" s="66">
        <v>130.72900000000001</v>
      </c>
    </row>
    <row r="32" spans="1:8">
      <c r="A32" s="66" t="s">
        <v>329</v>
      </c>
      <c r="B32" s="66">
        <v>0.27734599999999998</v>
      </c>
      <c r="C32" s="66">
        <v>0.10199999999999999</v>
      </c>
      <c r="D32" s="66">
        <v>0.36777300000000002</v>
      </c>
      <c r="E32" s="66">
        <v>0.15</v>
      </c>
      <c r="F32" s="66">
        <v>7.5782000000000002E-2</v>
      </c>
      <c r="G32" s="66">
        <v>0.4</v>
      </c>
      <c r="H32" s="66">
        <v>0.55666300000000002</v>
      </c>
    </row>
    <row r="33" spans="1:8">
      <c r="A33" s="66" t="s">
        <v>330</v>
      </c>
      <c r="B33" s="66">
        <v>0.28650399999999998</v>
      </c>
      <c r="C33" s="66">
        <v>3.2150100000000001E-2</v>
      </c>
      <c r="D33" s="66">
        <v>0.112215</v>
      </c>
      <c r="E33" s="66">
        <v>0</v>
      </c>
      <c r="F33" s="66">
        <v>0.216448</v>
      </c>
      <c r="G33" s="66">
        <v>0</v>
      </c>
      <c r="H33" s="66">
        <v>0.40087099999999998</v>
      </c>
    </row>
    <row r="34" spans="1:8">
      <c r="A34" s="66" t="s">
        <v>331</v>
      </c>
      <c r="B34" s="66">
        <v>0.17768900000000001</v>
      </c>
      <c r="C34" s="66">
        <v>2.28387E-2</v>
      </c>
      <c r="D34" s="66">
        <v>0.12853200000000001</v>
      </c>
      <c r="E34" s="66">
        <v>0.1</v>
      </c>
      <c r="F34" s="66">
        <v>0.122117</v>
      </c>
      <c r="G34" s="66">
        <v>0.25</v>
      </c>
      <c r="H34" s="66">
        <v>0.231404</v>
      </c>
    </row>
    <row r="35" spans="1:8">
      <c r="A35" s="66" t="s">
        <v>332</v>
      </c>
      <c r="B35" s="66">
        <v>6.8769200000000003E-2</v>
      </c>
      <c r="C35" s="66">
        <v>2.5330200000000001E-2</v>
      </c>
      <c r="D35" s="66">
        <v>0.36833700000000003</v>
      </c>
      <c r="E35" s="66">
        <v>0</v>
      </c>
      <c r="F35" s="66">
        <v>2.0826799999999999E-2</v>
      </c>
      <c r="G35" s="66">
        <v>0</v>
      </c>
      <c r="H35" s="66">
        <v>0.13369</v>
      </c>
    </row>
    <row r="36" spans="1:8">
      <c r="A36" s="66" t="s">
        <v>333</v>
      </c>
      <c r="B36" s="66">
        <v>0.172925</v>
      </c>
      <c r="C36" s="66">
        <v>8.3179100000000006E-2</v>
      </c>
      <c r="D36" s="66">
        <v>0.481014</v>
      </c>
      <c r="E36" s="66">
        <v>0</v>
      </c>
      <c r="F36" s="66">
        <v>4.1714099999999997E-2</v>
      </c>
      <c r="G36" s="66">
        <v>0</v>
      </c>
      <c r="H36" s="66">
        <v>0.48319299999999998</v>
      </c>
    </row>
    <row r="37" spans="1:8">
      <c r="A37" s="66" t="s">
        <v>334</v>
      </c>
      <c r="B37" s="66">
        <v>0.22838700000000001</v>
      </c>
      <c r="C37" s="66">
        <v>8.15139E-2</v>
      </c>
      <c r="D37" s="66">
        <v>0.35691099999999998</v>
      </c>
      <c r="E37" s="66">
        <v>0.1</v>
      </c>
      <c r="F37" s="66">
        <v>6.6807899999999998E-3</v>
      </c>
      <c r="G37" s="66">
        <v>0.5</v>
      </c>
      <c r="H37" s="66">
        <v>0.25559999999999999</v>
      </c>
    </row>
    <row r="38" spans="1:8">
      <c r="A38" s="66" t="s">
        <v>335</v>
      </c>
      <c r="B38" s="66">
        <v>-7.4030699999999996</v>
      </c>
      <c r="C38" s="66">
        <v>44.241399999999999</v>
      </c>
      <c r="D38" s="66">
        <v>-5.9760799999999996</v>
      </c>
      <c r="E38" s="66">
        <v>0</v>
      </c>
      <c r="F38" s="66">
        <v>-168.82599999999999</v>
      </c>
      <c r="G38" s="66">
        <v>0</v>
      </c>
      <c r="H38" s="66">
        <v>71.981300000000005</v>
      </c>
    </row>
    <row r="39" spans="1:8">
      <c r="A39" s="66" t="s">
        <v>336</v>
      </c>
      <c r="B39" s="66">
        <v>-2.0886399999999999E-2</v>
      </c>
      <c r="C39" s="66">
        <v>8.0897000000000006</v>
      </c>
      <c r="D39" s="66">
        <v>-387.31900000000002</v>
      </c>
      <c r="E39" s="66">
        <v>0</v>
      </c>
      <c r="F39" s="66">
        <v>-30.506</v>
      </c>
      <c r="G39" s="66">
        <v>0</v>
      </c>
      <c r="H39" s="66">
        <v>7.1044999999999998</v>
      </c>
    </row>
    <row r="40" spans="1:8">
      <c r="A40" s="66" t="s">
        <v>337</v>
      </c>
      <c r="B40" s="66">
        <v>-0.59821800000000003</v>
      </c>
      <c r="C40" s="66">
        <v>1.91937</v>
      </c>
      <c r="D40" s="66">
        <v>-3.2084700000000002</v>
      </c>
      <c r="E40" s="66">
        <v>0</v>
      </c>
      <c r="F40" s="66">
        <v>-4.99986</v>
      </c>
      <c r="G40" s="66">
        <v>0</v>
      </c>
      <c r="H40" s="66">
        <v>1.80647</v>
      </c>
    </row>
    <row r="41" spans="1:8">
      <c r="A41" s="66" t="s">
        <v>338</v>
      </c>
      <c r="B41" s="66">
        <v>-3.3396500000000003E-2</v>
      </c>
      <c r="C41" s="66">
        <v>0.26757399999999998</v>
      </c>
      <c r="D41" s="66">
        <v>-8.0120400000000007</v>
      </c>
      <c r="E41" s="66">
        <v>0</v>
      </c>
      <c r="F41" s="66">
        <v>-0.93243200000000004</v>
      </c>
      <c r="G41" s="66">
        <v>0</v>
      </c>
      <c r="H41" s="66">
        <v>0.76623399999999997</v>
      </c>
    </row>
    <row r="42" spans="1:8">
      <c r="A42" s="66" t="s">
        <v>339</v>
      </c>
      <c r="B42" s="66">
        <v>1.9507900000000002E-2</v>
      </c>
      <c r="C42" s="66">
        <v>0.12332700000000001</v>
      </c>
      <c r="D42" s="66">
        <v>6.3219099999999999</v>
      </c>
      <c r="E42" s="66">
        <v>0</v>
      </c>
      <c r="F42" s="66">
        <v>-0.32484600000000002</v>
      </c>
      <c r="G42" s="66">
        <v>0</v>
      </c>
      <c r="H42" s="66">
        <v>0.260216</v>
      </c>
    </row>
    <row r="43" spans="1:8">
      <c r="A43" s="66" t="s">
        <v>340</v>
      </c>
      <c r="B43" s="66">
        <v>-0.10473200000000001</v>
      </c>
      <c r="C43" s="66">
        <v>0.118893</v>
      </c>
      <c r="D43" s="66">
        <v>-1.1352100000000001</v>
      </c>
      <c r="E43" s="66">
        <v>0</v>
      </c>
      <c r="F43" s="66">
        <v>-0.25554399999999999</v>
      </c>
      <c r="G43" s="66">
        <v>0</v>
      </c>
      <c r="H43" s="66">
        <v>0.157329</v>
      </c>
    </row>
    <row r="44" spans="1:8">
      <c r="A44" s="66" t="s">
        <v>341</v>
      </c>
      <c r="B44" s="66">
        <v>8.2271999999999998</v>
      </c>
      <c r="C44" s="66">
        <v>7.3598299999999997</v>
      </c>
      <c r="D44" s="66">
        <v>0.89457299999999995</v>
      </c>
      <c r="E44" s="66">
        <v>0</v>
      </c>
      <c r="F44" s="66">
        <v>-9.0517800000000008</v>
      </c>
      <c r="G44" s="66">
        <v>0</v>
      </c>
      <c r="H44" s="66">
        <v>19.967500000000001</v>
      </c>
    </row>
    <row r="45" spans="1:8">
      <c r="A45" s="66" t="s">
        <v>342</v>
      </c>
      <c r="B45" s="66">
        <v>45.189500000000002</v>
      </c>
      <c r="C45" s="66">
        <v>6.2297900000000004</v>
      </c>
      <c r="D45" s="66">
        <v>0.13785900000000001</v>
      </c>
      <c r="E45" s="66">
        <v>0</v>
      </c>
      <c r="F45" s="66">
        <v>28.976299999999998</v>
      </c>
      <c r="G45" s="66">
        <v>0</v>
      </c>
      <c r="H45" s="66">
        <v>59.195399999999999</v>
      </c>
    </row>
    <row r="46" spans="1:8">
      <c r="A46" s="66" t="s">
        <v>343</v>
      </c>
      <c r="B46" s="66">
        <v>30.665299999999998</v>
      </c>
      <c r="C46" s="66">
        <v>7.5408299999999997</v>
      </c>
      <c r="D46" s="66">
        <v>0.24590699999999999</v>
      </c>
      <c r="E46" s="66">
        <v>0</v>
      </c>
      <c r="F46" s="66">
        <v>8.89236</v>
      </c>
      <c r="G46" s="66">
        <v>0</v>
      </c>
      <c r="H46" s="66">
        <v>34.364699999999999</v>
      </c>
    </row>
    <row r="47" spans="1:8">
      <c r="A47" s="66" t="s">
        <v>344</v>
      </c>
      <c r="B47" s="66">
        <v>1.54752</v>
      </c>
      <c r="C47" s="66">
        <v>0.75609099999999996</v>
      </c>
      <c r="D47" s="66">
        <v>0.48858400000000002</v>
      </c>
      <c r="E47" s="66">
        <v>0</v>
      </c>
      <c r="F47" s="66">
        <v>0.75246999999999997</v>
      </c>
      <c r="G47" s="66">
        <v>0</v>
      </c>
      <c r="H47" s="66">
        <v>6.3385600000000002</v>
      </c>
    </row>
    <row r="48" spans="1:8">
      <c r="A48" s="66" t="s">
        <v>345</v>
      </c>
      <c r="B48" s="66">
        <v>1.3188500000000001</v>
      </c>
      <c r="C48" s="66">
        <v>9.0927800000000003E-2</v>
      </c>
      <c r="D48" s="66">
        <v>6.8945000000000006E-2</v>
      </c>
      <c r="E48" s="66">
        <v>0</v>
      </c>
      <c r="F48" s="66">
        <v>1.05511</v>
      </c>
      <c r="G48" s="66">
        <v>0</v>
      </c>
      <c r="H48" s="66">
        <v>1.54508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37.9116</v>
      </c>
      <c r="C5" s="66">
        <v>4.7839499999999999</v>
      </c>
      <c r="D5" s="66">
        <v>12.6187</v>
      </c>
      <c r="E5" s="66">
        <v>20</v>
      </c>
      <c r="F5" s="66">
        <v>31.5168</v>
      </c>
      <c r="G5" s="66">
        <v>50</v>
      </c>
      <c r="H5" s="66">
        <v>54.651299999999999</v>
      </c>
    </row>
    <row r="6" spans="1:8">
      <c r="A6" s="66" t="s">
        <v>303</v>
      </c>
      <c r="B6" s="66">
        <v>21.527000000000001</v>
      </c>
      <c r="C6" s="66">
        <v>3.6427499999999999</v>
      </c>
      <c r="D6" s="66">
        <v>16.921800000000001</v>
      </c>
      <c r="E6" s="66">
        <v>20</v>
      </c>
      <c r="F6" s="66">
        <v>17.200600000000001</v>
      </c>
      <c r="G6" s="66">
        <v>40</v>
      </c>
      <c r="H6" s="66">
        <v>29.474599999999999</v>
      </c>
    </row>
    <row r="7" spans="1:8">
      <c r="A7" s="66" t="s">
        <v>304</v>
      </c>
      <c r="B7" s="66">
        <v>27.4482</v>
      </c>
      <c r="C7" s="66">
        <v>4.9195399999999996</v>
      </c>
      <c r="D7" s="66">
        <v>17.922999999999998</v>
      </c>
      <c r="E7" s="66">
        <v>15</v>
      </c>
      <c r="F7" s="66">
        <v>8.2606900000000003</v>
      </c>
      <c r="G7" s="66">
        <v>40</v>
      </c>
      <c r="H7" s="66">
        <v>38.819299999999998</v>
      </c>
    </row>
    <row r="8" spans="1:8">
      <c r="A8" s="66" t="s">
        <v>305</v>
      </c>
      <c r="B8" s="66">
        <v>28.694099999999999</v>
      </c>
      <c r="C8" s="66">
        <v>3.4132600000000002</v>
      </c>
      <c r="D8" s="66">
        <v>11.895300000000001</v>
      </c>
      <c r="E8" s="66">
        <v>20</v>
      </c>
      <c r="F8" s="66">
        <v>22.5989</v>
      </c>
      <c r="G8" s="66">
        <v>50</v>
      </c>
      <c r="H8" s="66">
        <v>38.026000000000003</v>
      </c>
    </row>
    <row r="9" spans="1:8">
      <c r="A9" s="66" t="s">
        <v>306</v>
      </c>
      <c r="B9" s="66">
        <v>74.366299999999995</v>
      </c>
      <c r="C9" s="66">
        <v>4.1942000000000004</v>
      </c>
      <c r="D9" s="66">
        <v>5.6399100000000004</v>
      </c>
      <c r="E9" s="66">
        <v>50</v>
      </c>
      <c r="F9" s="66">
        <v>62.3005</v>
      </c>
      <c r="G9" s="66">
        <v>100</v>
      </c>
      <c r="H9" s="66">
        <v>83.784499999999994</v>
      </c>
    </row>
    <row r="10" spans="1:8">
      <c r="A10" s="66" t="s">
        <v>307</v>
      </c>
      <c r="B10" s="66">
        <v>80.408199999999994</v>
      </c>
      <c r="C10" s="66">
        <v>2.6785999999999999</v>
      </c>
      <c r="D10" s="66">
        <v>3.3312499999999998</v>
      </c>
      <c r="E10" s="66">
        <v>40</v>
      </c>
      <c r="F10" s="66">
        <v>76.579800000000006</v>
      </c>
      <c r="G10" s="66">
        <v>100</v>
      </c>
      <c r="H10" s="66">
        <v>85.267200000000003</v>
      </c>
    </row>
    <row r="11" spans="1:8">
      <c r="A11" s="66" t="s">
        <v>308</v>
      </c>
      <c r="B11" s="66">
        <v>28.889900000000001</v>
      </c>
      <c r="C11" s="66">
        <v>2.4651399999999999</v>
      </c>
      <c r="D11" s="66">
        <v>8.5328700000000008</v>
      </c>
      <c r="E11" s="66">
        <v>10</v>
      </c>
      <c r="F11" s="66">
        <v>23.8233</v>
      </c>
      <c r="G11" s="66">
        <v>50</v>
      </c>
      <c r="H11" s="66">
        <v>33.898899999999998</v>
      </c>
    </row>
    <row r="12" spans="1:8">
      <c r="A12" s="66" t="s">
        <v>309</v>
      </c>
      <c r="B12" s="66">
        <v>77.755099999999999</v>
      </c>
      <c r="C12" s="66">
        <v>2.86822</v>
      </c>
      <c r="D12" s="66">
        <v>3.6887799999999999</v>
      </c>
      <c r="E12" s="66">
        <v>50</v>
      </c>
      <c r="F12" s="66">
        <v>70.494</v>
      </c>
      <c r="G12" s="66">
        <v>100</v>
      </c>
      <c r="H12" s="66">
        <v>83.617199999999997</v>
      </c>
    </row>
    <row r="13" spans="1:8">
      <c r="A13" s="66" t="s">
        <v>310</v>
      </c>
      <c r="B13" s="66">
        <v>17.491599999999998</v>
      </c>
      <c r="C13" s="66">
        <v>2.26004</v>
      </c>
      <c r="D13" s="66">
        <v>12.9207</v>
      </c>
      <c r="E13" s="66">
        <v>10</v>
      </c>
      <c r="F13" s="66">
        <v>12.6874</v>
      </c>
      <c r="G13" s="66">
        <v>25</v>
      </c>
      <c r="H13" s="66">
        <v>24.06</v>
      </c>
    </row>
    <row r="14" spans="1:8">
      <c r="A14" s="66" t="s">
        <v>311</v>
      </c>
      <c r="B14" s="66">
        <v>22.6004</v>
      </c>
      <c r="C14" s="66">
        <v>7.6506299999999996</v>
      </c>
      <c r="D14" s="66">
        <v>33.851799999999997</v>
      </c>
      <c r="E14" s="66">
        <v>10</v>
      </c>
      <c r="F14" s="66">
        <v>3.1991100000000001</v>
      </c>
      <c r="G14" s="66">
        <v>50</v>
      </c>
      <c r="H14" s="66">
        <v>24.385200000000001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0.468858</v>
      </c>
      <c r="C18" s="66">
        <v>7.4835299999999993E-2</v>
      </c>
      <c r="D18" s="66">
        <v>0.159612</v>
      </c>
      <c r="E18" s="66">
        <v>0</v>
      </c>
      <c r="F18" s="66">
        <v>0.39402300000000001</v>
      </c>
      <c r="G18" s="66">
        <v>0</v>
      </c>
      <c r="H18" s="66">
        <v>0.54369400000000001</v>
      </c>
    </row>
    <row r="19" spans="1:8">
      <c r="A19" s="66" t="s">
        <v>316</v>
      </c>
      <c r="B19" s="66">
        <v>0.51647799999999999</v>
      </c>
      <c r="C19" s="66">
        <v>1.29336E-2</v>
      </c>
      <c r="D19" s="66">
        <v>2.5041899999999999E-2</v>
      </c>
      <c r="E19" s="66">
        <v>0</v>
      </c>
      <c r="F19" s="66">
        <v>0.50354500000000002</v>
      </c>
      <c r="G19" s="66">
        <v>0</v>
      </c>
      <c r="H19" s="66">
        <v>0.52941199999999999</v>
      </c>
    </row>
    <row r="20" spans="1:8">
      <c r="A20" s="66" t="s">
        <v>317</v>
      </c>
      <c r="B20" s="66">
        <v>3.0783E-3</v>
      </c>
      <c r="C20" s="66">
        <v>7.1001800000000002E-3</v>
      </c>
      <c r="D20" s="66">
        <v>2.30653</v>
      </c>
      <c r="E20" s="66">
        <v>0</v>
      </c>
      <c r="F20" s="66">
        <v>1.47164E-3</v>
      </c>
      <c r="G20" s="66">
        <v>0</v>
      </c>
      <c r="H20" s="66">
        <v>6.0177799999999997E-2</v>
      </c>
    </row>
    <row r="21" spans="1:8">
      <c r="A21" s="66" t="s">
        <v>318</v>
      </c>
      <c r="B21" s="66">
        <v>9.8017800000000002E-2</v>
      </c>
      <c r="C21" s="66">
        <v>0.16781599999999999</v>
      </c>
      <c r="D21" s="66">
        <v>1.7120899999999999</v>
      </c>
      <c r="E21" s="66">
        <v>0</v>
      </c>
      <c r="F21" s="66">
        <v>6.5684999999999997E-3</v>
      </c>
      <c r="G21" s="66">
        <v>0</v>
      </c>
      <c r="H21" s="66">
        <v>1.2923899999999999</v>
      </c>
    </row>
    <row r="22" spans="1:8">
      <c r="A22" s="66" t="s">
        <v>319</v>
      </c>
      <c r="B22" s="66">
        <v>28.415199999999999</v>
      </c>
      <c r="C22" s="66">
        <v>5.3545499999999997</v>
      </c>
      <c r="D22" s="66">
        <v>0.188439</v>
      </c>
      <c r="E22" s="66">
        <v>0</v>
      </c>
      <c r="F22" s="66">
        <v>18.724499999999999</v>
      </c>
      <c r="G22" s="66">
        <v>0</v>
      </c>
      <c r="H22" s="66">
        <v>44.768700000000003</v>
      </c>
    </row>
    <row r="23" spans="1:8">
      <c r="A23" s="66" t="s">
        <v>320</v>
      </c>
      <c r="B23" s="66">
        <v>15.4101</v>
      </c>
      <c r="C23" s="66">
        <v>2.3550200000000001</v>
      </c>
      <c r="D23" s="66">
        <v>0.15282299999999999</v>
      </c>
      <c r="E23" s="66">
        <v>0</v>
      </c>
      <c r="F23" s="66">
        <v>12.540900000000001</v>
      </c>
      <c r="G23" s="66">
        <v>0</v>
      </c>
      <c r="H23" s="66">
        <v>22.192900000000002</v>
      </c>
    </row>
    <row r="24" spans="1:8">
      <c r="A24" s="66" t="s">
        <v>321</v>
      </c>
      <c r="B24" s="66">
        <v>3.7026400000000001E-3</v>
      </c>
      <c r="C24" s="66">
        <v>4.2581199999999998E-3</v>
      </c>
      <c r="D24" s="66">
        <v>1.15002</v>
      </c>
      <c r="E24" s="66">
        <v>0</v>
      </c>
      <c r="F24" s="66">
        <v>2.23894E-3</v>
      </c>
      <c r="G24" s="66">
        <v>0</v>
      </c>
      <c r="H24" s="66">
        <v>3.0540899999999999E-2</v>
      </c>
    </row>
    <row r="25" spans="1:8">
      <c r="A25" s="66" t="s">
        <v>322</v>
      </c>
      <c r="B25" s="66">
        <v>0.11401799999999999</v>
      </c>
      <c r="C25" s="66">
        <v>0.104824</v>
      </c>
      <c r="D25" s="66">
        <v>0.91936300000000004</v>
      </c>
      <c r="E25" s="66">
        <v>0</v>
      </c>
      <c r="F25" s="66">
        <v>4.93404E-2</v>
      </c>
      <c r="G25" s="66">
        <v>0</v>
      </c>
      <c r="H25" s="66">
        <v>0.55369000000000002</v>
      </c>
    </row>
    <row r="26" spans="1:8">
      <c r="A26" s="66" t="s">
        <v>323</v>
      </c>
      <c r="B26" s="66">
        <v>6.2368700000000005E-4</v>
      </c>
      <c r="C26" s="66">
        <v>8.4477200000000004E-4</v>
      </c>
      <c r="D26" s="66">
        <v>1.3544799999999999</v>
      </c>
      <c r="E26" s="66">
        <v>0</v>
      </c>
      <c r="F26" s="66">
        <v>2.7245299999999997E-4</v>
      </c>
      <c r="G26" s="66">
        <v>0</v>
      </c>
      <c r="H26" s="66">
        <v>8.3048800000000006E-3</v>
      </c>
    </row>
    <row r="27" spans="1:8">
      <c r="A27" s="66" t="s">
        <v>324</v>
      </c>
      <c r="B27" s="196">
        <v>-3.2825599999999999E-6</v>
      </c>
      <c r="C27" s="66">
        <v>5.6590799999999995E-4</v>
      </c>
      <c r="D27" s="66">
        <v>-172.398</v>
      </c>
      <c r="E27" s="66">
        <v>0</v>
      </c>
      <c r="F27" s="66">
        <v>-3.77823E-3</v>
      </c>
      <c r="G27" s="66">
        <v>0</v>
      </c>
      <c r="H27" s="66">
        <v>3.36134E-3</v>
      </c>
    </row>
    <row r="28" spans="1:8">
      <c r="A28" s="66" t="s">
        <v>325</v>
      </c>
      <c r="B28" s="66">
        <v>1.67285E-2</v>
      </c>
      <c r="C28" s="66">
        <v>1.9267200000000002E-2</v>
      </c>
      <c r="D28" s="66">
        <v>1.1517599999999999</v>
      </c>
      <c r="E28" s="66">
        <v>0</v>
      </c>
      <c r="F28" s="66">
        <v>1.27279E-3</v>
      </c>
      <c r="G28" s="66">
        <v>0</v>
      </c>
      <c r="H28" s="66">
        <v>0.12561800000000001</v>
      </c>
    </row>
    <row r="29" spans="1:8">
      <c r="A29" s="66" t="s">
        <v>326</v>
      </c>
      <c r="B29" s="66">
        <v>69.7821</v>
      </c>
      <c r="C29" s="66">
        <v>6.7116400000000001</v>
      </c>
      <c r="D29" s="66">
        <v>9.6180000000000002E-2</v>
      </c>
      <c r="E29" s="66">
        <v>0</v>
      </c>
      <c r="F29" s="66">
        <v>53.075099999999999</v>
      </c>
      <c r="G29" s="66">
        <v>0</v>
      </c>
      <c r="H29" s="66">
        <v>85.216099999999997</v>
      </c>
    </row>
    <row r="30" spans="1:8">
      <c r="A30" s="66" t="s">
        <v>327</v>
      </c>
      <c r="B30" s="66">
        <v>28.138100000000001</v>
      </c>
      <c r="C30" s="66">
        <v>2.6011899999999999</v>
      </c>
      <c r="D30" s="66">
        <v>9.2443600000000001E-2</v>
      </c>
      <c r="E30" s="66">
        <v>0</v>
      </c>
      <c r="F30" s="66">
        <v>22.195699999999999</v>
      </c>
      <c r="G30" s="66">
        <v>0</v>
      </c>
      <c r="H30" s="66">
        <v>32.285800000000002</v>
      </c>
    </row>
    <row r="31" spans="1:8">
      <c r="A31" s="66" t="s">
        <v>328</v>
      </c>
      <c r="B31" s="66">
        <v>125.866</v>
      </c>
      <c r="C31" s="66">
        <v>19.240400000000001</v>
      </c>
      <c r="D31" s="66">
        <v>0.152864</v>
      </c>
      <c r="E31" s="66">
        <v>0</v>
      </c>
      <c r="F31" s="66">
        <v>89.149299999999997</v>
      </c>
      <c r="G31" s="66">
        <v>0</v>
      </c>
      <c r="H31" s="66">
        <v>153.17699999999999</v>
      </c>
    </row>
    <row r="32" spans="1:8">
      <c r="A32" s="66" t="s">
        <v>329</v>
      </c>
      <c r="B32" s="66">
        <v>0.274482</v>
      </c>
      <c r="C32" s="66">
        <v>4.91954E-2</v>
      </c>
      <c r="D32" s="66">
        <v>0.17923</v>
      </c>
      <c r="E32" s="66">
        <v>0.15</v>
      </c>
      <c r="F32" s="66">
        <v>8.2606899999999997E-2</v>
      </c>
      <c r="G32" s="66">
        <v>0.4</v>
      </c>
      <c r="H32" s="66">
        <v>0.38819300000000001</v>
      </c>
    </row>
    <row r="33" spans="1:8">
      <c r="A33" s="66" t="s">
        <v>330</v>
      </c>
      <c r="B33" s="66">
        <v>0.22531699999999999</v>
      </c>
      <c r="C33" s="66">
        <v>6.6521499999999997E-2</v>
      </c>
      <c r="D33" s="66">
        <v>0.29523500000000003</v>
      </c>
      <c r="E33" s="66">
        <v>0</v>
      </c>
      <c r="F33" s="66">
        <v>0.192159</v>
      </c>
      <c r="G33" s="66">
        <v>0</v>
      </c>
      <c r="H33" s="66">
        <v>0.439716</v>
      </c>
    </row>
    <row r="34" spans="1:8">
      <c r="A34" s="66" t="s">
        <v>331</v>
      </c>
      <c r="B34" s="66">
        <v>0.17491599999999999</v>
      </c>
      <c r="C34" s="66">
        <v>2.26004E-2</v>
      </c>
      <c r="D34" s="66">
        <v>0.12920699999999999</v>
      </c>
      <c r="E34" s="66">
        <v>0.1</v>
      </c>
      <c r="F34" s="66">
        <v>0.12687399999999999</v>
      </c>
      <c r="G34" s="66">
        <v>0.25</v>
      </c>
      <c r="H34" s="66">
        <v>0.24060000000000001</v>
      </c>
    </row>
    <row r="35" spans="1:8">
      <c r="A35" s="66" t="s">
        <v>332</v>
      </c>
      <c r="B35" s="66">
        <v>7.3060200000000006E-2</v>
      </c>
      <c r="C35" s="66">
        <v>1.37398E-2</v>
      </c>
      <c r="D35" s="66">
        <v>0.18806100000000001</v>
      </c>
      <c r="E35" s="66">
        <v>0</v>
      </c>
      <c r="F35" s="66">
        <v>3.8415400000000002E-2</v>
      </c>
      <c r="G35" s="66">
        <v>0</v>
      </c>
      <c r="H35" s="66">
        <v>0.107243</v>
      </c>
    </row>
    <row r="36" spans="1:8">
      <c r="A36" s="66" t="s">
        <v>333</v>
      </c>
      <c r="B36" s="66">
        <v>0.157639</v>
      </c>
      <c r="C36" s="66">
        <v>8.2687200000000002E-2</v>
      </c>
      <c r="D36" s="66">
        <v>0.52453700000000003</v>
      </c>
      <c r="E36" s="66">
        <v>0</v>
      </c>
      <c r="F36" s="66">
        <v>3.5761300000000003E-2</v>
      </c>
      <c r="G36" s="66">
        <v>0</v>
      </c>
      <c r="H36" s="66">
        <v>0.47239500000000001</v>
      </c>
    </row>
    <row r="37" spans="1:8">
      <c r="A37" s="66" t="s">
        <v>334</v>
      </c>
      <c r="B37" s="66">
        <v>0.22600400000000001</v>
      </c>
      <c r="C37" s="66">
        <v>7.6506299999999999E-2</v>
      </c>
      <c r="D37" s="66">
        <v>0.33851799999999999</v>
      </c>
      <c r="E37" s="66">
        <v>0.1</v>
      </c>
      <c r="F37" s="66">
        <v>3.1991100000000001E-2</v>
      </c>
      <c r="G37" s="66">
        <v>0.5</v>
      </c>
      <c r="H37" s="66">
        <v>0.24385200000000001</v>
      </c>
    </row>
    <row r="38" spans="1:8">
      <c r="A38" s="66" t="s">
        <v>335</v>
      </c>
      <c r="B38" s="66">
        <v>-13.4863</v>
      </c>
      <c r="C38" s="66">
        <v>44.793599999999998</v>
      </c>
      <c r="D38" s="66">
        <v>-3.3214199999999998</v>
      </c>
      <c r="E38" s="66">
        <v>0</v>
      </c>
      <c r="F38" s="66">
        <v>-214.95</v>
      </c>
      <c r="G38" s="66">
        <v>0</v>
      </c>
      <c r="H38" s="66">
        <v>73.483800000000002</v>
      </c>
    </row>
    <row r="39" spans="1:8">
      <c r="A39" s="66" t="s">
        <v>336</v>
      </c>
      <c r="B39" s="66">
        <v>-0.193659</v>
      </c>
      <c r="C39" s="66">
        <v>4.9482200000000001</v>
      </c>
      <c r="D39" s="66">
        <v>-25.551200000000001</v>
      </c>
      <c r="E39" s="66">
        <v>0</v>
      </c>
      <c r="F39" s="66">
        <v>-20.805900000000001</v>
      </c>
      <c r="G39" s="66">
        <v>0</v>
      </c>
      <c r="H39" s="66">
        <v>7.0087000000000002</v>
      </c>
    </row>
    <row r="40" spans="1:8">
      <c r="A40" s="66" t="s">
        <v>337</v>
      </c>
      <c r="B40" s="66">
        <v>-1.2083600000000001</v>
      </c>
      <c r="C40" s="66">
        <v>1.6739999999999999</v>
      </c>
      <c r="D40" s="66">
        <v>-1.3853599999999999</v>
      </c>
      <c r="E40" s="66">
        <v>0</v>
      </c>
      <c r="F40" s="66">
        <v>-5.0157100000000003</v>
      </c>
      <c r="G40" s="66">
        <v>0</v>
      </c>
      <c r="H40" s="66">
        <v>1.2548999999999999</v>
      </c>
    </row>
    <row r="41" spans="1:8">
      <c r="A41" s="66" t="s">
        <v>338</v>
      </c>
      <c r="B41" s="66">
        <v>-6.7682699999999998E-2</v>
      </c>
      <c r="C41" s="66">
        <v>0.28292299999999998</v>
      </c>
      <c r="D41" s="66">
        <v>-4.1801399999999997</v>
      </c>
      <c r="E41" s="66">
        <v>0</v>
      </c>
      <c r="F41" s="66">
        <v>-0.84011599999999997</v>
      </c>
      <c r="G41" s="66">
        <v>0</v>
      </c>
      <c r="H41" s="66">
        <v>0.66666700000000001</v>
      </c>
    </row>
    <row r="42" spans="1:8">
      <c r="A42" s="66" t="s">
        <v>339</v>
      </c>
      <c r="B42" s="66">
        <v>1.32341E-2</v>
      </c>
      <c r="C42" s="66">
        <v>9.7070900000000002E-2</v>
      </c>
      <c r="D42" s="66">
        <v>7.3349000000000002</v>
      </c>
      <c r="E42" s="66">
        <v>0</v>
      </c>
      <c r="F42" s="66">
        <v>-0.30979299999999999</v>
      </c>
      <c r="G42" s="66">
        <v>0</v>
      </c>
      <c r="H42" s="66">
        <v>0.204259</v>
      </c>
    </row>
    <row r="43" spans="1:8">
      <c r="A43" s="66" t="s">
        <v>340</v>
      </c>
      <c r="B43" s="66">
        <v>-4.5479400000000003E-2</v>
      </c>
      <c r="C43" s="66">
        <v>7.7753900000000001E-2</v>
      </c>
      <c r="D43" s="66">
        <v>-1.7096499999999999</v>
      </c>
      <c r="E43" s="66">
        <v>0</v>
      </c>
      <c r="F43" s="66">
        <v>-0.187142</v>
      </c>
      <c r="G43" s="66">
        <v>0</v>
      </c>
      <c r="H43" s="66">
        <v>0.11880300000000001</v>
      </c>
    </row>
    <row r="44" spans="1:8">
      <c r="A44" s="66" t="s">
        <v>341</v>
      </c>
      <c r="B44" s="66">
        <v>7.8767100000000001</v>
      </c>
      <c r="C44" s="66">
        <v>9.4306699999999992</v>
      </c>
      <c r="D44" s="66">
        <v>1.19729</v>
      </c>
      <c r="E44" s="66">
        <v>0</v>
      </c>
      <c r="F44" s="66">
        <v>-14.210900000000001</v>
      </c>
      <c r="G44" s="66">
        <v>0</v>
      </c>
      <c r="H44" s="66">
        <v>20.0626</v>
      </c>
    </row>
    <row r="45" spans="1:8">
      <c r="A45" s="66" t="s">
        <v>342</v>
      </c>
      <c r="B45" s="66">
        <v>47.951099999999997</v>
      </c>
      <c r="C45" s="66">
        <v>8.7949000000000002</v>
      </c>
      <c r="D45" s="66">
        <v>0.18341399999999999</v>
      </c>
      <c r="E45" s="66">
        <v>0</v>
      </c>
      <c r="F45" s="66">
        <v>29.437200000000001</v>
      </c>
      <c r="G45" s="66">
        <v>0</v>
      </c>
      <c r="H45" s="66">
        <v>73.685299999999998</v>
      </c>
    </row>
    <row r="46" spans="1:8">
      <c r="A46" s="66" t="s">
        <v>343</v>
      </c>
      <c r="B46" s="66">
        <v>24.599799999999998</v>
      </c>
      <c r="C46" s="66">
        <v>3.9353600000000002</v>
      </c>
      <c r="D46" s="66">
        <v>0.15997600000000001</v>
      </c>
      <c r="E46" s="66">
        <v>0</v>
      </c>
      <c r="F46" s="66">
        <v>22.078800000000001</v>
      </c>
      <c r="G46" s="66">
        <v>0</v>
      </c>
      <c r="H46" s="66">
        <v>34.596899999999998</v>
      </c>
    </row>
    <row r="47" spans="1:8">
      <c r="A47" s="66" t="s">
        <v>344</v>
      </c>
      <c r="B47" s="66">
        <v>1.1124099999999999</v>
      </c>
      <c r="C47" s="66">
        <v>0.41313800000000001</v>
      </c>
      <c r="D47" s="66">
        <v>0.37139</v>
      </c>
      <c r="E47" s="66">
        <v>0</v>
      </c>
      <c r="F47" s="66">
        <v>0.46084599999999998</v>
      </c>
      <c r="G47" s="66">
        <v>0</v>
      </c>
      <c r="H47" s="66">
        <v>2.3820000000000001</v>
      </c>
    </row>
    <row r="48" spans="1:8">
      <c r="A48" s="66" t="s">
        <v>345</v>
      </c>
      <c r="B48" s="66">
        <v>0.91803900000000005</v>
      </c>
      <c r="C48" s="66">
        <v>0.12042899999999999</v>
      </c>
      <c r="D48" s="66">
        <v>0.13118099999999999</v>
      </c>
      <c r="E48" s="66">
        <v>0</v>
      </c>
      <c r="F48" s="66">
        <v>0.81626200000000004</v>
      </c>
      <c r="G48" s="66">
        <v>0</v>
      </c>
      <c r="H48" s="66">
        <v>1.38419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347</v>
      </c>
      <c r="B1" s="60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97.732927486647924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1.8869775392824988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0.59803606949035937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970</v>
      </c>
      <c r="B8" s="66">
        <v>970</v>
      </c>
      <c r="D8">
        <f t="shared" si="0"/>
        <v>4.1773253059783121E-3</v>
      </c>
      <c r="E8">
        <f t="shared" si="0"/>
        <v>4.1773253059783121E-3</v>
      </c>
      <c r="G8">
        <f t="shared" ca="1" si="1"/>
        <v>6</v>
      </c>
      <c r="H8">
        <f t="shared" ca="1" si="2"/>
        <v>2.5063951835869874E-2</v>
      </c>
      <c r="I8">
        <f t="shared" ca="1" si="3"/>
        <v>35.151899975506609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902</v>
      </c>
      <c r="B10" s="66">
        <v>902</v>
      </c>
      <c r="D10">
        <f t="shared" si="0"/>
        <v>3.8844818824664306E-3</v>
      </c>
      <c r="E10">
        <f t="shared" si="0"/>
        <v>3.8844818824664306E-3</v>
      </c>
      <c r="G10">
        <f t="shared" ca="1" si="1"/>
        <v>8</v>
      </c>
      <c r="H10">
        <f t="shared" ca="1" si="2"/>
        <v>3.1075855059731445E-2</v>
      </c>
      <c r="I10">
        <f t="shared" ca="1" si="3"/>
        <v>31.27784141814708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1548</v>
      </c>
      <c r="B13" s="66">
        <v>1548</v>
      </c>
      <c r="D13">
        <f t="shared" si="0"/>
        <v>6.666494405829307E-3</v>
      </c>
      <c r="E13">
        <f t="shared" si="0"/>
        <v>6.666494405829307E-3</v>
      </c>
      <c r="G13">
        <f t="shared" ca="1" si="1"/>
        <v>11</v>
      </c>
      <c r="H13">
        <f t="shared" ca="1" si="2"/>
        <v>7.3331438464122378E-2</v>
      </c>
      <c r="I13">
        <f t="shared" ca="1" si="3"/>
        <v>50.149375553196684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2997</v>
      </c>
      <c r="B15" s="66">
        <v>2997</v>
      </c>
      <c r="D15">
        <f t="shared" si="0"/>
        <v>1.2906643239192786E-2</v>
      </c>
      <c r="E15">
        <f t="shared" si="0"/>
        <v>1.2906643239192786E-2</v>
      </c>
      <c r="G15">
        <f t="shared" ca="1" si="1"/>
        <v>13</v>
      </c>
      <c r="H15">
        <f t="shared" ca="1" si="2"/>
        <v>0.1677863621095062</v>
      </c>
      <c r="I15">
        <f t="shared" ca="1" si="3"/>
        <v>92.665426364397263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5074</v>
      </c>
      <c r="B18" s="66">
        <v>5074</v>
      </c>
      <c r="D18">
        <f t="shared" si="0"/>
        <v>2.185128721910717E-2</v>
      </c>
      <c r="E18">
        <f t="shared" si="0"/>
        <v>2.185128721910717E-2</v>
      </c>
      <c r="G18">
        <f t="shared" ca="1" si="1"/>
        <v>16</v>
      </c>
      <c r="H18">
        <f t="shared" ca="1" si="2"/>
        <v>0.34962059550571473</v>
      </c>
      <c r="I18">
        <f t="shared" ca="1" si="3"/>
        <v>145.97252983953049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8475</v>
      </c>
      <c r="B21" s="66">
        <v>8475</v>
      </c>
      <c r="D21">
        <f t="shared" si="0"/>
        <v>3.6497764915635257E-2</v>
      </c>
      <c r="E21">
        <f t="shared" si="0"/>
        <v>3.6497764915635257E-2</v>
      </c>
      <c r="G21">
        <f t="shared" ca="1" si="1"/>
        <v>19</v>
      </c>
      <c r="H21">
        <f t="shared" ca="1" si="2"/>
        <v>0.69345753339706984</v>
      </c>
      <c r="I21">
        <f t="shared" ca="1" si="3"/>
        <v>226.245041271481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12122</v>
      </c>
      <c r="B23" s="66">
        <v>12122</v>
      </c>
      <c r="D23">
        <f t="shared" si="0"/>
        <v>5.220364676192691E-2</v>
      </c>
      <c r="E23">
        <f t="shared" si="0"/>
        <v>5.220364676192691E-2</v>
      </c>
      <c r="G23">
        <f t="shared" ca="1" si="1"/>
        <v>21</v>
      </c>
      <c r="H23">
        <f t="shared" ca="1" si="2"/>
        <v>1.0962765820004652</v>
      </c>
      <c r="I23">
        <f t="shared" ca="1" si="3"/>
        <v>307.3720527103344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14526</v>
      </c>
      <c r="B26" s="66">
        <v>14526</v>
      </c>
      <c r="D26">
        <f t="shared" si="0"/>
        <v>6.2556523087258731E-2</v>
      </c>
      <c r="E26">
        <f t="shared" si="0"/>
        <v>6.2556523087258731E-2</v>
      </c>
      <c r="G26">
        <f t="shared" ca="1" si="1"/>
        <v>24</v>
      </c>
      <c r="H26">
        <f t="shared" ca="1" si="2"/>
        <v>1.5013565540942095</v>
      </c>
      <c r="I26">
        <f t="shared" ca="1" si="3"/>
        <v>340.09132751902672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17543</v>
      </c>
      <c r="B28" s="66">
        <v>17543</v>
      </c>
      <c r="D28">
        <f t="shared" si="0"/>
        <v>7.5549296745131472E-2</v>
      </c>
      <c r="E28">
        <f t="shared" si="0"/>
        <v>7.5549296745131472E-2</v>
      </c>
      <c r="G28">
        <f t="shared" ca="1" si="1"/>
        <v>26</v>
      </c>
      <c r="H28">
        <f t="shared" ca="1" si="2"/>
        <v>1.9642817153734182</v>
      </c>
      <c r="I28">
        <f t="shared" ca="1" si="3"/>
        <v>388.74743484523077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21926</v>
      </c>
      <c r="B31" s="66">
        <v>21926</v>
      </c>
      <c r="D31">
        <f t="shared" si="0"/>
        <v>9.4424777998845855E-2</v>
      </c>
      <c r="E31">
        <f t="shared" si="0"/>
        <v>9.4424777998845855E-2</v>
      </c>
      <c r="G31">
        <f t="shared" ca="1" si="1"/>
        <v>29</v>
      </c>
      <c r="H31">
        <f t="shared" ca="1" si="2"/>
        <v>2.7383185619665298</v>
      </c>
      <c r="I31">
        <f t="shared" ca="1" si="3"/>
        <v>446.08298289329372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28465</v>
      </c>
      <c r="B33" s="66">
        <v>28465</v>
      </c>
      <c r="D33">
        <f t="shared" si="0"/>
        <v>0.12258511838626047</v>
      </c>
      <c r="E33">
        <f t="shared" si="0"/>
        <v>0.12258511838626047</v>
      </c>
      <c r="G33">
        <f t="shared" ca="1" si="1"/>
        <v>31</v>
      </c>
      <c r="H33">
        <f t="shared" ca="1" si="2"/>
        <v>3.8001386699740749</v>
      </c>
      <c r="I33">
        <f t="shared" ca="1" si="3"/>
        <v>545.90629865445396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32741</v>
      </c>
      <c r="B36" s="66">
        <v>32741</v>
      </c>
      <c r="D36">
        <f t="shared" si="0"/>
        <v>0.14099980190003703</v>
      </c>
      <c r="E36">
        <f t="shared" si="0"/>
        <v>0.14099980190003703</v>
      </c>
      <c r="G36">
        <f t="shared" ca="1" si="1"/>
        <v>34</v>
      </c>
      <c r="H36">
        <f t="shared" ca="1" si="2"/>
        <v>4.7939932646012586</v>
      </c>
      <c r="I36">
        <f t="shared" ca="1" si="3"/>
        <v>572.72512782910815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37913</v>
      </c>
      <c r="B39" s="66">
        <v>37913</v>
      </c>
      <c r="D39">
        <f t="shared" si="0"/>
        <v>0.16327312817067605</v>
      </c>
      <c r="E39">
        <f t="shared" si="0"/>
        <v>0.16327312817067605</v>
      </c>
      <c r="G39">
        <f t="shared" ca="1" si="1"/>
        <v>37</v>
      </c>
      <c r="H39">
        <f t="shared" ca="1" si="2"/>
        <v>6.0411057423150138</v>
      </c>
      <c r="I39">
        <f t="shared" ca="1" si="3"/>
        <v>602.23105253044696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42675</v>
      </c>
      <c r="B41" s="66">
        <v>42675</v>
      </c>
      <c r="D41">
        <f t="shared" si="0"/>
        <v>0.18378078085837576</v>
      </c>
      <c r="E41">
        <f t="shared" si="0"/>
        <v>0.18378078085837576</v>
      </c>
      <c r="G41">
        <f t="shared" ca="1" si="1"/>
        <v>39</v>
      </c>
      <c r="H41">
        <f t="shared" ca="1" si="2"/>
        <v>7.167450453476655</v>
      </c>
      <c r="I41">
        <f t="shared" ca="1" si="3"/>
        <v>633.96223701758322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45101</v>
      </c>
      <c r="B44" s="66">
        <v>45101</v>
      </c>
      <c r="D44">
        <f t="shared" si="0"/>
        <v>0.19422840064425553</v>
      </c>
      <c r="E44">
        <f t="shared" si="0"/>
        <v>0.19422840064425553</v>
      </c>
      <c r="G44">
        <f t="shared" ca="1" si="1"/>
        <v>42</v>
      </c>
      <c r="H44">
        <f t="shared" ca="1" si="2"/>
        <v>8.1575928270587319</v>
      </c>
      <c r="I44">
        <f t="shared" ca="1" si="3"/>
        <v>603.30433477286306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51359</v>
      </c>
      <c r="B46" s="66">
        <v>51359</v>
      </c>
      <c r="D46">
        <f t="shared" si="0"/>
        <v>0.22117860864921665</v>
      </c>
      <c r="E46">
        <f t="shared" si="0"/>
        <v>0.22117860864921665</v>
      </c>
      <c r="G46">
        <f t="shared" ca="1" si="1"/>
        <v>44</v>
      </c>
      <c r="H46">
        <f t="shared" ca="1" si="2"/>
        <v>9.731858780565533</v>
      </c>
      <c r="I46">
        <f t="shared" ca="1" si="3"/>
        <v>638.59296048215811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59788</v>
      </c>
      <c r="B49" s="66">
        <v>59788</v>
      </c>
      <c r="D49">
        <f t="shared" si="0"/>
        <v>0.25747827360188796</v>
      </c>
      <c r="E49">
        <f t="shared" si="0"/>
        <v>0.25747827360188796</v>
      </c>
      <c r="G49">
        <f t="shared" ca="1" si="1"/>
        <v>47</v>
      </c>
      <c r="H49">
        <f t="shared" ca="1" si="2"/>
        <v>12.101478859288735</v>
      </c>
      <c r="I49">
        <f t="shared" ca="1" si="3"/>
        <v>662.70528727284875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68747</v>
      </c>
      <c r="B51" s="66">
        <v>68747</v>
      </c>
      <c r="D51">
        <f t="shared" si="0"/>
        <v>0.2960603946495784</v>
      </c>
      <c r="E51">
        <f t="shared" si="0"/>
        <v>0.2960603946495784</v>
      </c>
      <c r="G51">
        <f t="shared" ca="1" si="1"/>
        <v>49</v>
      </c>
      <c r="H51">
        <f t="shared" ca="1" si="2"/>
        <v>14.506959337829342</v>
      </c>
      <c r="I51">
        <f t="shared" ca="1" si="3"/>
        <v>703.11330468585675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79303</v>
      </c>
      <c r="B54" s="66">
        <v>79303</v>
      </c>
      <c r="D54">
        <f t="shared" si="0"/>
        <v>0.34152002962886402</v>
      </c>
      <c r="E54">
        <f t="shared" si="0"/>
        <v>0.34152002962886402</v>
      </c>
      <c r="G54">
        <f t="shared" ca="1" si="1"/>
        <v>52</v>
      </c>
      <c r="H54">
        <f t="shared" ca="1" si="2"/>
        <v>17.759041540700927</v>
      </c>
      <c r="I54">
        <f t="shared" ca="1" si="3"/>
        <v>714.2893661763261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86149</v>
      </c>
      <c r="B57" s="66">
        <v>86149</v>
      </c>
      <c r="D57">
        <f t="shared" si="0"/>
        <v>0.37100247194301611</v>
      </c>
      <c r="E57">
        <f t="shared" si="0"/>
        <v>0.37100247194301611</v>
      </c>
      <c r="G57">
        <f t="shared" ca="1" si="1"/>
        <v>55</v>
      </c>
      <c r="H57">
        <f t="shared" ca="1" si="2"/>
        <v>20.405135956865887</v>
      </c>
      <c r="I57">
        <f t="shared" ca="1" si="3"/>
        <v>677.48876099863355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93573</v>
      </c>
      <c r="B59" s="66">
        <v>93573</v>
      </c>
      <c r="D59">
        <f t="shared" si="0"/>
        <v>0.40297408335701917</v>
      </c>
      <c r="E59">
        <f t="shared" si="0"/>
        <v>0.40297408335701917</v>
      </c>
      <c r="G59">
        <f t="shared" ca="1" si="1"/>
        <v>57</v>
      </c>
      <c r="H59">
        <f t="shared" ca="1" si="2"/>
        <v>22.969522751350095</v>
      </c>
      <c r="I59">
        <f t="shared" ca="1" si="3"/>
        <v>668.60306664556299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98576</v>
      </c>
      <c r="B62" s="66">
        <v>98576</v>
      </c>
      <c r="D62">
        <f t="shared" si="0"/>
        <v>0.4245196075898125</v>
      </c>
      <c r="E62">
        <f t="shared" si="0"/>
        <v>0.4245196075898125</v>
      </c>
      <c r="G62">
        <f t="shared" ca="1" si="1"/>
        <v>60</v>
      </c>
      <c r="H62">
        <f t="shared" ca="1" si="2"/>
        <v>25.471176455388751</v>
      </c>
      <c r="I62">
        <f t="shared" ca="1" si="3"/>
        <v>604.41990196749543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111437</v>
      </c>
      <c r="B64" s="66">
        <v>111437</v>
      </c>
      <c r="D64">
        <f t="shared" si="0"/>
        <v>0.4799057733219641</v>
      </c>
      <c r="E64">
        <f t="shared" si="0"/>
        <v>0.4799057733219641</v>
      </c>
      <c r="G64">
        <f t="shared" ca="1" si="1"/>
        <v>62</v>
      </c>
      <c r="H64">
        <f t="shared" ca="1" si="2"/>
        <v>29.754157945961776</v>
      </c>
      <c r="I64">
        <f t="shared" ca="1" si="3"/>
        <v>612.76389865760166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118991</v>
      </c>
      <c r="B67" s="66">
        <v>118991</v>
      </c>
      <c r="D67">
        <f t="shared" ref="D67:E130" si="4">IFERROR( A67/MAX(A$2:A$257), 0 )</f>
        <v>0.51243723245738693</v>
      </c>
      <c r="E67">
        <f t="shared" si="4"/>
        <v>0.51243723245738693</v>
      </c>
      <c r="G67">
        <f t="shared" ref="G67:G130" ca="1" si="5">CELL("row",D67)-2</f>
        <v>65</v>
      </c>
      <c r="H67">
        <f t="shared" ref="H67:H130" ca="1" si="6">D67*G67</f>
        <v>33.30842010973015</v>
      </c>
      <c r="I67">
        <f t="shared" ref="I67:I130" ca="1" si="7">D67*((G67-$L$1)^2)</f>
        <v>549.04807575521465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130730</v>
      </c>
      <c r="B69" s="66">
        <v>130730</v>
      </c>
      <c r="D69">
        <f t="shared" si="4"/>
        <v>0.56299148170159252</v>
      </c>
      <c r="E69">
        <f t="shared" si="4"/>
        <v>0.56299148170159252</v>
      </c>
      <c r="G69">
        <f t="shared" ca="1" si="5"/>
        <v>67</v>
      </c>
      <c r="H69">
        <f t="shared" ca="1" si="6"/>
        <v>37.720429274006698</v>
      </c>
      <c r="I69">
        <f t="shared" ca="1" si="7"/>
        <v>531.75267871730023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136661</v>
      </c>
      <c r="B72" s="66">
        <v>136661</v>
      </c>
      <c r="D72">
        <f t="shared" si="4"/>
        <v>0.58853345736113627</v>
      </c>
      <c r="E72">
        <f t="shared" si="4"/>
        <v>0.58853345736113627</v>
      </c>
      <c r="G72">
        <f t="shared" ca="1" si="5"/>
        <v>70</v>
      </c>
      <c r="H72">
        <f t="shared" ca="1" si="6"/>
        <v>41.197342015279538</v>
      </c>
      <c r="I72">
        <f t="shared" ca="1" si="7"/>
        <v>452.65006718477969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144284</v>
      </c>
      <c r="B75" s="66">
        <v>144284</v>
      </c>
      <c r="D75">
        <f t="shared" si="4"/>
        <v>0.621362066441005</v>
      </c>
      <c r="E75">
        <f t="shared" si="4"/>
        <v>0.621362066441005</v>
      </c>
      <c r="G75">
        <f t="shared" ca="1" si="5"/>
        <v>73</v>
      </c>
      <c r="H75">
        <f t="shared" ca="1" si="6"/>
        <v>45.359430850193363</v>
      </c>
      <c r="I75">
        <f t="shared" ca="1" si="7"/>
        <v>380.09817543041066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162081</v>
      </c>
      <c r="B77" s="66">
        <v>162081</v>
      </c>
      <c r="D77">
        <f t="shared" si="4"/>
        <v>0.69800521950337202</v>
      </c>
      <c r="E77">
        <f t="shared" si="4"/>
        <v>0.69800521950337202</v>
      </c>
      <c r="G77">
        <f t="shared" ca="1" si="5"/>
        <v>75</v>
      </c>
      <c r="H77">
        <f t="shared" ca="1" si="6"/>
        <v>52.350391462752903</v>
      </c>
      <c r="I77">
        <f t="shared" ca="1" si="7"/>
        <v>360.71931986123695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171575</v>
      </c>
      <c r="B80" s="66">
        <v>171575</v>
      </c>
      <c r="D80">
        <f t="shared" si="4"/>
        <v>0.73889132925075152</v>
      </c>
      <c r="E80">
        <f t="shared" si="4"/>
        <v>0.73889132925075152</v>
      </c>
      <c r="G80">
        <f t="shared" ca="1" si="5"/>
        <v>78</v>
      </c>
      <c r="H80">
        <f t="shared" ca="1" si="6"/>
        <v>57.633523681558621</v>
      </c>
      <c r="I80">
        <f t="shared" ca="1" si="7"/>
        <v>287.71573256372074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176742</v>
      </c>
      <c r="B82" s="66">
        <v>176742</v>
      </c>
      <c r="D82">
        <f t="shared" si="4"/>
        <v>0.76114312291672048</v>
      </c>
      <c r="E82">
        <f t="shared" si="4"/>
        <v>0.76114312291672048</v>
      </c>
      <c r="G82">
        <f t="shared" ca="1" si="5"/>
        <v>80</v>
      </c>
      <c r="H82">
        <f t="shared" ca="1" si="6"/>
        <v>60.891449833337639</v>
      </c>
      <c r="I82">
        <f t="shared" ca="1" si="7"/>
        <v>239.34656778730366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195057</v>
      </c>
      <c r="B85" s="66">
        <v>195057</v>
      </c>
      <c r="D85">
        <f t="shared" si="4"/>
        <v>0.8400170538228986</v>
      </c>
      <c r="E85">
        <f t="shared" si="4"/>
        <v>0.8400170538228986</v>
      </c>
      <c r="G85">
        <f t="shared" ca="1" si="5"/>
        <v>83</v>
      </c>
      <c r="H85">
        <f t="shared" ca="1" si="6"/>
        <v>69.721415467300588</v>
      </c>
      <c r="I85">
        <f t="shared" ca="1" si="7"/>
        <v>182.33338964287606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197989</v>
      </c>
      <c r="B88" s="66">
        <v>197989</v>
      </c>
      <c r="D88">
        <f t="shared" si="4"/>
        <v>0.85264377320138152</v>
      </c>
      <c r="E88">
        <f t="shared" si="4"/>
        <v>0.85264377320138152</v>
      </c>
      <c r="G88">
        <f t="shared" ca="1" si="5"/>
        <v>86</v>
      </c>
      <c r="H88">
        <f t="shared" ca="1" si="6"/>
        <v>73.327364495318804</v>
      </c>
      <c r="I88">
        <f t="shared" ca="1" si="7"/>
        <v>117.37629531154371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206070</v>
      </c>
      <c r="B90" s="66">
        <v>206070</v>
      </c>
      <c r="D90">
        <f t="shared" si="4"/>
        <v>0.88744476886902146</v>
      </c>
      <c r="E90">
        <f t="shared" si="4"/>
        <v>0.88744476886902146</v>
      </c>
      <c r="G90">
        <f t="shared" ca="1" si="5"/>
        <v>88</v>
      </c>
      <c r="H90">
        <f t="shared" ca="1" si="6"/>
        <v>78.09513966047389</v>
      </c>
      <c r="I90">
        <f t="shared" ca="1" si="7"/>
        <v>84.067534207788071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223727</v>
      </c>
      <c r="B93" s="66">
        <v>223727</v>
      </c>
      <c r="D93">
        <f t="shared" si="4"/>
        <v>0.96348500900062872</v>
      </c>
      <c r="E93">
        <f t="shared" si="4"/>
        <v>0.96348500900062872</v>
      </c>
      <c r="G93">
        <f t="shared" ca="1" si="5"/>
        <v>91</v>
      </c>
      <c r="H93">
        <f t="shared" ca="1" si="6"/>
        <v>87.677135819057213</v>
      </c>
      <c r="I93">
        <f t="shared" ca="1" si="7"/>
        <v>43.677003556063575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225516</v>
      </c>
      <c r="B95" s="66">
        <v>225516</v>
      </c>
      <c r="D95">
        <f t="shared" si="4"/>
        <v>0.97118937495155166</v>
      </c>
      <c r="E95">
        <f t="shared" si="4"/>
        <v>0.97118937495155166</v>
      </c>
      <c r="G95">
        <f t="shared" ca="1" si="5"/>
        <v>93</v>
      </c>
      <c r="H95">
        <f t="shared" ca="1" si="6"/>
        <v>90.320611870494304</v>
      </c>
      <c r="I95">
        <f t="shared" ca="1" si="7"/>
        <v>21.755227231676219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232206</v>
      </c>
      <c r="B98" s="66">
        <v>232206</v>
      </c>
      <c r="D98">
        <f t="shared" si="4"/>
        <v>1</v>
      </c>
      <c r="E98">
        <f t="shared" si="4"/>
        <v>1</v>
      </c>
      <c r="G98">
        <f t="shared" ca="1" si="5"/>
        <v>96</v>
      </c>
      <c r="H98">
        <f t="shared" ca="1" si="6"/>
        <v>96</v>
      </c>
      <c r="I98">
        <f t="shared" ca="1" si="7"/>
        <v>3.0030376739798901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225761</v>
      </c>
      <c r="B100" s="66">
        <v>225761</v>
      </c>
      <c r="D100">
        <f t="shared" si="4"/>
        <v>0.97224447258038116</v>
      </c>
      <c r="E100">
        <f t="shared" si="4"/>
        <v>0.97224447258038116</v>
      </c>
      <c r="G100">
        <f t="shared" ca="1" si="5"/>
        <v>98</v>
      </c>
      <c r="H100">
        <f t="shared" ca="1" si="6"/>
        <v>95.279958312877355</v>
      </c>
      <c r="I100">
        <f t="shared" ca="1" si="7"/>
        <v>6.9347988694892754E-2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227968</v>
      </c>
      <c r="B103" s="66">
        <v>227968</v>
      </c>
      <c r="D103">
        <f t="shared" si="4"/>
        <v>0.98174896428171532</v>
      </c>
      <c r="E103">
        <f t="shared" si="4"/>
        <v>0.98174896428171532</v>
      </c>
      <c r="G103">
        <f t="shared" ca="1" si="5"/>
        <v>101</v>
      </c>
      <c r="H103">
        <f t="shared" ca="1" si="6"/>
        <v>99.156645392453242</v>
      </c>
      <c r="I103">
        <f t="shared" ca="1" si="7"/>
        <v>10.478955581252459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229950</v>
      </c>
      <c r="B106" s="66">
        <v>229950</v>
      </c>
      <c r="D106">
        <f t="shared" si="4"/>
        <v>0.99028448877289987</v>
      </c>
      <c r="E106">
        <f t="shared" si="4"/>
        <v>0.99028448877289987</v>
      </c>
      <c r="G106">
        <f t="shared" ca="1" si="5"/>
        <v>104</v>
      </c>
      <c r="H106">
        <f t="shared" ca="1" si="6"/>
        <v>102.98958683238159</v>
      </c>
      <c r="I106">
        <f t="shared" ca="1" si="7"/>
        <v>38.894609546078193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229402</v>
      </c>
      <c r="B108" s="66">
        <v>229402</v>
      </c>
      <c r="D108">
        <f t="shared" si="4"/>
        <v>0.98792451530106884</v>
      </c>
      <c r="E108">
        <f t="shared" si="4"/>
        <v>0.98792451530106884</v>
      </c>
      <c r="G108">
        <f t="shared" ca="1" si="5"/>
        <v>106</v>
      </c>
      <c r="H108">
        <f t="shared" ca="1" si="6"/>
        <v>104.71999862191329</v>
      </c>
      <c r="I108">
        <f t="shared" ca="1" si="7"/>
        <v>67.51919512263332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228137</v>
      </c>
      <c r="B111" s="66">
        <v>228137</v>
      </c>
      <c r="D111">
        <f t="shared" si="4"/>
        <v>0.98247676631956105</v>
      </c>
      <c r="E111">
        <f t="shared" si="4"/>
        <v>0.98247676631956105</v>
      </c>
      <c r="G111">
        <f t="shared" ca="1" si="5"/>
        <v>109</v>
      </c>
      <c r="H111">
        <f t="shared" ca="1" si="6"/>
        <v>107.08996752883215</v>
      </c>
      <c r="I111">
        <f t="shared" ca="1" si="7"/>
        <v>124.72240242402185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216126</v>
      </c>
      <c r="B113" s="66">
        <v>216126</v>
      </c>
      <c r="D113">
        <f t="shared" si="4"/>
        <v>0.93075114338130793</v>
      </c>
      <c r="E113">
        <f t="shared" si="4"/>
        <v>0.93075114338130793</v>
      </c>
      <c r="G113">
        <f t="shared" ca="1" si="5"/>
        <v>111</v>
      </c>
      <c r="H113">
        <f t="shared" ca="1" si="6"/>
        <v>103.31337691532518</v>
      </c>
      <c r="I113">
        <f t="shared" ca="1" si="7"/>
        <v>163.82636082163467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201661</v>
      </c>
      <c r="B116" s="66">
        <v>201661</v>
      </c>
      <c r="D116">
        <f t="shared" si="4"/>
        <v>0.86845731807102311</v>
      </c>
      <c r="E116">
        <f t="shared" si="4"/>
        <v>0.86845731807102311</v>
      </c>
      <c r="G116">
        <f t="shared" ca="1" si="5"/>
        <v>114</v>
      </c>
      <c r="H116">
        <f t="shared" ca="1" si="6"/>
        <v>99.004134260096635</v>
      </c>
      <c r="I116">
        <f t="shared" ca="1" si="7"/>
        <v>229.80913303065302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178619</v>
      </c>
      <c r="B118" s="66">
        <v>178619</v>
      </c>
      <c r="D118">
        <f t="shared" si="4"/>
        <v>0.76922646270983519</v>
      </c>
      <c r="E118">
        <f t="shared" si="4"/>
        <v>0.76922646270983519</v>
      </c>
      <c r="G118">
        <f t="shared" ca="1" si="5"/>
        <v>116</v>
      </c>
      <c r="H118">
        <f t="shared" ca="1" si="6"/>
        <v>89.230269674340889</v>
      </c>
      <c r="I118">
        <f t="shared" ca="1" si="7"/>
        <v>256.68005390380091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160284</v>
      </c>
      <c r="B121" s="66">
        <v>160284</v>
      </c>
      <c r="D121">
        <f t="shared" si="4"/>
        <v>0.69026640138497708</v>
      </c>
      <c r="E121">
        <f t="shared" si="4"/>
        <v>0.69026640138497708</v>
      </c>
      <c r="G121">
        <f t="shared" ca="1" si="5"/>
        <v>119</v>
      </c>
      <c r="H121">
        <f t="shared" ca="1" si="6"/>
        <v>82.141701764812268</v>
      </c>
      <c r="I121">
        <f t="shared" ca="1" si="7"/>
        <v>312.19946781789406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145040</v>
      </c>
      <c r="B124" s="66">
        <v>145040</v>
      </c>
      <c r="D124">
        <f t="shared" si="4"/>
        <v>0.62461779626710767</v>
      </c>
      <c r="E124">
        <f t="shared" si="4"/>
        <v>0.62461779626710767</v>
      </c>
      <c r="G124">
        <f t="shared" ca="1" si="5"/>
        <v>122</v>
      </c>
      <c r="H124">
        <f t="shared" ca="1" si="6"/>
        <v>76.203371144587138</v>
      </c>
      <c r="I124">
        <f t="shared" ca="1" si="7"/>
        <v>367.83167896495553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136962</v>
      </c>
      <c r="B126" s="66">
        <v>136962</v>
      </c>
      <c r="D126">
        <f t="shared" si="4"/>
        <v>0.58982972016226975</v>
      </c>
      <c r="E126">
        <f t="shared" si="4"/>
        <v>0.58982972016226975</v>
      </c>
      <c r="G126">
        <f t="shared" ca="1" si="5"/>
        <v>124</v>
      </c>
      <c r="H126">
        <f t="shared" ca="1" si="6"/>
        <v>73.138885300121444</v>
      </c>
      <c r="I126">
        <f t="shared" ca="1" si="7"/>
        <v>406.95838194548094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131157</v>
      </c>
      <c r="B129" s="66">
        <v>131157</v>
      </c>
      <c r="D129">
        <f t="shared" si="4"/>
        <v>0.56483036614040982</v>
      </c>
      <c r="E129">
        <f t="shared" si="4"/>
        <v>0.56483036614040982</v>
      </c>
      <c r="G129">
        <f t="shared" ca="1" si="5"/>
        <v>127</v>
      </c>
      <c r="H129">
        <f t="shared" ca="1" si="6"/>
        <v>71.733456499832045</v>
      </c>
      <c r="I129">
        <f t="shared" ca="1" si="7"/>
        <v>483.8119645896175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125600</v>
      </c>
      <c r="B131" s="66">
        <v>125600</v>
      </c>
      <c r="D131">
        <f t="shared" ref="D131:E194" si="8">IFERROR( A131/MAX(A$2:A$257), 0 )</f>
        <v>0.54089902931018152</v>
      </c>
      <c r="E131">
        <f t="shared" si="8"/>
        <v>0.54089902931018152</v>
      </c>
      <c r="G131">
        <f t="shared" ref="G131:G194" ca="1" si="9">CELL("row",D131)-2</f>
        <v>129</v>
      </c>
      <c r="H131">
        <f t="shared" ref="H131:H194" ca="1" si="10">D131*G131</f>
        <v>69.775974781013417</v>
      </c>
      <c r="I131">
        <f t="shared" ref="I131:I194" ca="1" si="11">D131*((G131-$L$1)^2)</f>
        <v>528.79902258570087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104246</v>
      </c>
      <c r="B134" s="66">
        <v>104246</v>
      </c>
      <c r="D134">
        <f t="shared" si="8"/>
        <v>0.44893758128558264</v>
      </c>
      <c r="E134">
        <f t="shared" si="8"/>
        <v>0.44893758128558264</v>
      </c>
      <c r="G134">
        <f t="shared" ca="1" si="9"/>
        <v>132</v>
      </c>
      <c r="H134">
        <f t="shared" ca="1" si="10"/>
        <v>59.259760729696907</v>
      </c>
      <c r="I134">
        <f t="shared" ca="1" si="11"/>
        <v>527.15699005925148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95558</v>
      </c>
      <c r="B136" s="66">
        <v>95558</v>
      </c>
      <c r="D136">
        <f t="shared" si="8"/>
        <v>0.41152252741100576</v>
      </c>
      <c r="E136">
        <f t="shared" si="8"/>
        <v>0.41152252741100576</v>
      </c>
      <c r="G136">
        <f t="shared" ca="1" si="9"/>
        <v>134</v>
      </c>
      <c r="H136">
        <f t="shared" ca="1" si="10"/>
        <v>55.144018673074768</v>
      </c>
      <c r="I136">
        <f t="shared" ca="1" si="11"/>
        <v>541.27580610147197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86918</v>
      </c>
      <c r="B139" s="66">
        <v>86918</v>
      </c>
      <c r="D139">
        <f t="shared" si="8"/>
        <v>0.37431418654126075</v>
      </c>
      <c r="E139">
        <f t="shared" si="8"/>
        <v>0.37431418654126075</v>
      </c>
      <c r="G139">
        <f t="shared" ca="1" si="9"/>
        <v>137</v>
      </c>
      <c r="H139">
        <f t="shared" ca="1" si="10"/>
        <v>51.281043556152724</v>
      </c>
      <c r="I139">
        <f t="shared" ca="1" si="11"/>
        <v>577.15616109497989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75661</v>
      </c>
      <c r="B142" s="66">
        <v>75661</v>
      </c>
      <c r="D142">
        <f t="shared" si="8"/>
        <v>0.32583568038724237</v>
      </c>
      <c r="E142">
        <f t="shared" si="8"/>
        <v>0.32583568038724237</v>
      </c>
      <c r="G142">
        <f t="shared" ca="1" si="9"/>
        <v>140</v>
      </c>
      <c r="H142">
        <f t="shared" ca="1" si="10"/>
        <v>45.616995254213933</v>
      </c>
      <c r="I142">
        <f t="shared" ca="1" si="11"/>
        <v>582.10720866614713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73014</v>
      </c>
      <c r="B144" s="66">
        <v>73014</v>
      </c>
      <c r="D144">
        <f t="shared" si="8"/>
        <v>0.31443631947494899</v>
      </c>
      <c r="E144">
        <f t="shared" si="8"/>
        <v>0.31443631947494899</v>
      </c>
      <c r="G144">
        <f t="shared" ca="1" si="9"/>
        <v>142</v>
      </c>
      <c r="H144">
        <f t="shared" ca="1" si="10"/>
        <v>44.649957365442759</v>
      </c>
      <c r="I144">
        <f t="shared" ca="1" si="11"/>
        <v>616.16114476713665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68059</v>
      </c>
      <c r="B147" s="66">
        <v>68059</v>
      </c>
      <c r="D147">
        <f t="shared" si="8"/>
        <v>0.2930975082469876</v>
      </c>
      <c r="E147">
        <f t="shared" si="8"/>
        <v>0.2930975082469876</v>
      </c>
      <c r="G147">
        <f t="shared" ca="1" si="9"/>
        <v>145</v>
      </c>
      <c r="H147">
        <f t="shared" ca="1" si="10"/>
        <v>42.499138695813201</v>
      </c>
      <c r="I147">
        <f t="shared" ca="1" si="11"/>
        <v>654.83146078612879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64952</v>
      </c>
      <c r="B149" s="66">
        <v>64952</v>
      </c>
      <c r="D149">
        <f t="shared" si="8"/>
        <v>0.27971714770505501</v>
      </c>
      <c r="E149">
        <f t="shared" si="8"/>
        <v>0.27971714770505501</v>
      </c>
      <c r="G149">
        <f t="shared" ca="1" si="9"/>
        <v>147</v>
      </c>
      <c r="H149">
        <f t="shared" ca="1" si="10"/>
        <v>41.118420712643086</v>
      </c>
      <c r="I149">
        <f t="shared" ca="1" si="11"/>
        <v>678.94188987149016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56789</v>
      </c>
      <c r="B152" s="66">
        <v>56789</v>
      </c>
      <c r="D152">
        <f t="shared" si="8"/>
        <v>0.24456301732082719</v>
      </c>
      <c r="E152">
        <f t="shared" si="8"/>
        <v>0.24456301732082719</v>
      </c>
      <c r="G152">
        <f t="shared" ca="1" si="9"/>
        <v>150</v>
      </c>
      <c r="H152">
        <f t="shared" ca="1" si="10"/>
        <v>36.684452598124082</v>
      </c>
      <c r="I152">
        <f t="shared" ca="1" si="11"/>
        <v>668.10871316946486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48093</v>
      </c>
      <c r="B154" s="66">
        <v>48093</v>
      </c>
      <c r="D154">
        <f t="shared" si="8"/>
        <v>0.20711351127877833</v>
      </c>
      <c r="E154">
        <f t="shared" si="8"/>
        <v>0.20711351127877833</v>
      </c>
      <c r="G154">
        <f t="shared" ca="1" si="9"/>
        <v>152</v>
      </c>
      <c r="H154">
        <f t="shared" ca="1" si="10"/>
        <v>31.481253714374308</v>
      </c>
      <c r="I154">
        <f t="shared" ca="1" si="11"/>
        <v>609.93171903367943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43021</v>
      </c>
      <c r="B157" s="66">
        <v>43021</v>
      </c>
      <c r="D157">
        <f t="shared" si="8"/>
        <v>0.18527083710153916</v>
      </c>
      <c r="E157">
        <f t="shared" si="8"/>
        <v>0.18527083710153916</v>
      </c>
      <c r="G157">
        <f t="shared" ca="1" si="9"/>
        <v>155</v>
      </c>
      <c r="H157">
        <f t="shared" ca="1" si="10"/>
        <v>28.71697975073857</v>
      </c>
      <c r="I157">
        <f t="shared" ca="1" si="11"/>
        <v>607.5989699758353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39921</v>
      </c>
      <c r="B160" s="66">
        <v>39921</v>
      </c>
      <c r="D160">
        <f t="shared" si="8"/>
        <v>0.17192062220614454</v>
      </c>
      <c r="E160">
        <f t="shared" si="8"/>
        <v>0.17192062220614454</v>
      </c>
      <c r="G160">
        <f t="shared" ca="1" si="9"/>
        <v>158</v>
      </c>
      <c r="H160">
        <f t="shared" ca="1" si="10"/>
        <v>27.163458308570839</v>
      </c>
      <c r="I160">
        <f t="shared" ca="1" si="11"/>
        <v>624.43633536975119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37203</v>
      </c>
      <c r="B162" s="66">
        <v>37203</v>
      </c>
      <c r="D162">
        <f t="shared" si="8"/>
        <v>0.16021549830753729</v>
      </c>
      <c r="E162">
        <f t="shared" si="8"/>
        <v>0.16021549830753729</v>
      </c>
      <c r="G162">
        <f t="shared" ca="1" si="9"/>
        <v>160</v>
      </c>
      <c r="H162">
        <f t="shared" ca="1" si="10"/>
        <v>25.634479729205964</v>
      </c>
      <c r="I162">
        <f t="shared" ca="1" si="11"/>
        <v>621.18565862211767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30639</v>
      </c>
      <c r="B165" s="66">
        <v>30639</v>
      </c>
      <c r="D165">
        <f t="shared" si="8"/>
        <v>0.13194749489677268</v>
      </c>
      <c r="E165">
        <f t="shared" si="8"/>
        <v>0.13194749489677268</v>
      </c>
      <c r="G165">
        <f t="shared" ca="1" si="9"/>
        <v>163</v>
      </c>
      <c r="H165">
        <f t="shared" ca="1" si="10"/>
        <v>21.507441668173946</v>
      </c>
      <c r="I165">
        <f t="shared" ca="1" si="11"/>
        <v>562.06871883584699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25615</v>
      </c>
      <c r="B167" s="66">
        <v>25615</v>
      </c>
      <c r="D167">
        <f t="shared" si="8"/>
        <v>0.11031153372436543</v>
      </c>
      <c r="E167">
        <f t="shared" si="8"/>
        <v>0.11031153372436543</v>
      </c>
      <c r="G167">
        <f t="shared" ca="1" si="9"/>
        <v>165</v>
      </c>
      <c r="H167">
        <f t="shared" ca="1" si="10"/>
        <v>18.201403064520296</v>
      </c>
      <c r="I167">
        <f t="shared" ca="1" si="11"/>
        <v>499.14414108718915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20849</v>
      </c>
      <c r="B170" s="66">
        <v>20849</v>
      </c>
      <c r="D170">
        <f t="shared" si="8"/>
        <v>8.9786654952929729E-2</v>
      </c>
      <c r="E170">
        <f t="shared" si="8"/>
        <v>8.9786654952929729E-2</v>
      </c>
      <c r="G170">
        <f t="shared" ca="1" si="9"/>
        <v>168</v>
      </c>
      <c r="H170">
        <f t="shared" ca="1" si="10"/>
        <v>15.084158032092194</v>
      </c>
      <c r="I170">
        <f t="shared" ca="1" si="11"/>
        <v>443.31815021192892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18575</v>
      </c>
      <c r="B173" s="66">
        <v>18575</v>
      </c>
      <c r="D173">
        <f t="shared" si="8"/>
        <v>7.9993626349017688E-2</v>
      </c>
      <c r="E173">
        <f t="shared" si="8"/>
        <v>7.9993626349017688E-2</v>
      </c>
      <c r="G173">
        <f t="shared" ca="1" si="9"/>
        <v>171</v>
      </c>
      <c r="H173">
        <f t="shared" ca="1" si="10"/>
        <v>13.678910105682025</v>
      </c>
      <c r="I173">
        <f t="shared" ca="1" si="11"/>
        <v>429.41089900830042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11820</v>
      </c>
      <c r="B175" s="66">
        <v>11820</v>
      </c>
      <c r="D175">
        <f t="shared" si="8"/>
        <v>5.0903077439859439E-2</v>
      </c>
      <c r="E175">
        <f t="shared" si="8"/>
        <v>5.0903077439859439E-2</v>
      </c>
      <c r="G175">
        <f t="shared" ca="1" si="9"/>
        <v>173</v>
      </c>
      <c r="H175">
        <f t="shared" ca="1" si="10"/>
        <v>8.8062323970956822</v>
      </c>
      <c r="I175">
        <f t="shared" ca="1" si="11"/>
        <v>288.37266332442294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9568</v>
      </c>
      <c r="B178" s="66">
        <v>9568</v>
      </c>
      <c r="D178">
        <f t="shared" si="8"/>
        <v>4.1204792296495353E-2</v>
      </c>
      <c r="E178">
        <f t="shared" si="8"/>
        <v>4.1204792296495353E-2</v>
      </c>
      <c r="G178">
        <f t="shared" ca="1" si="9"/>
        <v>176</v>
      </c>
      <c r="H178">
        <f t="shared" ca="1" si="10"/>
        <v>7.2520434441831823</v>
      </c>
      <c r="I178">
        <f t="shared" ca="1" si="11"/>
        <v>252.40962349683068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6874</v>
      </c>
      <c r="B180" s="66">
        <v>6874</v>
      </c>
      <c r="D180">
        <f t="shared" si="8"/>
        <v>2.9603024900304042E-2</v>
      </c>
      <c r="E180">
        <f t="shared" si="8"/>
        <v>2.9603024900304042E-2</v>
      </c>
      <c r="G180">
        <f t="shared" ca="1" si="9"/>
        <v>178</v>
      </c>
      <c r="H180">
        <f t="shared" ca="1" si="10"/>
        <v>5.269338432254119</v>
      </c>
      <c r="I180">
        <f t="shared" ca="1" si="11"/>
        <v>190.72645556050753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4436</v>
      </c>
      <c r="B183" s="66">
        <v>4436</v>
      </c>
      <c r="D183">
        <f t="shared" si="8"/>
        <v>1.9103726863216281E-2</v>
      </c>
      <c r="E183">
        <f t="shared" si="8"/>
        <v>1.9103726863216281E-2</v>
      </c>
      <c r="G183">
        <f t="shared" ca="1" si="9"/>
        <v>181</v>
      </c>
      <c r="H183">
        <f t="shared" ca="1" si="10"/>
        <v>3.4577745622421467</v>
      </c>
      <c r="I183">
        <f t="shared" ca="1" si="11"/>
        <v>132.45388232384539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3321</v>
      </c>
      <c r="B185" s="66">
        <v>3321</v>
      </c>
      <c r="D185">
        <f t="shared" si="8"/>
        <v>1.4301956021808221E-2</v>
      </c>
      <c r="E185">
        <f t="shared" si="8"/>
        <v>1.4301956021808221E-2</v>
      </c>
      <c r="G185">
        <f t="shared" ca="1" si="9"/>
        <v>183</v>
      </c>
      <c r="H185">
        <f t="shared" ca="1" si="10"/>
        <v>2.6172579519909043</v>
      </c>
      <c r="I185">
        <f t="shared" ca="1" si="11"/>
        <v>103.98199447148582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3082</v>
      </c>
      <c r="B188" s="66">
        <v>3082</v>
      </c>
      <c r="D188">
        <f t="shared" si="8"/>
        <v>1.3272697518582639E-2</v>
      </c>
      <c r="E188">
        <f t="shared" si="8"/>
        <v>1.3272697518582639E-2</v>
      </c>
      <c r="G188">
        <f t="shared" ca="1" si="9"/>
        <v>186</v>
      </c>
      <c r="H188">
        <f t="shared" ca="1" si="10"/>
        <v>2.4687217384563707</v>
      </c>
      <c r="I188">
        <f t="shared" ca="1" si="11"/>
        <v>103.40859628785822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3436</v>
      </c>
      <c r="B191" s="66">
        <v>3436</v>
      </c>
      <c r="D191">
        <f t="shared" si="8"/>
        <v>1.4797205929218023E-2</v>
      </c>
      <c r="E191">
        <f t="shared" si="8"/>
        <v>1.4797205929218023E-2</v>
      </c>
      <c r="G191">
        <f t="shared" ca="1" si="9"/>
        <v>189</v>
      </c>
      <c r="H191">
        <f t="shared" ca="1" si="10"/>
        <v>2.7966719206222064</v>
      </c>
      <c r="I191">
        <f t="shared" ca="1" si="11"/>
        <v>123.25596846094008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2684</v>
      </c>
      <c r="B193" s="66">
        <v>2684</v>
      </c>
      <c r="D193">
        <f t="shared" si="8"/>
        <v>1.155870218685133E-2</v>
      </c>
      <c r="E193">
        <f t="shared" si="8"/>
        <v>1.155870218685133E-2</v>
      </c>
      <c r="G193">
        <f t="shared" ca="1" si="9"/>
        <v>191</v>
      </c>
      <c r="H193">
        <f t="shared" ca="1" si="10"/>
        <v>2.2077121176886041</v>
      </c>
      <c r="I193">
        <f t="shared" ca="1" si="11"/>
        <v>100.54622383584397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2672</v>
      </c>
      <c r="B196" s="66">
        <v>2672</v>
      </c>
      <c r="D196">
        <f t="shared" si="12"/>
        <v>1.1507023935643351E-2</v>
      </c>
      <c r="E196">
        <f t="shared" si="12"/>
        <v>1.1507023935643351E-2</v>
      </c>
      <c r="G196">
        <f t="shared" ca="1" si="13"/>
        <v>194</v>
      </c>
      <c r="H196">
        <f t="shared" ca="1" si="14"/>
        <v>2.2323626435148101</v>
      </c>
      <c r="I196">
        <f t="shared" ca="1" si="15"/>
        <v>106.63960964306484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1738</v>
      </c>
      <c r="B198" s="66">
        <v>1738</v>
      </c>
      <c r="D198">
        <f t="shared" si="12"/>
        <v>7.4847333832889764E-3</v>
      </c>
      <c r="E198">
        <f t="shared" si="12"/>
        <v>7.4847333832889764E-3</v>
      </c>
      <c r="G198">
        <f t="shared" ca="1" si="13"/>
        <v>196</v>
      </c>
      <c r="H198">
        <f t="shared" ca="1" si="14"/>
        <v>1.4670077431246393</v>
      </c>
      <c r="I198">
        <f t="shared" ca="1" si="15"/>
        <v>72.275710727192916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907</v>
      </c>
      <c r="B201" s="66">
        <v>907</v>
      </c>
      <c r="D201">
        <f t="shared" si="12"/>
        <v>3.9060144871364221E-3</v>
      </c>
      <c r="E201">
        <f t="shared" si="12"/>
        <v>3.9060144871364221E-3</v>
      </c>
      <c r="G201">
        <f t="shared" ca="1" si="13"/>
        <v>199</v>
      </c>
      <c r="H201">
        <f t="shared" ca="1" si="14"/>
        <v>0.77729688294014798</v>
      </c>
      <c r="I201">
        <f t="shared" ca="1" si="15"/>
        <v>40.056256589881521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624</v>
      </c>
      <c r="B203" s="66">
        <v>624</v>
      </c>
      <c r="D203">
        <f t="shared" si="12"/>
        <v>2.6872690628149142E-3</v>
      </c>
      <c r="E203">
        <f t="shared" si="12"/>
        <v>2.6872690628149142E-3</v>
      </c>
      <c r="G203">
        <f t="shared" ca="1" si="13"/>
        <v>201</v>
      </c>
      <c r="H203">
        <f t="shared" ca="1" si="14"/>
        <v>0.54014108162579777</v>
      </c>
      <c r="I203">
        <f t="shared" ca="1" si="15"/>
        <v>28.657274478946363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161</v>
      </c>
      <c r="B206" s="66">
        <v>161</v>
      </c>
      <c r="D206">
        <f t="shared" si="12"/>
        <v>6.9334987037371993E-4</v>
      </c>
      <c r="E206">
        <f t="shared" si="12"/>
        <v>6.9334987037371993E-4</v>
      </c>
      <c r="G206">
        <f t="shared" ca="1" si="13"/>
        <v>204</v>
      </c>
      <c r="H206">
        <f t="shared" ca="1" si="14"/>
        <v>0.14144337355623887</v>
      </c>
      <c r="I206">
        <f t="shared" ca="1" si="15"/>
        <v>7.8297856334024214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149</v>
      </c>
      <c r="B209" s="66">
        <v>149</v>
      </c>
      <c r="D209">
        <f t="shared" si="12"/>
        <v>6.4167161916574072E-4</v>
      </c>
      <c r="E209">
        <f t="shared" si="12"/>
        <v>6.4167161916574072E-4</v>
      </c>
      <c r="G209">
        <f t="shared" ca="1" si="13"/>
        <v>207</v>
      </c>
      <c r="H209">
        <f t="shared" ca="1" si="14"/>
        <v>0.13282602516730832</v>
      </c>
      <c r="I209">
        <f t="shared" ca="1" si="15"/>
        <v>7.6611055580393401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50</v>
      </c>
      <c r="B211" s="66">
        <v>50</v>
      </c>
      <c r="D211">
        <f t="shared" si="12"/>
        <v>2.1532604669991301E-4</v>
      </c>
      <c r="E211">
        <f t="shared" si="12"/>
        <v>2.1532604669991301E-4</v>
      </c>
      <c r="G211">
        <f t="shared" ca="1" si="13"/>
        <v>209</v>
      </c>
      <c r="H211">
        <f t="shared" ca="1" si="14"/>
        <v>4.5003143760281819E-2</v>
      </c>
      <c r="I211">
        <f t="shared" ca="1" si="15"/>
        <v>2.6658142825102602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50</v>
      </c>
      <c r="B214" s="66">
        <v>50</v>
      </c>
      <c r="D214">
        <f t="shared" si="12"/>
        <v>2.1532604669991301E-4</v>
      </c>
      <c r="E214">
        <f t="shared" si="12"/>
        <v>2.1532604669991301E-4</v>
      </c>
      <c r="G214">
        <f t="shared" ca="1" si="13"/>
        <v>212</v>
      </c>
      <c r="H214">
        <f t="shared" ca="1" si="14"/>
        <v>4.5649121900381562E-2</v>
      </c>
      <c r="I214">
        <f t="shared" ca="1" si="15"/>
        <v>2.8115044100435953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347</v>
      </c>
      <c r="B1" s="66" t="s">
        <v>348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96.967904982146507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1.8722068747770586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0.67416598134165795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710</v>
      </c>
      <c r="B8" s="66">
        <v>710</v>
      </c>
      <c r="D8">
        <f t="shared" si="0"/>
        <v>0.71926412188994249</v>
      </c>
      <c r="E8">
        <f t="shared" si="1"/>
        <v>0.71926412188994249</v>
      </c>
      <c r="G8">
        <f t="shared" ca="1" si="2"/>
        <v>6</v>
      </c>
      <c r="H8">
        <f t="shared" ca="1" si="3"/>
        <v>4.3155847313396549</v>
      </c>
      <c r="I8">
        <f t="shared" ca="1" si="4"/>
        <v>5952.0255016178307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629</v>
      </c>
      <c r="B10" s="66">
        <v>629</v>
      </c>
      <c r="D10">
        <f t="shared" si="0"/>
        <v>0.63720722911094907</v>
      </c>
      <c r="E10">
        <f t="shared" si="1"/>
        <v>0.63720722911094907</v>
      </c>
      <c r="G10">
        <f t="shared" ca="1" si="2"/>
        <v>8</v>
      </c>
      <c r="H10">
        <f t="shared" ca="1" si="3"/>
        <v>5.0976578328875926</v>
      </c>
      <c r="I10">
        <f t="shared" ca="1" si="4"/>
        <v>5043.6788085924763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1068</v>
      </c>
      <c r="B13" s="66">
        <v>1068</v>
      </c>
      <c r="D13">
        <f t="shared" si="0"/>
        <v>1.0819353270119134</v>
      </c>
      <c r="E13">
        <f t="shared" si="1"/>
        <v>1.0819353270119134</v>
      </c>
      <c r="G13">
        <f t="shared" ca="1" si="2"/>
        <v>11</v>
      </c>
      <c r="H13">
        <f t="shared" ca="1" si="3"/>
        <v>11.901288597131048</v>
      </c>
      <c r="I13">
        <f t="shared" ca="1" si="4"/>
        <v>7996.0221388855334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2349</v>
      </c>
      <c r="B15" s="66">
        <v>2349</v>
      </c>
      <c r="D15">
        <f t="shared" si="0"/>
        <v>2.3796498905908097</v>
      </c>
      <c r="E15">
        <f t="shared" si="1"/>
        <v>2.3796498905908097</v>
      </c>
      <c r="G15">
        <f t="shared" ca="1" si="2"/>
        <v>13</v>
      </c>
      <c r="H15">
        <f t="shared" ca="1" si="3"/>
        <v>30.935448577680525</v>
      </c>
      <c r="I15">
        <f t="shared" ca="1" si="4"/>
        <v>16777.981095101157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3684</v>
      </c>
      <c r="B18" s="66">
        <v>3684</v>
      </c>
      <c r="D18">
        <f t="shared" si="0"/>
        <v>3.7320690493557014</v>
      </c>
      <c r="E18">
        <f t="shared" si="1"/>
        <v>3.7320690493557014</v>
      </c>
      <c r="G18">
        <f t="shared" ca="1" si="2"/>
        <v>16</v>
      </c>
      <c r="H18">
        <f t="shared" ca="1" si="3"/>
        <v>59.713104789691222</v>
      </c>
      <c r="I18">
        <f t="shared" ca="1" si="4"/>
        <v>24466.704383901739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6471</v>
      </c>
      <c r="B21" s="66">
        <v>6471</v>
      </c>
      <c r="D21">
        <f t="shared" si="0"/>
        <v>6.5554339897884759</v>
      </c>
      <c r="E21">
        <f t="shared" si="1"/>
        <v>6.5554339897884759</v>
      </c>
      <c r="G21">
        <f t="shared" ca="1" si="2"/>
        <v>19</v>
      </c>
      <c r="H21">
        <f t="shared" ca="1" si="3"/>
        <v>124.55324580598105</v>
      </c>
      <c r="I21">
        <f t="shared" ca="1" si="4"/>
        <v>39850.445250294622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8813</v>
      </c>
      <c r="B23" s="66">
        <v>8813</v>
      </c>
      <c r="D23">
        <f t="shared" si="0"/>
        <v>8.9279925439662851</v>
      </c>
      <c r="E23">
        <f t="shared" si="1"/>
        <v>8.9279925439662851</v>
      </c>
      <c r="G23">
        <f t="shared" ca="1" si="2"/>
        <v>21</v>
      </c>
      <c r="H23">
        <f t="shared" ca="1" si="3"/>
        <v>187.48784342329199</v>
      </c>
      <c r="I23">
        <f t="shared" ca="1" si="4"/>
        <v>51524.539430412267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11715</v>
      </c>
      <c r="B26" s="66">
        <v>11715</v>
      </c>
      <c r="D26">
        <f t="shared" si="0"/>
        <v>11.867858011184051</v>
      </c>
      <c r="E26">
        <f t="shared" si="1"/>
        <v>11.867858011184051</v>
      </c>
      <c r="G26">
        <f t="shared" ca="1" si="2"/>
        <v>24</v>
      </c>
      <c r="H26">
        <f t="shared" ca="1" si="3"/>
        <v>284.8285922684172</v>
      </c>
      <c r="I26">
        <f t="shared" ca="1" si="4"/>
        <v>63188.216295809951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14536</v>
      </c>
      <c r="B28" s="66">
        <v>14536</v>
      </c>
      <c r="D28">
        <f t="shared" si="0"/>
        <v>14.725666585622822</v>
      </c>
      <c r="E28">
        <f t="shared" si="1"/>
        <v>14.725666585622822</v>
      </c>
      <c r="G28">
        <f t="shared" ca="1" si="2"/>
        <v>26</v>
      </c>
      <c r="H28">
        <f t="shared" ca="1" si="3"/>
        <v>382.86733122619336</v>
      </c>
      <c r="I28">
        <f t="shared" ca="1" si="4"/>
        <v>74164.988311349283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19229</v>
      </c>
      <c r="B31" s="66">
        <v>19229</v>
      </c>
      <c r="D31">
        <f t="shared" si="0"/>
        <v>19.479901126509443</v>
      </c>
      <c r="E31">
        <f t="shared" si="1"/>
        <v>19.479901126509443</v>
      </c>
      <c r="G31">
        <f t="shared" ca="1" si="2"/>
        <v>29</v>
      </c>
      <c r="H31">
        <f t="shared" ca="1" si="3"/>
        <v>564.91713266877389</v>
      </c>
      <c r="I31">
        <f t="shared" ca="1" si="4"/>
        <v>89990.054617710557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24039</v>
      </c>
      <c r="B33" s="66">
        <v>24039</v>
      </c>
      <c r="D33">
        <f t="shared" si="0"/>
        <v>24.352662290299051</v>
      </c>
      <c r="E33">
        <f t="shared" si="1"/>
        <v>24.352662290299051</v>
      </c>
      <c r="G33">
        <f t="shared" ca="1" si="2"/>
        <v>31</v>
      </c>
      <c r="H33">
        <f t="shared" ca="1" si="3"/>
        <v>754.93253099927063</v>
      </c>
      <c r="I33">
        <f t="shared" ca="1" si="4"/>
        <v>105977.05093669042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28807</v>
      </c>
      <c r="B36" s="66">
        <v>28807</v>
      </c>
      <c r="D36">
        <f t="shared" si="0"/>
        <v>29.182875435610665</v>
      </c>
      <c r="E36">
        <f t="shared" si="1"/>
        <v>29.182875435610665</v>
      </c>
      <c r="G36">
        <f t="shared" ca="1" si="2"/>
        <v>34</v>
      </c>
      <c r="H36">
        <f t="shared" ca="1" si="3"/>
        <v>992.21776481076256</v>
      </c>
      <c r="I36">
        <f t="shared" ca="1" si="4"/>
        <v>115708.84792650849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31303</v>
      </c>
      <c r="B39" s="66">
        <v>31303</v>
      </c>
      <c r="D39">
        <f t="shared" si="0"/>
        <v>31.711443390874464</v>
      </c>
      <c r="E39">
        <f t="shared" si="1"/>
        <v>31.711443390874464</v>
      </c>
      <c r="G39">
        <f t="shared" ca="1" si="2"/>
        <v>37</v>
      </c>
      <c r="H39">
        <f t="shared" ca="1" si="3"/>
        <v>1173.3234054623551</v>
      </c>
      <c r="I39">
        <f t="shared" ca="1" si="4"/>
        <v>114039.0953517794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33914</v>
      </c>
      <c r="B41" s="66">
        <v>33914</v>
      </c>
      <c r="D41">
        <f t="shared" si="0"/>
        <v>34.356511872923249</v>
      </c>
      <c r="E41">
        <f t="shared" si="1"/>
        <v>34.356511872923249</v>
      </c>
      <c r="G41">
        <f t="shared" ca="1" si="2"/>
        <v>39</v>
      </c>
      <c r="H41">
        <f t="shared" ca="1" si="3"/>
        <v>1339.9039630440068</v>
      </c>
      <c r="I41">
        <f t="shared" ca="1" si="4"/>
        <v>115447.43127883336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35697</v>
      </c>
      <c r="B44" s="66">
        <v>35697</v>
      </c>
      <c r="D44">
        <f t="shared" si="0"/>
        <v>36.162776562120108</v>
      </c>
      <c r="E44">
        <f t="shared" si="1"/>
        <v>36.162776562120108</v>
      </c>
      <c r="G44">
        <f t="shared" ca="1" si="2"/>
        <v>42</v>
      </c>
      <c r="H44">
        <f t="shared" ca="1" si="3"/>
        <v>1518.8366156090444</v>
      </c>
      <c r="I44">
        <f t="shared" ca="1" si="4"/>
        <v>109264.76540580078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37716</v>
      </c>
      <c r="B46" s="66">
        <v>37716</v>
      </c>
      <c r="D46">
        <f t="shared" si="0"/>
        <v>38.208120593240942</v>
      </c>
      <c r="E46">
        <f t="shared" si="1"/>
        <v>38.208120593240942</v>
      </c>
      <c r="G46">
        <f t="shared" ca="1" si="2"/>
        <v>44</v>
      </c>
      <c r="H46">
        <f t="shared" ca="1" si="3"/>
        <v>1681.1573061026015</v>
      </c>
      <c r="I46">
        <f t="shared" ca="1" si="4"/>
        <v>107196.66333108892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38992</v>
      </c>
      <c r="B49" s="66">
        <v>38992</v>
      </c>
      <c r="D49">
        <f t="shared" si="0"/>
        <v>39.500769916524838</v>
      </c>
      <c r="E49">
        <f t="shared" si="1"/>
        <v>39.500769916524838</v>
      </c>
      <c r="G49">
        <f t="shared" ca="1" si="2"/>
        <v>47</v>
      </c>
      <c r="H49">
        <f t="shared" ca="1" si="3"/>
        <v>1856.5361860766675</v>
      </c>
      <c r="I49">
        <f t="shared" ca="1" si="4"/>
        <v>98625.187689097176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41207</v>
      </c>
      <c r="B51" s="66">
        <v>41207</v>
      </c>
      <c r="D51">
        <f t="shared" si="0"/>
        <v>41.744671367209662</v>
      </c>
      <c r="E51">
        <f t="shared" si="1"/>
        <v>41.744671367209662</v>
      </c>
      <c r="G51">
        <f t="shared" ca="1" si="2"/>
        <v>49</v>
      </c>
      <c r="H51">
        <f t="shared" ca="1" si="3"/>
        <v>2045.4888969932736</v>
      </c>
      <c r="I51">
        <f t="shared" ca="1" si="4"/>
        <v>96051.145417436113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45510</v>
      </c>
      <c r="B54" s="66">
        <v>45510</v>
      </c>
      <c r="D54">
        <f t="shared" si="0"/>
        <v>46.103817165086312</v>
      </c>
      <c r="E54">
        <f t="shared" si="1"/>
        <v>46.103817165086312</v>
      </c>
      <c r="G54">
        <f t="shared" ca="1" si="2"/>
        <v>52</v>
      </c>
      <c r="H54">
        <f t="shared" ca="1" si="3"/>
        <v>2397.3984925844884</v>
      </c>
      <c r="I54">
        <f t="shared" ca="1" si="4"/>
        <v>93227.103995236204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45134</v>
      </c>
      <c r="B57" s="66">
        <v>45134</v>
      </c>
      <c r="D57">
        <f t="shared" si="0"/>
        <v>45.722911094902344</v>
      </c>
      <c r="E57">
        <f t="shared" si="1"/>
        <v>45.722911094902344</v>
      </c>
      <c r="G57">
        <f t="shared" ca="1" si="2"/>
        <v>55</v>
      </c>
      <c r="H57">
        <f t="shared" ca="1" si="3"/>
        <v>2514.760110219629</v>
      </c>
      <c r="I57">
        <f t="shared" ca="1" si="4"/>
        <v>80531.99414770506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49146</v>
      </c>
      <c r="B59" s="66">
        <v>49146</v>
      </c>
      <c r="D59">
        <f t="shared" si="0"/>
        <v>49.787259907610014</v>
      </c>
      <c r="E59">
        <f t="shared" si="1"/>
        <v>49.787259907610014</v>
      </c>
      <c r="G59">
        <f t="shared" ca="1" si="2"/>
        <v>57</v>
      </c>
      <c r="H59">
        <f t="shared" ca="1" si="3"/>
        <v>2837.8738147337708</v>
      </c>
      <c r="I59">
        <f t="shared" ca="1" si="4"/>
        <v>79531.833297894205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51562</v>
      </c>
      <c r="B62" s="66">
        <v>51562</v>
      </c>
      <c r="D62">
        <f t="shared" si="0"/>
        <v>52.234784018153825</v>
      </c>
      <c r="E62">
        <f t="shared" si="1"/>
        <v>52.234784018153825</v>
      </c>
      <c r="G62">
        <f t="shared" ca="1" si="2"/>
        <v>60</v>
      </c>
      <c r="H62">
        <f t="shared" ca="1" si="3"/>
        <v>3134.0870410892294</v>
      </c>
      <c r="I62">
        <f t="shared" ca="1" si="4"/>
        <v>71385.413879293119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56696</v>
      </c>
      <c r="B64" s="66">
        <v>56696</v>
      </c>
      <c r="D64">
        <f t="shared" si="0"/>
        <v>57.435772753059403</v>
      </c>
      <c r="E64">
        <f t="shared" si="1"/>
        <v>57.435772753059403</v>
      </c>
      <c r="G64">
        <f t="shared" ca="1" si="2"/>
        <v>62</v>
      </c>
      <c r="H64">
        <f t="shared" ca="1" si="3"/>
        <v>3561.017910689683</v>
      </c>
      <c r="I64">
        <f t="shared" ca="1" si="4"/>
        <v>70229.842635887049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56501</v>
      </c>
      <c r="B67" s="66">
        <v>56501</v>
      </c>
      <c r="D67">
        <f t="shared" ref="D67:D130" si="5">IFERROR( 100*A67/MAX(A$2:A$257), 0 )</f>
        <v>57.238228381554421</v>
      </c>
      <c r="E67">
        <f t="shared" ref="E67:E130" si="6">IFERROR( 100*B67/MAX(B$2:B$257), 0 )</f>
        <v>57.238228381554421</v>
      </c>
      <c r="G67">
        <f t="shared" ref="G67:G130" ca="1" si="7">CELL("row",D67)-2</f>
        <v>65</v>
      </c>
      <c r="H67">
        <f t="shared" ref="H67:H130" ca="1" si="8">D67*G67</f>
        <v>3720.4848448010375</v>
      </c>
      <c r="I67">
        <f t="shared" ref="I67:I130" ca="1" si="9">D67*((G67-$L$1)^2)</f>
        <v>58494.43285769246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62253</v>
      </c>
      <c r="B69" s="66">
        <v>62253</v>
      </c>
      <c r="D69">
        <f t="shared" si="5"/>
        <v>63.065280816921955</v>
      </c>
      <c r="E69">
        <f t="shared" si="6"/>
        <v>63.065280816921955</v>
      </c>
      <c r="G69">
        <f t="shared" ca="1" si="7"/>
        <v>67</v>
      </c>
      <c r="H69">
        <f t="shared" ca="1" si="8"/>
        <v>4225.3738147337708</v>
      </c>
      <c r="I69">
        <f t="shared" ca="1" si="9"/>
        <v>56637.372819330383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67107</v>
      </c>
      <c r="B72" s="66">
        <v>67107</v>
      </c>
      <c r="D72">
        <f t="shared" si="5"/>
        <v>67.982616095307563</v>
      </c>
      <c r="E72">
        <f t="shared" si="6"/>
        <v>67.982616095307563</v>
      </c>
      <c r="G72">
        <f t="shared" ca="1" si="7"/>
        <v>70</v>
      </c>
      <c r="H72">
        <f t="shared" ca="1" si="8"/>
        <v>4758.7831266715293</v>
      </c>
      <c r="I72">
        <f t="shared" ca="1" si="9"/>
        <v>49441.574384729327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66408</v>
      </c>
      <c r="B75" s="66">
        <v>66408</v>
      </c>
      <c r="D75">
        <f t="shared" si="5"/>
        <v>67.274495502066614</v>
      </c>
      <c r="E75">
        <f t="shared" si="6"/>
        <v>67.274495502066614</v>
      </c>
      <c r="G75">
        <f t="shared" ca="1" si="7"/>
        <v>73</v>
      </c>
      <c r="H75">
        <f t="shared" ca="1" si="8"/>
        <v>4911.0381716508628</v>
      </c>
      <c r="I75">
        <f t="shared" ca="1" si="9"/>
        <v>38646.538253544219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72942</v>
      </c>
      <c r="B77" s="66">
        <v>72942</v>
      </c>
      <c r="D77">
        <f t="shared" si="5"/>
        <v>73.893751519572092</v>
      </c>
      <c r="E77">
        <f t="shared" si="6"/>
        <v>73.893751519572092</v>
      </c>
      <c r="G77">
        <f t="shared" ca="1" si="7"/>
        <v>75</v>
      </c>
      <c r="H77">
        <f t="shared" ca="1" si="8"/>
        <v>5542.0313639679071</v>
      </c>
      <c r="I77">
        <f t="shared" ca="1" si="9"/>
        <v>35660.300516631614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78559</v>
      </c>
      <c r="B80" s="66">
        <v>78559</v>
      </c>
      <c r="D80">
        <f t="shared" si="5"/>
        <v>79.584042466974637</v>
      </c>
      <c r="E80">
        <f t="shared" si="6"/>
        <v>79.584042466974637</v>
      </c>
      <c r="G80">
        <f t="shared" ca="1" si="7"/>
        <v>78</v>
      </c>
      <c r="H80">
        <f t="shared" ca="1" si="8"/>
        <v>6207.5553124240214</v>
      </c>
      <c r="I80">
        <f t="shared" ca="1" si="9"/>
        <v>28632.859761292191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76620</v>
      </c>
      <c r="B82" s="66">
        <v>76620</v>
      </c>
      <c r="D82">
        <f t="shared" si="5"/>
        <v>77.619742280573789</v>
      </c>
      <c r="E82">
        <f t="shared" si="6"/>
        <v>77.619742280573789</v>
      </c>
      <c r="G82">
        <f t="shared" ca="1" si="7"/>
        <v>80</v>
      </c>
      <c r="H82">
        <f t="shared" ca="1" si="8"/>
        <v>6209.5793824459033</v>
      </c>
      <c r="I82">
        <f t="shared" ca="1" si="9"/>
        <v>22347.484435933955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78799</v>
      </c>
      <c r="B85" s="66">
        <v>78799</v>
      </c>
      <c r="D85">
        <f t="shared" si="5"/>
        <v>79.827174001134608</v>
      </c>
      <c r="E85">
        <f t="shared" si="6"/>
        <v>79.827174001134608</v>
      </c>
      <c r="G85">
        <f t="shared" ca="1" si="7"/>
        <v>83</v>
      </c>
      <c r="H85">
        <f t="shared" ca="1" si="8"/>
        <v>6625.655442094172</v>
      </c>
      <c r="I85">
        <f t="shared" ca="1" si="9"/>
        <v>15574.470805316414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84466</v>
      </c>
      <c r="B88" s="66">
        <v>84466</v>
      </c>
      <c r="D88">
        <f t="shared" si="5"/>
        <v>85.56811735148716</v>
      </c>
      <c r="E88">
        <f t="shared" si="6"/>
        <v>85.56811735148716</v>
      </c>
      <c r="G88">
        <f t="shared" ca="1" si="7"/>
        <v>86</v>
      </c>
      <c r="H88">
        <f t="shared" ca="1" si="8"/>
        <v>7358.8580922278961</v>
      </c>
      <c r="I88">
        <f t="shared" ca="1" si="9"/>
        <v>10293.411516816695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87523</v>
      </c>
      <c r="B90" s="66">
        <v>87523</v>
      </c>
      <c r="D90">
        <f t="shared" si="5"/>
        <v>88.665005267849907</v>
      </c>
      <c r="E90">
        <f t="shared" si="6"/>
        <v>88.665005267849907</v>
      </c>
      <c r="G90">
        <f t="shared" ca="1" si="7"/>
        <v>88</v>
      </c>
      <c r="H90">
        <f t="shared" ca="1" si="8"/>
        <v>7802.5204635707914</v>
      </c>
      <c r="I90">
        <f t="shared" ca="1" si="9"/>
        <v>7130.7340709593518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93891</v>
      </c>
      <c r="B93" s="66">
        <v>93891</v>
      </c>
      <c r="D93">
        <f t="shared" si="5"/>
        <v>95.116095307561395</v>
      </c>
      <c r="E93">
        <f t="shared" si="6"/>
        <v>95.116095307561395</v>
      </c>
      <c r="G93">
        <f t="shared" ca="1" si="7"/>
        <v>91</v>
      </c>
      <c r="H93">
        <f t="shared" ca="1" si="8"/>
        <v>8655.5646729880864</v>
      </c>
      <c r="I93">
        <f t="shared" ca="1" si="9"/>
        <v>3387.6443759024833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93994</v>
      </c>
      <c r="B95" s="66">
        <v>93994</v>
      </c>
      <c r="D95">
        <f t="shared" si="5"/>
        <v>95.220439257638375</v>
      </c>
      <c r="E95">
        <f t="shared" si="6"/>
        <v>95.220439257638375</v>
      </c>
      <c r="G95">
        <f t="shared" ca="1" si="7"/>
        <v>93</v>
      </c>
      <c r="H95">
        <f t="shared" ca="1" si="8"/>
        <v>8855.5008509603686</v>
      </c>
      <c r="I95">
        <f t="shared" ca="1" si="9"/>
        <v>1499.1763001768425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98712</v>
      </c>
      <c r="B98" s="66">
        <v>98712</v>
      </c>
      <c r="D98">
        <f t="shared" si="5"/>
        <v>100</v>
      </c>
      <c r="E98">
        <f t="shared" si="6"/>
        <v>100</v>
      </c>
      <c r="G98">
        <f t="shared" ca="1" si="7"/>
        <v>96</v>
      </c>
      <c r="H98">
        <f t="shared" ca="1" si="8"/>
        <v>9600</v>
      </c>
      <c r="I98">
        <f t="shared" ca="1" si="9"/>
        <v>93.684005446403035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95349</v>
      </c>
      <c r="B100" s="66">
        <v>95349</v>
      </c>
      <c r="D100">
        <f t="shared" si="5"/>
        <v>96.593119377583278</v>
      </c>
      <c r="E100">
        <f t="shared" si="6"/>
        <v>96.593119377583278</v>
      </c>
      <c r="G100">
        <f t="shared" ca="1" si="7"/>
        <v>98</v>
      </c>
      <c r="H100">
        <f t="shared" ca="1" si="8"/>
        <v>9466.1256990031616</v>
      </c>
      <c r="I100">
        <f t="shared" ca="1" si="9"/>
        <v>102.89293478233812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95707</v>
      </c>
      <c r="B103" s="66">
        <v>95707</v>
      </c>
      <c r="D103">
        <f t="shared" si="5"/>
        <v>96.955790582705248</v>
      </c>
      <c r="E103">
        <f t="shared" si="6"/>
        <v>96.955790582705248</v>
      </c>
      <c r="G103">
        <f t="shared" ca="1" si="7"/>
        <v>101</v>
      </c>
      <c r="H103">
        <f t="shared" ca="1" si="8"/>
        <v>9792.5348488532309</v>
      </c>
      <c r="I103">
        <f t="shared" ca="1" si="9"/>
        <v>1576.286905168198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95389</v>
      </c>
      <c r="B106" s="66">
        <v>95389</v>
      </c>
      <c r="D106">
        <f t="shared" si="5"/>
        <v>96.633641299943264</v>
      </c>
      <c r="E106">
        <f t="shared" si="6"/>
        <v>96.633641299943264</v>
      </c>
      <c r="G106">
        <f t="shared" ca="1" si="7"/>
        <v>104</v>
      </c>
      <c r="H106">
        <f t="shared" ca="1" si="8"/>
        <v>10049.898695194099</v>
      </c>
      <c r="I106">
        <f t="shared" ca="1" si="9"/>
        <v>4778.568383260088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93905</v>
      </c>
      <c r="B108" s="66">
        <v>93905</v>
      </c>
      <c r="D108">
        <f t="shared" si="5"/>
        <v>95.13027798038739</v>
      </c>
      <c r="E108">
        <f t="shared" si="6"/>
        <v>95.13027798038739</v>
      </c>
      <c r="G108">
        <f t="shared" ca="1" si="7"/>
        <v>106</v>
      </c>
      <c r="H108">
        <f t="shared" ca="1" si="8"/>
        <v>10083.809465921064</v>
      </c>
      <c r="I108">
        <f t="shared" ca="1" si="9"/>
        <v>7760.608252639081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92163</v>
      </c>
      <c r="B111" s="66">
        <v>92163</v>
      </c>
      <c r="D111">
        <f t="shared" si="5"/>
        <v>93.365548261609533</v>
      </c>
      <c r="E111">
        <f t="shared" si="6"/>
        <v>93.365548261609533</v>
      </c>
      <c r="G111">
        <f t="shared" ca="1" si="7"/>
        <v>109</v>
      </c>
      <c r="H111">
        <f t="shared" ca="1" si="8"/>
        <v>10176.84476051544</v>
      </c>
      <c r="I111">
        <f t="shared" ca="1" si="9"/>
        <v>13516.652779125929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87934</v>
      </c>
      <c r="B113" s="66">
        <v>87934</v>
      </c>
      <c r="D113">
        <f t="shared" si="5"/>
        <v>89.081368020098878</v>
      </c>
      <c r="E113">
        <f t="shared" si="6"/>
        <v>89.081368020098878</v>
      </c>
      <c r="G113">
        <f t="shared" ca="1" si="7"/>
        <v>111</v>
      </c>
      <c r="H113">
        <f t="shared" ca="1" si="8"/>
        <v>9888.0318502309747</v>
      </c>
      <c r="I113">
        <f t="shared" ca="1" si="9"/>
        <v>17540.093800497521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83158</v>
      </c>
      <c r="B116" s="66">
        <v>83158</v>
      </c>
      <c r="D116">
        <f t="shared" si="5"/>
        <v>84.243050490315255</v>
      </c>
      <c r="E116">
        <f t="shared" si="6"/>
        <v>84.243050490315255</v>
      </c>
      <c r="G116">
        <f t="shared" ca="1" si="7"/>
        <v>114</v>
      </c>
      <c r="H116">
        <f t="shared" ca="1" si="8"/>
        <v>9603.707755895939</v>
      </c>
      <c r="I116">
        <f t="shared" ca="1" si="9"/>
        <v>24438.256964763055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77076</v>
      </c>
      <c r="B118" s="66">
        <v>77076</v>
      </c>
      <c r="D118">
        <f t="shared" si="5"/>
        <v>78.081692195477757</v>
      </c>
      <c r="E118">
        <f t="shared" si="6"/>
        <v>78.081692195477757</v>
      </c>
      <c r="G118">
        <f t="shared" ca="1" si="7"/>
        <v>116</v>
      </c>
      <c r="H118">
        <f t="shared" ca="1" si="8"/>
        <v>9057.4762946754199</v>
      </c>
      <c r="I118">
        <f t="shared" ca="1" si="9"/>
        <v>28282.800579342838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62762</v>
      </c>
      <c r="B121" s="66">
        <v>62762</v>
      </c>
      <c r="D121">
        <f t="shared" si="5"/>
        <v>63.580922278952912</v>
      </c>
      <c r="E121">
        <f t="shared" si="6"/>
        <v>63.580922278952912</v>
      </c>
      <c r="G121">
        <f t="shared" ca="1" si="7"/>
        <v>119</v>
      </c>
      <c r="H121">
        <f t="shared" ca="1" si="8"/>
        <v>7566.1297511953962</v>
      </c>
      <c r="I121">
        <f t="shared" ca="1" si="9"/>
        <v>30863.019633866432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61558</v>
      </c>
      <c r="B124" s="66">
        <v>61558</v>
      </c>
      <c r="D124">
        <f t="shared" si="5"/>
        <v>62.361212415917009</v>
      </c>
      <c r="E124">
        <f t="shared" si="6"/>
        <v>62.361212415917009</v>
      </c>
      <c r="G124">
        <f t="shared" ca="1" si="7"/>
        <v>122</v>
      </c>
      <c r="H124">
        <f t="shared" ca="1" si="8"/>
        <v>7608.067914741875</v>
      </c>
      <c r="I124">
        <f t="shared" ca="1" si="9"/>
        <v>39075.896208912811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60632</v>
      </c>
      <c r="B126" s="66">
        <v>60632</v>
      </c>
      <c r="D126">
        <f t="shared" si="5"/>
        <v>61.423129913283084</v>
      </c>
      <c r="E126">
        <f t="shared" si="6"/>
        <v>61.423129913283084</v>
      </c>
      <c r="G126">
        <f t="shared" ca="1" si="7"/>
        <v>124</v>
      </c>
      <c r="H126">
        <f t="shared" ca="1" si="8"/>
        <v>7616.4681092471028</v>
      </c>
      <c r="I126">
        <f t="shared" ca="1" si="9"/>
        <v>44883.979306509711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59487</v>
      </c>
      <c r="B129" s="66">
        <v>59487</v>
      </c>
      <c r="D129">
        <f t="shared" si="5"/>
        <v>60.263189885728181</v>
      </c>
      <c r="E129">
        <f t="shared" si="6"/>
        <v>60.263189885728181</v>
      </c>
      <c r="G129">
        <f t="shared" ca="1" si="7"/>
        <v>127</v>
      </c>
      <c r="H129">
        <f t="shared" ca="1" si="8"/>
        <v>7653.4251154874792</v>
      </c>
      <c r="I129">
        <f t="shared" ca="1" si="9"/>
        <v>54352.981862992398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59323</v>
      </c>
      <c r="B131" s="66">
        <v>59323</v>
      </c>
      <c r="D131">
        <f t="shared" ref="D131:D194" si="10">IFERROR( 100*A131/MAX(A$2:A$257), 0 )</f>
        <v>60.097050004052193</v>
      </c>
      <c r="E131">
        <f t="shared" ref="E131:E194" si="11">IFERROR( 100*B131/MAX(B$2:B$257), 0 )</f>
        <v>60.097050004052193</v>
      </c>
      <c r="G131">
        <f t="shared" ref="G131:G194" ca="1" si="12">CELL("row",D131)-2</f>
        <v>129</v>
      </c>
      <c r="H131">
        <f t="shared" ref="H131:H194" ca="1" si="13">D131*G131</f>
        <v>7752.5194505227328</v>
      </c>
      <c r="I131">
        <f t="shared" ref="I131:I194" ca="1" si="14">D131*((G131-$L$1)^2)</f>
        <v>61662.885326670592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51911</v>
      </c>
      <c r="B134" s="66">
        <v>51911</v>
      </c>
      <c r="D134">
        <f t="shared" si="10"/>
        <v>52.588337790744795</v>
      </c>
      <c r="E134">
        <f t="shared" si="11"/>
        <v>52.588337790744795</v>
      </c>
      <c r="G134">
        <f t="shared" ca="1" si="12"/>
        <v>132</v>
      </c>
      <c r="H134">
        <f t="shared" ca="1" si="13"/>
        <v>6941.6605883783132</v>
      </c>
      <c r="I134">
        <f t="shared" ca="1" si="14"/>
        <v>64538.915619211803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50037</v>
      </c>
      <c r="B136" s="66">
        <v>50037</v>
      </c>
      <c r="D136">
        <f t="shared" si="10"/>
        <v>50.689885728178943</v>
      </c>
      <c r="E136">
        <f t="shared" si="11"/>
        <v>50.689885728178943</v>
      </c>
      <c r="G136">
        <f t="shared" ca="1" si="12"/>
        <v>134</v>
      </c>
      <c r="H136">
        <f t="shared" ca="1" si="13"/>
        <v>6792.4446875759786</v>
      </c>
      <c r="I136">
        <f t="shared" ca="1" si="14"/>
        <v>69514.895843300401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47177</v>
      </c>
      <c r="B139" s="66">
        <v>47177</v>
      </c>
      <c r="D139">
        <f t="shared" si="10"/>
        <v>47.792568279439173</v>
      </c>
      <c r="E139">
        <f t="shared" si="11"/>
        <v>47.792568279439173</v>
      </c>
      <c r="G139">
        <f t="shared" ca="1" si="12"/>
        <v>137</v>
      </c>
      <c r="H139">
        <f t="shared" ca="1" si="13"/>
        <v>6547.5818542831666</v>
      </c>
      <c r="I139">
        <f t="shared" ca="1" si="14"/>
        <v>76590.870744332948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40530</v>
      </c>
      <c r="B142" s="66">
        <v>40530</v>
      </c>
      <c r="D142">
        <f t="shared" si="10"/>
        <v>41.058837831266715</v>
      </c>
      <c r="E142">
        <f t="shared" si="11"/>
        <v>41.058837831266715</v>
      </c>
      <c r="G142">
        <f t="shared" ca="1" si="12"/>
        <v>140</v>
      </c>
      <c r="H142">
        <f t="shared" ca="1" si="13"/>
        <v>5748.2372963773396</v>
      </c>
      <c r="I142">
        <f t="shared" ca="1" si="14"/>
        <v>76031.162879775919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42088</v>
      </c>
      <c r="B144" s="66">
        <v>42088</v>
      </c>
      <c r="D144">
        <f t="shared" si="10"/>
        <v>42.637166707188591</v>
      </c>
      <c r="E144">
        <f t="shared" si="11"/>
        <v>42.637166707188591</v>
      </c>
      <c r="G144">
        <f t="shared" ca="1" si="12"/>
        <v>142</v>
      </c>
      <c r="H144">
        <f t="shared" ca="1" si="13"/>
        <v>6054.4776724207795</v>
      </c>
      <c r="I144">
        <f t="shared" ca="1" si="14"/>
        <v>86463.466158585303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39586</v>
      </c>
      <c r="B147" s="66">
        <v>39586</v>
      </c>
      <c r="D147">
        <f t="shared" si="10"/>
        <v>40.102520463570791</v>
      </c>
      <c r="E147">
        <f t="shared" si="11"/>
        <v>40.102520463570791</v>
      </c>
      <c r="G147">
        <f t="shared" ca="1" si="12"/>
        <v>145</v>
      </c>
      <c r="H147">
        <f t="shared" ca="1" si="13"/>
        <v>5814.8654672177645</v>
      </c>
      <c r="I147">
        <f t="shared" ca="1" si="14"/>
        <v>92519.8092038631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38113</v>
      </c>
      <c r="B149" s="66">
        <v>38113</v>
      </c>
      <c r="D149">
        <f t="shared" si="10"/>
        <v>38.610300672663911</v>
      </c>
      <c r="E149">
        <f t="shared" si="11"/>
        <v>38.610300672663911</v>
      </c>
      <c r="G149">
        <f t="shared" ca="1" si="12"/>
        <v>147</v>
      </c>
      <c r="H149">
        <f t="shared" ca="1" si="13"/>
        <v>5675.7141988815947</v>
      </c>
      <c r="I149">
        <f t="shared" ca="1" si="14"/>
        <v>96649.711282692791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33257</v>
      </c>
      <c r="B152" s="66">
        <v>33257</v>
      </c>
      <c r="D152">
        <f t="shared" si="10"/>
        <v>33.690939298160302</v>
      </c>
      <c r="E152">
        <f t="shared" si="11"/>
        <v>33.690939298160302</v>
      </c>
      <c r="G152">
        <f t="shared" ca="1" si="12"/>
        <v>150</v>
      </c>
      <c r="H152">
        <f t="shared" ca="1" si="13"/>
        <v>5053.6408947240452</v>
      </c>
      <c r="I152">
        <f t="shared" ca="1" si="14"/>
        <v>94752.502190854895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31221</v>
      </c>
      <c r="B154" s="66">
        <v>31221</v>
      </c>
      <c r="D154">
        <f t="shared" si="10"/>
        <v>31.62837345003647</v>
      </c>
      <c r="E154">
        <f t="shared" si="11"/>
        <v>31.62837345003647</v>
      </c>
      <c r="G154">
        <f t="shared" ca="1" si="12"/>
        <v>152</v>
      </c>
      <c r="H154">
        <f t="shared" ca="1" si="13"/>
        <v>4807.5127644055437</v>
      </c>
      <c r="I154">
        <f t="shared" ca="1" si="14"/>
        <v>95787.524719598077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31579</v>
      </c>
      <c r="B157" s="66">
        <v>31579</v>
      </c>
      <c r="D157">
        <f t="shared" si="10"/>
        <v>31.99104465515844</v>
      </c>
      <c r="E157">
        <f t="shared" si="11"/>
        <v>31.99104465515844</v>
      </c>
      <c r="G157">
        <f t="shared" ca="1" si="12"/>
        <v>155</v>
      </c>
      <c r="H157">
        <f t="shared" ca="1" si="13"/>
        <v>4958.6119215495582</v>
      </c>
      <c r="I157">
        <f t="shared" ca="1" si="14"/>
        <v>107737.01053893931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30463</v>
      </c>
      <c r="B160" s="66">
        <v>30463</v>
      </c>
      <c r="D160">
        <f t="shared" si="10"/>
        <v>30.860483021314533</v>
      </c>
      <c r="E160">
        <f t="shared" si="11"/>
        <v>30.860483021314533</v>
      </c>
      <c r="G160">
        <f t="shared" ca="1" si="12"/>
        <v>158</v>
      </c>
      <c r="H160">
        <f t="shared" ca="1" si="13"/>
        <v>4875.9563173676961</v>
      </c>
      <c r="I160">
        <f t="shared" ca="1" si="14"/>
        <v>114952.72617732306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29034</v>
      </c>
      <c r="B162" s="66">
        <v>29034</v>
      </c>
      <c r="D162">
        <f t="shared" si="10"/>
        <v>29.412837345003648</v>
      </c>
      <c r="E162">
        <f t="shared" si="11"/>
        <v>29.412837345003648</v>
      </c>
      <c r="G162">
        <f t="shared" ca="1" si="12"/>
        <v>160</v>
      </c>
      <c r="H162">
        <f t="shared" ca="1" si="13"/>
        <v>4706.0539752005834</v>
      </c>
      <c r="I162">
        <f t="shared" ca="1" si="14"/>
        <v>116858.52641819757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24030</v>
      </c>
      <c r="B165" s="66">
        <v>24030</v>
      </c>
      <c r="D165">
        <f t="shared" si="10"/>
        <v>24.343544857768052</v>
      </c>
      <c r="E165">
        <f t="shared" si="11"/>
        <v>24.343544857768052</v>
      </c>
      <c r="G165">
        <f t="shared" ca="1" si="12"/>
        <v>163</v>
      </c>
      <c r="H165">
        <f t="shared" ca="1" si="13"/>
        <v>3967.9978118161926</v>
      </c>
      <c r="I165">
        <f t="shared" ca="1" si="14"/>
        <v>106143.63893538513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21729</v>
      </c>
      <c r="B167" s="66">
        <v>21729</v>
      </c>
      <c r="D167">
        <f t="shared" si="10"/>
        <v>22.012521274009238</v>
      </c>
      <c r="E167">
        <f t="shared" si="11"/>
        <v>22.012521274009238</v>
      </c>
      <c r="G167">
        <f t="shared" ca="1" si="12"/>
        <v>165</v>
      </c>
      <c r="H167">
        <f t="shared" ca="1" si="13"/>
        <v>3632.0660102115244</v>
      </c>
      <c r="I167">
        <f t="shared" ca="1" si="14"/>
        <v>101882.00399370791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18838</v>
      </c>
      <c r="B170" s="66">
        <v>18838</v>
      </c>
      <c r="D170">
        <f t="shared" si="10"/>
        <v>19.083799335440474</v>
      </c>
      <c r="E170">
        <f t="shared" si="11"/>
        <v>19.083799335440474</v>
      </c>
      <c r="G170">
        <f t="shared" ca="1" si="12"/>
        <v>168</v>
      </c>
      <c r="H170">
        <f t="shared" ca="1" si="13"/>
        <v>3206.0782883539996</v>
      </c>
      <c r="I170">
        <f t="shared" ca="1" si="14"/>
        <v>96288.426381003999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16755</v>
      </c>
      <c r="B173" s="66">
        <v>16755</v>
      </c>
      <c r="D173">
        <f t="shared" si="10"/>
        <v>16.973620228543641</v>
      </c>
      <c r="E173">
        <f t="shared" si="11"/>
        <v>16.973620228543641</v>
      </c>
      <c r="G173">
        <f t="shared" ca="1" si="12"/>
        <v>171</v>
      </c>
      <c r="H173">
        <f t="shared" ca="1" si="13"/>
        <v>2902.4890590809628</v>
      </c>
      <c r="I173">
        <f t="shared" ca="1" si="14"/>
        <v>93028.187615216826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10126</v>
      </c>
      <c r="B175" s="66">
        <v>10126</v>
      </c>
      <c r="D175">
        <f t="shared" si="10"/>
        <v>10.258124645433179</v>
      </c>
      <c r="E175">
        <f t="shared" si="11"/>
        <v>10.258124645433179</v>
      </c>
      <c r="G175">
        <f t="shared" ca="1" si="12"/>
        <v>173</v>
      </c>
      <c r="H175">
        <f t="shared" ca="1" si="13"/>
        <v>1774.6555636599401</v>
      </c>
      <c r="I175">
        <f t="shared" ca="1" si="14"/>
        <v>59300.98219224847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6931</v>
      </c>
      <c r="B178" s="66">
        <v>6931</v>
      </c>
      <c r="D178">
        <f t="shared" si="10"/>
        <v>7.0214360969284382</v>
      </c>
      <c r="E178">
        <f t="shared" si="11"/>
        <v>7.0214360969284382</v>
      </c>
      <c r="G178">
        <f t="shared" ca="1" si="12"/>
        <v>176</v>
      </c>
      <c r="H178">
        <f t="shared" ca="1" si="13"/>
        <v>1235.7727530594052</v>
      </c>
      <c r="I178">
        <f t="shared" ca="1" si="14"/>
        <v>43856.395706111012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4606</v>
      </c>
      <c r="B180" s="66">
        <v>4606</v>
      </c>
      <c r="D180">
        <f t="shared" si="10"/>
        <v>4.6660993597536269</v>
      </c>
      <c r="E180">
        <f t="shared" si="11"/>
        <v>4.6660993597536269</v>
      </c>
      <c r="G180">
        <f t="shared" ca="1" si="12"/>
        <v>178</v>
      </c>
      <c r="H180">
        <f t="shared" ca="1" si="13"/>
        <v>830.56568603614562</v>
      </c>
      <c r="I180">
        <f t="shared" ca="1" si="14"/>
        <v>30638.543589692345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2569</v>
      </c>
      <c r="B183" s="66">
        <v>2569</v>
      </c>
      <c r="D183">
        <f t="shared" si="10"/>
        <v>2.6025204635707917</v>
      </c>
      <c r="E183">
        <f t="shared" si="11"/>
        <v>2.6025204635707917</v>
      </c>
      <c r="G183">
        <f t="shared" ca="1" si="12"/>
        <v>181</v>
      </c>
      <c r="H183">
        <f t="shared" ca="1" si="13"/>
        <v>471.05620390631327</v>
      </c>
      <c r="I183">
        <f t="shared" ca="1" si="14"/>
        <v>18377.419765830975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1393</v>
      </c>
      <c r="B185" s="66">
        <v>1393</v>
      </c>
      <c r="D185">
        <f t="shared" si="10"/>
        <v>1.4111759461868871</v>
      </c>
      <c r="E185">
        <f t="shared" si="11"/>
        <v>1.4111759461868871</v>
      </c>
      <c r="G185">
        <f t="shared" ca="1" si="12"/>
        <v>183</v>
      </c>
      <c r="H185">
        <f t="shared" ca="1" si="13"/>
        <v>258.24519815220037</v>
      </c>
      <c r="I185">
        <f t="shared" ca="1" si="14"/>
        <v>10444.848926992903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1137</v>
      </c>
      <c r="B188" s="66">
        <v>1137</v>
      </c>
      <c r="D188">
        <f t="shared" si="10"/>
        <v>1.1518356430829078</v>
      </c>
      <c r="E188">
        <f t="shared" si="11"/>
        <v>1.1518356430829078</v>
      </c>
      <c r="G188">
        <f t="shared" ca="1" si="12"/>
        <v>186</v>
      </c>
      <c r="H188">
        <f t="shared" ca="1" si="13"/>
        <v>214.24142961342085</v>
      </c>
      <c r="I188">
        <f t="shared" ca="1" si="14"/>
        <v>9130.2716523784547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337</v>
      </c>
      <c r="B191" s="66">
        <v>337</v>
      </c>
      <c r="D191">
        <f t="shared" si="10"/>
        <v>0.34139719588297268</v>
      </c>
      <c r="E191">
        <f t="shared" si="11"/>
        <v>0.34139719588297268</v>
      </c>
      <c r="G191">
        <f t="shared" ca="1" si="12"/>
        <v>189</v>
      </c>
      <c r="H191">
        <f t="shared" ca="1" si="13"/>
        <v>64.52407002188184</v>
      </c>
      <c r="I191">
        <f t="shared" ca="1" si="14"/>
        <v>2891.6023330572239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111</v>
      </c>
      <c r="B193" s="66">
        <v>111</v>
      </c>
      <c r="D193">
        <f t="shared" si="10"/>
        <v>0.112448334548991</v>
      </c>
      <c r="E193">
        <f t="shared" si="11"/>
        <v>0.112448334548991</v>
      </c>
      <c r="G193">
        <f t="shared" ca="1" si="12"/>
        <v>191</v>
      </c>
      <c r="H193">
        <f t="shared" ca="1" si="13"/>
        <v>21.477631898857283</v>
      </c>
      <c r="I193">
        <f t="shared" ca="1" si="14"/>
        <v>994.27209779213842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349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98.553889885458702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1.9028282627488871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0.51513366484678158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260</v>
      </c>
      <c r="B8" s="66">
        <v>260</v>
      </c>
      <c r="D8">
        <f t="shared" si="0"/>
        <v>0.18779614006702877</v>
      </c>
      <c r="E8">
        <f t="shared" si="1"/>
        <v>0.18779614006702877</v>
      </c>
      <c r="G8">
        <f t="shared" ca="1" si="2"/>
        <v>6</v>
      </c>
      <c r="H8">
        <f t="shared" ca="1" si="3"/>
        <v>1.1267768404021727</v>
      </c>
      <c r="I8">
        <f t="shared" ca="1" si="4"/>
        <v>1608.7035266393877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273</v>
      </c>
      <c r="B10" s="66">
        <v>273</v>
      </c>
      <c r="D10">
        <f t="shared" si="0"/>
        <v>0.1971859470703802</v>
      </c>
      <c r="E10">
        <f t="shared" si="1"/>
        <v>0.1971859470703802</v>
      </c>
      <c r="G10">
        <f t="shared" ca="1" si="2"/>
        <v>8</v>
      </c>
      <c r="H10">
        <f t="shared" ca="1" si="3"/>
        <v>1.5774875765630416</v>
      </c>
      <c r="I10">
        <f t="shared" ca="1" si="4"/>
        <v>1616.926141031191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480</v>
      </c>
      <c r="B13" s="66">
        <v>480</v>
      </c>
      <c r="D13">
        <f t="shared" si="0"/>
        <v>0.3467005662775916</v>
      </c>
      <c r="E13">
        <f t="shared" si="1"/>
        <v>0.3467005662775916</v>
      </c>
      <c r="G13">
        <f t="shared" ca="1" si="2"/>
        <v>11</v>
      </c>
      <c r="H13">
        <f t="shared" ca="1" si="3"/>
        <v>3.8137062290535075</v>
      </c>
      <c r="I13">
        <f t="shared" ca="1" si="4"/>
        <v>2657.6968568386783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648</v>
      </c>
      <c r="B15" s="66">
        <v>648</v>
      </c>
      <c r="D15">
        <f t="shared" si="0"/>
        <v>0.46804576447474866</v>
      </c>
      <c r="E15">
        <f t="shared" si="1"/>
        <v>0.46804576447474866</v>
      </c>
      <c r="G15">
        <f t="shared" ca="1" si="2"/>
        <v>13</v>
      </c>
      <c r="H15">
        <f t="shared" ca="1" si="3"/>
        <v>6.0845949381717324</v>
      </c>
      <c r="I15">
        <f t="shared" ca="1" si="4"/>
        <v>3425.8460304934047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1390</v>
      </c>
      <c r="B18" s="66">
        <v>1390</v>
      </c>
      <c r="D18">
        <f t="shared" si="0"/>
        <v>1.0039870565121922</v>
      </c>
      <c r="E18">
        <f t="shared" si="1"/>
        <v>1.0039870565121922</v>
      </c>
      <c r="G18">
        <f t="shared" ca="1" si="2"/>
        <v>16</v>
      </c>
      <c r="H18">
        <f t="shared" ca="1" si="3"/>
        <v>16.063792904195076</v>
      </c>
      <c r="I18">
        <f t="shared" ca="1" si="4"/>
        <v>6842.317102418534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2018</v>
      </c>
      <c r="B21" s="66">
        <v>2018</v>
      </c>
      <c r="D21">
        <f t="shared" si="0"/>
        <v>1.457586964058708</v>
      </c>
      <c r="E21">
        <f t="shared" si="1"/>
        <v>1.457586964058708</v>
      </c>
      <c r="G21">
        <f t="shared" ca="1" si="2"/>
        <v>19</v>
      </c>
      <c r="H21">
        <f t="shared" ca="1" si="3"/>
        <v>27.694152317115453</v>
      </c>
      <c r="I21">
        <f t="shared" ca="1" si="4"/>
        <v>9224.8075645308818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3324</v>
      </c>
      <c r="B23" s="66">
        <v>3324</v>
      </c>
      <c r="D23">
        <f t="shared" si="0"/>
        <v>2.4009014214723217</v>
      </c>
      <c r="E23">
        <f t="shared" si="1"/>
        <v>2.4009014214723217</v>
      </c>
      <c r="G23">
        <f t="shared" ca="1" si="2"/>
        <v>21</v>
      </c>
      <c r="H23">
        <f t="shared" ca="1" si="3"/>
        <v>50.418929850918758</v>
      </c>
      <c r="I23">
        <f t="shared" ca="1" si="4"/>
        <v>14440.475702126501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2827</v>
      </c>
      <c r="B26" s="66">
        <v>2827</v>
      </c>
      <c r="D26">
        <f t="shared" si="0"/>
        <v>2.0419218768057319</v>
      </c>
      <c r="E26">
        <f t="shared" si="1"/>
        <v>2.0419218768057319</v>
      </c>
      <c r="G26">
        <f t="shared" ca="1" si="2"/>
        <v>24</v>
      </c>
      <c r="H26">
        <f t="shared" ca="1" si="3"/>
        <v>49.006125043337562</v>
      </c>
      <c r="I26">
        <f t="shared" ca="1" si="4"/>
        <v>11349.578628199119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3064</v>
      </c>
      <c r="B28" s="66">
        <v>3064</v>
      </c>
      <c r="D28">
        <f t="shared" si="0"/>
        <v>2.2131052814052929</v>
      </c>
      <c r="E28">
        <f t="shared" si="1"/>
        <v>2.2131052814052929</v>
      </c>
      <c r="G28">
        <f t="shared" ca="1" si="2"/>
        <v>26</v>
      </c>
      <c r="H28">
        <f t="shared" ca="1" si="3"/>
        <v>57.540737316537616</v>
      </c>
      <c r="I28">
        <f t="shared" ca="1" si="4"/>
        <v>11649.934341077171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2697</v>
      </c>
      <c r="B31" s="66">
        <v>2697</v>
      </c>
      <c r="D31">
        <f t="shared" si="0"/>
        <v>1.9480238067722178</v>
      </c>
      <c r="E31">
        <f t="shared" si="1"/>
        <v>1.9480238067722178</v>
      </c>
      <c r="G31">
        <f t="shared" ca="1" si="2"/>
        <v>29</v>
      </c>
      <c r="H31">
        <f t="shared" ca="1" si="3"/>
        <v>56.492690396394316</v>
      </c>
      <c r="I31">
        <f t="shared" ca="1" si="4"/>
        <v>9424.0397003505968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4426</v>
      </c>
      <c r="B33" s="66">
        <v>4426</v>
      </c>
      <c r="D33">
        <f t="shared" si="0"/>
        <v>3.1968681382179591</v>
      </c>
      <c r="E33">
        <f t="shared" si="1"/>
        <v>3.1968681382179591</v>
      </c>
      <c r="G33">
        <f t="shared" ca="1" si="2"/>
        <v>31</v>
      </c>
      <c r="H33">
        <f t="shared" ca="1" si="3"/>
        <v>99.102912284756727</v>
      </c>
      <c r="I33">
        <f t="shared" ca="1" si="4"/>
        <v>14588.997384645832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3934</v>
      </c>
      <c r="B36" s="66">
        <v>3934</v>
      </c>
      <c r="D36">
        <f t="shared" si="0"/>
        <v>2.8415000577834277</v>
      </c>
      <c r="E36">
        <f t="shared" si="1"/>
        <v>2.8415000577834277</v>
      </c>
      <c r="G36">
        <f t="shared" ca="1" si="2"/>
        <v>34</v>
      </c>
      <c r="H36">
        <f t="shared" ca="1" si="3"/>
        <v>96.611001964636543</v>
      </c>
      <c r="I36">
        <f t="shared" ca="1" si="4"/>
        <v>11841.11239398114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6634</v>
      </c>
      <c r="B39" s="66">
        <v>6634</v>
      </c>
      <c r="D39">
        <f t="shared" si="0"/>
        <v>4.7916907430948807</v>
      </c>
      <c r="E39">
        <f t="shared" si="1"/>
        <v>4.7916907430948807</v>
      </c>
      <c r="G39">
        <f t="shared" ca="1" si="2"/>
        <v>37</v>
      </c>
      <c r="H39">
        <f t="shared" ca="1" si="3"/>
        <v>177.29255749451059</v>
      </c>
      <c r="I39">
        <f t="shared" ca="1" si="4"/>
        <v>18155.147739546122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8785</v>
      </c>
      <c r="B41" s="66">
        <v>8785</v>
      </c>
      <c r="D41">
        <f t="shared" si="0"/>
        <v>6.3453426557263377</v>
      </c>
      <c r="E41">
        <f t="shared" si="1"/>
        <v>6.3453426557263377</v>
      </c>
      <c r="G41">
        <f t="shared" ca="1" si="2"/>
        <v>39</v>
      </c>
      <c r="H41">
        <f t="shared" ca="1" si="3"/>
        <v>247.46836357332717</v>
      </c>
      <c r="I41">
        <f t="shared" ca="1" si="4"/>
        <v>22504.809789450806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9426</v>
      </c>
      <c r="B44" s="66">
        <v>9426</v>
      </c>
      <c r="D44">
        <f t="shared" si="0"/>
        <v>6.8083323702762044</v>
      </c>
      <c r="E44">
        <f t="shared" si="1"/>
        <v>6.8083323702762044</v>
      </c>
      <c r="G44">
        <f t="shared" ca="1" si="2"/>
        <v>42</v>
      </c>
      <c r="H44">
        <f t="shared" ca="1" si="3"/>
        <v>285.94995955160061</v>
      </c>
      <c r="I44">
        <f t="shared" ca="1" si="4"/>
        <v>21775.378509657428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13695</v>
      </c>
      <c r="B46" s="66">
        <v>13695</v>
      </c>
      <c r="D46">
        <f t="shared" si="0"/>
        <v>9.8918005316075348</v>
      </c>
      <c r="E46">
        <f t="shared" si="1"/>
        <v>9.8918005316075348</v>
      </c>
      <c r="G46">
        <f t="shared" ca="1" si="2"/>
        <v>44</v>
      </c>
      <c r="H46">
        <f t="shared" ca="1" si="3"/>
        <v>435.23922339073152</v>
      </c>
      <c r="I46">
        <f t="shared" ca="1" si="4"/>
        <v>29439.253667722136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20933</v>
      </c>
      <c r="B49" s="66">
        <v>20933</v>
      </c>
      <c r="D49">
        <f t="shared" si="0"/>
        <v>15.119756153935052</v>
      </c>
      <c r="E49">
        <f t="shared" si="1"/>
        <v>15.119756153935052</v>
      </c>
      <c r="G49">
        <f t="shared" ca="1" si="2"/>
        <v>47</v>
      </c>
      <c r="H49">
        <f t="shared" ca="1" si="3"/>
        <v>710.62853923494743</v>
      </c>
      <c r="I49">
        <f t="shared" ca="1" si="4"/>
        <v>40185.341767368584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27612</v>
      </c>
      <c r="B51" s="66">
        <v>27612</v>
      </c>
      <c r="D51">
        <f t="shared" si="0"/>
        <v>19.943950075118455</v>
      </c>
      <c r="E51">
        <f t="shared" si="1"/>
        <v>19.943950075118455</v>
      </c>
      <c r="G51">
        <f t="shared" ca="1" si="2"/>
        <v>49</v>
      </c>
      <c r="H51">
        <f t="shared" ca="1" si="3"/>
        <v>977.25355368080432</v>
      </c>
      <c r="I51">
        <f t="shared" ca="1" si="4"/>
        <v>48974.124532507478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34030</v>
      </c>
      <c r="B54" s="66">
        <v>34030</v>
      </c>
      <c r="D54">
        <f t="shared" si="0"/>
        <v>24.579625563388419</v>
      </c>
      <c r="E54">
        <f t="shared" si="1"/>
        <v>24.579625563388419</v>
      </c>
      <c r="G54">
        <f t="shared" ca="1" si="2"/>
        <v>52</v>
      </c>
      <c r="H54">
        <f t="shared" ca="1" si="3"/>
        <v>1278.1405292961977</v>
      </c>
      <c r="I54">
        <f t="shared" ca="1" si="4"/>
        <v>53270.553924792046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41015</v>
      </c>
      <c r="B57" s="66">
        <v>41015</v>
      </c>
      <c r="D57">
        <f t="shared" si="0"/>
        <v>29.624841095573789</v>
      </c>
      <c r="E57">
        <f t="shared" si="1"/>
        <v>29.624841095573789</v>
      </c>
      <c r="G57">
        <f t="shared" ca="1" si="2"/>
        <v>55</v>
      </c>
      <c r="H57">
        <f t="shared" ca="1" si="3"/>
        <v>1629.3662602565585</v>
      </c>
      <c r="I57">
        <f t="shared" ca="1" si="4"/>
        <v>56196.585295709185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44541</v>
      </c>
      <c r="B59" s="66">
        <v>44541</v>
      </c>
      <c r="D59">
        <f t="shared" si="0"/>
        <v>32.171645672021263</v>
      </c>
      <c r="E59">
        <f t="shared" si="1"/>
        <v>32.171645672021263</v>
      </c>
      <c r="G59">
        <f t="shared" ca="1" si="2"/>
        <v>57</v>
      </c>
      <c r="H59">
        <f t="shared" ca="1" si="3"/>
        <v>1833.7838033052119</v>
      </c>
      <c r="I59">
        <f t="shared" ca="1" si="4"/>
        <v>55551.609471873868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47174</v>
      </c>
      <c r="B62" s="66">
        <v>47174</v>
      </c>
      <c r="D62">
        <f t="shared" si="0"/>
        <v>34.073442736623136</v>
      </c>
      <c r="E62">
        <f t="shared" si="1"/>
        <v>34.073442736623136</v>
      </c>
      <c r="G62">
        <f t="shared" ca="1" si="2"/>
        <v>60</v>
      </c>
      <c r="H62">
        <f t="shared" ca="1" si="3"/>
        <v>2044.4065641973882</v>
      </c>
      <c r="I62">
        <f t="shared" ca="1" si="4"/>
        <v>50646.847922039844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55058</v>
      </c>
      <c r="B64" s="66">
        <v>55058</v>
      </c>
      <c r="D64">
        <f t="shared" si="0"/>
        <v>39.767999537732578</v>
      </c>
      <c r="E64">
        <f t="shared" si="1"/>
        <v>39.767999537732578</v>
      </c>
      <c r="G64">
        <f t="shared" ca="1" si="2"/>
        <v>62</v>
      </c>
      <c r="H64">
        <f t="shared" ca="1" si="3"/>
        <v>2465.61597133942</v>
      </c>
      <c r="I64">
        <f t="shared" ca="1" si="4"/>
        <v>53137.478659798027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62676</v>
      </c>
      <c r="B67" s="66">
        <v>62676</v>
      </c>
      <c r="D67">
        <f t="shared" ref="D67:D130" si="5">IFERROR(100*A67/MAX(A$2:A$257), 0 )</f>
        <v>45.270426441696522</v>
      </c>
      <c r="E67">
        <f t="shared" ref="E67:E130" si="6">IFERROR(100*B67/MAX(B$2:B$257), 0 )</f>
        <v>45.270426441696522</v>
      </c>
      <c r="G67">
        <f t="shared" ref="G67:G130" ca="1" si="7">CELL("row",D67)-2</f>
        <v>65</v>
      </c>
      <c r="H67">
        <f t="shared" ref="H67:H130" ca="1" si="8">D67*G67</f>
        <v>2942.577718710274</v>
      </c>
      <c r="I67">
        <f t="shared" ref="I67:I130" ca="1" si="9">D67*((G67-$L$1)^2)</f>
        <v>50968.321957339504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69063</v>
      </c>
      <c r="B69" s="66">
        <v>69063</v>
      </c>
      <c r="D69">
        <f t="shared" si="5"/>
        <v>49.883710851727727</v>
      </c>
      <c r="E69">
        <f t="shared" si="6"/>
        <v>49.883710851727727</v>
      </c>
      <c r="G69">
        <f t="shared" ca="1" si="7"/>
        <v>67</v>
      </c>
      <c r="H69">
        <f t="shared" ca="1" si="8"/>
        <v>3342.2086270657578</v>
      </c>
      <c r="I69">
        <f t="shared" ca="1" si="9"/>
        <v>49666.615291132402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70285</v>
      </c>
      <c r="B72" s="66">
        <v>70285</v>
      </c>
      <c r="D72">
        <f t="shared" si="5"/>
        <v>50.76635271004276</v>
      </c>
      <c r="E72">
        <f t="shared" si="6"/>
        <v>50.76635271004276</v>
      </c>
      <c r="G72">
        <f t="shared" ca="1" si="7"/>
        <v>70</v>
      </c>
      <c r="H72">
        <f t="shared" ca="1" si="8"/>
        <v>3553.6446897029932</v>
      </c>
      <c r="I72">
        <f t="shared" ca="1" si="9"/>
        <v>41391.057617463928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79047</v>
      </c>
      <c r="B75" s="66">
        <v>79047</v>
      </c>
      <c r="D75">
        <f t="shared" si="5"/>
        <v>57.095082630301633</v>
      </c>
      <c r="E75">
        <f t="shared" si="6"/>
        <v>57.095082630301633</v>
      </c>
      <c r="G75">
        <f t="shared" ca="1" si="7"/>
        <v>73</v>
      </c>
      <c r="H75">
        <f t="shared" ca="1" si="8"/>
        <v>4167.9410320120196</v>
      </c>
      <c r="I75">
        <f t="shared" ca="1" si="9"/>
        <v>37283.162511934308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90371</v>
      </c>
      <c r="B77" s="66">
        <v>90371</v>
      </c>
      <c r="D77">
        <f t="shared" si="5"/>
        <v>65.274326823067142</v>
      </c>
      <c r="E77">
        <f t="shared" si="6"/>
        <v>65.274326823067142</v>
      </c>
      <c r="G77">
        <f t="shared" ca="1" si="7"/>
        <v>75</v>
      </c>
      <c r="H77">
        <f t="shared" ca="1" si="8"/>
        <v>4895.5745117300357</v>
      </c>
      <c r="I77">
        <f t="shared" ca="1" si="9"/>
        <v>36213.264974307618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94117</v>
      </c>
      <c r="B80" s="66">
        <v>94117</v>
      </c>
      <c r="D80">
        <f t="shared" si="5"/>
        <v>67.980035825725182</v>
      </c>
      <c r="E80">
        <f t="shared" si="6"/>
        <v>67.980035825725182</v>
      </c>
      <c r="G80">
        <f t="shared" ca="1" si="7"/>
        <v>78</v>
      </c>
      <c r="H80">
        <f t="shared" ca="1" si="8"/>
        <v>5302.4427944065637</v>
      </c>
      <c r="I80">
        <f t="shared" ca="1" si="9"/>
        <v>28719.008368035178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101272</v>
      </c>
      <c r="B82" s="66">
        <v>101272</v>
      </c>
      <c r="D82">
        <f t="shared" si="5"/>
        <v>73.148041141800533</v>
      </c>
      <c r="E82">
        <f t="shared" si="6"/>
        <v>73.148041141800533</v>
      </c>
      <c r="G82">
        <f t="shared" ca="1" si="7"/>
        <v>80</v>
      </c>
      <c r="H82">
        <f t="shared" ca="1" si="8"/>
        <v>5851.8432913440429</v>
      </c>
      <c r="I82">
        <f t="shared" ca="1" si="9"/>
        <v>25180.981275122958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117451</v>
      </c>
      <c r="B85" s="66">
        <v>117451</v>
      </c>
      <c r="D85">
        <f t="shared" si="5"/>
        <v>84.83401710389461</v>
      </c>
      <c r="E85">
        <f t="shared" si="6"/>
        <v>84.83401710389461</v>
      </c>
      <c r="G85">
        <f t="shared" ca="1" si="7"/>
        <v>83</v>
      </c>
      <c r="H85">
        <f t="shared" ca="1" si="8"/>
        <v>7041.223419623253</v>
      </c>
      <c r="I85">
        <f t="shared" ca="1" si="9"/>
        <v>20523.341536762269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115225</v>
      </c>
      <c r="B88" s="66">
        <v>115225</v>
      </c>
      <c r="D88">
        <f t="shared" si="5"/>
        <v>83.226193227782275</v>
      </c>
      <c r="E88">
        <f t="shared" si="6"/>
        <v>83.226193227782275</v>
      </c>
      <c r="G88">
        <f t="shared" ca="1" si="7"/>
        <v>86</v>
      </c>
      <c r="H88">
        <f t="shared" ca="1" si="8"/>
        <v>7157.4526175892761</v>
      </c>
      <c r="I88">
        <f t="shared" ca="1" si="9"/>
        <v>13116.46064117807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119736</v>
      </c>
      <c r="B90" s="66">
        <v>119736</v>
      </c>
      <c r="D90">
        <f t="shared" si="5"/>
        <v>86.484456257945226</v>
      </c>
      <c r="E90">
        <f t="shared" si="6"/>
        <v>86.484456257945226</v>
      </c>
      <c r="G90">
        <f t="shared" ca="1" si="7"/>
        <v>88</v>
      </c>
      <c r="H90">
        <f t="shared" ca="1" si="8"/>
        <v>7610.6321506991799</v>
      </c>
      <c r="I90">
        <f t="shared" ca="1" si="9"/>
        <v>9633.0358499320319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131931</v>
      </c>
      <c r="B93" s="66">
        <v>131931</v>
      </c>
      <c r="D93">
        <f t="shared" si="5"/>
        <v>95.292817519935284</v>
      </c>
      <c r="E93">
        <f t="shared" si="6"/>
        <v>95.292817519935284</v>
      </c>
      <c r="G93">
        <f t="shared" ca="1" si="7"/>
        <v>91</v>
      </c>
      <c r="H93">
        <f t="shared" ca="1" si="8"/>
        <v>8671.6463943141116</v>
      </c>
      <c r="I93">
        <f t="shared" ca="1" si="9"/>
        <v>5437.527512568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133845</v>
      </c>
      <c r="B95" s="66">
        <v>133845</v>
      </c>
      <c r="D95">
        <f t="shared" si="5"/>
        <v>96.675286027967175</v>
      </c>
      <c r="E95">
        <f t="shared" si="6"/>
        <v>96.675286027967175</v>
      </c>
      <c r="G95">
        <f t="shared" ca="1" si="7"/>
        <v>93</v>
      </c>
      <c r="H95">
        <f t="shared" ca="1" si="8"/>
        <v>8990.8016006009475</v>
      </c>
      <c r="I95">
        <f t="shared" ca="1" si="9"/>
        <v>2982.0161799520356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136214</v>
      </c>
      <c r="B98" s="66">
        <v>136214</v>
      </c>
      <c r="D98">
        <f t="shared" si="5"/>
        <v>98.386397781116372</v>
      </c>
      <c r="E98">
        <f t="shared" si="6"/>
        <v>98.386397781116372</v>
      </c>
      <c r="G98">
        <f t="shared" ca="1" si="7"/>
        <v>96</v>
      </c>
      <c r="H98">
        <f t="shared" ca="1" si="8"/>
        <v>9445.0941869871713</v>
      </c>
      <c r="I98">
        <f t="shared" ca="1" si="9"/>
        <v>641.71087054896554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132626</v>
      </c>
      <c r="B100" s="66">
        <v>132626</v>
      </c>
      <c r="D100">
        <f t="shared" si="5"/>
        <v>95.794811048191377</v>
      </c>
      <c r="E100">
        <f t="shared" si="6"/>
        <v>95.794811048191377</v>
      </c>
      <c r="G100">
        <f t="shared" ca="1" si="7"/>
        <v>98</v>
      </c>
      <c r="H100">
        <f t="shared" ca="1" si="8"/>
        <v>9387.8914827227545</v>
      </c>
      <c r="I100">
        <f t="shared" ca="1" si="9"/>
        <v>29.389273760140647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134098</v>
      </c>
      <c r="B103" s="66">
        <v>134098</v>
      </c>
      <c r="D103">
        <f t="shared" si="5"/>
        <v>96.858026118109322</v>
      </c>
      <c r="E103">
        <f t="shared" si="6"/>
        <v>96.858026118109322</v>
      </c>
      <c r="G103">
        <f t="shared" ca="1" si="7"/>
        <v>101</v>
      </c>
      <c r="H103">
        <f t="shared" ca="1" si="8"/>
        <v>9782.6606379290424</v>
      </c>
      <c r="I103">
        <f t="shared" ca="1" si="9"/>
        <v>579.54561087893489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136630</v>
      </c>
      <c r="B106" s="66">
        <v>136630</v>
      </c>
      <c r="D106">
        <f t="shared" si="5"/>
        <v>98.686871605223615</v>
      </c>
      <c r="E106">
        <f t="shared" si="6"/>
        <v>98.686871605223615</v>
      </c>
      <c r="G106">
        <f t="shared" ca="1" si="7"/>
        <v>104</v>
      </c>
      <c r="H106">
        <f t="shared" ca="1" si="8"/>
        <v>10263.434646943257</v>
      </c>
      <c r="I106">
        <f t="shared" ca="1" si="9"/>
        <v>2927.0639982734638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138448</v>
      </c>
      <c r="B108" s="66">
        <v>138448</v>
      </c>
      <c r="D108">
        <f t="shared" si="5"/>
        <v>100</v>
      </c>
      <c r="E108">
        <f t="shared" si="6"/>
        <v>100</v>
      </c>
      <c r="G108">
        <f t="shared" ca="1" si="7"/>
        <v>106</v>
      </c>
      <c r="H108">
        <f t="shared" ca="1" si="8"/>
        <v>10600</v>
      </c>
      <c r="I108">
        <f t="shared" ca="1" si="9"/>
        <v>5544.4555837874223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138379</v>
      </c>
      <c r="B111" s="66">
        <v>138379</v>
      </c>
      <c r="D111">
        <f t="shared" si="5"/>
        <v>99.950161793597601</v>
      </c>
      <c r="E111">
        <f t="shared" si="6"/>
        <v>99.950161793597601</v>
      </c>
      <c r="G111">
        <f t="shared" ca="1" si="7"/>
        <v>109</v>
      </c>
      <c r="H111">
        <f t="shared" ca="1" si="8"/>
        <v>10894.567635502139</v>
      </c>
      <c r="I111">
        <f t="shared" ca="1" si="9"/>
        <v>10906.683246800141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130561</v>
      </c>
      <c r="B113" s="66">
        <v>130561</v>
      </c>
      <c r="D113">
        <f t="shared" si="5"/>
        <v>94.30327632035133</v>
      </c>
      <c r="E113">
        <f t="shared" si="6"/>
        <v>94.30327632035133</v>
      </c>
      <c r="G113">
        <f t="shared" ca="1" si="7"/>
        <v>111</v>
      </c>
      <c r="H113">
        <f t="shared" ca="1" si="8"/>
        <v>10467.663671558998</v>
      </c>
      <c r="I113">
        <f t="shared" ca="1" si="9"/>
        <v>14608.110974080493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121153</v>
      </c>
      <c r="B116" s="66">
        <v>121153</v>
      </c>
      <c r="D116">
        <f t="shared" si="5"/>
        <v>87.507945221310521</v>
      </c>
      <c r="E116">
        <f t="shared" si="6"/>
        <v>87.507945221310521</v>
      </c>
      <c r="G116">
        <f t="shared" ca="1" si="7"/>
        <v>114</v>
      </c>
      <c r="H116">
        <f t="shared" ca="1" si="8"/>
        <v>9975.9057552293998</v>
      </c>
      <c r="I116">
        <f t="shared" ca="1" si="9"/>
        <v>20877.848385486483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103542</v>
      </c>
      <c r="B118" s="66">
        <v>103542</v>
      </c>
      <c r="D118">
        <f t="shared" si="5"/>
        <v>74.787645903154981</v>
      </c>
      <c r="E118">
        <f t="shared" si="6"/>
        <v>74.787645903154981</v>
      </c>
      <c r="G118">
        <f t="shared" ca="1" si="7"/>
        <v>116</v>
      </c>
      <c r="H118">
        <f t="shared" ca="1" si="8"/>
        <v>8675.3669247659782</v>
      </c>
      <c r="I118">
        <f t="shared" ca="1" si="9"/>
        <v>22762.873331620449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99764</v>
      </c>
      <c r="B121" s="66">
        <v>99764</v>
      </c>
      <c r="D121">
        <f t="shared" si="5"/>
        <v>72.058823529411768</v>
      </c>
      <c r="E121">
        <f t="shared" si="6"/>
        <v>72.058823529411768</v>
      </c>
      <c r="G121">
        <f t="shared" ca="1" si="7"/>
        <v>119</v>
      </c>
      <c r="H121">
        <f t="shared" ca="1" si="8"/>
        <v>8575</v>
      </c>
      <c r="I121">
        <f t="shared" ca="1" si="9"/>
        <v>30123.716944090371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85385</v>
      </c>
      <c r="B124" s="66">
        <v>85385</v>
      </c>
      <c r="D124">
        <f t="shared" si="5"/>
        <v>61.672974690858659</v>
      </c>
      <c r="E124">
        <f t="shared" si="6"/>
        <v>61.672974690858659</v>
      </c>
      <c r="G124">
        <f t="shared" ca="1" si="7"/>
        <v>122</v>
      </c>
      <c r="H124">
        <f t="shared" ca="1" si="8"/>
        <v>7524.1029122847567</v>
      </c>
      <c r="I124">
        <f t="shared" ca="1" si="9"/>
        <v>33902.872550257402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77922</v>
      </c>
      <c r="B126" s="66">
        <v>77922</v>
      </c>
      <c r="D126">
        <f t="shared" si="5"/>
        <v>56.282503178088525</v>
      </c>
      <c r="E126">
        <f t="shared" si="6"/>
        <v>56.282503178088525</v>
      </c>
      <c r="G126">
        <f t="shared" ca="1" si="7"/>
        <v>124</v>
      </c>
      <c r="H126">
        <f t="shared" ca="1" si="8"/>
        <v>6979.0303940829772</v>
      </c>
      <c r="I126">
        <f t="shared" ca="1" si="9"/>
        <v>36443.175202551982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73369</v>
      </c>
      <c r="B129" s="66">
        <v>73369</v>
      </c>
      <c r="D129">
        <f t="shared" si="5"/>
        <v>52.993903848376284</v>
      </c>
      <c r="E129">
        <f t="shared" si="6"/>
        <v>52.993903848376284</v>
      </c>
      <c r="G129">
        <f t="shared" ca="1" si="7"/>
        <v>127</v>
      </c>
      <c r="H129">
        <f t="shared" ca="1" si="8"/>
        <v>6730.2257887437881</v>
      </c>
      <c r="I129">
        <f t="shared" ca="1" si="9"/>
        <v>42881.669683207976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67793</v>
      </c>
      <c r="B131" s="66">
        <v>67793</v>
      </c>
      <c r="D131">
        <f t="shared" ref="D131:D194" si="10">IFERROR(100*A131/MAX(A$2:A$257), 0 )</f>
        <v>48.966398936784927</v>
      </c>
      <c r="E131">
        <f t="shared" ref="E131:E194" si="11">IFERROR(100*B131/MAX(B$2:B$257), 0 )</f>
        <v>48.966398936784927</v>
      </c>
      <c r="G131">
        <f t="shared" ref="G131:G194" ca="1" si="12">CELL("row",D131)-2</f>
        <v>129</v>
      </c>
      <c r="H131">
        <f t="shared" ref="H131:H194" ca="1" si="13">D131*G131</f>
        <v>6316.6654628452552</v>
      </c>
      <c r="I131">
        <f t="shared" ref="I131:I194" ca="1" si="14">D131*((G131-$L$1)^2)</f>
        <v>45390.168403798918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53600</v>
      </c>
      <c r="B134" s="66">
        <v>53600</v>
      </c>
      <c r="D134">
        <f t="shared" si="10"/>
        <v>38.714896567664397</v>
      </c>
      <c r="E134">
        <f t="shared" si="11"/>
        <v>38.714896567664397</v>
      </c>
      <c r="G134">
        <f t="shared" ca="1" si="12"/>
        <v>132</v>
      </c>
      <c r="H134">
        <f t="shared" ca="1" si="13"/>
        <v>5110.3663469317007</v>
      </c>
      <c r="I134">
        <f t="shared" ca="1" si="14"/>
        <v>43308.12023587164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46096</v>
      </c>
      <c r="B136" s="66">
        <v>46096</v>
      </c>
      <c r="D136">
        <f t="shared" si="10"/>
        <v>33.294811048191377</v>
      </c>
      <c r="E136">
        <f t="shared" si="11"/>
        <v>33.294811048191377</v>
      </c>
      <c r="G136">
        <f t="shared" ca="1" si="12"/>
        <v>134</v>
      </c>
      <c r="H136">
        <f t="shared" ca="1" si="13"/>
        <v>4461.504680457645</v>
      </c>
      <c r="I136">
        <f t="shared" ca="1" si="14"/>
        <v>41832.490313284994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40266</v>
      </c>
      <c r="B139" s="66">
        <v>40266</v>
      </c>
      <c r="D139">
        <f t="shared" si="10"/>
        <v>29.083843753611465</v>
      </c>
      <c r="E139">
        <f t="shared" si="11"/>
        <v>29.083843753611465</v>
      </c>
      <c r="G139">
        <f t="shared" ca="1" si="12"/>
        <v>137</v>
      </c>
      <c r="H139">
        <f t="shared" ca="1" si="13"/>
        <v>3984.4865942447705</v>
      </c>
      <c r="I139">
        <f t="shared" ca="1" si="14"/>
        <v>42988.927841095057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35633</v>
      </c>
      <c r="B142" s="66">
        <v>35633</v>
      </c>
      <c r="D142">
        <f t="shared" si="10"/>
        <v>25.737460996186293</v>
      </c>
      <c r="E142">
        <f t="shared" si="11"/>
        <v>25.737460996186293</v>
      </c>
      <c r="G142">
        <f t="shared" ca="1" si="12"/>
        <v>140</v>
      </c>
      <c r="H142">
        <f t="shared" ca="1" si="13"/>
        <v>3603.2445394660808</v>
      </c>
      <c r="I142">
        <f t="shared" ca="1" si="14"/>
        <v>44211.29687286893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31459</v>
      </c>
      <c r="B144" s="66">
        <v>31459</v>
      </c>
      <c r="D144">
        <f t="shared" si="10"/>
        <v>22.72261065526407</v>
      </c>
      <c r="E144">
        <f t="shared" si="11"/>
        <v>22.72261065526407</v>
      </c>
      <c r="G144">
        <f t="shared" ca="1" si="12"/>
        <v>142</v>
      </c>
      <c r="H144">
        <f t="shared" ca="1" si="13"/>
        <v>3226.6107130474979</v>
      </c>
      <c r="I144">
        <f t="shared" ca="1" si="14"/>
        <v>42890.392858564388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28753</v>
      </c>
      <c r="B147" s="66">
        <v>28753</v>
      </c>
      <c r="D147">
        <f t="shared" si="10"/>
        <v>20.768086212874149</v>
      </c>
      <c r="E147">
        <f t="shared" si="11"/>
        <v>20.768086212874149</v>
      </c>
      <c r="G147">
        <f t="shared" ca="1" si="12"/>
        <v>145</v>
      </c>
      <c r="H147">
        <f t="shared" ca="1" si="13"/>
        <v>3011.3725008667516</v>
      </c>
      <c r="I147">
        <f t="shared" ca="1" si="14"/>
        <v>44801.770076586203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27241</v>
      </c>
      <c r="B149" s="66">
        <v>27241</v>
      </c>
      <c r="D149">
        <f t="shared" si="10"/>
        <v>19.675979429099733</v>
      </c>
      <c r="E149">
        <f t="shared" si="11"/>
        <v>19.675979429099733</v>
      </c>
      <c r="G149">
        <f t="shared" ca="1" si="12"/>
        <v>147</v>
      </c>
      <c r="H149">
        <f t="shared" ca="1" si="13"/>
        <v>2892.3689760776606</v>
      </c>
      <c r="I149">
        <f t="shared" ca="1" si="14"/>
        <v>46180.027134561373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23741</v>
      </c>
      <c r="B152" s="66">
        <v>23741</v>
      </c>
      <c r="D152">
        <f t="shared" si="10"/>
        <v>17.147954466658963</v>
      </c>
      <c r="E152">
        <f t="shared" si="11"/>
        <v>17.147954466658963</v>
      </c>
      <c r="G152">
        <f t="shared" ca="1" si="12"/>
        <v>150</v>
      </c>
      <c r="H152">
        <f t="shared" ca="1" si="13"/>
        <v>2572.1931699988445</v>
      </c>
      <c r="I152">
        <f t="shared" ca="1" si="14"/>
        <v>45385.529599797454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17240</v>
      </c>
      <c r="B154" s="66">
        <v>17240</v>
      </c>
      <c r="D154">
        <f t="shared" si="10"/>
        <v>12.452328672136831</v>
      </c>
      <c r="E154">
        <f t="shared" si="11"/>
        <v>12.452328672136831</v>
      </c>
      <c r="G154">
        <f t="shared" ca="1" si="12"/>
        <v>152</v>
      </c>
      <c r="H154">
        <f t="shared" ca="1" si="13"/>
        <v>1892.7539581647984</v>
      </c>
      <c r="I154">
        <f t="shared" ca="1" si="14"/>
        <v>35569.911066332934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11540</v>
      </c>
      <c r="B157" s="66">
        <v>11540</v>
      </c>
      <c r="D157">
        <f t="shared" si="10"/>
        <v>8.3352594475904311</v>
      </c>
      <c r="E157">
        <f t="shared" si="11"/>
        <v>8.3352594475904311</v>
      </c>
      <c r="G157">
        <f t="shared" ca="1" si="12"/>
        <v>155</v>
      </c>
      <c r="H157">
        <f t="shared" ca="1" si="13"/>
        <v>1291.9652143765168</v>
      </c>
      <c r="I157">
        <f t="shared" ca="1" si="14"/>
        <v>26557.498140172564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9847</v>
      </c>
      <c r="B160" s="66">
        <v>9847</v>
      </c>
      <c r="D160">
        <f t="shared" si="10"/>
        <v>7.1124176586155095</v>
      </c>
      <c r="E160">
        <f t="shared" si="11"/>
        <v>7.1124176586155095</v>
      </c>
      <c r="G160">
        <f t="shared" ca="1" si="12"/>
        <v>158</v>
      </c>
      <c r="H160">
        <f t="shared" ca="1" si="13"/>
        <v>1123.7619900612506</v>
      </c>
      <c r="I160">
        <f t="shared" ca="1" si="14"/>
        <v>25134.146073844273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8398</v>
      </c>
      <c r="B162" s="66">
        <v>8398</v>
      </c>
      <c r="D162">
        <f t="shared" si="10"/>
        <v>6.0658153241650297</v>
      </c>
      <c r="E162">
        <f t="shared" si="11"/>
        <v>6.0658153241650297</v>
      </c>
      <c r="G162">
        <f t="shared" ca="1" si="12"/>
        <v>160</v>
      </c>
      <c r="H162">
        <f t="shared" ca="1" si="13"/>
        <v>970.53045186640475</v>
      </c>
      <c r="I162">
        <f t="shared" ca="1" si="14"/>
        <v>22902.240636234248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6890</v>
      </c>
      <c r="B165" s="66">
        <v>6890</v>
      </c>
      <c r="D165">
        <f t="shared" si="10"/>
        <v>4.9765977117762628</v>
      </c>
      <c r="E165">
        <f t="shared" si="11"/>
        <v>4.9765977117762628</v>
      </c>
      <c r="G165">
        <f t="shared" ca="1" si="12"/>
        <v>163</v>
      </c>
      <c r="H165">
        <f t="shared" ca="1" si="13"/>
        <v>811.18542701953083</v>
      </c>
      <c r="I165">
        <f t="shared" ca="1" si="14"/>
        <v>20669.308794847566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3886</v>
      </c>
      <c r="B167" s="66">
        <v>3886</v>
      </c>
      <c r="D167">
        <f t="shared" si="10"/>
        <v>2.8068300011556686</v>
      </c>
      <c r="E167">
        <f t="shared" si="11"/>
        <v>2.8068300011556686</v>
      </c>
      <c r="G167">
        <f t="shared" ca="1" si="12"/>
        <v>165</v>
      </c>
      <c r="H167">
        <f t="shared" ca="1" si="13"/>
        <v>463.12695019068531</v>
      </c>
      <c r="I167">
        <f t="shared" ca="1" si="14"/>
        <v>12392.394577594954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2088</v>
      </c>
      <c r="B170" s="66">
        <v>2088</v>
      </c>
      <c r="D170">
        <f t="shared" si="10"/>
        <v>1.5081474633075234</v>
      </c>
      <c r="E170">
        <f t="shared" si="11"/>
        <v>1.5081474633075234</v>
      </c>
      <c r="G170">
        <f t="shared" ca="1" si="12"/>
        <v>168</v>
      </c>
      <c r="H170">
        <f t="shared" ca="1" si="13"/>
        <v>253.36877383566392</v>
      </c>
      <c r="I170">
        <f t="shared" ca="1" si="14"/>
        <v>7273.4365932087121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1820</v>
      </c>
      <c r="B173" s="66">
        <v>1820</v>
      </c>
      <c r="D173">
        <f t="shared" si="10"/>
        <v>1.3145729804692015</v>
      </c>
      <c r="E173">
        <f t="shared" si="11"/>
        <v>1.3145729804692015</v>
      </c>
      <c r="G173">
        <f t="shared" ca="1" si="12"/>
        <v>171</v>
      </c>
      <c r="H173">
        <f t="shared" ca="1" si="13"/>
        <v>224.79197966023344</v>
      </c>
      <c r="I173">
        <f t="shared" ca="1" si="14"/>
        <v>6899.4559291036367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1694</v>
      </c>
      <c r="B175" s="66">
        <v>1694</v>
      </c>
      <c r="D175">
        <f t="shared" si="10"/>
        <v>1.2235640818213336</v>
      </c>
      <c r="E175">
        <f t="shared" si="11"/>
        <v>1.2235640818213336</v>
      </c>
      <c r="G175">
        <f t="shared" ca="1" si="12"/>
        <v>173</v>
      </c>
      <c r="H175">
        <f t="shared" ca="1" si="13"/>
        <v>211.67658615509072</v>
      </c>
      <c r="I175">
        <f t="shared" ca="1" si="14"/>
        <v>6781.2653770005882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2637</v>
      </c>
      <c r="B178" s="66">
        <v>2637</v>
      </c>
      <c r="D178">
        <f t="shared" si="10"/>
        <v>1.9046862359875187</v>
      </c>
      <c r="E178">
        <f t="shared" si="11"/>
        <v>1.9046862359875187</v>
      </c>
      <c r="G178">
        <f t="shared" ca="1" si="12"/>
        <v>176</v>
      </c>
      <c r="H178">
        <f t="shared" ca="1" si="13"/>
        <v>335.22477753380332</v>
      </c>
      <c r="I178">
        <f t="shared" ca="1" si="14"/>
        <v>11424.117521257678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2268</v>
      </c>
      <c r="B180" s="66">
        <v>2268</v>
      </c>
      <c r="D180">
        <f t="shared" si="10"/>
        <v>1.6381601756616202</v>
      </c>
      <c r="E180">
        <f t="shared" si="11"/>
        <v>1.6381601756616202</v>
      </c>
      <c r="G180">
        <f t="shared" ca="1" si="12"/>
        <v>178</v>
      </c>
      <c r="H180">
        <f t="shared" ca="1" si="13"/>
        <v>291.59251126776837</v>
      </c>
      <c r="I180">
        <f t="shared" ca="1" si="14"/>
        <v>10339.550045626207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1867</v>
      </c>
      <c r="B183" s="66">
        <v>1867</v>
      </c>
      <c r="D183">
        <f t="shared" si="10"/>
        <v>1.3485207442505489</v>
      </c>
      <c r="E183">
        <f t="shared" si="11"/>
        <v>1.3485207442505489</v>
      </c>
      <c r="G183">
        <f t="shared" ca="1" si="12"/>
        <v>181</v>
      </c>
      <c r="H183">
        <f t="shared" ca="1" si="13"/>
        <v>244.08225470934934</v>
      </c>
      <c r="I183">
        <f t="shared" ca="1" si="14"/>
        <v>9166.382413127385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1928</v>
      </c>
      <c r="B185" s="66">
        <v>1928</v>
      </c>
      <c r="D185">
        <f t="shared" si="10"/>
        <v>1.3925806078816596</v>
      </c>
      <c r="E185">
        <f t="shared" si="11"/>
        <v>1.3925806078816596</v>
      </c>
      <c r="G185">
        <f t="shared" ca="1" si="12"/>
        <v>183</v>
      </c>
      <c r="H185">
        <f t="shared" ca="1" si="13"/>
        <v>254.84225124234371</v>
      </c>
      <c r="I185">
        <f t="shared" ca="1" si="14"/>
        <v>9930.6949540506957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1945</v>
      </c>
      <c r="B188" s="66">
        <v>1945</v>
      </c>
      <c r="D188">
        <f t="shared" si="10"/>
        <v>1.4048595862706577</v>
      </c>
      <c r="E188">
        <f t="shared" si="11"/>
        <v>1.4048595862706577</v>
      </c>
      <c r="G188">
        <f t="shared" ca="1" si="12"/>
        <v>186</v>
      </c>
      <c r="H188">
        <f t="shared" ca="1" si="13"/>
        <v>261.30388304634232</v>
      </c>
      <c r="I188">
        <f t="shared" ca="1" si="14"/>
        <v>10742.711435882005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3099</v>
      </c>
      <c r="B191" s="66">
        <v>3099</v>
      </c>
      <c r="D191">
        <f t="shared" si="10"/>
        <v>2.2383855310297007</v>
      </c>
      <c r="E191">
        <f t="shared" si="11"/>
        <v>2.2383855310297007</v>
      </c>
      <c r="G191">
        <f t="shared" ca="1" si="12"/>
        <v>189</v>
      </c>
      <c r="H191">
        <f t="shared" ca="1" si="13"/>
        <v>423.05486536461342</v>
      </c>
      <c r="I191">
        <f t="shared" ca="1" si="14"/>
        <v>18311.110228537436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2573</v>
      </c>
      <c r="B193" s="66">
        <v>2573</v>
      </c>
      <c r="D193">
        <f t="shared" si="10"/>
        <v>1.8584594938171732</v>
      </c>
      <c r="E193">
        <f t="shared" si="11"/>
        <v>1.8584594938171732</v>
      </c>
      <c r="G193">
        <f t="shared" ca="1" si="12"/>
        <v>191</v>
      </c>
      <c r="H193">
        <f t="shared" ca="1" si="13"/>
        <v>354.96576331908011</v>
      </c>
      <c r="I193">
        <f t="shared" ca="1" si="14"/>
        <v>15882.921289850601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2672</v>
      </c>
      <c r="B196" s="66">
        <v>2672</v>
      </c>
      <c r="D196">
        <f t="shared" si="15"/>
        <v>1.9299664856119265</v>
      </c>
      <c r="E196">
        <f t="shared" si="16"/>
        <v>1.9299664856119265</v>
      </c>
      <c r="G196">
        <f t="shared" ca="1" si="17"/>
        <v>194</v>
      </c>
      <c r="H196">
        <f t="shared" ca="1" si="18"/>
        <v>374.41349820871375</v>
      </c>
      <c r="I196">
        <f t="shared" ca="1" si="19"/>
        <v>17581.917361741856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1738</v>
      </c>
      <c r="B198" s="66">
        <v>1738</v>
      </c>
      <c r="D198">
        <f t="shared" si="15"/>
        <v>1.2553449670634462</v>
      </c>
      <c r="E198">
        <f t="shared" si="16"/>
        <v>1.2553449670634462</v>
      </c>
      <c r="G198">
        <f t="shared" ca="1" si="17"/>
        <v>196</v>
      </c>
      <c r="H198">
        <f t="shared" ca="1" si="18"/>
        <v>246.04761354443545</v>
      </c>
      <c r="I198">
        <f t="shared" ca="1" si="19"/>
        <v>11920.434911504193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907</v>
      </c>
      <c r="B201" s="66">
        <v>907</v>
      </c>
      <c r="D201">
        <f t="shared" si="15"/>
        <v>0.65511961169536581</v>
      </c>
      <c r="E201">
        <f t="shared" si="16"/>
        <v>0.65511961169536581</v>
      </c>
      <c r="G201">
        <f t="shared" ca="1" si="17"/>
        <v>199</v>
      </c>
      <c r="H201">
        <f t="shared" ca="1" si="18"/>
        <v>130.36880272737778</v>
      </c>
      <c r="I201">
        <f t="shared" ca="1" si="19"/>
        <v>6609.7775920838867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624</v>
      </c>
      <c r="B203" s="66">
        <v>624</v>
      </c>
      <c r="D203">
        <f t="shared" si="15"/>
        <v>0.45071073616086904</v>
      </c>
      <c r="E203">
        <f t="shared" si="16"/>
        <v>0.45071073616086904</v>
      </c>
      <c r="G203">
        <f t="shared" ca="1" si="17"/>
        <v>201</v>
      </c>
      <c r="H203">
        <f t="shared" ca="1" si="18"/>
        <v>90.592857968334684</v>
      </c>
      <c r="I203">
        <f t="shared" ca="1" si="19"/>
        <v>4730.3017869690057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161</v>
      </c>
      <c r="B206" s="66">
        <v>161</v>
      </c>
      <c r="D206">
        <f t="shared" si="15"/>
        <v>0.11628914827227552</v>
      </c>
      <c r="E206">
        <f t="shared" si="16"/>
        <v>0.11628914827227552</v>
      </c>
      <c r="G206">
        <f t="shared" ca="1" si="17"/>
        <v>204</v>
      </c>
      <c r="H206">
        <f t="shared" ca="1" si="18"/>
        <v>23.722986247544206</v>
      </c>
      <c r="I206">
        <f t="shared" ca="1" si="19"/>
        <v>1293.0053336013254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149</v>
      </c>
      <c r="B209" s="66">
        <v>149</v>
      </c>
      <c r="D209">
        <f t="shared" si="15"/>
        <v>0.10762163411533572</v>
      </c>
      <c r="E209">
        <f t="shared" si="16"/>
        <v>0.10762163411533572</v>
      </c>
      <c r="G209">
        <f t="shared" ca="1" si="17"/>
        <v>207</v>
      </c>
      <c r="H209">
        <f t="shared" ca="1" si="18"/>
        <v>22.277678261874495</v>
      </c>
      <c r="I209">
        <f t="shared" ca="1" si="19"/>
        <v>1265.6905560552029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50</v>
      </c>
      <c r="B211" s="66">
        <v>50</v>
      </c>
      <c r="D211">
        <f t="shared" si="15"/>
        <v>3.6114642320582459E-2</v>
      </c>
      <c r="E211">
        <f t="shared" si="16"/>
        <v>3.6114642320582459E-2</v>
      </c>
      <c r="G211">
        <f t="shared" ca="1" si="17"/>
        <v>209</v>
      </c>
      <c r="H211">
        <f t="shared" ca="1" si="18"/>
        <v>7.5479602450017342</v>
      </c>
      <c r="I211">
        <f t="shared" ca="1" si="19"/>
        <v>440.5388029958317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50</v>
      </c>
      <c r="B214" s="66">
        <v>50</v>
      </c>
      <c r="D214">
        <f t="shared" si="15"/>
        <v>3.6114642320582459E-2</v>
      </c>
      <c r="E214">
        <f t="shared" si="16"/>
        <v>3.6114642320582459E-2</v>
      </c>
      <c r="G214">
        <f t="shared" ca="1" si="17"/>
        <v>212</v>
      </c>
      <c r="H214">
        <f t="shared" ca="1" si="18"/>
        <v>7.6563041719634812</v>
      </c>
      <c r="I214">
        <f t="shared" ca="1" si="19"/>
        <v>464.7961653516349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351</v>
      </c>
      <c r="B1" s="68" t="s">
        <v>352</v>
      </c>
      <c r="C1" s="32" t="s">
        <v>353</v>
      </c>
      <c r="D1" s="32" t="s">
        <v>354</v>
      </c>
      <c r="E1" s="32" t="s">
        <v>355</v>
      </c>
    </row>
    <row r="2" spans="1:5">
      <c r="A2" s="68">
        <v>0.24210799999999999</v>
      </c>
      <c r="B2" s="68">
        <v>0.50423099999999998</v>
      </c>
      <c r="C2" s="68">
        <v>0</v>
      </c>
      <c r="D2" s="68">
        <v>1</v>
      </c>
      <c r="E2" s="68" t="s">
        <v>356</v>
      </c>
    </row>
    <row r="3" spans="1:5">
      <c r="A3" s="68">
        <v>0.25201000000000001</v>
      </c>
      <c r="B3" s="68">
        <v>0.49249999999999999</v>
      </c>
      <c r="C3" s="68">
        <v>0.401835</v>
      </c>
      <c r="D3" s="89">
        <v>1</v>
      </c>
      <c r="E3" s="68" t="s">
        <v>357</v>
      </c>
    </row>
    <row r="4" spans="1:5">
      <c r="A4" s="68">
        <v>0.26155600000000001</v>
      </c>
      <c r="B4" s="68">
        <v>0.48305799999999999</v>
      </c>
      <c r="C4" s="68">
        <v>0.80713999999999997</v>
      </c>
      <c r="D4" s="89">
        <v>1</v>
      </c>
      <c r="E4" s="68" t="s">
        <v>358</v>
      </c>
    </row>
    <row r="5" spans="1:5">
      <c r="A5" s="89">
        <v>0.270397</v>
      </c>
      <c r="B5" s="89">
        <v>0.47352</v>
      </c>
      <c r="C5" s="89">
        <v>1.21139</v>
      </c>
      <c r="D5" s="89">
        <v>1</v>
      </c>
      <c r="E5" s="68" t="s">
        <v>359</v>
      </c>
    </row>
    <row r="6" spans="1:5">
      <c r="A6" s="68">
        <v>0.27926699999999999</v>
      </c>
      <c r="B6" s="68">
        <v>0.46357900000000002</v>
      </c>
      <c r="C6" s="68">
        <v>1.6203799999999999</v>
      </c>
      <c r="D6" s="68">
        <v>1</v>
      </c>
      <c r="E6" s="68" t="s">
        <v>360</v>
      </c>
    </row>
    <row r="7" spans="1:5">
      <c r="A7" s="68">
        <v>0.28790300000000002</v>
      </c>
      <c r="B7" s="68">
        <v>0.452542</v>
      </c>
      <c r="C7" s="68">
        <v>2.0281099999999999</v>
      </c>
      <c r="D7" s="68">
        <v>1</v>
      </c>
      <c r="E7" s="68" t="s">
        <v>361</v>
      </c>
    </row>
    <row r="8" spans="1:5">
      <c r="A8" s="68">
        <v>0.29650199999999999</v>
      </c>
      <c r="B8" s="68">
        <v>0.44048599999999999</v>
      </c>
      <c r="C8" s="68">
        <v>2.4335</v>
      </c>
      <c r="D8" s="68">
        <v>1</v>
      </c>
      <c r="E8" s="68" t="s">
        <v>362</v>
      </c>
    </row>
    <row r="9" spans="1:5">
      <c r="A9" s="68">
        <v>0.30518600000000001</v>
      </c>
      <c r="B9" s="68">
        <v>0.42879200000000001</v>
      </c>
      <c r="C9" s="68">
        <v>2.8397000000000001</v>
      </c>
      <c r="D9" s="68">
        <v>1</v>
      </c>
      <c r="E9" s="68" t="s">
        <v>363</v>
      </c>
    </row>
    <row r="10" spans="1:5">
      <c r="A10" s="68">
        <v>0.31390699999999999</v>
      </c>
      <c r="B10" s="68">
        <v>0.41768300000000003</v>
      </c>
      <c r="C10" s="68">
        <v>3.2453599999999998</v>
      </c>
      <c r="D10" s="68">
        <v>1</v>
      </c>
      <c r="E10" s="68" t="s">
        <v>364</v>
      </c>
    </row>
    <row r="11" spans="1:5">
      <c r="A11" s="68">
        <v>0.32272499999999998</v>
      </c>
      <c r="B11" s="68">
        <v>0.40760200000000002</v>
      </c>
      <c r="C11" s="68">
        <v>3.65211</v>
      </c>
      <c r="D11" s="68">
        <v>1</v>
      </c>
      <c r="E11" s="68" t="s">
        <v>365</v>
      </c>
    </row>
    <row r="12" spans="1:5">
      <c r="A12" s="68">
        <v>0.33145400000000003</v>
      </c>
      <c r="B12" s="68">
        <v>0.39915400000000001</v>
      </c>
      <c r="C12" s="68">
        <v>4.0586599999999997</v>
      </c>
      <c r="D12" s="68">
        <v>1</v>
      </c>
      <c r="E12" s="68" t="s">
        <v>366</v>
      </c>
    </row>
    <row r="13" spans="1:5">
      <c r="A13" s="68">
        <v>0.34000999999999998</v>
      </c>
      <c r="B13" s="68">
        <v>0.39162799999999998</v>
      </c>
      <c r="C13" s="68">
        <v>4.4659899999999997</v>
      </c>
      <c r="D13" s="68">
        <v>1</v>
      </c>
      <c r="E13" s="68" t="s">
        <v>367</v>
      </c>
    </row>
    <row r="14" spans="1:5">
      <c r="A14" s="68">
        <v>0.34847400000000001</v>
      </c>
      <c r="B14" s="68">
        <v>0.38589600000000002</v>
      </c>
      <c r="C14" s="68">
        <v>4.8683500000000004</v>
      </c>
      <c r="D14" s="68">
        <v>1</v>
      </c>
      <c r="E14" s="68" t="s">
        <v>368</v>
      </c>
    </row>
    <row r="15" spans="1:5">
      <c r="A15" s="68">
        <v>0.35672300000000001</v>
      </c>
      <c r="B15" s="68">
        <v>0.38172200000000001</v>
      </c>
      <c r="C15" s="68">
        <v>5.2759200000000002</v>
      </c>
      <c r="D15" s="68">
        <v>1</v>
      </c>
      <c r="E15" s="68" t="s">
        <v>369</v>
      </c>
    </row>
    <row r="16" spans="1:5">
      <c r="A16" s="68">
        <v>0.36494500000000002</v>
      </c>
      <c r="B16" s="68">
        <v>0.37798199999999998</v>
      </c>
      <c r="C16" s="68">
        <v>5.6814799999999996</v>
      </c>
      <c r="D16" s="68">
        <v>1</v>
      </c>
      <c r="E16" s="68" t="s">
        <v>370</v>
      </c>
    </row>
    <row r="17" spans="1:5">
      <c r="A17" s="68">
        <v>0.37295299999999998</v>
      </c>
      <c r="B17" s="68">
        <v>0.37533300000000003</v>
      </c>
      <c r="C17" s="68">
        <v>6.0917700000000004</v>
      </c>
      <c r="D17" s="68">
        <v>1</v>
      </c>
      <c r="E17" s="68" t="s">
        <v>371</v>
      </c>
    </row>
    <row r="18" spans="1:5">
      <c r="A18" s="68">
        <v>0.38040000000000002</v>
      </c>
      <c r="B18" s="68">
        <v>0.37509999999999999</v>
      </c>
      <c r="C18" s="68">
        <v>6.4970600000000003</v>
      </c>
      <c r="D18" s="68">
        <v>1</v>
      </c>
      <c r="E18" s="68" t="s">
        <v>372</v>
      </c>
    </row>
    <row r="19" spans="1:5">
      <c r="A19" s="68">
        <v>0.38729799999999998</v>
      </c>
      <c r="B19" s="68">
        <v>0.37543900000000002</v>
      </c>
      <c r="C19" s="68">
        <v>6.9047799999999997</v>
      </c>
      <c r="D19" s="68">
        <v>1</v>
      </c>
      <c r="E19" s="68" t="s">
        <v>373</v>
      </c>
    </row>
    <row r="20" spans="1:5">
      <c r="A20" s="68">
        <v>0.39380799999999999</v>
      </c>
      <c r="B20" s="68">
        <v>0.37623800000000002</v>
      </c>
      <c r="C20" s="68">
        <v>7.3063200000000004</v>
      </c>
      <c r="D20" s="68">
        <v>1</v>
      </c>
      <c r="E20" s="68" t="s">
        <v>374</v>
      </c>
    </row>
    <row r="21" spans="1:5">
      <c r="A21" s="68">
        <v>0.399787</v>
      </c>
      <c r="B21" s="68">
        <v>0.37783899999999998</v>
      </c>
      <c r="C21" s="68">
        <v>7.7128399999999999</v>
      </c>
      <c r="D21" s="68">
        <v>1</v>
      </c>
      <c r="E21" s="68" t="s">
        <v>375</v>
      </c>
    </row>
    <row r="22" spans="1:5">
      <c r="A22" s="68">
        <v>0.40521200000000002</v>
      </c>
      <c r="B22" s="68">
        <v>0.37967299999999998</v>
      </c>
      <c r="C22" s="68">
        <v>8.1222100000000008</v>
      </c>
      <c r="D22" s="68">
        <v>1</v>
      </c>
      <c r="E22" s="68" t="s">
        <v>376</v>
      </c>
    </row>
    <row r="23" spans="1:5">
      <c r="A23" s="68">
        <v>0.41008499999999998</v>
      </c>
      <c r="B23" s="68">
        <v>0.38281599999999999</v>
      </c>
      <c r="C23" s="68">
        <v>8.5308899999999994</v>
      </c>
      <c r="D23" s="68">
        <v>1</v>
      </c>
      <c r="E23" s="68" t="s">
        <v>377</v>
      </c>
    </row>
    <row r="24" spans="1:5">
      <c r="A24" s="68">
        <v>0.41477700000000001</v>
      </c>
      <c r="B24" s="68">
        <v>0.38530399999999998</v>
      </c>
      <c r="C24" s="68">
        <v>8.9328299999999992</v>
      </c>
      <c r="D24" s="68">
        <v>1</v>
      </c>
      <c r="E24" s="68" t="s">
        <v>378</v>
      </c>
    </row>
    <row r="25" spans="1:5">
      <c r="A25" s="68">
        <v>0.41885299999999998</v>
      </c>
      <c r="B25" s="68">
        <v>0.387237</v>
      </c>
      <c r="C25" s="68">
        <v>9.3407499999999999</v>
      </c>
      <c r="D25" s="68">
        <v>1</v>
      </c>
      <c r="E25" s="68" t="s">
        <v>379</v>
      </c>
    </row>
    <row r="26" spans="1:5">
      <c r="A26" s="68">
        <v>0.42259600000000003</v>
      </c>
      <c r="B26" s="68">
        <v>0.38799699999999998</v>
      </c>
      <c r="C26" s="68">
        <v>9.7481100000000005</v>
      </c>
      <c r="D26" s="68">
        <v>1</v>
      </c>
      <c r="E26" s="68" t="s">
        <v>380</v>
      </c>
    </row>
    <row r="27" spans="1:5">
      <c r="A27" s="68">
        <v>0.425786</v>
      </c>
      <c r="B27" s="68">
        <v>0.38787199999999999</v>
      </c>
      <c r="C27" s="68">
        <v>10.151400000000001</v>
      </c>
      <c r="D27" s="68">
        <v>1</v>
      </c>
      <c r="E27" s="68" t="s">
        <v>381</v>
      </c>
    </row>
    <row r="28" spans="1:5">
      <c r="A28" s="68">
        <v>0.428676</v>
      </c>
      <c r="B28" s="68">
        <v>0.38825900000000002</v>
      </c>
      <c r="C28" s="68">
        <v>10.5587</v>
      </c>
      <c r="D28" s="68">
        <v>1</v>
      </c>
      <c r="E28" s="68" t="s">
        <v>382</v>
      </c>
    </row>
    <row r="29" spans="1:5">
      <c r="A29" s="68">
        <v>0.43118400000000001</v>
      </c>
      <c r="B29" s="68">
        <v>0.38913700000000001</v>
      </c>
      <c r="C29" s="68">
        <v>10.964399999999999</v>
      </c>
      <c r="D29" s="68">
        <v>1</v>
      </c>
      <c r="E29" s="68" t="s">
        <v>383</v>
      </c>
    </row>
    <row r="30" spans="1:5">
      <c r="A30" s="68">
        <v>0.43340499999999998</v>
      </c>
      <c r="B30" s="68">
        <v>0.38966800000000001</v>
      </c>
      <c r="C30" s="68">
        <v>11.373100000000001</v>
      </c>
      <c r="D30" s="68">
        <v>1</v>
      </c>
      <c r="E30" s="68" t="s">
        <v>384</v>
      </c>
    </row>
    <row r="31" spans="1:5">
      <c r="A31" s="68">
        <v>0.43499900000000002</v>
      </c>
      <c r="B31" s="68">
        <v>0.389268</v>
      </c>
      <c r="C31" s="68">
        <v>11.777900000000001</v>
      </c>
      <c r="D31" s="68">
        <v>1</v>
      </c>
      <c r="E31" s="68" t="s">
        <v>385</v>
      </c>
    </row>
    <row r="32" spans="1:5">
      <c r="A32" s="68">
        <v>0.43580999999999998</v>
      </c>
      <c r="B32" s="68">
        <v>0.38904899999999998</v>
      </c>
      <c r="C32" s="68">
        <v>12.1836</v>
      </c>
      <c r="D32" s="68">
        <v>1</v>
      </c>
      <c r="E32" s="68" t="s">
        <v>386</v>
      </c>
    </row>
    <row r="33" spans="1:5">
      <c r="A33" s="68">
        <v>0.43578099999999997</v>
      </c>
      <c r="B33" s="68">
        <v>0.38845400000000002</v>
      </c>
      <c r="C33" s="68">
        <v>12.588200000000001</v>
      </c>
      <c r="D33" s="68">
        <v>1</v>
      </c>
      <c r="E33" s="68" t="s">
        <v>387</v>
      </c>
    </row>
    <row r="34" spans="1:5">
      <c r="A34" s="68">
        <v>0.43541800000000003</v>
      </c>
      <c r="B34" s="68">
        <v>0.387575</v>
      </c>
      <c r="C34" s="68">
        <v>12.9985</v>
      </c>
      <c r="D34" s="68">
        <v>1</v>
      </c>
      <c r="E34" s="68" t="s">
        <v>388</v>
      </c>
    </row>
    <row r="35" spans="1:5">
      <c r="A35" s="68">
        <v>0.43488500000000002</v>
      </c>
      <c r="B35" s="68">
        <v>0.38744200000000001</v>
      </c>
      <c r="C35" s="68">
        <v>13.4026</v>
      </c>
      <c r="D35" s="68">
        <v>1</v>
      </c>
      <c r="E35" s="68" t="s">
        <v>389</v>
      </c>
    </row>
    <row r="36" spans="1:5">
      <c r="A36" s="68">
        <v>0.43413099999999999</v>
      </c>
      <c r="B36" s="68">
        <v>0.38704100000000002</v>
      </c>
      <c r="C36" s="68">
        <v>13.8096</v>
      </c>
      <c r="D36" s="68">
        <v>1</v>
      </c>
      <c r="E36" s="68" t="s">
        <v>390</v>
      </c>
    </row>
    <row r="37" spans="1:5">
      <c r="A37" s="68">
        <v>0.43304199999999998</v>
      </c>
      <c r="B37" s="68">
        <v>0.38695200000000002</v>
      </c>
      <c r="C37" s="68">
        <v>14.2142</v>
      </c>
      <c r="D37" s="68">
        <v>1</v>
      </c>
      <c r="E37" s="68" t="s">
        <v>391</v>
      </c>
    </row>
    <row r="38" spans="1:5">
      <c r="A38" s="68">
        <v>0.43209700000000001</v>
      </c>
      <c r="B38" s="68">
        <v>0.387127</v>
      </c>
      <c r="C38" s="68">
        <v>14.618600000000001</v>
      </c>
      <c r="D38" s="68">
        <v>1</v>
      </c>
      <c r="E38" s="68" t="s">
        <v>392</v>
      </c>
    </row>
    <row r="39" spans="1:5">
      <c r="A39" s="68">
        <v>0.43128899999999998</v>
      </c>
      <c r="B39" s="68">
        <v>0.38738600000000001</v>
      </c>
      <c r="C39" s="68">
        <v>15.0236</v>
      </c>
      <c r="D39" s="68">
        <v>1</v>
      </c>
      <c r="E39" s="68" t="s">
        <v>393</v>
      </c>
    </row>
    <row r="40" spans="1:5">
      <c r="A40" s="68">
        <v>0.43056100000000003</v>
      </c>
      <c r="B40" s="68">
        <v>0.388239</v>
      </c>
      <c r="C40" s="68">
        <v>15.435</v>
      </c>
      <c r="D40" s="68">
        <v>1</v>
      </c>
      <c r="E40" s="68" t="s">
        <v>394</v>
      </c>
    </row>
    <row r="41" spans="1:5">
      <c r="A41" s="68">
        <v>0.42971100000000001</v>
      </c>
      <c r="B41" s="68">
        <v>0.38989299999999999</v>
      </c>
      <c r="C41" s="68">
        <v>15.839499999999999</v>
      </c>
      <c r="D41" s="68">
        <v>1</v>
      </c>
      <c r="E41" s="68" t="s">
        <v>395</v>
      </c>
    </row>
    <row r="42" spans="1:5">
      <c r="A42" s="68">
        <v>0.42890699999999998</v>
      </c>
      <c r="B42" s="68">
        <v>0.39220300000000002</v>
      </c>
      <c r="C42" s="68">
        <v>16.2453</v>
      </c>
      <c r="D42" s="68">
        <v>1</v>
      </c>
      <c r="E42" s="68" t="s">
        <v>396</v>
      </c>
    </row>
    <row r="43" spans="1:5">
      <c r="A43" s="68">
        <v>0.42819000000000002</v>
      </c>
      <c r="B43" s="68">
        <v>0.39407199999999998</v>
      </c>
      <c r="C43" s="68">
        <v>16.649100000000001</v>
      </c>
      <c r="D43" s="68">
        <v>1</v>
      </c>
      <c r="E43" s="68" t="s">
        <v>397</v>
      </c>
    </row>
    <row r="44" spans="1:5">
      <c r="A44" s="68">
        <v>0.42764799999999997</v>
      </c>
      <c r="B44" s="68">
        <v>0.39660000000000001</v>
      </c>
      <c r="C44" s="68">
        <v>17.054200000000002</v>
      </c>
      <c r="D44" s="68">
        <v>1</v>
      </c>
      <c r="E44" s="68" t="s">
        <v>398</v>
      </c>
    </row>
    <row r="45" spans="1:5">
      <c r="A45" s="68">
        <v>0.42698999999999998</v>
      </c>
      <c r="B45" s="68">
        <v>0.40054299999999998</v>
      </c>
      <c r="C45" s="68">
        <v>17.464400000000001</v>
      </c>
      <c r="D45" s="68">
        <v>1</v>
      </c>
      <c r="E45" s="68" t="s">
        <v>399</v>
      </c>
    </row>
    <row r="46" spans="1:5">
      <c r="A46" s="68">
        <v>0.42620000000000002</v>
      </c>
      <c r="B46" s="68">
        <v>0.405088</v>
      </c>
      <c r="C46" s="68">
        <v>17.8703</v>
      </c>
      <c r="D46" s="68">
        <v>1</v>
      </c>
      <c r="E46" s="68" t="s">
        <v>400</v>
      </c>
    </row>
    <row r="47" spans="1:5">
      <c r="A47" s="68">
        <v>0.425342</v>
      </c>
      <c r="B47" s="68">
        <v>0.41009699999999999</v>
      </c>
      <c r="C47" s="68">
        <v>18.279900000000001</v>
      </c>
      <c r="D47" s="68">
        <v>1</v>
      </c>
      <c r="E47" s="68" t="s">
        <v>401</v>
      </c>
    </row>
    <row r="48" spans="1:5">
      <c r="A48" s="68">
        <v>0.42463499999999998</v>
      </c>
      <c r="B48" s="68">
        <v>0.41476499999999999</v>
      </c>
      <c r="C48" s="68">
        <v>18.680700000000002</v>
      </c>
      <c r="D48" s="68">
        <v>1</v>
      </c>
      <c r="E48" s="68" t="s">
        <v>402</v>
      </c>
    </row>
    <row r="49" spans="1:5">
      <c r="A49" s="68">
        <v>0.42349100000000001</v>
      </c>
      <c r="B49" s="68">
        <v>0.420097</v>
      </c>
      <c r="C49" s="68">
        <v>19.088999999999999</v>
      </c>
      <c r="D49" s="68">
        <v>1</v>
      </c>
      <c r="E49" s="68" t="s">
        <v>403</v>
      </c>
    </row>
    <row r="50" spans="1:5">
      <c r="A50" s="68">
        <v>0.42235200000000001</v>
      </c>
      <c r="B50" s="68">
        <v>0.42575499999999999</v>
      </c>
      <c r="C50" s="68">
        <v>19.495799999999999</v>
      </c>
      <c r="D50" s="68">
        <v>1</v>
      </c>
      <c r="E50" s="68" t="s">
        <v>404</v>
      </c>
    </row>
    <row r="51" spans="1:5">
      <c r="A51" s="68">
        <v>0.42115799999999998</v>
      </c>
      <c r="B51" s="68">
        <v>0.43285000000000001</v>
      </c>
      <c r="C51" s="68">
        <v>19.904900000000001</v>
      </c>
      <c r="D51" s="68">
        <v>1</v>
      </c>
      <c r="E51" s="68" t="s">
        <v>405</v>
      </c>
    </row>
    <row r="52" spans="1:5">
      <c r="A52" s="68">
        <v>0.42027999999999999</v>
      </c>
      <c r="B52" s="68">
        <v>0.43824299999999999</v>
      </c>
      <c r="C52" s="68">
        <v>20.306000000000001</v>
      </c>
      <c r="D52" s="68">
        <v>1</v>
      </c>
      <c r="E52" s="68" t="s">
        <v>406</v>
      </c>
    </row>
    <row r="53" spans="1:5">
      <c r="A53" s="68">
        <v>0.41950700000000002</v>
      </c>
      <c r="B53" s="68">
        <v>0.44631700000000002</v>
      </c>
      <c r="C53" s="68">
        <v>20.712800000000001</v>
      </c>
      <c r="D53" s="68">
        <v>1</v>
      </c>
      <c r="E53" s="68" t="s">
        <v>407</v>
      </c>
    </row>
    <row r="54" spans="1:5">
      <c r="A54" s="68">
        <v>0.41906500000000002</v>
      </c>
      <c r="B54" s="68">
        <v>0.45445999999999998</v>
      </c>
      <c r="C54" s="68">
        <v>21.118300000000001</v>
      </c>
      <c r="D54" s="68">
        <v>1</v>
      </c>
      <c r="E54" s="68" t="s">
        <v>408</v>
      </c>
    </row>
    <row r="55" spans="1:5">
      <c r="A55" s="68">
        <v>0.41876600000000003</v>
      </c>
      <c r="B55" s="68">
        <v>0.46293000000000001</v>
      </c>
      <c r="C55" s="68">
        <v>21.527000000000001</v>
      </c>
      <c r="D55" s="68">
        <v>1</v>
      </c>
      <c r="E55" s="68" t="s">
        <v>409</v>
      </c>
    </row>
    <row r="56" spans="1:5">
      <c r="A56" s="68">
        <v>0.41866599999999998</v>
      </c>
      <c r="B56" s="68">
        <v>0.47188200000000002</v>
      </c>
      <c r="C56" s="68">
        <v>21.9313</v>
      </c>
      <c r="D56" s="68">
        <v>1</v>
      </c>
      <c r="E56" s="68" t="s">
        <v>410</v>
      </c>
    </row>
    <row r="57" spans="1:5">
      <c r="A57" s="68">
        <v>0.41885099999999997</v>
      </c>
      <c r="B57" s="68">
        <v>0.48042099999999999</v>
      </c>
      <c r="C57" s="68">
        <v>22.338999999999999</v>
      </c>
      <c r="D57" s="68">
        <v>1</v>
      </c>
      <c r="E57" s="68" t="s">
        <v>411</v>
      </c>
    </row>
    <row r="58" spans="1:5">
      <c r="A58" s="68">
        <v>0.41863800000000001</v>
      </c>
      <c r="B58" s="68">
        <v>0.48998599999999998</v>
      </c>
      <c r="C58" s="68">
        <v>22.745699999999999</v>
      </c>
      <c r="D58" s="68">
        <v>1</v>
      </c>
      <c r="E58" s="68" t="s">
        <v>412</v>
      </c>
    </row>
    <row r="59" spans="1:5">
      <c r="A59" s="68">
        <v>0.41830200000000001</v>
      </c>
      <c r="B59" s="68">
        <v>0.49706099999999998</v>
      </c>
      <c r="C59" s="68">
        <v>23.151199999999999</v>
      </c>
      <c r="D59" s="68">
        <v>1</v>
      </c>
      <c r="E59" s="68" t="s">
        <v>413</v>
      </c>
    </row>
    <row r="60" spans="1:5">
      <c r="A60" s="68">
        <v>0.41780600000000001</v>
      </c>
      <c r="B60" s="68">
        <v>0.503413</v>
      </c>
      <c r="C60" s="68">
        <v>23.561599999999999</v>
      </c>
      <c r="D60" s="68">
        <v>1</v>
      </c>
      <c r="E60" s="68" t="s">
        <v>414</v>
      </c>
    </row>
    <row r="61" spans="1:5">
      <c r="A61" s="68">
        <v>0.417161</v>
      </c>
      <c r="B61" s="68">
        <v>0.50972399999999995</v>
      </c>
      <c r="C61" s="68">
        <v>23.965699999999998</v>
      </c>
      <c r="D61" s="68">
        <v>1</v>
      </c>
      <c r="E61" s="68" t="s">
        <v>415</v>
      </c>
    </row>
    <row r="62" spans="1:5">
      <c r="A62" s="68">
        <v>0.41675800000000002</v>
      </c>
      <c r="B62" s="68">
        <v>0.51516899999999999</v>
      </c>
      <c r="C62" s="68">
        <v>24.369199999999999</v>
      </c>
      <c r="D62" s="68">
        <v>1</v>
      </c>
      <c r="E62" s="68" t="s">
        <v>416</v>
      </c>
    </row>
    <row r="63" spans="1:5">
      <c r="A63" s="68">
        <v>0.41601300000000002</v>
      </c>
      <c r="B63" s="68">
        <v>0.52014099999999996</v>
      </c>
      <c r="C63" s="68">
        <v>24.775700000000001</v>
      </c>
      <c r="D63" s="68">
        <v>1</v>
      </c>
      <c r="E63" s="68" t="s">
        <v>417</v>
      </c>
    </row>
    <row r="64" spans="1:5">
      <c r="A64" s="68">
        <v>0.41547200000000001</v>
      </c>
      <c r="B64" s="68">
        <v>0.52523699999999995</v>
      </c>
      <c r="C64" s="68">
        <v>25.182099999999998</v>
      </c>
      <c r="D64" s="68">
        <v>1</v>
      </c>
      <c r="E64" s="68" t="s">
        <v>418</v>
      </c>
    </row>
    <row r="65" spans="1:5">
      <c r="A65" s="68">
        <v>0.41357699999999997</v>
      </c>
      <c r="B65" s="68">
        <v>0.52974900000000003</v>
      </c>
      <c r="C65" s="68">
        <v>25.588200000000001</v>
      </c>
      <c r="D65" s="68">
        <v>1</v>
      </c>
      <c r="E65" s="68" t="s">
        <v>419</v>
      </c>
    </row>
    <row r="66" spans="1:5">
      <c r="A66" s="68">
        <v>0.412385</v>
      </c>
      <c r="B66" s="68">
        <v>0.53437000000000001</v>
      </c>
      <c r="C66" s="68">
        <v>25.993500000000001</v>
      </c>
      <c r="D66" s="68">
        <v>1</v>
      </c>
      <c r="E66" s="68" t="s">
        <v>420</v>
      </c>
    </row>
    <row r="67" spans="1:5">
      <c r="A67" s="68">
        <v>0.41028599999999998</v>
      </c>
      <c r="B67" s="68">
        <v>0.538493</v>
      </c>
      <c r="C67" s="68">
        <v>26.401</v>
      </c>
      <c r="D67" s="68">
        <v>1</v>
      </c>
      <c r="E67" s="68" t="s">
        <v>421</v>
      </c>
    </row>
    <row r="68" spans="1:5">
      <c r="A68" s="68">
        <v>0.40802300000000002</v>
      </c>
      <c r="B68" s="68">
        <v>0.54241600000000001</v>
      </c>
      <c r="C68" s="68">
        <v>26.804200000000002</v>
      </c>
      <c r="D68" s="68">
        <v>1</v>
      </c>
      <c r="E68" s="68" t="s">
        <v>422</v>
      </c>
    </row>
    <row r="69" spans="1:5">
      <c r="A69" s="68">
        <v>0.405443</v>
      </c>
      <c r="B69" s="68">
        <v>0.54624600000000001</v>
      </c>
      <c r="C69" s="68">
        <v>27.213999999999999</v>
      </c>
      <c r="D69" s="68">
        <v>1</v>
      </c>
      <c r="E69" s="68" t="s">
        <v>423</v>
      </c>
    </row>
    <row r="70" spans="1:5">
      <c r="A70" s="68">
        <v>0.401922</v>
      </c>
      <c r="B70" s="68">
        <v>0.54783199999999999</v>
      </c>
      <c r="C70" s="68">
        <v>27.623699999999999</v>
      </c>
      <c r="D70" s="68">
        <v>1</v>
      </c>
      <c r="E70" s="68" t="s">
        <v>424</v>
      </c>
    </row>
    <row r="71" spans="1:5">
      <c r="A71" s="68">
        <v>0.39917900000000001</v>
      </c>
      <c r="B71" s="68">
        <v>0.548786</v>
      </c>
      <c r="C71" s="68">
        <v>28.026199999999999</v>
      </c>
      <c r="D71" s="68">
        <v>1</v>
      </c>
      <c r="E71" s="68" t="s">
        <v>425</v>
      </c>
    </row>
    <row r="72" spans="1:5">
      <c r="A72" s="68">
        <v>0.39734399999999997</v>
      </c>
      <c r="B72" s="68">
        <v>0.54980300000000004</v>
      </c>
      <c r="C72" s="68">
        <v>28.431999999999999</v>
      </c>
      <c r="D72" s="68">
        <v>1</v>
      </c>
      <c r="E72" s="68" t="s">
        <v>426</v>
      </c>
    </row>
    <row r="73" spans="1:5">
      <c r="A73" s="68">
        <v>0.39385300000000001</v>
      </c>
      <c r="B73" s="68">
        <v>0.54897600000000002</v>
      </c>
      <c r="C73" s="68">
        <v>28.840800000000002</v>
      </c>
      <c r="D73" s="68">
        <v>1</v>
      </c>
      <c r="E73" s="68" t="s">
        <v>427</v>
      </c>
    </row>
    <row r="74" spans="1:5">
      <c r="A74" s="68">
        <v>0.39138400000000001</v>
      </c>
      <c r="B74" s="68">
        <v>0.54845500000000003</v>
      </c>
      <c r="C74" s="68">
        <v>29.2485</v>
      </c>
      <c r="D74" s="68">
        <v>1</v>
      </c>
      <c r="E74" s="68" t="s">
        <v>428</v>
      </c>
    </row>
    <row r="75" spans="1:5">
      <c r="A75" s="68">
        <v>0.38980999999999999</v>
      </c>
      <c r="B75" s="68">
        <v>0.548045</v>
      </c>
      <c r="C75" s="68">
        <v>29.652899999999999</v>
      </c>
      <c r="D75" s="68">
        <v>1</v>
      </c>
      <c r="E75" s="68" t="s">
        <v>429</v>
      </c>
    </row>
    <row r="76" spans="1:5">
      <c r="A76" s="68">
        <v>0.38706800000000002</v>
      </c>
      <c r="B76" s="68">
        <v>0.54631399999999997</v>
      </c>
      <c r="C76" s="68">
        <v>30.055499999999999</v>
      </c>
      <c r="D76" s="68">
        <v>2</v>
      </c>
      <c r="E76" s="68" t="s">
        <v>430</v>
      </c>
    </row>
    <row r="77" spans="1:5">
      <c r="A77" s="68">
        <v>0.38339099999999998</v>
      </c>
      <c r="B77" s="68">
        <v>0.544879</v>
      </c>
      <c r="C77" s="68">
        <v>30.570900000000002</v>
      </c>
      <c r="D77" s="68">
        <v>2</v>
      </c>
      <c r="E77" s="68" t="s">
        <v>431</v>
      </c>
    </row>
    <row r="78" spans="1:5">
      <c r="A78" s="68">
        <v>0.38010699999999997</v>
      </c>
      <c r="B78" s="68">
        <v>0.54414899999999999</v>
      </c>
      <c r="C78" s="68">
        <v>30.947199999999999</v>
      </c>
      <c r="D78" s="68">
        <v>2</v>
      </c>
      <c r="E78" s="68" t="s">
        <v>432</v>
      </c>
    </row>
    <row r="79" spans="1:5">
      <c r="A79" s="68">
        <v>0.37654300000000002</v>
      </c>
      <c r="B79" s="68">
        <v>0.54340999999999995</v>
      </c>
      <c r="C79" s="68">
        <v>31.340299999999999</v>
      </c>
      <c r="D79" s="68">
        <v>2</v>
      </c>
      <c r="E79" s="68" t="s">
        <v>433</v>
      </c>
    </row>
    <row r="80" spans="1:5">
      <c r="A80" s="68">
        <v>0.37265100000000001</v>
      </c>
      <c r="B80" s="68">
        <v>0.54306600000000005</v>
      </c>
      <c r="C80" s="68">
        <v>31.744499999999999</v>
      </c>
      <c r="D80" s="68">
        <v>2</v>
      </c>
      <c r="E80" s="68" t="s">
        <v>434</v>
      </c>
    </row>
    <row r="81" spans="1:5">
      <c r="A81" s="68">
        <v>0.368724</v>
      </c>
      <c r="B81" s="68">
        <v>0.54347299999999998</v>
      </c>
      <c r="C81" s="68">
        <v>32.133800000000001</v>
      </c>
      <c r="D81" s="68">
        <v>2</v>
      </c>
      <c r="E81" s="68" t="s">
        <v>435</v>
      </c>
    </row>
    <row r="82" spans="1:5">
      <c r="A82" s="68">
        <v>0.36507299999999998</v>
      </c>
      <c r="B82" s="68">
        <v>0.54431399999999996</v>
      </c>
      <c r="C82" s="68">
        <v>32.543399999999998</v>
      </c>
      <c r="D82" s="68">
        <v>2</v>
      </c>
      <c r="E82" s="68" t="s">
        <v>436</v>
      </c>
    </row>
    <row r="83" spans="1:5">
      <c r="A83" s="68">
        <v>0.36208400000000002</v>
      </c>
      <c r="B83" s="68">
        <v>0.54541700000000004</v>
      </c>
      <c r="C83" s="68">
        <v>32.953099999999999</v>
      </c>
      <c r="D83" s="68">
        <v>2</v>
      </c>
      <c r="E83" s="68" t="s">
        <v>437</v>
      </c>
    </row>
    <row r="84" spans="1:5">
      <c r="A84" s="68">
        <v>0.35939199999999999</v>
      </c>
      <c r="B84" s="68">
        <v>0.54645200000000005</v>
      </c>
      <c r="C84" s="68">
        <v>33.353700000000003</v>
      </c>
      <c r="D84" s="68">
        <v>2</v>
      </c>
      <c r="E84" s="68" t="s">
        <v>438</v>
      </c>
    </row>
    <row r="85" spans="1:5">
      <c r="A85" s="68">
        <v>0.356902</v>
      </c>
      <c r="B85" s="68">
        <v>0.54729099999999997</v>
      </c>
      <c r="C85" s="68">
        <v>33.7592</v>
      </c>
      <c r="D85" s="68">
        <v>2</v>
      </c>
      <c r="E85" s="68" t="s">
        <v>439</v>
      </c>
    </row>
    <row r="86" spans="1:5">
      <c r="A86" s="68">
        <v>0.35471000000000003</v>
      </c>
      <c r="B86" s="68">
        <v>0.54795700000000003</v>
      </c>
      <c r="C86" s="68">
        <v>34.165799999999997</v>
      </c>
      <c r="D86" s="68">
        <v>2</v>
      </c>
      <c r="E86" s="68" t="s">
        <v>440</v>
      </c>
    </row>
    <row r="87" spans="1:5">
      <c r="A87" s="68">
        <v>0.352516</v>
      </c>
      <c r="B87" s="68">
        <v>0.54919899999999999</v>
      </c>
      <c r="C87" s="68">
        <v>34.573999999999998</v>
      </c>
      <c r="D87" s="68">
        <v>2</v>
      </c>
      <c r="E87" s="68" t="s">
        <v>441</v>
      </c>
    </row>
    <row r="88" spans="1:5">
      <c r="A88" s="68">
        <v>0.35036400000000001</v>
      </c>
      <c r="B88" s="68">
        <v>0.55121900000000001</v>
      </c>
      <c r="C88" s="68">
        <v>34.979700000000001</v>
      </c>
      <c r="D88" s="68">
        <v>2</v>
      </c>
      <c r="E88" s="68" t="s">
        <v>442</v>
      </c>
    </row>
    <row r="89" spans="1:5">
      <c r="A89" s="68">
        <v>0.34835500000000003</v>
      </c>
      <c r="B89" s="68">
        <v>0.55460900000000002</v>
      </c>
      <c r="C89" s="68">
        <v>35.3857</v>
      </c>
      <c r="D89" s="68">
        <v>2</v>
      </c>
      <c r="E89" s="68" t="s">
        <v>443</v>
      </c>
    </row>
    <row r="90" spans="1:5">
      <c r="A90" s="68">
        <v>0.346941</v>
      </c>
      <c r="B90" s="68">
        <v>0.55720499999999995</v>
      </c>
      <c r="C90" s="68">
        <v>35.790399999999998</v>
      </c>
      <c r="D90" s="68">
        <v>2</v>
      </c>
      <c r="E90" s="68" t="s">
        <v>444</v>
      </c>
    </row>
    <row r="91" spans="1:5">
      <c r="A91" s="68">
        <v>0.346055</v>
      </c>
      <c r="B91" s="68">
        <v>0.55889800000000001</v>
      </c>
      <c r="C91" s="68">
        <v>36.200400000000002</v>
      </c>
      <c r="D91" s="68">
        <v>2</v>
      </c>
      <c r="E91" s="68" t="s">
        <v>445</v>
      </c>
    </row>
    <row r="92" spans="1:5">
      <c r="A92" s="68">
        <v>0.34539599999999998</v>
      </c>
      <c r="B92" s="68">
        <v>0.56010700000000002</v>
      </c>
      <c r="C92" s="68">
        <v>36.604100000000003</v>
      </c>
      <c r="D92" s="68">
        <v>2</v>
      </c>
      <c r="E92" s="68" t="s">
        <v>446</v>
      </c>
    </row>
    <row r="93" spans="1:5">
      <c r="A93" s="68">
        <v>0.34515200000000001</v>
      </c>
      <c r="B93" s="68">
        <v>0.56101299999999998</v>
      </c>
      <c r="C93" s="68">
        <v>37.011600000000001</v>
      </c>
      <c r="D93" s="68">
        <v>2</v>
      </c>
      <c r="E93" s="68" t="s">
        <v>447</v>
      </c>
    </row>
    <row r="94" spans="1:5">
      <c r="A94" s="68">
        <v>0.34515800000000002</v>
      </c>
      <c r="B94" s="68">
        <v>0.56120599999999998</v>
      </c>
      <c r="C94" s="68">
        <v>37.414700000000003</v>
      </c>
      <c r="D94" s="68">
        <v>2</v>
      </c>
      <c r="E94" s="68" t="s">
        <v>448</v>
      </c>
    </row>
    <row r="95" spans="1:5">
      <c r="A95" s="68">
        <v>0.34548400000000001</v>
      </c>
      <c r="B95" s="68">
        <v>0.560589</v>
      </c>
      <c r="C95" s="68">
        <v>37.821599999999997</v>
      </c>
      <c r="D95" s="68">
        <v>2</v>
      </c>
      <c r="E95" s="68" t="s">
        <v>449</v>
      </c>
    </row>
    <row r="96" spans="1:5">
      <c r="A96" s="68">
        <v>0.34632299999999999</v>
      </c>
      <c r="B96" s="68">
        <v>0.55888899999999997</v>
      </c>
      <c r="C96" s="68">
        <v>38.231200000000001</v>
      </c>
      <c r="D96" s="68">
        <v>2</v>
      </c>
      <c r="E96" s="68" t="s">
        <v>450</v>
      </c>
    </row>
    <row r="97" spans="1:5">
      <c r="A97" s="68">
        <v>0.34754600000000002</v>
      </c>
      <c r="B97" s="68">
        <v>0.55623999999999996</v>
      </c>
      <c r="C97" s="68">
        <v>38.637599999999999</v>
      </c>
      <c r="D97" s="68">
        <v>2</v>
      </c>
      <c r="E97" s="68" t="s">
        <v>451</v>
      </c>
    </row>
    <row r="98" spans="1:5">
      <c r="A98" s="68">
        <v>0.34932400000000002</v>
      </c>
      <c r="B98" s="68">
        <v>0.55215199999999998</v>
      </c>
      <c r="C98" s="68">
        <v>39.043199999999999</v>
      </c>
      <c r="D98" s="68">
        <v>2</v>
      </c>
      <c r="E98" s="68" t="s">
        <v>452</v>
      </c>
    </row>
    <row r="99" spans="1:5">
      <c r="A99" s="68">
        <v>0.35165600000000002</v>
      </c>
      <c r="B99" s="68">
        <v>0.54617499999999997</v>
      </c>
      <c r="C99" s="68">
        <v>39.447899999999997</v>
      </c>
      <c r="D99" s="68">
        <v>2</v>
      </c>
      <c r="E99" s="68" t="s">
        <v>453</v>
      </c>
    </row>
    <row r="100" spans="1:5">
      <c r="A100" s="68">
        <v>0.35428999999999999</v>
      </c>
      <c r="B100" s="68">
        <v>0.539717</v>
      </c>
      <c r="C100" s="68">
        <v>39.854500000000002</v>
      </c>
      <c r="D100" s="68">
        <v>2</v>
      </c>
      <c r="E100" s="68" t="s">
        <v>454</v>
      </c>
    </row>
    <row r="101" spans="1:5">
      <c r="A101" s="68">
        <v>0.35715999999999998</v>
      </c>
      <c r="B101" s="68">
        <v>0.53360399999999997</v>
      </c>
      <c r="C101" s="68">
        <v>40.262</v>
      </c>
      <c r="D101" s="68">
        <v>2</v>
      </c>
      <c r="E101" s="68" t="s">
        <v>455</v>
      </c>
    </row>
    <row r="102" spans="1:5">
      <c r="A102" s="68">
        <v>0.359707</v>
      </c>
      <c r="B102" s="68">
        <v>0.52877799999999997</v>
      </c>
      <c r="C102" s="68">
        <v>40.667700000000004</v>
      </c>
      <c r="D102" s="68">
        <v>2</v>
      </c>
      <c r="E102" s="68" t="s">
        <v>456</v>
      </c>
    </row>
    <row r="103" spans="1:5">
      <c r="A103" s="68">
        <v>0.36274800000000001</v>
      </c>
      <c r="B103" s="68">
        <v>0.52388199999999996</v>
      </c>
      <c r="C103" s="68">
        <v>41.073999999999998</v>
      </c>
      <c r="D103" s="68">
        <v>2</v>
      </c>
      <c r="E103" s="68" t="s">
        <v>457</v>
      </c>
    </row>
    <row r="104" spans="1:5">
      <c r="A104" s="68">
        <v>0.36580099999999999</v>
      </c>
      <c r="B104" s="68">
        <v>0.51951599999999998</v>
      </c>
      <c r="C104" s="68">
        <v>41.480400000000003</v>
      </c>
      <c r="D104" s="68">
        <v>2</v>
      </c>
      <c r="E104" s="68" t="s">
        <v>458</v>
      </c>
    </row>
    <row r="105" spans="1:5">
      <c r="A105" s="68">
        <v>0.36901800000000001</v>
      </c>
      <c r="B105" s="68">
        <v>0.51563400000000004</v>
      </c>
      <c r="C105" s="68">
        <v>41.883600000000001</v>
      </c>
      <c r="D105" s="68">
        <v>2</v>
      </c>
      <c r="E105" s="68" t="s">
        <v>459</v>
      </c>
    </row>
    <row r="106" spans="1:5">
      <c r="A106" s="68">
        <v>0.37215799999999999</v>
      </c>
      <c r="B106" s="68">
        <v>0.51155600000000001</v>
      </c>
      <c r="C106" s="68">
        <v>42.2926</v>
      </c>
      <c r="D106" s="68">
        <v>2</v>
      </c>
      <c r="E106" s="68" t="s">
        <v>460</v>
      </c>
    </row>
    <row r="107" spans="1:5">
      <c r="A107" s="68">
        <v>0.374944</v>
      </c>
      <c r="B107" s="68">
        <v>0.50837100000000002</v>
      </c>
      <c r="C107" s="68">
        <v>42.701099999999997</v>
      </c>
      <c r="D107" s="68">
        <v>2</v>
      </c>
      <c r="E107" s="68" t="s">
        <v>461</v>
      </c>
    </row>
    <row r="108" spans="1:5">
      <c r="A108" s="68">
        <v>0.37752799999999997</v>
      </c>
      <c r="B108" s="68">
        <v>0.50448300000000001</v>
      </c>
      <c r="C108" s="68">
        <v>43.104799999999997</v>
      </c>
      <c r="D108" s="68">
        <v>2</v>
      </c>
      <c r="E108" s="68" t="s">
        <v>462</v>
      </c>
    </row>
    <row r="109" spans="1:5">
      <c r="A109" s="68">
        <v>0.38001299999999999</v>
      </c>
      <c r="B109" s="68">
        <v>0.50071900000000003</v>
      </c>
      <c r="C109" s="68">
        <v>43.509500000000003</v>
      </c>
      <c r="D109" s="68">
        <v>2</v>
      </c>
      <c r="E109" s="68" t="s">
        <v>463</v>
      </c>
    </row>
    <row r="110" spans="1:5">
      <c r="A110" s="68">
        <v>0.382573</v>
      </c>
      <c r="B110" s="68">
        <v>0.49676500000000001</v>
      </c>
      <c r="C110" s="68">
        <v>43.915199999999999</v>
      </c>
      <c r="D110" s="68">
        <v>2</v>
      </c>
      <c r="E110" s="68" t="s">
        <v>464</v>
      </c>
    </row>
    <row r="111" spans="1:5">
      <c r="A111" s="68">
        <v>0.38525500000000001</v>
      </c>
      <c r="B111" s="68">
        <v>0.49225099999999999</v>
      </c>
      <c r="C111" s="68">
        <v>44.323399999999999</v>
      </c>
      <c r="D111" s="68">
        <v>2</v>
      </c>
      <c r="E111" s="68" t="s">
        <v>465</v>
      </c>
    </row>
    <row r="112" spans="1:5">
      <c r="A112" s="68">
        <v>0.387882</v>
      </c>
      <c r="B112" s="68">
        <v>0.48695699999999997</v>
      </c>
      <c r="C112" s="68">
        <v>44.729199999999999</v>
      </c>
      <c r="D112" s="68">
        <v>2</v>
      </c>
      <c r="E112" s="68" t="s">
        <v>466</v>
      </c>
    </row>
    <row r="113" spans="1:5">
      <c r="A113" s="68">
        <v>0.39038600000000001</v>
      </c>
      <c r="B113" s="68">
        <v>0.48225299999999999</v>
      </c>
      <c r="C113" s="68">
        <v>45.133899999999997</v>
      </c>
      <c r="D113" s="68">
        <v>2</v>
      </c>
      <c r="E113" s="68" t="s">
        <v>467</v>
      </c>
    </row>
    <row r="114" spans="1:5">
      <c r="A114" s="68">
        <v>0.39280500000000002</v>
      </c>
      <c r="B114" s="68">
        <v>0.47690300000000002</v>
      </c>
      <c r="C114" s="68">
        <v>45.5426</v>
      </c>
      <c r="D114" s="68">
        <v>2</v>
      </c>
      <c r="E114" s="68" t="s">
        <v>468</v>
      </c>
    </row>
    <row r="115" spans="1:5">
      <c r="A115" s="68">
        <v>0.39516600000000002</v>
      </c>
      <c r="B115" s="68">
        <v>0.47045700000000001</v>
      </c>
      <c r="C115" s="68">
        <v>45.9512</v>
      </c>
      <c r="D115" s="68">
        <v>2</v>
      </c>
      <c r="E115" s="68" t="s">
        <v>469</v>
      </c>
    </row>
    <row r="116" spans="1:5">
      <c r="A116" s="68">
        <v>0.39727800000000002</v>
      </c>
      <c r="B116" s="68">
        <v>0.46357599999999999</v>
      </c>
      <c r="C116" s="68">
        <v>46.354199999999999</v>
      </c>
      <c r="D116" s="68">
        <v>2</v>
      </c>
      <c r="E116" s="68" t="s">
        <v>470</v>
      </c>
    </row>
    <row r="117" spans="1:5">
      <c r="A117" s="68">
        <v>0.39944499999999999</v>
      </c>
      <c r="B117" s="68">
        <v>0.45650800000000002</v>
      </c>
      <c r="C117" s="68">
        <v>46.760399999999997</v>
      </c>
      <c r="D117" s="68">
        <v>2</v>
      </c>
      <c r="E117" s="68" t="s">
        <v>471</v>
      </c>
    </row>
    <row r="118" spans="1:5">
      <c r="A118" s="68">
        <v>0.40188800000000002</v>
      </c>
      <c r="B118" s="68">
        <v>0.448326</v>
      </c>
      <c r="C118" s="68">
        <v>47.166400000000003</v>
      </c>
      <c r="D118" s="68">
        <v>2</v>
      </c>
      <c r="E118" s="68" t="s">
        <v>472</v>
      </c>
    </row>
    <row r="119" spans="1:5">
      <c r="A119" s="68">
        <v>0.404084</v>
      </c>
      <c r="B119" s="68">
        <v>0.44126599999999999</v>
      </c>
      <c r="C119" s="68">
        <v>47.572299999999998</v>
      </c>
      <c r="D119" s="68">
        <v>2</v>
      </c>
      <c r="E119" s="68" t="s">
        <v>473</v>
      </c>
    </row>
    <row r="120" spans="1:5">
      <c r="A120" s="68">
        <v>0.40603</v>
      </c>
      <c r="B120" s="68">
        <v>0.43473099999999998</v>
      </c>
      <c r="C120" s="68">
        <v>47.978299999999997</v>
      </c>
      <c r="D120" s="68">
        <v>2</v>
      </c>
      <c r="E120" s="68" t="s">
        <v>474</v>
      </c>
    </row>
    <row r="121" spans="1:5">
      <c r="A121" s="68">
        <v>0.407746</v>
      </c>
      <c r="B121" s="68">
        <v>0.42833700000000002</v>
      </c>
      <c r="C121" s="68">
        <v>48.383800000000001</v>
      </c>
      <c r="D121" s="68">
        <v>2</v>
      </c>
      <c r="E121" s="68" t="s">
        <v>475</v>
      </c>
    </row>
    <row r="122" spans="1:5">
      <c r="A122" s="68">
        <v>0.409132</v>
      </c>
      <c r="B122" s="68">
        <v>0.42164499999999999</v>
      </c>
      <c r="C122" s="68">
        <v>48.792099999999998</v>
      </c>
      <c r="D122" s="68">
        <v>2</v>
      </c>
      <c r="E122" s="68" t="s">
        <v>476</v>
      </c>
    </row>
    <row r="123" spans="1:5">
      <c r="A123" s="68">
        <v>0.41033700000000001</v>
      </c>
      <c r="B123" s="68">
        <v>0.416126</v>
      </c>
      <c r="C123" s="68">
        <v>49.198300000000003</v>
      </c>
      <c r="D123" s="68">
        <v>2</v>
      </c>
      <c r="E123" s="68" t="s">
        <v>477</v>
      </c>
    </row>
    <row r="124" spans="1:5">
      <c r="A124" s="68">
        <v>0.41110799999999997</v>
      </c>
      <c r="B124" s="68">
        <v>0.41065299999999999</v>
      </c>
      <c r="C124" s="68">
        <v>49.604199999999999</v>
      </c>
      <c r="D124" s="68">
        <v>2</v>
      </c>
      <c r="E124" s="68" t="s">
        <v>478</v>
      </c>
    </row>
    <row r="125" spans="1:5">
      <c r="A125" s="68">
        <v>0.41155000000000003</v>
      </c>
      <c r="B125" s="68">
        <v>0.40640300000000001</v>
      </c>
      <c r="C125" s="68">
        <v>50.012799999999999</v>
      </c>
      <c r="D125" s="68">
        <v>2</v>
      </c>
      <c r="E125" s="68" t="s">
        <v>479</v>
      </c>
    </row>
    <row r="126" spans="1:5">
      <c r="A126" s="68">
        <v>0.411856</v>
      </c>
      <c r="B126" s="68">
        <v>0.40309299999999998</v>
      </c>
      <c r="C126" s="68">
        <v>50.417099999999998</v>
      </c>
      <c r="D126" s="68">
        <v>2</v>
      </c>
      <c r="E126" s="68" t="s">
        <v>480</v>
      </c>
    </row>
    <row r="127" spans="1:5">
      <c r="A127" s="68">
        <v>0.41246699999999997</v>
      </c>
      <c r="B127" s="68">
        <v>0.39920800000000001</v>
      </c>
      <c r="C127" s="68">
        <v>50.8232</v>
      </c>
      <c r="D127" s="68">
        <v>2</v>
      </c>
      <c r="E127" s="68" t="s">
        <v>481</v>
      </c>
    </row>
    <row r="128" spans="1:5">
      <c r="A128" s="68">
        <v>0.41287099999999999</v>
      </c>
      <c r="B128" s="68">
        <v>0.39477000000000001</v>
      </c>
      <c r="C128" s="68">
        <v>51.230499999999999</v>
      </c>
      <c r="D128" s="68">
        <v>2</v>
      </c>
      <c r="E128" s="68" t="s">
        <v>482</v>
      </c>
    </row>
    <row r="129" spans="1:5">
      <c r="A129" s="68">
        <v>0.41345399999999999</v>
      </c>
      <c r="B129" s="68">
        <v>0.39066400000000001</v>
      </c>
      <c r="C129" s="68">
        <v>51.636099999999999</v>
      </c>
      <c r="D129" s="68">
        <v>2</v>
      </c>
      <c r="E129" s="68" t="s">
        <v>483</v>
      </c>
    </row>
    <row r="130" spans="1:5">
      <c r="A130" s="68">
        <v>0.41407699999999997</v>
      </c>
      <c r="B130" s="68">
        <v>0.38664100000000001</v>
      </c>
      <c r="C130" s="68">
        <v>52.039499999999997</v>
      </c>
      <c r="D130" s="68">
        <v>2</v>
      </c>
      <c r="E130" s="68" t="s">
        <v>484</v>
      </c>
    </row>
    <row r="131" spans="1:5">
      <c r="A131" s="68">
        <v>0.41477199999999997</v>
      </c>
      <c r="B131" s="68">
        <v>0.38283299999999998</v>
      </c>
      <c r="C131" s="68">
        <v>52.449599999999997</v>
      </c>
      <c r="D131" s="68">
        <v>2</v>
      </c>
      <c r="E131" s="68" t="s">
        <v>485</v>
      </c>
    </row>
    <row r="132" spans="1:5">
      <c r="A132" s="68">
        <v>0.41576600000000002</v>
      </c>
      <c r="B132" s="68">
        <v>0.378668</v>
      </c>
      <c r="C132" s="68">
        <v>52.854700000000001</v>
      </c>
      <c r="D132" s="68">
        <v>2</v>
      </c>
      <c r="E132" s="68" t="s">
        <v>486</v>
      </c>
    </row>
    <row r="133" spans="1:5">
      <c r="A133" s="68">
        <v>0.41672199999999998</v>
      </c>
      <c r="B133" s="68">
        <v>0.37452299999999999</v>
      </c>
      <c r="C133" s="68">
        <v>53.259900000000002</v>
      </c>
      <c r="D133" s="68">
        <v>2</v>
      </c>
      <c r="E133" s="68" t="s">
        <v>487</v>
      </c>
    </row>
    <row r="134" spans="1:5">
      <c r="A134" s="68">
        <v>0.41791899999999998</v>
      </c>
      <c r="B134" s="68">
        <v>0.37064200000000003</v>
      </c>
      <c r="C134" s="68">
        <v>53.666800000000002</v>
      </c>
      <c r="D134" s="68">
        <v>2</v>
      </c>
      <c r="E134" s="68" t="s">
        <v>488</v>
      </c>
    </row>
    <row r="135" spans="1:5">
      <c r="A135" s="68">
        <v>0.41914899999999999</v>
      </c>
      <c r="B135" s="68">
        <v>0.36710900000000002</v>
      </c>
      <c r="C135" s="68">
        <v>54.075000000000003</v>
      </c>
      <c r="D135" s="68">
        <v>2</v>
      </c>
      <c r="E135" s="68" t="s">
        <v>489</v>
      </c>
    </row>
    <row r="136" spans="1:5">
      <c r="A136" s="68">
        <v>0.42017500000000002</v>
      </c>
      <c r="B136" s="68">
        <v>0.36379800000000001</v>
      </c>
      <c r="C136" s="68">
        <v>54.479900000000001</v>
      </c>
      <c r="D136" s="68">
        <v>2</v>
      </c>
      <c r="E136" s="68" t="s">
        <v>490</v>
      </c>
    </row>
    <row r="137" spans="1:5">
      <c r="A137" s="68">
        <v>0.42129100000000003</v>
      </c>
      <c r="B137" s="68">
        <v>0.36169699999999999</v>
      </c>
      <c r="C137" s="68">
        <v>54.885899999999999</v>
      </c>
      <c r="D137" s="68">
        <v>2</v>
      </c>
      <c r="E137" s="68" t="s">
        <v>491</v>
      </c>
    </row>
    <row r="138" spans="1:5">
      <c r="A138" s="68">
        <v>0.42268299999999998</v>
      </c>
      <c r="B138" s="68">
        <v>0.35932599999999998</v>
      </c>
      <c r="C138" s="68">
        <v>55.290100000000002</v>
      </c>
      <c r="D138" s="68">
        <v>2</v>
      </c>
      <c r="E138" s="68" t="s">
        <v>492</v>
      </c>
    </row>
    <row r="139" spans="1:5">
      <c r="A139" s="68">
        <v>0.42387200000000003</v>
      </c>
      <c r="B139" s="68">
        <v>0.35661100000000001</v>
      </c>
      <c r="C139" s="68">
        <v>55.698</v>
      </c>
      <c r="D139" s="68">
        <v>2</v>
      </c>
      <c r="E139" s="68" t="s">
        <v>493</v>
      </c>
    </row>
    <row r="140" spans="1:5">
      <c r="A140" s="68">
        <v>0.42466700000000002</v>
      </c>
      <c r="B140" s="68">
        <v>0.35429500000000003</v>
      </c>
      <c r="C140" s="68">
        <v>56.105899999999998</v>
      </c>
      <c r="D140" s="68">
        <v>2</v>
      </c>
      <c r="E140" s="68" t="s">
        <v>494</v>
      </c>
    </row>
    <row r="141" spans="1:5">
      <c r="A141" s="68">
        <v>0.42521700000000001</v>
      </c>
      <c r="B141" s="68">
        <v>0.35229300000000002</v>
      </c>
      <c r="C141" s="68">
        <v>56.512099999999997</v>
      </c>
      <c r="D141" s="68">
        <v>2</v>
      </c>
      <c r="E141" s="68" t="s">
        <v>495</v>
      </c>
    </row>
    <row r="142" spans="1:5">
      <c r="A142" s="68">
        <v>0.42538599999999999</v>
      </c>
      <c r="B142" s="68">
        <v>0.35105599999999998</v>
      </c>
      <c r="C142" s="68">
        <v>56.915500000000002</v>
      </c>
      <c r="D142" s="68">
        <v>2</v>
      </c>
      <c r="E142" s="68" t="s">
        <v>496</v>
      </c>
    </row>
    <row r="143" spans="1:5">
      <c r="A143" s="68">
        <v>0.42449399999999998</v>
      </c>
      <c r="B143" s="68">
        <v>0.35124699999999998</v>
      </c>
      <c r="C143" s="68">
        <v>57.321100000000001</v>
      </c>
      <c r="D143" s="68">
        <v>2</v>
      </c>
      <c r="E143" s="68" t="s">
        <v>497</v>
      </c>
    </row>
    <row r="144" spans="1:5">
      <c r="A144" s="68">
        <v>0.42444399999999999</v>
      </c>
      <c r="B144" s="68">
        <v>0.350547</v>
      </c>
      <c r="C144" s="68">
        <v>57.7333</v>
      </c>
      <c r="D144" s="68">
        <v>2</v>
      </c>
      <c r="E144" s="68" t="s">
        <v>498</v>
      </c>
    </row>
    <row r="145" spans="1:5">
      <c r="A145" s="68">
        <v>0.42507800000000001</v>
      </c>
      <c r="B145" s="68">
        <v>0.34984100000000001</v>
      </c>
      <c r="C145" s="68">
        <v>58.138100000000001</v>
      </c>
      <c r="D145" s="68">
        <v>2</v>
      </c>
      <c r="E145" s="68" t="s">
        <v>499</v>
      </c>
    </row>
    <row r="146" spans="1:5">
      <c r="A146" s="68">
        <v>0.42572399999999999</v>
      </c>
      <c r="B146" s="68">
        <v>0.34856100000000001</v>
      </c>
      <c r="C146" s="68">
        <v>58.546799999999998</v>
      </c>
      <c r="D146" s="68">
        <v>2</v>
      </c>
      <c r="E146" s="68" t="s">
        <v>500</v>
      </c>
    </row>
    <row r="147" spans="1:5">
      <c r="A147" s="68">
        <v>0.42705399999999999</v>
      </c>
      <c r="B147" s="68">
        <v>0.35119499999999998</v>
      </c>
      <c r="C147" s="68">
        <v>58.947699999999998</v>
      </c>
      <c r="D147" s="68">
        <v>2</v>
      </c>
      <c r="E147" s="68" t="s">
        <v>501</v>
      </c>
    </row>
    <row r="148" spans="1:5">
      <c r="A148" s="68">
        <v>0.426624</v>
      </c>
      <c r="B148" s="68">
        <v>0.345445</v>
      </c>
      <c r="C148" s="68">
        <v>59.355499999999999</v>
      </c>
      <c r="D148" s="68">
        <v>2</v>
      </c>
      <c r="E148" s="68" t="s">
        <v>502</v>
      </c>
    </row>
    <row r="149" spans="1:5">
      <c r="A149" s="68">
        <v>0.42834100000000003</v>
      </c>
      <c r="B149" s="68">
        <v>0.33915800000000002</v>
      </c>
      <c r="C149" s="68">
        <v>59.763500000000001</v>
      </c>
      <c r="D149" s="68">
        <v>2</v>
      </c>
      <c r="E149" s="68" t="s">
        <v>503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504</v>
      </c>
      <c r="B1" s="66" t="s">
        <v>505</v>
      </c>
      <c r="C1" s="66" t="s">
        <v>507</v>
      </c>
      <c r="D1" s="66" t="s">
        <v>508</v>
      </c>
      <c r="E1" s="66" t="s">
        <v>509</v>
      </c>
      <c r="F1" s="66" t="s">
        <v>293</v>
      </c>
      <c r="G1" s="66" t="s">
        <v>294</v>
      </c>
      <c r="H1" s="66" t="s">
        <v>510</v>
      </c>
      <c r="I1" s="66" t="s">
        <v>511</v>
      </c>
      <c r="J1" s="66" t="s">
        <v>512</v>
      </c>
      <c r="K1" s="66" t="s">
        <v>513</v>
      </c>
      <c r="L1" s="66" t="s">
        <v>514</v>
      </c>
      <c r="M1" s="66" t="s">
        <v>515</v>
      </c>
      <c r="N1" s="66"/>
    </row>
    <row r="2" spans="1:14">
      <c r="A2" s="75">
        <v>43615.643726851849</v>
      </c>
      <c r="B2" s="66" t="s">
        <v>506</v>
      </c>
      <c r="C2" s="66"/>
      <c r="D2" s="66"/>
      <c r="E2" s="66">
        <v>4.9234099999999996</v>
      </c>
      <c r="F2" s="66">
        <v>1.9027799999999999</v>
      </c>
      <c r="G2" s="66">
        <v>0.51522400000000002</v>
      </c>
      <c r="H2" s="66">
        <v>0</v>
      </c>
      <c r="I2" s="66">
        <v>138448</v>
      </c>
      <c r="J2" s="66">
        <v>106</v>
      </c>
      <c r="K2" s="66">
        <v>106</v>
      </c>
      <c r="L2" s="66">
        <v>0</v>
      </c>
      <c r="M2" s="66" t="s">
        <v>516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2019-05-30T07:27:37Z</cp:lastPrinted>
  <dcterms:created xsi:type="dcterms:W3CDTF">2010-10-29T12:53:05Z</dcterms:created>
  <dcterms:modified xsi:type="dcterms:W3CDTF">2019-05-30T07:27:46Z</dcterms:modified>
</cp:coreProperties>
</file>