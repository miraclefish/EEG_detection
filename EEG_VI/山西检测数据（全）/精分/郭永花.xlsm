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<sst xmlns="http://schemas.openxmlformats.org/spreadsheetml/2006/main" count="702" uniqueCount="576">
  <si>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</si>
  <si>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</si>
  <si>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</si>
  <si>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</si>
  <si>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</si>
  <si>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</si>
  <si>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</si>
  <si>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</si>
  <si>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</si>
  <si>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</si>
  <si>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</si>
  <si>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</si>
  <si>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</si>
  <si>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</si>
  <si>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</si>
  <si>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</si>
  <si>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</si>
  <si>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</si>
  <si>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</si>
  <si>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</si>
  <si>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</si>
  <si>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</si>
  <si>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</si>
  <si>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</si>
  <si>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</si>
  <si>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</si>
  <si>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</si>
  <si>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</si>
  <si>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</si>
  <si>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</si>
  <si>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</si>
  <si>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</si>
  <si>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</si>
  <si>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</si>
  <si>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</si>
  <si>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</si>
  <si>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</si>
  <si>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</si>
  <si>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</si>
  <si>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</si>
  <si>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</si>
  <si>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</si>
  <si>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</si>
  <si>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</si>
  <si>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</si>
  <si>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</si>
  <si>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</si>
  <si>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</si>
  <si>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</si>
  <si>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</si>
  <si>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</si>
  <si>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</si>
  <si>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</si>
  <si>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</si>
  <si>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</si>
  <si>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</si>
  <si>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</si>
  <si>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</si>
  <si>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</si>
  <si>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</si>
  <si>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</si>
  <si>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</si>
  <si>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</si>
  <si>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</si>
  <si>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</si>
  <si>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</si>
  <si>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</si>
  <si>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</si>
  <si>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</si>
  <si>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</si>
  <si>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</si>
  <si>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</si>
  <si>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</si>
  <si>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</si>
  <si>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</si>
  <si>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</si>
  <si>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</si>
  <si>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</si>
  <si>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</si>
  <si>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</si>
  <si>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</si>
  <si>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</si>
  <si>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</si>
  <si>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</si>
  <si>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</si>
  <si>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</si>
  <si>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</si>
  <si>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</si>
  <si>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</si>
  <si>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</si>
  <si>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</si>
  <si>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</si>
  <si>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</si>
  <si>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</si>
  <si>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</si>
  <si>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</si>
  <si>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</si>
  <si>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</si>
  <si>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</si>
  <si>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</si>
  <si>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</si>
  <si>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</si>
  <si>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</si>
  <si>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</si>
  <si>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</si>
  <si>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</si>
  <si>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</si>
  <si>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</si>
  <si>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</si>
  <si>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</si>
  <si>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</si>
  <si>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</si>
  <si>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</si>
  <si>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</si>
  <si>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</si>
  <si>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</si>
  <si>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</si>
  <si>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</si>
  <si>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</si>
  <si>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</si>
  <si>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</si>
  <si>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</si>
  <si>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</si>
  <si>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</si>
  <si>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</si>
  <si>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</si>
  <si>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</si>
  <si>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</si>
  <si>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</si>
  <si>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</si>
  <si>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</si>
  <si>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</si>
  <si>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</si>
  <si>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</si>
  <si>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</si>
  <si>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</si>
  <si>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</si>
  <si>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</si>
  <si>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</si>
  <si>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</si>
  <si>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</si>
  <si>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</si>
  <si>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</si>
  <si>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</si>
  <si>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</si>
  <si>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</si>
  <si>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</si>
  <si>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</si>
  <si>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</si>
  <si>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</si>
  <si>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</si>
  <si>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</si>
  <si>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</si>
  <si>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</si>
  <si>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</si>
  <si>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</si>
  <si>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</si>
  <si>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</si>
  <si>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</si>
  <si>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</si>
  <si>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</si>
  <si>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</si>
  <si>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</si>
  <si>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</si>
  <si>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</si>
  <si>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</si>
  <si>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</si>
  <si>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</si>
  <si>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</si>
  <si>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</si>
  <si>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</si>
  <si>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</si>
  <si>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</si>
  <si>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</si>
  <si>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</si>
  <si>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</si>
  <si>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</si>
  <si>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</si>
  <si>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</si>
  <si>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</si>
  <si>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</si>
  <si>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</si>
  <si>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</si>
  <si>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</si>
  <si>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</si>
  <si>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</si>
  <si>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</si>
  <si>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</si>
  <si>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</si>
  <si>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</si>
  <si>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</si>
  <si>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</si>
  <si>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</si>
  <si>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</si>
  <si>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</si>
  <si>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</si>
  <si>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</si>
  <si>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</si>
  <si>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</si>
  <si>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</si>
  <si>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</si>
  <si>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</si>
  <si>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</si>
  <si>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</si>
  <si>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</si>
  <si>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</si>
  <si>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</si>
  <si>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</si>
  <si>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</si>
  <si>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</si>
  <si>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</si>
  <si>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</si>
  <si>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</si>
  <si>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</si>
  <si>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</si>
  <si>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</si>
  <si>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</si>
  <si>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</si>
  <si>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</si>
  <si>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</si>
  <si>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</si>
  <si>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</si>
  <si>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</si>
  <si>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</si>
  <si>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</si>
  <si>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</si>
  <si>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</si>
  <si>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</si>
  <si>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</si>
  <si>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</si>
  <si>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</si>
  <si>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</si>
  <si>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</si>
  <si>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</si>
  <si>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</si>
  <si>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</si>
  <si>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</si>
  <si>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</si>
  <si>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</si>
  <si>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</si>
  <si>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</si>
  <si>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</si>
  <si>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</si>
  <si>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</si>
  <si>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</si>
  <si>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</si>
  <si>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</si>
  <si>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</si>
  <si>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</si>
  <si>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</si>
  <si>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</si>
  <si>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</si>
  <si>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</si>
  <si>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</si>
  <si>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</si>
  <si>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</si>
  <si>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</si>
  <si>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</si>
  <si>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</si>
  <si>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</si>
  <si>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</si>
  <si>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</si>
  <si>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</si>
  <si>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</si>
  <si>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</si>
  <si>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</si>
  <si>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</si>
  <si>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</si>
  <si>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</si>
  <si>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</si>
  <si>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</si>
  <si>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</si>
  <si>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</si>
  <si>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</si>
  <si>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</si>
  <si>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</si>
  <si>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</si>
  <si>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</si>
  <si>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</si>
  <si>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</si>
  <si>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</si>
  <si>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</si>
  <si>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</si>
  <si>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</si>
  <si>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</si>
  <si>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</si>
  <si>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</si>
  <si>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</si>
  <si>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</si>
  <si>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</si>
  <si>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</si>
  <si>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</si>
  <si>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</si>
  <si>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</si>
  <si>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</si>
  <si>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</si>
  <si>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</si>
  <si>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</si>
  <si>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</si>
  <si>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</si>
  <si>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</si>
  <si>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</si>
  <si>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</si>
  <si>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</si>
  <si>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</si>
  <si>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</si>
  <si>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</si>
  <si>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</si>
  <si>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</si>
  <si>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</si>
  <si>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</si>
  <si>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</si>
  <si>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</si>
  <si>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</si>
  <si>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</si>
  <si>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</si>
  <si>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</si>
  <si>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</si>
  <si>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</si>
  <si>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</si>
  <si>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</si>
  <si>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</si>
  <si>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</si>
  <si>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</si>
  <si>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</si>
  <si>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</si>
  <si>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</si>
  <si>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</si>
  <si>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</si>
  <si>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</si>
  <si>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</si>
  <si>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</si>
  <si>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</si>
  <si>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</si>
  <si>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</si>
  <si>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</si>
  <si>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</si>
  <si>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</si>
  <si>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</si>
  <si>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</si>
  <si>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</si>
  <si>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</si>
  <si>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</si>
  <si>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</si>
  <si>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</si>
  <si>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</si>
  <si>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</si>
  <si>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</si>
  <si>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</si>
  <si>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</si>
  <si>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</si>
  <si>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</si>
  <si>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</si>
  <si>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</si>
  <si>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</si>
  <si>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</si>
  <si>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</si>
  <si>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</si>
  <si>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</si>
  <si>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</si>
  <si>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</si>
  <si>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</si>
  <si>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</si>
  <si>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</si>
  <si>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</si>
  <si>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</si>
  <si>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</si>
  <si>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</si>
  <si>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</si>
  <si>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</si>
  <si>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</si>
  <si>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</si>
  <si>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</si>
  <si>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</si>
  <si>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</si>
  <si>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</si>
  <si>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</si>
  <si>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</si>
  <si>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</si>
  <si>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</si>
  <si>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</si>
  <si>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</si>
  <si>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</si>
  <si>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</si>
  <si>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</si>
  <si>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</si>
  <si>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</si>
  <si>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</si>
  <si>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</si>
  <si>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</si>
  <si>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</si>
  <si>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</si>
  <si>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</si>
  <si>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</si>
  <si>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</si>
  <si>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</si>
  <si>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</si>
  <si>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</si>
  <si>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</si>
  <si>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</si>
  <si>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</si>
  <si>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Vi</t>
    <phoneticPr fontId="29" type="noConversion"/>
  </si>
  <si>
    <t>h</t>
    <phoneticPr fontId="29" type="noConversion"/>
  </si>
  <si>
    <t>ha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</si>
  <si>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</si>
  <si>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</si>
  <si>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</si>
  <si>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</si>
  <si>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</si>
  <si>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</si>
  <si>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</si>
  <si>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</si>
  <si>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[0.373892]</t>
  </si>
  <si>
    <t>1 [0.783672]</t>
  </si>
  <si>
    <t>1 [1.185695]</t>
  </si>
  <si>
    <t>1 [1.592125]</t>
  </si>
  <si>
    <t>1 [1.998232]</t>
  </si>
  <si>
    <t>1 [2.403627]</t>
  </si>
  <si>
    <t>1 [2.814777]</t>
  </si>
  <si>
    <t>1 [3.218338]</t>
  </si>
  <si>
    <t>1 [3.624686]</t>
  </si>
  <si>
    <t>1 [4.030828]</t>
  </si>
  <si>
    <t>1 [4.437342]</t>
  </si>
  <si>
    <t>1 [4.841579]</t>
  </si>
  <si>
    <t>1 [5.252749]</t>
  </si>
  <si>
    <t>1 [5.658105]</t>
  </si>
  <si>
    <t>1 [6.061334]</t>
  </si>
  <si>
    <t>1 [6.467799]</t>
  </si>
  <si>
    <t>1 [6.876815]</t>
  </si>
  <si>
    <t>1 [7.281227]</t>
  </si>
  <si>
    <t>1 [7.686534]</t>
  </si>
  <si>
    <t>1 [8.090154]</t>
  </si>
  <si>
    <t>1 [8.499186]</t>
  </si>
  <si>
    <t>1 [8.907853]</t>
  </si>
  <si>
    <t>1 [9.314187]</t>
  </si>
  <si>
    <t>1 [9.717424]</t>
  </si>
  <si>
    <t>1 [10.123256]</t>
  </si>
  <si>
    <t>1 [10.528734]</t>
  </si>
  <si>
    <t>1 [10.938291]</t>
  </si>
  <si>
    <t>1 [11.342981]</t>
  </si>
  <si>
    <t>1 [11.749797]</t>
  </si>
  <si>
    <t>1 [12.154574]</t>
  </si>
  <si>
    <t>1 [12.564794]</t>
  </si>
  <si>
    <t>1 [12.967905]</t>
  </si>
  <si>
    <t>1 [13.376684]</t>
  </si>
  <si>
    <t>1 [13.782196]</t>
  </si>
  <si>
    <t>1 [14.186452]</t>
  </si>
  <si>
    <t>1 [14.592643]</t>
  </si>
  <si>
    <t>1 [14.999270]</t>
  </si>
  <si>
    <t>1 [15.407977]</t>
  </si>
  <si>
    <t>1 [15.811753]</t>
  </si>
  <si>
    <t>1 [16.217330]</t>
  </si>
  <si>
    <t>1 [16.622517]</t>
  </si>
  <si>
    <t>1 [17.031128]</t>
  </si>
  <si>
    <t>1 [17.437897]</t>
  </si>
  <si>
    <t>1 [17.847019]</t>
  </si>
  <si>
    <t>1 [18.248899]</t>
  </si>
  <si>
    <t>1 [18.654652]</t>
  </si>
  <si>
    <t>1 [19.063277]</t>
  </si>
  <si>
    <t>1 [19.467599]</t>
  </si>
  <si>
    <t>1 [19.876091]</t>
  </si>
  <si>
    <t>1 [20.280103]</t>
  </si>
  <si>
    <t>1 [20.685792]</t>
  </si>
  <si>
    <t>1 [21.091119]</t>
  </si>
  <si>
    <t>1 [21.498650]</t>
  </si>
  <si>
    <t>1 [21.905028]</t>
  </si>
  <si>
    <t>1 [22.312518]</t>
  </si>
  <si>
    <t>1 [22.720183]</t>
  </si>
  <si>
    <t>1 [23.126913]</t>
  </si>
  <si>
    <t>1 [23.528671]</t>
  </si>
  <si>
    <t>1 [23.936903]</t>
  </si>
  <si>
    <t>1 [24.340562]</t>
  </si>
  <si>
    <t>1 [24.751430]</t>
  </si>
  <si>
    <t>1 [25.157029]</t>
  </si>
  <si>
    <t>1 [25.560856]</t>
  </si>
  <si>
    <t>1 [25.970208]</t>
  </si>
  <si>
    <t>1 [26.374891]</t>
  </si>
  <si>
    <t>1 [26.783694]</t>
  </si>
  <si>
    <t>1 [27.188149]</t>
  </si>
  <si>
    <t>1 [27.591968]</t>
  </si>
  <si>
    <t>1 [27.998106]</t>
  </si>
  <si>
    <t>1 [28.404678]</t>
  </si>
  <si>
    <t>1 [28.813163]</t>
  </si>
  <si>
    <t>1 [29.219874]</t>
  </si>
  <si>
    <t>1 [29.622677]</t>
  </si>
  <si>
    <t>1 [30.031571]</t>
  </si>
  <si>
    <t>2 [30.623342]</t>
  </si>
  <si>
    <t>2 [30.997853]</t>
  </si>
  <si>
    <t>2 [31.373565]</t>
  </si>
  <si>
    <t>2 [31.748751]</t>
  </si>
  <si>
    <t>2 [32.124759]</t>
  </si>
  <si>
    <t>2 [32.530711]</t>
  </si>
  <si>
    <t>2 [32.938114]</t>
  </si>
  <si>
    <t>2 [33.345107]</t>
  </si>
  <si>
    <t>2 [33.749849]</t>
  </si>
  <si>
    <t>2 [34.154907]</t>
  </si>
  <si>
    <t>2 [34.561676]</t>
  </si>
  <si>
    <t>2 [34.968814]</t>
  </si>
  <si>
    <t>2 [35.376798]</t>
  </si>
  <si>
    <t>2 [35.781633]</t>
  </si>
  <si>
    <t>2 [36.186192]</t>
  </si>
  <si>
    <t>2 [36.595571]</t>
  </si>
  <si>
    <t>2 [37.000751]</t>
  </si>
  <si>
    <t>2 [37.407652]</t>
  </si>
  <si>
    <t>2 [37.813223]</t>
  </si>
  <si>
    <t>2 [38.216518]</t>
  </si>
  <si>
    <t>2 [38.622859]</t>
  </si>
  <si>
    <t>2 [39.031600]</t>
  </si>
  <si>
    <t>2 [39.437287]</t>
  </si>
  <si>
    <t>2 [39.842734]</t>
  </si>
  <si>
    <t>2 [40.249206]</t>
  </si>
  <si>
    <t>2 [40.655705]</t>
  </si>
  <si>
    <t>2 [41.060788]</t>
  </si>
  <si>
    <t>2 [41.470797]</t>
  </si>
  <si>
    <t>2 [41.875478]</t>
  </si>
  <si>
    <t>2 [42.281158]</t>
  </si>
  <si>
    <t>2 [42.685659]</t>
  </si>
  <si>
    <t>2 [43.090928]</t>
  </si>
  <si>
    <t>2 [43.499644]</t>
  </si>
  <si>
    <t>2 [43.906973]</t>
  </si>
  <si>
    <t>2 [44.314088]</t>
  </si>
  <si>
    <t>2 [44.716329]</t>
  </si>
  <si>
    <t>2 [45.128447]</t>
  </si>
  <si>
    <t>2 [45.529811]</t>
  </si>
  <si>
    <t>2 [45.939141]</t>
  </si>
  <si>
    <t>2 [46.344092]</t>
  </si>
  <si>
    <t>2 [46.751893]</t>
  </si>
  <si>
    <t>2 [47.157062]</t>
  </si>
  <si>
    <t>2 [47.560413]</t>
  </si>
  <si>
    <t>2 [47.967895]</t>
  </si>
  <si>
    <t>2 [48.375269]</t>
  </si>
  <si>
    <t>2 [48.781926]</t>
  </si>
  <si>
    <t>2 [49.188753]</t>
  </si>
  <si>
    <t>2 [49.594864]</t>
  </si>
  <si>
    <t>2 [49.997220]</t>
  </si>
  <si>
    <t>2 [50.405395]</t>
  </si>
  <si>
    <t>2 [50.813149]</t>
  </si>
  <si>
    <t>2 [51.218766]</t>
  </si>
  <si>
    <t>2 [51.625170]</t>
  </si>
  <si>
    <t>2 [52.027365]</t>
  </si>
  <si>
    <t>2 [52.436222]</t>
  </si>
  <si>
    <t>2 [52.845177]</t>
  </si>
  <si>
    <t>2 [53.248269]</t>
  </si>
  <si>
    <t>2 [53.653784]</t>
  </si>
  <si>
    <t>2 [54.060177]</t>
  </si>
  <si>
    <t>2 [54.467266]</t>
  </si>
  <si>
    <t>2 [54.874925]</t>
  </si>
  <si>
    <t>2 [55.281238]</t>
  </si>
  <si>
    <t>2 [55.690035]</t>
  </si>
  <si>
    <t>2 [56.092552]</t>
  </si>
  <si>
    <t>2 [56.499351]</t>
  </si>
  <si>
    <t>2 [56.908536]</t>
  </si>
  <si>
    <t>2 [57.310073]</t>
  </si>
  <si>
    <t>2 [57.721678]</t>
  </si>
  <si>
    <t>2 [58.124401]</t>
  </si>
  <si>
    <t>2 [58.529782]</t>
  </si>
  <si>
    <t>2 [58.939296]</t>
  </si>
  <si>
    <t>2 [59.345178]</t>
  </si>
  <si>
    <t>2 [59.750329]</t>
  </si>
  <si>
    <t>2 [60.154048]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</si>
  <si>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</si>
  <si>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</si>
  <si>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</si>
  <si>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</si>
  <si>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</si>
  <si>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</si>
  <si>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S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</si>
  <si>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</si>
  <si>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</si>
  <si>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</si>
  <si>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</si>
  <si>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</si>
  <si>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</si>
  <si>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</si>
  <si>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</si>
  <si>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郭永花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</si>
</sst>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48.042700000000004</c:v>
                </c:pt>
                <c:pt idx="1">
                  <c:v>28.767099999999999</c:v>
                </c:pt>
                <c:pt idx="2">
                  <c:v>19.6753</c:v>
                </c:pt>
                <c:pt idx="3">
                  <c:v>33.427999999999997</c:v>
                </c:pt>
                <c:pt idx="4">
                  <c:v>69.041499999999999</c:v>
                </c:pt>
                <c:pt idx="5">
                  <c:v>77.505399999999995</c:v>
                </c:pt>
                <c:pt idx="6">
                  <c:v>23.648499999999999</c:v>
                </c:pt>
                <c:pt idx="7">
                  <c:v>73.406800000000004</c:v>
                </c:pt>
                <c:pt idx="8">
                  <c:v>27.793900000000001</c:v>
                </c:pt>
                <c:pt idx="9">
                  <c:v>58.267899999999997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0.44645313961302979</c:v>
                </c:pt>
                <c:pt idx="1">
                  <c:v>0.23809354501667673</c:v>
                </c:pt>
                <c:pt idx="2">
                  <c:v>0.31545331537029342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228</c:v>
                </c:pt>
                <c:pt idx="7">
                  <c:v>0</c:v>
                </c:pt>
                <c:pt idx="8">
                  <c:v>1179</c:v>
                </c:pt>
                <c:pt idx="9">
                  <c:v>0</c:v>
                </c:pt>
                <c:pt idx="10">
                  <c:v>0</c:v>
                </c:pt>
                <c:pt idx="11">
                  <c:v>1893</c:v>
                </c:pt>
                <c:pt idx="12">
                  <c:v>0</c:v>
                </c:pt>
                <c:pt idx="13">
                  <c:v>1946</c:v>
                </c:pt>
                <c:pt idx="14">
                  <c:v>0</c:v>
                </c:pt>
                <c:pt idx="15">
                  <c:v>0</c:v>
                </c:pt>
                <c:pt idx="16">
                  <c:v>3482</c:v>
                </c:pt>
                <c:pt idx="17">
                  <c:v>0</c:v>
                </c:pt>
                <c:pt idx="18">
                  <c:v>0</c:v>
                </c:pt>
                <c:pt idx="19">
                  <c:v>3481</c:v>
                </c:pt>
                <c:pt idx="20">
                  <c:v>0</c:v>
                </c:pt>
                <c:pt idx="21">
                  <c:v>6984</c:v>
                </c:pt>
                <c:pt idx="22">
                  <c:v>0</c:v>
                </c:pt>
                <c:pt idx="23">
                  <c:v>0</c:v>
                </c:pt>
                <c:pt idx="24">
                  <c:v>11369</c:v>
                </c:pt>
                <c:pt idx="25">
                  <c:v>0</c:v>
                </c:pt>
                <c:pt idx="26">
                  <c:v>18554</c:v>
                </c:pt>
                <c:pt idx="27">
                  <c:v>0</c:v>
                </c:pt>
                <c:pt idx="28">
                  <c:v>0</c:v>
                </c:pt>
                <c:pt idx="29">
                  <c:v>23302</c:v>
                </c:pt>
                <c:pt idx="30">
                  <c:v>0</c:v>
                </c:pt>
                <c:pt idx="31">
                  <c:v>30928</c:v>
                </c:pt>
                <c:pt idx="32">
                  <c:v>0</c:v>
                </c:pt>
                <c:pt idx="33">
                  <c:v>0</c:v>
                </c:pt>
                <c:pt idx="34">
                  <c:v>40821</c:v>
                </c:pt>
                <c:pt idx="35">
                  <c:v>0</c:v>
                </c:pt>
                <c:pt idx="36">
                  <c:v>0</c:v>
                </c:pt>
                <c:pt idx="37">
                  <c:v>52932</c:v>
                </c:pt>
                <c:pt idx="38">
                  <c:v>0</c:v>
                </c:pt>
                <c:pt idx="39">
                  <c:v>55914</c:v>
                </c:pt>
                <c:pt idx="40">
                  <c:v>0</c:v>
                </c:pt>
                <c:pt idx="41">
                  <c:v>0</c:v>
                </c:pt>
                <c:pt idx="42">
                  <c:v>71470</c:v>
                </c:pt>
                <c:pt idx="43">
                  <c:v>0</c:v>
                </c:pt>
                <c:pt idx="44">
                  <c:v>86610</c:v>
                </c:pt>
                <c:pt idx="45">
                  <c:v>0</c:v>
                </c:pt>
                <c:pt idx="46">
                  <c:v>0</c:v>
                </c:pt>
                <c:pt idx="47">
                  <c:v>91346</c:v>
                </c:pt>
                <c:pt idx="48">
                  <c:v>0</c:v>
                </c:pt>
                <c:pt idx="49">
                  <c:v>107871</c:v>
                </c:pt>
                <c:pt idx="50">
                  <c:v>0</c:v>
                </c:pt>
                <c:pt idx="51">
                  <c:v>0</c:v>
                </c:pt>
                <c:pt idx="52">
                  <c:v>112190</c:v>
                </c:pt>
                <c:pt idx="53">
                  <c:v>0</c:v>
                </c:pt>
                <c:pt idx="54">
                  <c:v>0</c:v>
                </c:pt>
                <c:pt idx="55">
                  <c:v>124446</c:v>
                </c:pt>
                <c:pt idx="56">
                  <c:v>0</c:v>
                </c:pt>
                <c:pt idx="57">
                  <c:v>132773</c:v>
                </c:pt>
                <c:pt idx="58">
                  <c:v>0</c:v>
                </c:pt>
                <c:pt idx="59">
                  <c:v>0</c:v>
                </c:pt>
                <c:pt idx="60">
                  <c:v>140149</c:v>
                </c:pt>
                <c:pt idx="61">
                  <c:v>0</c:v>
                </c:pt>
                <c:pt idx="62">
                  <c:v>146761</c:v>
                </c:pt>
                <c:pt idx="63">
                  <c:v>0</c:v>
                </c:pt>
                <c:pt idx="64">
                  <c:v>0</c:v>
                </c:pt>
                <c:pt idx="65">
                  <c:v>154926</c:v>
                </c:pt>
                <c:pt idx="66">
                  <c:v>0</c:v>
                </c:pt>
                <c:pt idx="67">
                  <c:v>158556</c:v>
                </c:pt>
                <c:pt idx="68">
                  <c:v>0</c:v>
                </c:pt>
                <c:pt idx="69">
                  <c:v>0</c:v>
                </c:pt>
                <c:pt idx="70">
                  <c:v>164848</c:v>
                </c:pt>
                <c:pt idx="71">
                  <c:v>0</c:v>
                </c:pt>
                <c:pt idx="72">
                  <c:v>0</c:v>
                </c:pt>
                <c:pt idx="73">
                  <c:v>172483</c:v>
                </c:pt>
                <c:pt idx="74">
                  <c:v>0</c:v>
                </c:pt>
                <c:pt idx="75">
                  <c:v>163481</c:v>
                </c:pt>
                <c:pt idx="76">
                  <c:v>0</c:v>
                </c:pt>
                <c:pt idx="77">
                  <c:v>0</c:v>
                </c:pt>
                <c:pt idx="78">
                  <c:v>163719</c:v>
                </c:pt>
                <c:pt idx="79">
                  <c:v>0</c:v>
                </c:pt>
                <c:pt idx="80">
                  <c:v>162348</c:v>
                </c:pt>
                <c:pt idx="81">
                  <c:v>0</c:v>
                </c:pt>
                <c:pt idx="82">
                  <c:v>0</c:v>
                </c:pt>
                <c:pt idx="83">
                  <c:v>169671</c:v>
                </c:pt>
                <c:pt idx="84">
                  <c:v>0</c:v>
                </c:pt>
                <c:pt idx="85">
                  <c:v>0</c:v>
                </c:pt>
                <c:pt idx="86">
                  <c:v>179215</c:v>
                </c:pt>
                <c:pt idx="87">
                  <c:v>0</c:v>
                </c:pt>
                <c:pt idx="88">
                  <c:v>180285</c:v>
                </c:pt>
                <c:pt idx="89">
                  <c:v>0</c:v>
                </c:pt>
                <c:pt idx="90">
                  <c:v>0</c:v>
                </c:pt>
                <c:pt idx="91">
                  <c:v>192382</c:v>
                </c:pt>
                <c:pt idx="92">
                  <c:v>0</c:v>
                </c:pt>
                <c:pt idx="93">
                  <c:v>200089</c:v>
                </c:pt>
                <c:pt idx="94">
                  <c:v>0</c:v>
                </c:pt>
                <c:pt idx="95">
                  <c:v>0</c:v>
                </c:pt>
                <c:pt idx="96">
                  <c:v>198196</c:v>
                </c:pt>
                <c:pt idx="97">
                  <c:v>0</c:v>
                </c:pt>
                <c:pt idx="98">
                  <c:v>205072</c:v>
                </c:pt>
                <c:pt idx="99">
                  <c:v>0</c:v>
                </c:pt>
                <c:pt idx="100">
                  <c:v>0</c:v>
                </c:pt>
                <c:pt idx="101">
                  <c:v>187015</c:v>
                </c:pt>
                <c:pt idx="102">
                  <c:v>0</c:v>
                </c:pt>
                <c:pt idx="103">
                  <c:v>0</c:v>
                </c:pt>
                <c:pt idx="104">
                  <c:v>184214</c:v>
                </c:pt>
                <c:pt idx="105">
                  <c:v>0</c:v>
                </c:pt>
                <c:pt idx="106">
                  <c:v>172168</c:v>
                </c:pt>
                <c:pt idx="107">
                  <c:v>0</c:v>
                </c:pt>
                <c:pt idx="108">
                  <c:v>0</c:v>
                </c:pt>
                <c:pt idx="109">
                  <c:v>168738</c:v>
                </c:pt>
                <c:pt idx="110">
                  <c:v>0</c:v>
                </c:pt>
                <c:pt idx="111">
                  <c:v>157027</c:v>
                </c:pt>
                <c:pt idx="112">
                  <c:v>0</c:v>
                </c:pt>
                <c:pt idx="113">
                  <c:v>0</c:v>
                </c:pt>
                <c:pt idx="114">
                  <c:v>155317</c:v>
                </c:pt>
                <c:pt idx="115">
                  <c:v>0</c:v>
                </c:pt>
                <c:pt idx="116">
                  <c:v>151303</c:v>
                </c:pt>
                <c:pt idx="117">
                  <c:v>0</c:v>
                </c:pt>
                <c:pt idx="118">
                  <c:v>0</c:v>
                </c:pt>
                <c:pt idx="119">
                  <c:v>144356</c:v>
                </c:pt>
                <c:pt idx="120">
                  <c:v>0</c:v>
                </c:pt>
                <c:pt idx="121">
                  <c:v>0</c:v>
                </c:pt>
                <c:pt idx="122">
                  <c:v>139796</c:v>
                </c:pt>
                <c:pt idx="123">
                  <c:v>0</c:v>
                </c:pt>
                <c:pt idx="124">
                  <c:v>139777</c:v>
                </c:pt>
                <c:pt idx="125">
                  <c:v>0</c:v>
                </c:pt>
                <c:pt idx="126">
                  <c:v>0</c:v>
                </c:pt>
                <c:pt idx="127">
                  <c:v>134175</c:v>
                </c:pt>
                <c:pt idx="128">
                  <c:v>0</c:v>
                </c:pt>
                <c:pt idx="129">
                  <c:v>127911</c:v>
                </c:pt>
                <c:pt idx="130">
                  <c:v>0</c:v>
                </c:pt>
                <c:pt idx="131">
                  <c:v>0</c:v>
                </c:pt>
                <c:pt idx="132">
                  <c:v>124257</c:v>
                </c:pt>
                <c:pt idx="133">
                  <c:v>0</c:v>
                </c:pt>
                <c:pt idx="134">
                  <c:v>109907</c:v>
                </c:pt>
                <c:pt idx="135">
                  <c:v>0</c:v>
                </c:pt>
                <c:pt idx="136">
                  <c:v>0</c:v>
                </c:pt>
                <c:pt idx="137">
                  <c:v>101712</c:v>
                </c:pt>
                <c:pt idx="138">
                  <c:v>0</c:v>
                </c:pt>
                <c:pt idx="139">
                  <c:v>0</c:v>
                </c:pt>
                <c:pt idx="140">
                  <c:v>92978</c:v>
                </c:pt>
                <c:pt idx="141">
                  <c:v>0</c:v>
                </c:pt>
                <c:pt idx="142">
                  <c:v>93051</c:v>
                </c:pt>
                <c:pt idx="143">
                  <c:v>0</c:v>
                </c:pt>
                <c:pt idx="144">
                  <c:v>0</c:v>
                </c:pt>
                <c:pt idx="145">
                  <c:v>85738</c:v>
                </c:pt>
                <c:pt idx="146">
                  <c:v>0</c:v>
                </c:pt>
                <c:pt idx="147">
                  <c:v>86210</c:v>
                </c:pt>
                <c:pt idx="148">
                  <c:v>0</c:v>
                </c:pt>
                <c:pt idx="149">
                  <c:v>0</c:v>
                </c:pt>
                <c:pt idx="150">
                  <c:v>74698</c:v>
                </c:pt>
                <c:pt idx="151">
                  <c:v>0</c:v>
                </c:pt>
                <c:pt idx="152">
                  <c:v>74096</c:v>
                </c:pt>
                <c:pt idx="153">
                  <c:v>0</c:v>
                </c:pt>
                <c:pt idx="154">
                  <c:v>0</c:v>
                </c:pt>
                <c:pt idx="155">
                  <c:v>73069</c:v>
                </c:pt>
                <c:pt idx="156">
                  <c:v>0</c:v>
                </c:pt>
                <c:pt idx="157">
                  <c:v>0</c:v>
                </c:pt>
                <c:pt idx="158">
                  <c:v>70786</c:v>
                </c:pt>
                <c:pt idx="159">
                  <c:v>0</c:v>
                </c:pt>
                <c:pt idx="160">
                  <c:v>71861</c:v>
                </c:pt>
                <c:pt idx="161">
                  <c:v>0</c:v>
                </c:pt>
                <c:pt idx="162">
                  <c:v>0</c:v>
                </c:pt>
                <c:pt idx="163">
                  <c:v>63641</c:v>
                </c:pt>
                <c:pt idx="164">
                  <c:v>0</c:v>
                </c:pt>
                <c:pt idx="165">
                  <c:v>59500</c:v>
                </c:pt>
                <c:pt idx="166">
                  <c:v>0</c:v>
                </c:pt>
                <c:pt idx="167">
                  <c:v>0</c:v>
                </c:pt>
                <c:pt idx="168">
                  <c:v>51693</c:v>
                </c:pt>
                <c:pt idx="169">
                  <c:v>0</c:v>
                </c:pt>
                <c:pt idx="170">
                  <c:v>0</c:v>
                </c:pt>
                <c:pt idx="171">
                  <c:v>45755</c:v>
                </c:pt>
                <c:pt idx="172">
                  <c:v>0</c:v>
                </c:pt>
                <c:pt idx="173">
                  <c:v>38150</c:v>
                </c:pt>
                <c:pt idx="174">
                  <c:v>0</c:v>
                </c:pt>
                <c:pt idx="175">
                  <c:v>0</c:v>
                </c:pt>
                <c:pt idx="176">
                  <c:v>32952</c:v>
                </c:pt>
                <c:pt idx="177">
                  <c:v>0</c:v>
                </c:pt>
                <c:pt idx="178">
                  <c:v>27336</c:v>
                </c:pt>
                <c:pt idx="179">
                  <c:v>0</c:v>
                </c:pt>
                <c:pt idx="180">
                  <c:v>0</c:v>
                </c:pt>
                <c:pt idx="181">
                  <c:v>22547</c:v>
                </c:pt>
                <c:pt idx="182">
                  <c:v>0</c:v>
                </c:pt>
                <c:pt idx="183">
                  <c:v>19233</c:v>
                </c:pt>
                <c:pt idx="184">
                  <c:v>0</c:v>
                </c:pt>
                <c:pt idx="185">
                  <c:v>0</c:v>
                </c:pt>
                <c:pt idx="186">
                  <c:v>15652</c:v>
                </c:pt>
                <c:pt idx="187">
                  <c:v>0</c:v>
                </c:pt>
                <c:pt idx="188">
                  <c:v>0</c:v>
                </c:pt>
                <c:pt idx="189">
                  <c:v>11873</c:v>
                </c:pt>
                <c:pt idx="190">
                  <c:v>0</c:v>
                </c:pt>
                <c:pt idx="191">
                  <c:v>11059</c:v>
                </c:pt>
                <c:pt idx="192">
                  <c:v>0</c:v>
                </c:pt>
                <c:pt idx="193">
                  <c:v>0</c:v>
                </c:pt>
                <c:pt idx="194">
                  <c:v>7900</c:v>
                </c:pt>
                <c:pt idx="195">
                  <c:v>0</c:v>
                </c:pt>
                <c:pt idx="196">
                  <c:v>5208</c:v>
                </c:pt>
                <c:pt idx="197">
                  <c:v>0</c:v>
                </c:pt>
                <c:pt idx="198">
                  <c:v>0</c:v>
                </c:pt>
                <c:pt idx="199">
                  <c:v>4107</c:v>
                </c:pt>
                <c:pt idx="200">
                  <c:v>0</c:v>
                </c:pt>
                <c:pt idx="201">
                  <c:v>3957</c:v>
                </c:pt>
                <c:pt idx="202">
                  <c:v>0</c:v>
                </c:pt>
                <c:pt idx="203">
                  <c:v>0</c:v>
                </c:pt>
                <c:pt idx="204">
                  <c:v>2890</c:v>
                </c:pt>
                <c:pt idx="205">
                  <c:v>0</c:v>
                </c:pt>
                <c:pt idx="206">
                  <c:v>0</c:v>
                </c:pt>
                <c:pt idx="207">
                  <c:v>1468</c:v>
                </c:pt>
                <c:pt idx="208">
                  <c:v>0</c:v>
                </c:pt>
                <c:pt idx="209">
                  <c:v>1455</c:v>
                </c:pt>
                <c:pt idx="210">
                  <c:v>0</c:v>
                </c:pt>
                <c:pt idx="211">
                  <c:v>0</c:v>
                </c:pt>
                <c:pt idx="212">
                  <c:v>2723</c:v>
                </c:pt>
                <c:pt idx="213">
                  <c:v>0</c:v>
                </c:pt>
                <c:pt idx="214">
                  <c:v>901</c:v>
                </c:pt>
                <c:pt idx="215">
                  <c:v>0</c:v>
                </c:pt>
                <c:pt idx="216">
                  <c:v>0</c:v>
                </c:pt>
                <c:pt idx="217">
                  <c:v>971</c:v>
                </c:pt>
                <c:pt idx="218">
                  <c:v>0</c:v>
                </c:pt>
                <c:pt idx="219">
                  <c:v>450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3.2958700000000003</c:v>
                </c:pt>
                <c:pt idx="1">
                  <c:v>3.3802300000000001</c:v>
                </c:pt>
                <c:pt idx="2">
                  <c:v>3.4626800000000002</c:v>
                </c:pt>
                <c:pt idx="3">
                  <c:v>3.5436899999999998</c:v>
                </c:pt>
                <c:pt idx="4">
                  <c:v>3.6262499999999998</c:v>
                </c:pt>
                <c:pt idx="5">
                  <c:v>3.70689</c:v>
                </c:pt>
                <c:pt idx="6">
                  <c:v>3.7879</c:v>
                </c:pt>
                <c:pt idx="7">
                  <c:v>3.8651400000000002</c:v>
                </c:pt>
                <c:pt idx="8">
                  <c:v>3.9443899999999998</c:v>
                </c:pt>
                <c:pt idx="9">
                  <c:v>4.0222499999999997</c:v>
                </c:pt>
                <c:pt idx="10">
                  <c:v>4.0961999999999996</c:v>
                </c:pt>
                <c:pt idx="11">
                  <c:v>4.1648499999999995</c:v>
                </c:pt>
                <c:pt idx="12">
                  <c:v>4.2270799999999999</c:v>
                </c:pt>
                <c:pt idx="13">
                  <c:v>4.2857200000000004</c:v>
                </c:pt>
                <c:pt idx="14">
                  <c:v>4.34091</c:v>
                </c:pt>
                <c:pt idx="15">
                  <c:v>4.3917299999999999</c:v>
                </c:pt>
                <c:pt idx="16">
                  <c:v>4.4376300000000004</c:v>
                </c:pt>
                <c:pt idx="17">
                  <c:v>4.4817900000000002</c:v>
                </c:pt>
                <c:pt idx="18">
                  <c:v>4.5210900000000001</c:v>
                </c:pt>
                <c:pt idx="19">
                  <c:v>4.5542899999999999</c:v>
                </c:pt>
                <c:pt idx="20">
                  <c:v>4.5838000000000001</c:v>
                </c:pt>
                <c:pt idx="21">
                  <c:v>4.6088300000000002</c:v>
                </c:pt>
                <c:pt idx="22">
                  <c:v>4.6299799999999998</c:v>
                </c:pt>
                <c:pt idx="23">
                  <c:v>4.6483299999999996</c:v>
                </c:pt>
                <c:pt idx="24">
                  <c:v>4.66418</c:v>
                </c:pt>
                <c:pt idx="25">
                  <c:v>4.6787000000000001</c:v>
                </c:pt>
                <c:pt idx="26">
                  <c:v>4.6896900000000006</c:v>
                </c:pt>
                <c:pt idx="27">
                  <c:v>4.6958699999999993</c:v>
                </c:pt>
                <c:pt idx="28">
                  <c:v>4.6988700000000003</c:v>
                </c:pt>
                <c:pt idx="29">
                  <c:v>4.6969099999999999</c:v>
                </c:pt>
                <c:pt idx="30">
                  <c:v>4.6943900000000003</c:v>
                </c:pt>
                <c:pt idx="31">
                  <c:v>4.6893099999999999</c:v>
                </c:pt>
                <c:pt idx="32">
                  <c:v>4.6818900000000001</c:v>
                </c:pt>
                <c:pt idx="33">
                  <c:v>4.6676599999999997</c:v>
                </c:pt>
                <c:pt idx="34">
                  <c:v>4.6468799999999995</c:v>
                </c:pt>
                <c:pt idx="35">
                  <c:v>4.6251499999999997</c:v>
                </c:pt>
                <c:pt idx="36">
                  <c:v>4.6020699999999994</c:v>
                </c:pt>
                <c:pt idx="37">
                  <c:v>4.5811299999999999</c:v>
                </c:pt>
                <c:pt idx="38">
                  <c:v>4.5588699999999998</c:v>
                </c:pt>
                <c:pt idx="39">
                  <c:v>4.5365899999999995</c:v>
                </c:pt>
                <c:pt idx="40">
                  <c:v>4.5131199999999998</c:v>
                </c:pt>
                <c:pt idx="41">
                  <c:v>4.4871600000000003</c:v>
                </c:pt>
                <c:pt idx="42">
                  <c:v>4.4586199999999998</c:v>
                </c:pt>
                <c:pt idx="43">
                  <c:v>4.4276900000000001</c:v>
                </c:pt>
                <c:pt idx="44">
                  <c:v>4.3978200000000003</c:v>
                </c:pt>
                <c:pt idx="45">
                  <c:v>4.3669900000000004</c:v>
                </c:pt>
                <c:pt idx="46">
                  <c:v>4.3380400000000003</c:v>
                </c:pt>
                <c:pt idx="47">
                  <c:v>4.3078799999999999</c:v>
                </c:pt>
                <c:pt idx="48">
                  <c:v>4.2767600000000003</c:v>
                </c:pt>
                <c:pt idx="49">
                  <c:v>4.2455999999999996</c:v>
                </c:pt>
                <c:pt idx="50">
                  <c:v>4.2218299999999997</c:v>
                </c:pt>
                <c:pt idx="51">
                  <c:v>4.1903699999999997</c:v>
                </c:pt>
                <c:pt idx="52">
                  <c:v>4.1608800000000006</c:v>
                </c:pt>
                <c:pt idx="53">
                  <c:v>4.1305500000000004</c:v>
                </c:pt>
                <c:pt idx="54">
                  <c:v>4.0998099999999997</c:v>
                </c:pt>
                <c:pt idx="55">
                  <c:v>4.0655200000000002</c:v>
                </c:pt>
                <c:pt idx="56">
                  <c:v>4.0281099999999999</c:v>
                </c:pt>
                <c:pt idx="57">
                  <c:v>3.9918100000000001</c:v>
                </c:pt>
                <c:pt idx="58">
                  <c:v>3.9545300000000001</c:v>
                </c:pt>
                <c:pt idx="59">
                  <c:v>3.9200900000000001</c:v>
                </c:pt>
                <c:pt idx="60">
                  <c:v>3.8832</c:v>
                </c:pt>
                <c:pt idx="61">
                  <c:v>3.8488800000000003</c:v>
                </c:pt>
                <c:pt idx="62">
                  <c:v>3.8170100000000002</c:v>
                </c:pt>
                <c:pt idx="63">
                  <c:v>3.7868900000000001</c:v>
                </c:pt>
                <c:pt idx="64">
                  <c:v>3.7588100000000004</c:v>
                </c:pt>
                <c:pt idx="65">
                  <c:v>3.7368600000000001</c:v>
                </c:pt>
                <c:pt idx="66">
                  <c:v>3.7201200000000001</c:v>
                </c:pt>
                <c:pt idx="67">
                  <c:v>3.7073700000000001</c:v>
                </c:pt>
                <c:pt idx="68">
                  <c:v>3.69983</c:v>
                </c:pt>
                <c:pt idx="69">
                  <c:v>3.6949800000000002</c:v>
                </c:pt>
                <c:pt idx="70">
                  <c:v>3.69068</c:v>
                </c:pt>
                <c:pt idx="71">
                  <c:v>3.6920500000000001</c:v>
                </c:pt>
                <c:pt idx="72">
                  <c:v>3.6980499999999998</c:v>
                </c:pt>
                <c:pt idx="73">
                  <c:v>3.7037999999999998</c:v>
                </c:pt>
                <c:pt idx="74">
                  <c:v>3.7087199999999996</c:v>
                </c:pt>
                <c:pt idx="75">
                  <c:v>3.7143900000000003</c:v>
                </c:pt>
                <c:pt idx="76">
                  <c:v>3.7178800000000001</c:v>
                </c:pt>
                <c:pt idx="77">
                  <c:v>3.7219799999999998</c:v>
                </c:pt>
                <c:pt idx="78">
                  <c:v>3.7257400000000001</c:v>
                </c:pt>
                <c:pt idx="79">
                  <c:v>3.7274099999999999</c:v>
                </c:pt>
                <c:pt idx="80">
                  <c:v>3.7290899999999998</c:v>
                </c:pt>
                <c:pt idx="81">
                  <c:v>3.7286399999999995</c:v>
                </c:pt>
                <c:pt idx="82">
                  <c:v>3.7281900000000001</c:v>
                </c:pt>
                <c:pt idx="83">
                  <c:v>3.7291000000000003</c:v>
                </c:pt>
                <c:pt idx="84">
                  <c:v>3.7330700000000001</c:v>
                </c:pt>
                <c:pt idx="85">
                  <c:v>3.7345000000000002</c:v>
                </c:pt>
                <c:pt idx="86">
                  <c:v>3.7326799999999998</c:v>
                </c:pt>
                <c:pt idx="87">
                  <c:v>3.72818</c:v>
                </c:pt>
                <c:pt idx="88">
                  <c:v>3.7199999999999998</c:v>
                </c:pt>
                <c:pt idx="89">
                  <c:v>3.7072500000000002</c:v>
                </c:pt>
                <c:pt idx="90">
                  <c:v>3.69184</c:v>
                </c:pt>
                <c:pt idx="91">
                  <c:v>3.6773600000000002</c:v>
                </c:pt>
                <c:pt idx="92">
                  <c:v>3.6623600000000001</c:v>
                </c:pt>
                <c:pt idx="93">
                  <c:v>3.6453200000000003</c:v>
                </c:pt>
                <c:pt idx="94">
                  <c:v>3.6301000000000001</c:v>
                </c:pt>
                <c:pt idx="95">
                  <c:v>3.6170299999999997</c:v>
                </c:pt>
                <c:pt idx="96">
                  <c:v>3.6019299999999999</c:v>
                </c:pt>
                <c:pt idx="97">
                  <c:v>3.5902099999999999</c:v>
                </c:pt>
                <c:pt idx="98">
                  <c:v>3.5813000000000001</c:v>
                </c:pt>
                <c:pt idx="99">
                  <c:v>3.5753400000000002</c:v>
                </c:pt>
                <c:pt idx="100">
                  <c:v>3.5718199999999998</c:v>
                </c:pt>
                <c:pt idx="101">
                  <c:v>3.5694300000000001</c:v>
                </c:pt>
                <c:pt idx="102">
                  <c:v>3.5676700000000001</c:v>
                </c:pt>
                <c:pt idx="103">
                  <c:v>3.5652200000000001</c:v>
                </c:pt>
                <c:pt idx="104">
                  <c:v>3.5665799999999996</c:v>
                </c:pt>
                <c:pt idx="105">
                  <c:v>3.5709800000000005</c:v>
                </c:pt>
                <c:pt idx="106">
                  <c:v>3.5792800000000002</c:v>
                </c:pt>
                <c:pt idx="107">
                  <c:v>3.5882900000000002</c:v>
                </c:pt>
                <c:pt idx="108">
                  <c:v>3.5962899999999998</c:v>
                </c:pt>
                <c:pt idx="109">
                  <c:v>3.6048</c:v>
                </c:pt>
                <c:pt idx="110">
                  <c:v>3.6123699999999999</c:v>
                </c:pt>
                <c:pt idx="111">
                  <c:v>3.6166999999999998</c:v>
                </c:pt>
                <c:pt idx="112">
                  <c:v>3.6204499999999999</c:v>
                </c:pt>
                <c:pt idx="113">
                  <c:v>3.62216</c:v>
                </c:pt>
                <c:pt idx="114">
                  <c:v>3.6255199999999999</c:v>
                </c:pt>
                <c:pt idx="115">
                  <c:v>3.6295100000000002</c:v>
                </c:pt>
                <c:pt idx="116">
                  <c:v>3.6337199999999998</c:v>
                </c:pt>
                <c:pt idx="117">
                  <c:v>3.6369600000000002</c:v>
                </c:pt>
                <c:pt idx="118">
                  <c:v>3.64439</c:v>
                </c:pt>
                <c:pt idx="119">
                  <c:v>3.6547099999999997</c:v>
                </c:pt>
                <c:pt idx="120">
                  <c:v>3.6644500000000004</c:v>
                </c:pt>
                <c:pt idx="121">
                  <c:v>3.6737599999999997</c:v>
                </c:pt>
                <c:pt idx="122">
                  <c:v>3.6863200000000003</c:v>
                </c:pt>
                <c:pt idx="123">
                  <c:v>3.7011500000000002</c:v>
                </c:pt>
                <c:pt idx="124">
                  <c:v>3.7107800000000002</c:v>
                </c:pt>
                <c:pt idx="125">
                  <c:v>3.7124800000000002</c:v>
                </c:pt>
                <c:pt idx="126">
                  <c:v>3.7143100000000002</c:v>
                </c:pt>
                <c:pt idx="127">
                  <c:v>3.7158000000000002</c:v>
                </c:pt>
                <c:pt idx="128">
                  <c:v>3.71929</c:v>
                </c:pt>
                <c:pt idx="129">
                  <c:v>3.7225399999999995</c:v>
                </c:pt>
                <c:pt idx="130">
                  <c:v>3.7244100000000002</c:v>
                </c:pt>
                <c:pt idx="131">
                  <c:v>3.7241400000000002</c:v>
                </c:pt>
                <c:pt idx="132">
                  <c:v>3.7233300000000003</c:v>
                </c:pt>
                <c:pt idx="133">
                  <c:v>3.7225999999999999</c:v>
                </c:pt>
                <c:pt idx="134">
                  <c:v>3.7192500000000002</c:v>
                </c:pt>
                <c:pt idx="135">
                  <c:v>3.7193300000000002</c:v>
                </c:pt>
                <c:pt idx="136">
                  <c:v>3.7271199999999998</c:v>
                </c:pt>
                <c:pt idx="137">
                  <c:v>3.73821</c:v>
                </c:pt>
                <c:pt idx="138">
                  <c:v>3.7579200000000004</c:v>
                </c:pt>
                <c:pt idx="139">
                  <c:v>3.7791700000000001</c:v>
                </c:pt>
                <c:pt idx="140">
                  <c:v>3.80247</c:v>
                </c:pt>
                <c:pt idx="141">
                  <c:v>3.8247799999999996</c:v>
                </c:pt>
                <c:pt idx="142">
                  <c:v>3.85283</c:v>
                </c:pt>
                <c:pt idx="143">
                  <c:v>3.8804400000000001</c:v>
                </c:pt>
                <c:pt idx="144">
                  <c:v>3.9036999999999997</c:v>
                </c:pt>
                <c:pt idx="145">
                  <c:v>3.92788</c:v>
                </c:pt>
                <c:pt idx="146">
                  <c:v>3.9644400000000002</c:v>
                </c:pt>
                <c:pt idx="147">
                  <c:v>3.99735</c:v>
                </c:pt>
                <c:pt idx="148">
                  <c:v>4.0456900000000005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46.396100000000004</c:v>
                </c:pt>
                <c:pt idx="1">
                  <c:v>45.656100000000002</c:v>
                </c:pt>
                <c:pt idx="2">
                  <c:v>44.925699999999999</c:v>
                </c:pt>
                <c:pt idx="3">
                  <c:v>44.160600000000002</c:v>
                </c:pt>
                <c:pt idx="4">
                  <c:v>43.270299999999999</c:v>
                </c:pt>
                <c:pt idx="5">
                  <c:v>42.487299999999998</c:v>
                </c:pt>
                <c:pt idx="6">
                  <c:v>41.762500000000003</c:v>
                </c:pt>
                <c:pt idx="7">
                  <c:v>41.094000000000001</c:v>
                </c:pt>
                <c:pt idx="8">
                  <c:v>40.331000000000003</c:v>
                </c:pt>
                <c:pt idx="9">
                  <c:v>39.525799999999997</c:v>
                </c:pt>
                <c:pt idx="10">
                  <c:v>38.908500000000004</c:v>
                </c:pt>
                <c:pt idx="11">
                  <c:v>38.454000000000001</c:v>
                </c:pt>
                <c:pt idx="12">
                  <c:v>38.072600000000001</c:v>
                </c:pt>
                <c:pt idx="13">
                  <c:v>37.737500000000004</c:v>
                </c:pt>
                <c:pt idx="14">
                  <c:v>37.391500000000001</c:v>
                </c:pt>
                <c:pt idx="15">
                  <c:v>37.0914</c:v>
                </c:pt>
                <c:pt idx="16">
                  <c:v>36.742399999999996</c:v>
                </c:pt>
                <c:pt idx="17">
                  <c:v>36.396000000000001</c:v>
                </c:pt>
                <c:pt idx="18">
                  <c:v>35.9711</c:v>
                </c:pt>
                <c:pt idx="19">
                  <c:v>35.505299999999998</c:v>
                </c:pt>
                <c:pt idx="20">
                  <c:v>34.988799999999998</c:v>
                </c:pt>
                <c:pt idx="21">
                  <c:v>34.508200000000002</c:v>
                </c:pt>
                <c:pt idx="22">
                  <c:v>33.972200000000001</c:v>
                </c:pt>
                <c:pt idx="23">
                  <c:v>33.444400000000002</c:v>
                </c:pt>
                <c:pt idx="24">
                  <c:v>32.9071</c:v>
                </c:pt>
                <c:pt idx="25">
                  <c:v>32.401799999999994</c:v>
                </c:pt>
                <c:pt idx="26">
                  <c:v>31.905799999999999</c:v>
                </c:pt>
                <c:pt idx="27">
                  <c:v>31.418900000000001</c:v>
                </c:pt>
                <c:pt idx="28">
                  <c:v>30.993600000000001</c:v>
                </c:pt>
                <c:pt idx="29">
                  <c:v>30.650699999999997</c:v>
                </c:pt>
                <c:pt idx="30">
                  <c:v>30.344100000000001</c:v>
                </c:pt>
                <c:pt idx="31">
                  <c:v>30.098700000000001</c:v>
                </c:pt>
                <c:pt idx="32">
                  <c:v>29.897500000000001</c:v>
                </c:pt>
                <c:pt idx="33">
                  <c:v>29.811900000000001</c:v>
                </c:pt>
                <c:pt idx="34">
                  <c:v>29.817599999999999</c:v>
                </c:pt>
                <c:pt idx="35">
                  <c:v>29.852899999999998</c:v>
                </c:pt>
                <c:pt idx="36">
                  <c:v>29.877599999999997</c:v>
                </c:pt>
                <c:pt idx="37">
                  <c:v>29.876300000000001</c:v>
                </c:pt>
                <c:pt idx="38">
                  <c:v>29.9298</c:v>
                </c:pt>
                <c:pt idx="39">
                  <c:v>29.974600000000002</c:v>
                </c:pt>
                <c:pt idx="40">
                  <c:v>29.961600000000001</c:v>
                </c:pt>
                <c:pt idx="41">
                  <c:v>29.951499999999996</c:v>
                </c:pt>
                <c:pt idx="42">
                  <c:v>29.9786</c:v>
                </c:pt>
                <c:pt idx="43">
                  <c:v>29.965599999999998</c:v>
                </c:pt>
                <c:pt idx="44">
                  <c:v>29.963299999999997</c:v>
                </c:pt>
                <c:pt idx="45">
                  <c:v>30.023199999999999</c:v>
                </c:pt>
                <c:pt idx="46">
                  <c:v>30.051200000000001</c:v>
                </c:pt>
                <c:pt idx="47">
                  <c:v>30.090899999999998</c:v>
                </c:pt>
                <c:pt idx="48">
                  <c:v>30.088199999999997</c:v>
                </c:pt>
                <c:pt idx="49">
                  <c:v>30.144100000000002</c:v>
                </c:pt>
                <c:pt idx="50">
                  <c:v>30.271999999999998</c:v>
                </c:pt>
                <c:pt idx="51">
                  <c:v>30.333500000000001</c:v>
                </c:pt>
                <c:pt idx="52">
                  <c:v>30.377300000000002</c:v>
                </c:pt>
                <c:pt idx="53">
                  <c:v>30.402899999999999</c:v>
                </c:pt>
                <c:pt idx="54">
                  <c:v>30.361500000000003</c:v>
                </c:pt>
                <c:pt idx="55">
                  <c:v>30.358600000000003</c:v>
                </c:pt>
                <c:pt idx="56">
                  <c:v>30.430900000000001</c:v>
                </c:pt>
                <c:pt idx="57">
                  <c:v>30.497600000000002</c:v>
                </c:pt>
                <c:pt idx="58">
                  <c:v>30.529800000000002</c:v>
                </c:pt>
                <c:pt idx="59">
                  <c:v>30.496499999999997</c:v>
                </c:pt>
                <c:pt idx="60">
                  <c:v>30.471299999999999</c:v>
                </c:pt>
                <c:pt idx="61">
                  <c:v>30.470399999999998</c:v>
                </c:pt>
                <c:pt idx="62">
                  <c:v>30.576599999999999</c:v>
                </c:pt>
                <c:pt idx="63">
                  <c:v>30.6739</c:v>
                </c:pt>
                <c:pt idx="64">
                  <c:v>30.863400000000002</c:v>
                </c:pt>
                <c:pt idx="65">
                  <c:v>31.018600000000003</c:v>
                </c:pt>
                <c:pt idx="66">
                  <c:v>31.110500000000002</c:v>
                </c:pt>
                <c:pt idx="67">
                  <c:v>31.124499999999998</c:v>
                </c:pt>
                <c:pt idx="68">
                  <c:v>31.119200000000003</c:v>
                </c:pt>
                <c:pt idx="69">
                  <c:v>31.044599999999999</c:v>
                </c:pt>
                <c:pt idx="70">
                  <c:v>30.992399999999996</c:v>
                </c:pt>
                <c:pt idx="71">
                  <c:v>30.819999999999997</c:v>
                </c:pt>
                <c:pt idx="72">
                  <c:v>30.5913</c:v>
                </c:pt>
                <c:pt idx="73">
                  <c:v>30.395100000000003</c:v>
                </c:pt>
                <c:pt idx="74">
                  <c:v>30.1327</c:v>
                </c:pt>
                <c:pt idx="75">
                  <c:v>29.795400000000001</c:v>
                </c:pt>
                <c:pt idx="76">
                  <c:v>29.549300000000002</c:v>
                </c:pt>
                <c:pt idx="77">
                  <c:v>29.247899999999998</c:v>
                </c:pt>
                <c:pt idx="78">
                  <c:v>28.934500000000003</c:v>
                </c:pt>
                <c:pt idx="79">
                  <c:v>28.64</c:v>
                </c:pt>
                <c:pt idx="80">
                  <c:v>28.301900000000003</c:v>
                </c:pt>
                <c:pt idx="81">
                  <c:v>27.9453</c:v>
                </c:pt>
                <c:pt idx="82">
                  <c:v>27.566200000000002</c:v>
                </c:pt>
                <c:pt idx="83">
                  <c:v>27.204499999999999</c:v>
                </c:pt>
                <c:pt idx="84">
                  <c:v>26.817400000000003</c:v>
                </c:pt>
                <c:pt idx="85">
                  <c:v>26.469700000000003</c:v>
                </c:pt>
                <c:pt idx="86">
                  <c:v>26.1191</c:v>
                </c:pt>
                <c:pt idx="87">
                  <c:v>25.795200000000001</c:v>
                </c:pt>
                <c:pt idx="88">
                  <c:v>25.4739</c:v>
                </c:pt>
                <c:pt idx="89">
                  <c:v>25.145499999999998</c:v>
                </c:pt>
                <c:pt idx="90">
                  <c:v>24.883199999999999</c:v>
                </c:pt>
                <c:pt idx="91">
                  <c:v>24.680800000000001</c:v>
                </c:pt>
                <c:pt idx="92">
                  <c:v>24.489900000000002</c:v>
                </c:pt>
                <c:pt idx="93">
                  <c:v>24.366599999999998</c:v>
                </c:pt>
                <c:pt idx="94">
                  <c:v>24.284600000000001</c:v>
                </c:pt>
                <c:pt idx="95">
                  <c:v>24.286899999999999</c:v>
                </c:pt>
                <c:pt idx="96">
                  <c:v>24.397300000000001</c:v>
                </c:pt>
                <c:pt idx="97">
                  <c:v>24.5093</c:v>
                </c:pt>
                <c:pt idx="98">
                  <c:v>24.6553</c:v>
                </c:pt>
                <c:pt idx="99">
                  <c:v>24.834199999999999</c:v>
                </c:pt>
                <c:pt idx="100">
                  <c:v>24.970400000000001</c:v>
                </c:pt>
                <c:pt idx="101">
                  <c:v>25.114999999999998</c:v>
                </c:pt>
                <c:pt idx="102">
                  <c:v>25.248799999999999</c:v>
                </c:pt>
                <c:pt idx="103">
                  <c:v>25.458199999999998</c:v>
                </c:pt>
                <c:pt idx="104">
                  <c:v>25.658999999999999</c:v>
                </c:pt>
                <c:pt idx="105">
                  <c:v>25.821100000000001</c:v>
                </c:pt>
                <c:pt idx="106">
                  <c:v>25.995200000000001</c:v>
                </c:pt>
                <c:pt idx="107">
                  <c:v>26.200200000000002</c:v>
                </c:pt>
                <c:pt idx="108">
                  <c:v>26.413199999999996</c:v>
                </c:pt>
                <c:pt idx="109">
                  <c:v>26.630700000000001</c:v>
                </c:pt>
                <c:pt idx="110">
                  <c:v>26.877299999999998</c:v>
                </c:pt>
                <c:pt idx="111">
                  <c:v>27.110400000000002</c:v>
                </c:pt>
                <c:pt idx="112">
                  <c:v>27.256799999999998</c:v>
                </c:pt>
                <c:pt idx="113">
                  <c:v>27.312999999999999</c:v>
                </c:pt>
                <c:pt idx="114">
                  <c:v>27.387299999999996</c:v>
                </c:pt>
                <c:pt idx="115">
                  <c:v>27.456000000000003</c:v>
                </c:pt>
                <c:pt idx="116">
                  <c:v>27.5777</c:v>
                </c:pt>
                <c:pt idx="117">
                  <c:v>27.767599999999998</c:v>
                </c:pt>
                <c:pt idx="118">
                  <c:v>27.954600000000003</c:v>
                </c:pt>
                <c:pt idx="119">
                  <c:v>28.067599999999999</c:v>
                </c:pt>
                <c:pt idx="120">
                  <c:v>28.209</c:v>
                </c:pt>
                <c:pt idx="121">
                  <c:v>28.324999999999999</c:v>
                </c:pt>
                <c:pt idx="122">
                  <c:v>28.360999999999997</c:v>
                </c:pt>
                <c:pt idx="123">
                  <c:v>28.351199999999999</c:v>
                </c:pt>
                <c:pt idx="124">
                  <c:v>28.324700000000004</c:v>
                </c:pt>
                <c:pt idx="125">
                  <c:v>28.317500000000003</c:v>
                </c:pt>
                <c:pt idx="126">
                  <c:v>28.310999999999996</c:v>
                </c:pt>
                <c:pt idx="127">
                  <c:v>28.341899999999999</c:v>
                </c:pt>
                <c:pt idx="128">
                  <c:v>28.310800000000004</c:v>
                </c:pt>
                <c:pt idx="129">
                  <c:v>28.2957</c:v>
                </c:pt>
                <c:pt idx="130">
                  <c:v>28.3354</c:v>
                </c:pt>
                <c:pt idx="131">
                  <c:v>28.377500000000001</c:v>
                </c:pt>
                <c:pt idx="132">
                  <c:v>28.428599999999999</c:v>
                </c:pt>
                <c:pt idx="133">
                  <c:v>28.475899999999999</c:v>
                </c:pt>
                <c:pt idx="134">
                  <c:v>28.548000000000002</c:v>
                </c:pt>
                <c:pt idx="135">
                  <c:v>28.559800000000003</c:v>
                </c:pt>
                <c:pt idx="136">
                  <c:v>28.569299999999998</c:v>
                </c:pt>
                <c:pt idx="137">
                  <c:v>28.674100000000003</c:v>
                </c:pt>
                <c:pt idx="138">
                  <c:v>28.9589</c:v>
                </c:pt>
                <c:pt idx="139">
                  <c:v>29.2456</c:v>
                </c:pt>
                <c:pt idx="140">
                  <c:v>29.5091</c:v>
                </c:pt>
                <c:pt idx="141">
                  <c:v>29.666500000000003</c:v>
                </c:pt>
                <c:pt idx="142">
                  <c:v>29.762799999999999</c:v>
                </c:pt>
                <c:pt idx="143">
                  <c:v>29.779299999999999</c:v>
                </c:pt>
                <c:pt idx="144">
                  <c:v>29.876799999999999</c:v>
                </c:pt>
                <c:pt idx="145">
                  <c:v>29.705300000000001</c:v>
                </c:pt>
                <c:pt idx="146">
                  <c:v>29.450199999999999</c:v>
                </c:pt>
                <c:pt idx="147">
                  <c:v>29.384700000000002</c:v>
                </c:pt>
                <c:pt idx="148">
                  <c:v>29.2165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3.2958700000000003</c:v>
                </c:pt>
                <c:pt idx="1">
                  <c:v>3.3802300000000001</c:v>
                </c:pt>
                <c:pt idx="2">
                  <c:v>3.4626800000000002</c:v>
                </c:pt>
                <c:pt idx="3">
                  <c:v>3.5436899999999998</c:v>
                </c:pt>
                <c:pt idx="4">
                  <c:v>3.6262499999999998</c:v>
                </c:pt>
                <c:pt idx="5">
                  <c:v>3.70689</c:v>
                </c:pt>
                <c:pt idx="6">
                  <c:v>3.7879</c:v>
                </c:pt>
                <c:pt idx="7">
                  <c:v>3.8651400000000002</c:v>
                </c:pt>
                <c:pt idx="8">
                  <c:v>3.9443899999999998</c:v>
                </c:pt>
                <c:pt idx="9">
                  <c:v>4.0222499999999997</c:v>
                </c:pt>
                <c:pt idx="10">
                  <c:v>4.0961999999999996</c:v>
                </c:pt>
                <c:pt idx="11">
                  <c:v>4.1648499999999995</c:v>
                </c:pt>
                <c:pt idx="12">
                  <c:v>4.2270799999999999</c:v>
                </c:pt>
                <c:pt idx="13">
                  <c:v>4.2857200000000004</c:v>
                </c:pt>
                <c:pt idx="14">
                  <c:v>4.34091</c:v>
                </c:pt>
                <c:pt idx="15">
                  <c:v>4.3917299999999999</c:v>
                </c:pt>
                <c:pt idx="16">
                  <c:v>4.4376300000000004</c:v>
                </c:pt>
                <c:pt idx="17">
                  <c:v>4.4817900000000002</c:v>
                </c:pt>
                <c:pt idx="18">
                  <c:v>4.5210900000000001</c:v>
                </c:pt>
                <c:pt idx="19">
                  <c:v>4.5542899999999999</c:v>
                </c:pt>
                <c:pt idx="20">
                  <c:v>4.5838000000000001</c:v>
                </c:pt>
                <c:pt idx="21">
                  <c:v>4.6088300000000002</c:v>
                </c:pt>
                <c:pt idx="22">
                  <c:v>4.6299799999999998</c:v>
                </c:pt>
                <c:pt idx="23">
                  <c:v>4.6483299999999996</c:v>
                </c:pt>
                <c:pt idx="24">
                  <c:v>4.66418</c:v>
                </c:pt>
                <c:pt idx="25">
                  <c:v>4.6787000000000001</c:v>
                </c:pt>
                <c:pt idx="26">
                  <c:v>4.6896900000000006</c:v>
                </c:pt>
                <c:pt idx="27">
                  <c:v>4.6958699999999993</c:v>
                </c:pt>
                <c:pt idx="28">
                  <c:v>4.6988700000000003</c:v>
                </c:pt>
                <c:pt idx="29">
                  <c:v>4.6969099999999999</c:v>
                </c:pt>
                <c:pt idx="30">
                  <c:v>4.6943900000000003</c:v>
                </c:pt>
                <c:pt idx="31">
                  <c:v>4.6893099999999999</c:v>
                </c:pt>
                <c:pt idx="32">
                  <c:v>4.6818900000000001</c:v>
                </c:pt>
                <c:pt idx="33">
                  <c:v>4.6676599999999997</c:v>
                </c:pt>
                <c:pt idx="34">
                  <c:v>4.6468799999999995</c:v>
                </c:pt>
                <c:pt idx="35">
                  <c:v>4.6251499999999997</c:v>
                </c:pt>
                <c:pt idx="36">
                  <c:v>4.6020699999999994</c:v>
                </c:pt>
                <c:pt idx="37">
                  <c:v>4.5811299999999999</c:v>
                </c:pt>
                <c:pt idx="38">
                  <c:v>4.5588699999999998</c:v>
                </c:pt>
                <c:pt idx="39">
                  <c:v>4.5365899999999995</c:v>
                </c:pt>
                <c:pt idx="40">
                  <c:v>4.5131199999999998</c:v>
                </c:pt>
                <c:pt idx="41">
                  <c:v>4.4871600000000003</c:v>
                </c:pt>
                <c:pt idx="42">
                  <c:v>4.4586199999999998</c:v>
                </c:pt>
                <c:pt idx="43">
                  <c:v>4.4276900000000001</c:v>
                </c:pt>
                <c:pt idx="44">
                  <c:v>4.3978200000000003</c:v>
                </c:pt>
                <c:pt idx="45">
                  <c:v>4.3669900000000004</c:v>
                </c:pt>
                <c:pt idx="46">
                  <c:v>4.3380400000000003</c:v>
                </c:pt>
                <c:pt idx="47">
                  <c:v>4.3078799999999999</c:v>
                </c:pt>
                <c:pt idx="48">
                  <c:v>4.2767600000000003</c:v>
                </c:pt>
                <c:pt idx="49">
                  <c:v>4.2455999999999996</c:v>
                </c:pt>
                <c:pt idx="50">
                  <c:v>4.2218299999999997</c:v>
                </c:pt>
                <c:pt idx="51">
                  <c:v>4.1903699999999997</c:v>
                </c:pt>
                <c:pt idx="52">
                  <c:v>4.1608800000000006</c:v>
                </c:pt>
                <c:pt idx="53">
                  <c:v>4.1305500000000004</c:v>
                </c:pt>
                <c:pt idx="54">
                  <c:v>4.0998099999999997</c:v>
                </c:pt>
                <c:pt idx="55">
                  <c:v>4.0655200000000002</c:v>
                </c:pt>
                <c:pt idx="56">
                  <c:v>4.0281099999999999</c:v>
                </c:pt>
                <c:pt idx="57">
                  <c:v>3.9918100000000001</c:v>
                </c:pt>
                <c:pt idx="58">
                  <c:v>3.9545300000000001</c:v>
                </c:pt>
                <c:pt idx="59">
                  <c:v>3.9200900000000001</c:v>
                </c:pt>
                <c:pt idx="60">
                  <c:v>3.8832</c:v>
                </c:pt>
                <c:pt idx="61">
                  <c:v>3.8488800000000003</c:v>
                </c:pt>
                <c:pt idx="62">
                  <c:v>3.8170100000000002</c:v>
                </c:pt>
                <c:pt idx="63">
                  <c:v>3.7868900000000001</c:v>
                </c:pt>
                <c:pt idx="64">
                  <c:v>3.7588100000000004</c:v>
                </c:pt>
                <c:pt idx="65">
                  <c:v>3.7368600000000001</c:v>
                </c:pt>
                <c:pt idx="66">
                  <c:v>3.7201200000000001</c:v>
                </c:pt>
                <c:pt idx="67">
                  <c:v>3.7073700000000001</c:v>
                </c:pt>
                <c:pt idx="68">
                  <c:v>3.69983</c:v>
                </c:pt>
                <c:pt idx="69">
                  <c:v>3.6949800000000002</c:v>
                </c:pt>
                <c:pt idx="70">
                  <c:v>3.69068</c:v>
                </c:pt>
                <c:pt idx="71">
                  <c:v>3.6920500000000001</c:v>
                </c:pt>
                <c:pt idx="72">
                  <c:v>3.6980499999999998</c:v>
                </c:pt>
                <c:pt idx="73">
                  <c:v>3.7037999999999998</c:v>
                </c:pt>
                <c:pt idx="74">
                  <c:v>3.7087199999999996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46.396100000000004</c:v>
                </c:pt>
                <c:pt idx="1">
                  <c:v>45.656100000000002</c:v>
                </c:pt>
                <c:pt idx="2">
                  <c:v>44.925699999999999</c:v>
                </c:pt>
                <c:pt idx="3">
                  <c:v>44.160600000000002</c:v>
                </c:pt>
                <c:pt idx="4">
                  <c:v>43.270299999999999</c:v>
                </c:pt>
                <c:pt idx="5">
                  <c:v>42.487299999999998</c:v>
                </c:pt>
                <c:pt idx="6">
                  <c:v>41.762500000000003</c:v>
                </c:pt>
                <c:pt idx="7">
                  <c:v>41.094000000000001</c:v>
                </c:pt>
                <c:pt idx="8">
                  <c:v>40.331000000000003</c:v>
                </c:pt>
                <c:pt idx="9">
                  <c:v>39.525799999999997</c:v>
                </c:pt>
                <c:pt idx="10">
                  <c:v>38.908500000000004</c:v>
                </c:pt>
                <c:pt idx="11">
                  <c:v>38.454000000000001</c:v>
                </c:pt>
                <c:pt idx="12">
                  <c:v>38.072600000000001</c:v>
                </c:pt>
                <c:pt idx="13">
                  <c:v>37.737500000000004</c:v>
                </c:pt>
                <c:pt idx="14">
                  <c:v>37.391500000000001</c:v>
                </c:pt>
                <c:pt idx="15">
                  <c:v>37.0914</c:v>
                </c:pt>
                <c:pt idx="16">
                  <c:v>36.742399999999996</c:v>
                </c:pt>
                <c:pt idx="17">
                  <c:v>36.396000000000001</c:v>
                </c:pt>
                <c:pt idx="18">
                  <c:v>35.9711</c:v>
                </c:pt>
                <c:pt idx="19">
                  <c:v>35.505299999999998</c:v>
                </c:pt>
                <c:pt idx="20">
                  <c:v>34.988799999999998</c:v>
                </c:pt>
                <c:pt idx="21">
                  <c:v>34.508200000000002</c:v>
                </c:pt>
                <c:pt idx="22">
                  <c:v>33.972200000000001</c:v>
                </c:pt>
                <c:pt idx="23">
                  <c:v>33.444400000000002</c:v>
                </c:pt>
                <c:pt idx="24">
                  <c:v>32.9071</c:v>
                </c:pt>
                <c:pt idx="25">
                  <c:v>32.401799999999994</c:v>
                </c:pt>
                <c:pt idx="26">
                  <c:v>31.905799999999999</c:v>
                </c:pt>
                <c:pt idx="27">
                  <c:v>31.418900000000001</c:v>
                </c:pt>
                <c:pt idx="28">
                  <c:v>30.993600000000001</c:v>
                </c:pt>
                <c:pt idx="29">
                  <c:v>30.650699999999997</c:v>
                </c:pt>
                <c:pt idx="30">
                  <c:v>30.344100000000001</c:v>
                </c:pt>
                <c:pt idx="31">
                  <c:v>30.098700000000001</c:v>
                </c:pt>
                <c:pt idx="32">
                  <c:v>29.897500000000001</c:v>
                </c:pt>
                <c:pt idx="33">
                  <c:v>29.811900000000001</c:v>
                </c:pt>
                <c:pt idx="34">
                  <c:v>29.817599999999999</c:v>
                </c:pt>
                <c:pt idx="35">
                  <c:v>29.852899999999998</c:v>
                </c:pt>
                <c:pt idx="36">
                  <c:v>29.877599999999997</c:v>
                </c:pt>
                <c:pt idx="37">
                  <c:v>29.876300000000001</c:v>
                </c:pt>
                <c:pt idx="38">
                  <c:v>29.9298</c:v>
                </c:pt>
                <c:pt idx="39">
                  <c:v>29.974600000000002</c:v>
                </c:pt>
                <c:pt idx="40">
                  <c:v>29.961600000000001</c:v>
                </c:pt>
                <c:pt idx="41">
                  <c:v>29.951499999999996</c:v>
                </c:pt>
                <c:pt idx="42">
                  <c:v>29.9786</c:v>
                </c:pt>
                <c:pt idx="43">
                  <c:v>29.965599999999998</c:v>
                </c:pt>
                <c:pt idx="44">
                  <c:v>29.963299999999997</c:v>
                </c:pt>
                <c:pt idx="45">
                  <c:v>30.023199999999999</c:v>
                </c:pt>
                <c:pt idx="46">
                  <c:v>30.051200000000001</c:v>
                </c:pt>
                <c:pt idx="47">
                  <c:v>30.090899999999998</c:v>
                </c:pt>
                <c:pt idx="48">
                  <c:v>30.088199999999997</c:v>
                </c:pt>
                <c:pt idx="49">
                  <c:v>30.144100000000002</c:v>
                </c:pt>
                <c:pt idx="50">
                  <c:v>30.271999999999998</c:v>
                </c:pt>
                <c:pt idx="51">
                  <c:v>30.333500000000001</c:v>
                </c:pt>
                <c:pt idx="52">
                  <c:v>30.377300000000002</c:v>
                </c:pt>
                <c:pt idx="53">
                  <c:v>30.402899999999999</c:v>
                </c:pt>
                <c:pt idx="54">
                  <c:v>30.361500000000003</c:v>
                </c:pt>
                <c:pt idx="55">
                  <c:v>30.358600000000003</c:v>
                </c:pt>
                <c:pt idx="56">
                  <c:v>30.430900000000001</c:v>
                </c:pt>
                <c:pt idx="57">
                  <c:v>30.497600000000002</c:v>
                </c:pt>
                <c:pt idx="58">
                  <c:v>30.529800000000002</c:v>
                </c:pt>
                <c:pt idx="59">
                  <c:v>30.496499999999997</c:v>
                </c:pt>
                <c:pt idx="60">
                  <c:v>30.471299999999999</c:v>
                </c:pt>
                <c:pt idx="61">
                  <c:v>30.470399999999998</c:v>
                </c:pt>
                <c:pt idx="62">
                  <c:v>30.576599999999999</c:v>
                </c:pt>
                <c:pt idx="63">
                  <c:v>30.6739</c:v>
                </c:pt>
                <c:pt idx="64">
                  <c:v>30.863400000000002</c:v>
                </c:pt>
                <c:pt idx="65">
                  <c:v>31.018600000000003</c:v>
                </c:pt>
                <c:pt idx="66">
                  <c:v>31.110500000000002</c:v>
                </c:pt>
                <c:pt idx="67">
                  <c:v>31.124499999999998</c:v>
                </c:pt>
                <c:pt idx="68">
                  <c:v>31.119200000000003</c:v>
                </c:pt>
                <c:pt idx="69">
                  <c:v>31.044599999999999</c:v>
                </c:pt>
                <c:pt idx="70">
                  <c:v>30.992399999999996</c:v>
                </c:pt>
                <c:pt idx="71">
                  <c:v>30.819999999999997</c:v>
                </c:pt>
                <c:pt idx="72">
                  <c:v>30.5913</c:v>
                </c:pt>
                <c:pt idx="73">
                  <c:v>30.395100000000003</c:v>
                </c:pt>
                <c:pt idx="74">
                  <c:v>30.1327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3.7087199999999996</c:v>
                </c:pt>
                <c:pt idx="1">
                  <c:v>3.7143900000000003</c:v>
                </c:pt>
                <c:pt idx="2">
                  <c:v>3.7178800000000001</c:v>
                </c:pt>
                <c:pt idx="3">
                  <c:v>3.7219799999999998</c:v>
                </c:pt>
                <c:pt idx="4">
                  <c:v>3.7257400000000001</c:v>
                </c:pt>
                <c:pt idx="5">
                  <c:v>3.7274099999999999</c:v>
                </c:pt>
                <c:pt idx="6">
                  <c:v>3.7290899999999998</c:v>
                </c:pt>
                <c:pt idx="7">
                  <c:v>3.7286399999999995</c:v>
                </c:pt>
                <c:pt idx="8">
                  <c:v>3.7281900000000001</c:v>
                </c:pt>
                <c:pt idx="9">
                  <c:v>3.7291000000000003</c:v>
                </c:pt>
                <c:pt idx="10">
                  <c:v>3.7330700000000001</c:v>
                </c:pt>
                <c:pt idx="11">
                  <c:v>3.7345000000000002</c:v>
                </c:pt>
                <c:pt idx="12">
                  <c:v>3.7326799999999998</c:v>
                </c:pt>
                <c:pt idx="13">
                  <c:v>3.72818</c:v>
                </c:pt>
                <c:pt idx="14">
                  <c:v>3.7199999999999998</c:v>
                </c:pt>
                <c:pt idx="15">
                  <c:v>3.7072500000000002</c:v>
                </c:pt>
                <c:pt idx="16">
                  <c:v>3.69184</c:v>
                </c:pt>
                <c:pt idx="17">
                  <c:v>3.6773600000000002</c:v>
                </c:pt>
                <c:pt idx="18">
                  <c:v>3.6623600000000001</c:v>
                </c:pt>
                <c:pt idx="19">
                  <c:v>3.6453200000000003</c:v>
                </c:pt>
                <c:pt idx="20">
                  <c:v>3.6301000000000001</c:v>
                </c:pt>
                <c:pt idx="21">
                  <c:v>3.6170299999999997</c:v>
                </c:pt>
                <c:pt idx="22">
                  <c:v>3.6019299999999999</c:v>
                </c:pt>
                <c:pt idx="23">
                  <c:v>3.5902099999999999</c:v>
                </c:pt>
                <c:pt idx="24">
                  <c:v>3.5813000000000001</c:v>
                </c:pt>
                <c:pt idx="25">
                  <c:v>3.5753400000000002</c:v>
                </c:pt>
                <c:pt idx="26">
                  <c:v>3.5718199999999998</c:v>
                </c:pt>
                <c:pt idx="27">
                  <c:v>3.5694300000000001</c:v>
                </c:pt>
                <c:pt idx="28">
                  <c:v>3.5676700000000001</c:v>
                </c:pt>
                <c:pt idx="29">
                  <c:v>3.5652200000000001</c:v>
                </c:pt>
                <c:pt idx="30">
                  <c:v>3.5665799999999996</c:v>
                </c:pt>
                <c:pt idx="31">
                  <c:v>3.5709800000000005</c:v>
                </c:pt>
                <c:pt idx="32">
                  <c:v>3.5792800000000002</c:v>
                </c:pt>
                <c:pt idx="33">
                  <c:v>3.5882900000000002</c:v>
                </c:pt>
                <c:pt idx="34">
                  <c:v>3.5962899999999998</c:v>
                </c:pt>
                <c:pt idx="35">
                  <c:v>3.6048</c:v>
                </c:pt>
                <c:pt idx="36">
                  <c:v>3.6123699999999999</c:v>
                </c:pt>
                <c:pt idx="37">
                  <c:v>3.6166999999999998</c:v>
                </c:pt>
                <c:pt idx="38">
                  <c:v>3.6204499999999999</c:v>
                </c:pt>
                <c:pt idx="39">
                  <c:v>3.62216</c:v>
                </c:pt>
                <c:pt idx="40">
                  <c:v>3.6255199999999999</c:v>
                </c:pt>
                <c:pt idx="41">
                  <c:v>3.6295100000000002</c:v>
                </c:pt>
                <c:pt idx="42">
                  <c:v>3.6337199999999998</c:v>
                </c:pt>
                <c:pt idx="43">
                  <c:v>3.6369600000000002</c:v>
                </c:pt>
                <c:pt idx="44">
                  <c:v>3.64439</c:v>
                </c:pt>
                <c:pt idx="45">
                  <c:v>3.6547099999999997</c:v>
                </c:pt>
                <c:pt idx="46">
                  <c:v>3.6644500000000004</c:v>
                </c:pt>
                <c:pt idx="47">
                  <c:v>3.6737599999999997</c:v>
                </c:pt>
                <c:pt idx="48">
                  <c:v>3.6863200000000003</c:v>
                </c:pt>
                <c:pt idx="49">
                  <c:v>3.7011500000000002</c:v>
                </c:pt>
                <c:pt idx="50">
                  <c:v>3.7107800000000002</c:v>
                </c:pt>
                <c:pt idx="51">
                  <c:v>3.7124800000000002</c:v>
                </c:pt>
                <c:pt idx="52">
                  <c:v>3.7143100000000002</c:v>
                </c:pt>
                <c:pt idx="53">
                  <c:v>3.7158000000000002</c:v>
                </c:pt>
                <c:pt idx="54">
                  <c:v>3.71929</c:v>
                </c:pt>
                <c:pt idx="55">
                  <c:v>3.7225399999999995</c:v>
                </c:pt>
                <c:pt idx="56">
                  <c:v>3.7244100000000002</c:v>
                </c:pt>
                <c:pt idx="57">
                  <c:v>3.7241400000000002</c:v>
                </c:pt>
                <c:pt idx="58">
                  <c:v>3.7233300000000003</c:v>
                </c:pt>
                <c:pt idx="59">
                  <c:v>3.7225999999999999</c:v>
                </c:pt>
                <c:pt idx="60">
                  <c:v>3.7192500000000002</c:v>
                </c:pt>
                <c:pt idx="61">
                  <c:v>3.7193300000000002</c:v>
                </c:pt>
                <c:pt idx="62">
                  <c:v>3.7271199999999998</c:v>
                </c:pt>
                <c:pt idx="63">
                  <c:v>3.73821</c:v>
                </c:pt>
                <c:pt idx="64">
                  <c:v>3.7579200000000004</c:v>
                </c:pt>
                <c:pt idx="65">
                  <c:v>3.7791700000000001</c:v>
                </c:pt>
                <c:pt idx="66">
                  <c:v>3.80247</c:v>
                </c:pt>
                <c:pt idx="67">
                  <c:v>3.8247799999999996</c:v>
                </c:pt>
                <c:pt idx="68">
                  <c:v>3.85283</c:v>
                </c:pt>
                <c:pt idx="69">
                  <c:v>3.8804400000000001</c:v>
                </c:pt>
                <c:pt idx="70">
                  <c:v>3.9036999999999997</c:v>
                </c:pt>
                <c:pt idx="71">
                  <c:v>3.92788</c:v>
                </c:pt>
                <c:pt idx="72">
                  <c:v>3.9644400000000002</c:v>
                </c:pt>
                <c:pt idx="73">
                  <c:v>3.99735</c:v>
                </c:pt>
                <c:pt idx="74">
                  <c:v>4.0456900000000005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30.1327</c:v>
                </c:pt>
                <c:pt idx="1">
                  <c:v>29.795400000000001</c:v>
                </c:pt>
                <c:pt idx="2">
                  <c:v>29.549300000000002</c:v>
                </c:pt>
                <c:pt idx="3">
                  <c:v>29.247899999999998</c:v>
                </c:pt>
                <c:pt idx="4">
                  <c:v>28.934500000000003</c:v>
                </c:pt>
                <c:pt idx="5">
                  <c:v>28.64</c:v>
                </c:pt>
                <c:pt idx="6">
                  <c:v>28.301900000000003</c:v>
                </c:pt>
                <c:pt idx="7">
                  <c:v>27.9453</c:v>
                </c:pt>
                <c:pt idx="8">
                  <c:v>27.566200000000002</c:v>
                </c:pt>
                <c:pt idx="9">
                  <c:v>27.204499999999999</c:v>
                </c:pt>
                <c:pt idx="10">
                  <c:v>26.817400000000003</c:v>
                </c:pt>
                <c:pt idx="11">
                  <c:v>26.469700000000003</c:v>
                </c:pt>
                <c:pt idx="12">
                  <c:v>26.1191</c:v>
                </c:pt>
                <c:pt idx="13">
                  <c:v>25.795200000000001</c:v>
                </c:pt>
                <c:pt idx="14">
                  <c:v>25.4739</c:v>
                </c:pt>
                <c:pt idx="15">
                  <c:v>25.145499999999998</c:v>
                </c:pt>
                <c:pt idx="16">
                  <c:v>24.883199999999999</c:v>
                </c:pt>
                <c:pt idx="17">
                  <c:v>24.680800000000001</c:v>
                </c:pt>
                <c:pt idx="18">
                  <c:v>24.489900000000002</c:v>
                </c:pt>
                <c:pt idx="19">
                  <c:v>24.366599999999998</c:v>
                </c:pt>
                <c:pt idx="20">
                  <c:v>24.284600000000001</c:v>
                </c:pt>
                <c:pt idx="21">
                  <c:v>24.286899999999999</c:v>
                </c:pt>
                <c:pt idx="22">
                  <c:v>24.397300000000001</c:v>
                </c:pt>
                <c:pt idx="23">
                  <c:v>24.5093</c:v>
                </c:pt>
                <c:pt idx="24">
                  <c:v>24.6553</c:v>
                </c:pt>
                <c:pt idx="25">
                  <c:v>24.834199999999999</c:v>
                </c:pt>
                <c:pt idx="26">
                  <c:v>24.970400000000001</c:v>
                </c:pt>
                <c:pt idx="27">
                  <c:v>25.114999999999998</c:v>
                </c:pt>
                <c:pt idx="28">
                  <c:v>25.248799999999999</c:v>
                </c:pt>
                <c:pt idx="29">
                  <c:v>25.458199999999998</c:v>
                </c:pt>
                <c:pt idx="30">
                  <c:v>25.658999999999999</c:v>
                </c:pt>
                <c:pt idx="31">
                  <c:v>25.821100000000001</c:v>
                </c:pt>
                <c:pt idx="32">
                  <c:v>25.995200000000001</c:v>
                </c:pt>
                <c:pt idx="33">
                  <c:v>26.200200000000002</c:v>
                </c:pt>
                <c:pt idx="34">
                  <c:v>26.413199999999996</c:v>
                </c:pt>
                <c:pt idx="35">
                  <c:v>26.630700000000001</c:v>
                </c:pt>
                <c:pt idx="36">
                  <c:v>26.877299999999998</c:v>
                </c:pt>
                <c:pt idx="37">
                  <c:v>27.110400000000002</c:v>
                </c:pt>
                <c:pt idx="38">
                  <c:v>27.256799999999998</c:v>
                </c:pt>
                <c:pt idx="39">
                  <c:v>27.312999999999999</c:v>
                </c:pt>
                <c:pt idx="40">
                  <c:v>27.387299999999996</c:v>
                </c:pt>
                <c:pt idx="41">
                  <c:v>27.456000000000003</c:v>
                </c:pt>
                <c:pt idx="42">
                  <c:v>27.5777</c:v>
                </c:pt>
                <c:pt idx="43">
                  <c:v>27.767599999999998</c:v>
                </c:pt>
                <c:pt idx="44">
                  <c:v>27.954600000000003</c:v>
                </c:pt>
                <c:pt idx="45">
                  <c:v>28.067599999999999</c:v>
                </c:pt>
                <c:pt idx="46">
                  <c:v>28.209</c:v>
                </c:pt>
                <c:pt idx="47">
                  <c:v>28.324999999999999</c:v>
                </c:pt>
                <c:pt idx="48">
                  <c:v>28.360999999999997</c:v>
                </c:pt>
                <c:pt idx="49">
                  <c:v>28.351199999999999</c:v>
                </c:pt>
                <c:pt idx="50">
                  <c:v>28.324700000000004</c:v>
                </c:pt>
                <c:pt idx="51">
                  <c:v>28.317500000000003</c:v>
                </c:pt>
                <c:pt idx="52">
                  <c:v>28.310999999999996</c:v>
                </c:pt>
                <c:pt idx="53">
                  <c:v>28.341899999999999</c:v>
                </c:pt>
                <c:pt idx="54">
                  <c:v>28.310800000000004</c:v>
                </c:pt>
                <c:pt idx="55">
                  <c:v>28.2957</c:v>
                </c:pt>
                <c:pt idx="56">
                  <c:v>28.3354</c:v>
                </c:pt>
                <c:pt idx="57">
                  <c:v>28.377500000000001</c:v>
                </c:pt>
                <c:pt idx="58">
                  <c:v>28.428599999999999</c:v>
                </c:pt>
                <c:pt idx="59">
                  <c:v>28.475899999999999</c:v>
                </c:pt>
                <c:pt idx="60">
                  <c:v>28.548000000000002</c:v>
                </c:pt>
                <c:pt idx="61">
                  <c:v>28.559800000000003</c:v>
                </c:pt>
                <c:pt idx="62">
                  <c:v>28.569299999999998</c:v>
                </c:pt>
                <c:pt idx="63">
                  <c:v>28.674100000000003</c:v>
                </c:pt>
                <c:pt idx="64">
                  <c:v>28.9589</c:v>
                </c:pt>
                <c:pt idx="65">
                  <c:v>29.2456</c:v>
                </c:pt>
                <c:pt idx="66">
                  <c:v>29.5091</c:v>
                </c:pt>
                <c:pt idx="67">
                  <c:v>29.666500000000003</c:v>
                </c:pt>
                <c:pt idx="68">
                  <c:v>29.762799999999999</c:v>
                </c:pt>
                <c:pt idx="69">
                  <c:v>29.779299999999999</c:v>
                </c:pt>
                <c:pt idx="70">
                  <c:v>29.876799999999999</c:v>
                </c:pt>
                <c:pt idx="71">
                  <c:v>29.705300000000001</c:v>
                </c:pt>
                <c:pt idx="72">
                  <c:v>29.450199999999999</c:v>
                </c:pt>
                <c:pt idx="73">
                  <c:v>29.384700000000002</c:v>
                </c:pt>
                <c:pt idx="74">
                  <c:v>29.2165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4.1896944594594592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33.298686486486496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3.6952258108108116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27.395436486486481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3.6952258108108116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27.395436486486481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0.14972915233271133</c:v>
                </c:pt>
                <c:pt idx="1">
                  <c:v>0.37599460247122185</c:v>
                </c:pt>
                <c:pt idx="2">
                  <c:v>0.47427624519606681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0.373892</c:v>
                </c:pt>
                <c:pt idx="2">
                  <c:v>0.78367200000000004</c:v>
                </c:pt>
                <c:pt idx="3">
                  <c:v>1.1856899999999999</c:v>
                </c:pt>
                <c:pt idx="4">
                  <c:v>1.59213</c:v>
                </c:pt>
                <c:pt idx="5">
                  <c:v>1.99823</c:v>
                </c:pt>
                <c:pt idx="6">
                  <c:v>2.4036300000000002</c:v>
                </c:pt>
                <c:pt idx="7">
                  <c:v>2.8147799999999998</c:v>
                </c:pt>
                <c:pt idx="8">
                  <c:v>3.21834</c:v>
                </c:pt>
                <c:pt idx="9">
                  <c:v>3.6246900000000002</c:v>
                </c:pt>
                <c:pt idx="10">
                  <c:v>4.0308299999999999</c:v>
                </c:pt>
                <c:pt idx="11">
                  <c:v>4.4373399999999998</c:v>
                </c:pt>
                <c:pt idx="12">
                  <c:v>4.8415800000000004</c:v>
                </c:pt>
                <c:pt idx="13">
                  <c:v>5.2527499999999998</c:v>
                </c:pt>
                <c:pt idx="14">
                  <c:v>5.6581000000000001</c:v>
                </c:pt>
                <c:pt idx="15">
                  <c:v>6.0613299999999999</c:v>
                </c:pt>
                <c:pt idx="16">
                  <c:v>6.4678000000000004</c:v>
                </c:pt>
                <c:pt idx="17">
                  <c:v>6.8768099999999999</c:v>
                </c:pt>
                <c:pt idx="18">
                  <c:v>7.2812299999999999</c:v>
                </c:pt>
                <c:pt idx="19">
                  <c:v>7.6865300000000003</c:v>
                </c:pt>
                <c:pt idx="20">
                  <c:v>8.0901499999999995</c:v>
                </c:pt>
                <c:pt idx="21">
                  <c:v>8.4991900000000005</c:v>
                </c:pt>
                <c:pt idx="22">
                  <c:v>8.9078499999999998</c:v>
                </c:pt>
                <c:pt idx="23">
                  <c:v>9.31419</c:v>
                </c:pt>
                <c:pt idx="24">
                  <c:v>9.7174200000000006</c:v>
                </c:pt>
                <c:pt idx="25">
                  <c:v>10.1233</c:v>
                </c:pt>
                <c:pt idx="26">
                  <c:v>10.528700000000001</c:v>
                </c:pt>
                <c:pt idx="27">
                  <c:v>10.9383</c:v>
                </c:pt>
                <c:pt idx="28">
                  <c:v>11.343</c:v>
                </c:pt>
                <c:pt idx="29">
                  <c:v>11.7498</c:v>
                </c:pt>
                <c:pt idx="30">
                  <c:v>12.1546</c:v>
                </c:pt>
                <c:pt idx="31">
                  <c:v>12.5648</c:v>
                </c:pt>
                <c:pt idx="32">
                  <c:v>12.9679</c:v>
                </c:pt>
                <c:pt idx="33">
                  <c:v>13.3767</c:v>
                </c:pt>
                <c:pt idx="34">
                  <c:v>13.7822</c:v>
                </c:pt>
                <c:pt idx="35">
                  <c:v>14.186500000000001</c:v>
                </c:pt>
                <c:pt idx="36">
                  <c:v>14.592599999999999</c:v>
                </c:pt>
                <c:pt idx="37">
                  <c:v>14.9993</c:v>
                </c:pt>
                <c:pt idx="38">
                  <c:v>15.407999999999999</c:v>
                </c:pt>
                <c:pt idx="39">
                  <c:v>15.8118</c:v>
                </c:pt>
                <c:pt idx="40">
                  <c:v>16.217300000000002</c:v>
                </c:pt>
                <c:pt idx="41">
                  <c:v>16.622499999999999</c:v>
                </c:pt>
                <c:pt idx="42">
                  <c:v>17.031099999999999</c:v>
                </c:pt>
                <c:pt idx="43">
                  <c:v>17.437899999999999</c:v>
                </c:pt>
                <c:pt idx="44">
                  <c:v>17.847000000000001</c:v>
                </c:pt>
                <c:pt idx="45">
                  <c:v>18.248899999999999</c:v>
                </c:pt>
                <c:pt idx="46">
                  <c:v>18.654699999999998</c:v>
                </c:pt>
                <c:pt idx="47">
                  <c:v>19.063300000000002</c:v>
                </c:pt>
                <c:pt idx="48">
                  <c:v>19.467600000000001</c:v>
                </c:pt>
                <c:pt idx="49">
                  <c:v>19.876100000000001</c:v>
                </c:pt>
                <c:pt idx="50">
                  <c:v>20.280100000000001</c:v>
                </c:pt>
                <c:pt idx="51">
                  <c:v>20.6858</c:v>
                </c:pt>
                <c:pt idx="52">
                  <c:v>21.091100000000001</c:v>
                </c:pt>
                <c:pt idx="53">
                  <c:v>21.498699999999999</c:v>
                </c:pt>
                <c:pt idx="54">
                  <c:v>21.905000000000001</c:v>
                </c:pt>
                <c:pt idx="55">
                  <c:v>22.3125</c:v>
                </c:pt>
                <c:pt idx="56">
                  <c:v>22.720199999999998</c:v>
                </c:pt>
                <c:pt idx="57">
                  <c:v>23.126899999999999</c:v>
                </c:pt>
                <c:pt idx="58">
                  <c:v>23.528700000000001</c:v>
                </c:pt>
                <c:pt idx="59">
                  <c:v>23.936900000000001</c:v>
                </c:pt>
                <c:pt idx="60">
                  <c:v>24.340599999999998</c:v>
                </c:pt>
                <c:pt idx="61">
                  <c:v>24.7514</c:v>
                </c:pt>
                <c:pt idx="62">
                  <c:v>25.157</c:v>
                </c:pt>
                <c:pt idx="63">
                  <c:v>25.5609</c:v>
                </c:pt>
                <c:pt idx="64">
                  <c:v>25.970199999999998</c:v>
                </c:pt>
                <c:pt idx="65">
                  <c:v>26.3749</c:v>
                </c:pt>
                <c:pt idx="66">
                  <c:v>26.7837</c:v>
                </c:pt>
                <c:pt idx="67">
                  <c:v>27.188099999999999</c:v>
                </c:pt>
                <c:pt idx="68">
                  <c:v>27.591999999999999</c:v>
                </c:pt>
                <c:pt idx="69">
                  <c:v>27.998100000000001</c:v>
                </c:pt>
                <c:pt idx="70">
                  <c:v>28.404699999999998</c:v>
                </c:pt>
                <c:pt idx="71">
                  <c:v>28.813199999999998</c:v>
                </c:pt>
                <c:pt idx="72">
                  <c:v>29.219899999999999</c:v>
                </c:pt>
                <c:pt idx="73">
                  <c:v>29.622699999999998</c:v>
                </c:pt>
                <c:pt idx="74">
                  <c:v>30.031600000000001</c:v>
                </c:pt>
                <c:pt idx="75">
                  <c:v>30.6233</c:v>
                </c:pt>
                <c:pt idx="76">
                  <c:v>30.997900000000001</c:v>
                </c:pt>
                <c:pt idx="77">
                  <c:v>31.3736</c:v>
                </c:pt>
                <c:pt idx="78">
                  <c:v>31.748799999999999</c:v>
                </c:pt>
                <c:pt idx="79">
                  <c:v>32.1248</c:v>
                </c:pt>
                <c:pt idx="80">
                  <c:v>32.530700000000003</c:v>
                </c:pt>
                <c:pt idx="81">
                  <c:v>32.938099999999999</c:v>
                </c:pt>
                <c:pt idx="82">
                  <c:v>33.345100000000002</c:v>
                </c:pt>
                <c:pt idx="83">
                  <c:v>33.7498</c:v>
                </c:pt>
                <c:pt idx="84">
                  <c:v>34.154899999999998</c:v>
                </c:pt>
                <c:pt idx="85">
                  <c:v>34.561700000000002</c:v>
                </c:pt>
                <c:pt idx="86">
                  <c:v>34.968800000000002</c:v>
                </c:pt>
                <c:pt idx="87">
                  <c:v>35.376800000000003</c:v>
                </c:pt>
                <c:pt idx="88">
                  <c:v>35.781599999999997</c:v>
                </c:pt>
                <c:pt idx="89">
                  <c:v>36.186199999999999</c:v>
                </c:pt>
                <c:pt idx="90">
                  <c:v>36.595599999999997</c:v>
                </c:pt>
                <c:pt idx="91">
                  <c:v>37.000799999999998</c:v>
                </c:pt>
                <c:pt idx="92">
                  <c:v>37.407699999999998</c:v>
                </c:pt>
                <c:pt idx="93">
                  <c:v>37.813200000000002</c:v>
                </c:pt>
                <c:pt idx="94">
                  <c:v>38.216500000000003</c:v>
                </c:pt>
                <c:pt idx="95">
                  <c:v>38.622900000000001</c:v>
                </c:pt>
                <c:pt idx="96">
                  <c:v>39.031599999999997</c:v>
                </c:pt>
                <c:pt idx="97">
                  <c:v>39.4373</c:v>
                </c:pt>
                <c:pt idx="98">
                  <c:v>39.842700000000001</c:v>
                </c:pt>
                <c:pt idx="99">
                  <c:v>40.249200000000002</c:v>
                </c:pt>
                <c:pt idx="100">
                  <c:v>40.655700000000003</c:v>
                </c:pt>
                <c:pt idx="101">
                  <c:v>41.0608</c:v>
                </c:pt>
                <c:pt idx="102">
                  <c:v>41.470799999999997</c:v>
                </c:pt>
                <c:pt idx="103">
                  <c:v>41.875500000000002</c:v>
                </c:pt>
                <c:pt idx="104">
                  <c:v>42.281199999999998</c:v>
                </c:pt>
                <c:pt idx="105">
                  <c:v>42.685699999999997</c:v>
                </c:pt>
                <c:pt idx="106">
                  <c:v>43.090899999999998</c:v>
                </c:pt>
                <c:pt idx="107">
                  <c:v>43.499600000000001</c:v>
                </c:pt>
                <c:pt idx="108">
                  <c:v>43.906999999999996</c:v>
                </c:pt>
                <c:pt idx="109">
                  <c:v>44.314100000000003</c:v>
                </c:pt>
                <c:pt idx="110">
                  <c:v>44.716299999999997</c:v>
                </c:pt>
                <c:pt idx="111">
                  <c:v>45.128399999999999</c:v>
                </c:pt>
                <c:pt idx="112">
                  <c:v>45.529800000000002</c:v>
                </c:pt>
                <c:pt idx="113">
                  <c:v>45.939100000000003</c:v>
                </c:pt>
                <c:pt idx="114">
                  <c:v>46.344099999999997</c:v>
                </c:pt>
                <c:pt idx="115">
                  <c:v>46.751899999999999</c:v>
                </c:pt>
                <c:pt idx="116">
                  <c:v>47.1571</c:v>
                </c:pt>
                <c:pt idx="117">
                  <c:v>47.560400000000001</c:v>
                </c:pt>
                <c:pt idx="118">
                  <c:v>47.9679</c:v>
                </c:pt>
                <c:pt idx="119">
                  <c:v>48.375300000000003</c:v>
                </c:pt>
                <c:pt idx="120">
                  <c:v>48.7819</c:v>
                </c:pt>
                <c:pt idx="121">
                  <c:v>49.188800000000001</c:v>
                </c:pt>
                <c:pt idx="122">
                  <c:v>49.594900000000003</c:v>
                </c:pt>
                <c:pt idx="123">
                  <c:v>49.997199999999999</c:v>
                </c:pt>
                <c:pt idx="124">
                  <c:v>50.4054</c:v>
                </c:pt>
                <c:pt idx="125">
                  <c:v>50.813099999999999</c:v>
                </c:pt>
                <c:pt idx="126">
                  <c:v>51.218800000000002</c:v>
                </c:pt>
                <c:pt idx="127">
                  <c:v>51.6252</c:v>
                </c:pt>
                <c:pt idx="128">
                  <c:v>52.0274</c:v>
                </c:pt>
                <c:pt idx="129">
                  <c:v>52.436199999999999</c:v>
                </c:pt>
                <c:pt idx="130">
                  <c:v>52.845199999999998</c:v>
                </c:pt>
                <c:pt idx="131">
                  <c:v>53.2483</c:v>
                </c:pt>
                <c:pt idx="132">
                  <c:v>53.653799999999997</c:v>
                </c:pt>
                <c:pt idx="133">
                  <c:v>54.060200000000002</c:v>
                </c:pt>
                <c:pt idx="134">
                  <c:v>54.467300000000002</c:v>
                </c:pt>
                <c:pt idx="135">
                  <c:v>54.874899999999997</c:v>
                </c:pt>
                <c:pt idx="136">
                  <c:v>55.281199999999998</c:v>
                </c:pt>
                <c:pt idx="137">
                  <c:v>55.69</c:v>
                </c:pt>
                <c:pt idx="138">
                  <c:v>56.092599999999997</c:v>
                </c:pt>
                <c:pt idx="139">
                  <c:v>56.499400000000001</c:v>
                </c:pt>
                <c:pt idx="140">
                  <c:v>56.908499999999997</c:v>
                </c:pt>
                <c:pt idx="141">
                  <c:v>57.310099999999998</c:v>
                </c:pt>
                <c:pt idx="142">
                  <c:v>57.721699999999998</c:v>
                </c:pt>
                <c:pt idx="143">
                  <c:v>58.124400000000001</c:v>
                </c:pt>
                <c:pt idx="144">
                  <c:v>58.529800000000002</c:v>
                </c:pt>
                <c:pt idx="145">
                  <c:v>58.939300000000003</c:v>
                </c:pt>
                <c:pt idx="146">
                  <c:v>59.345199999999998</c:v>
                </c:pt>
                <c:pt idx="147">
                  <c:v>59.750300000000003</c:v>
                </c:pt>
                <c:pt idx="148">
                  <c:v>60.154000000000003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3.2958700000000003</c:v>
                </c:pt>
                <c:pt idx="1">
                  <c:v>3.3802300000000001</c:v>
                </c:pt>
                <c:pt idx="2">
                  <c:v>3.4626800000000002</c:v>
                </c:pt>
                <c:pt idx="3">
                  <c:v>3.5436899999999998</c:v>
                </c:pt>
                <c:pt idx="4">
                  <c:v>3.6262499999999998</c:v>
                </c:pt>
                <c:pt idx="5">
                  <c:v>3.70689</c:v>
                </c:pt>
                <c:pt idx="6">
                  <c:v>3.7879</c:v>
                </c:pt>
                <c:pt idx="7">
                  <c:v>3.8651400000000002</c:v>
                </c:pt>
                <c:pt idx="8">
                  <c:v>3.9443899999999998</c:v>
                </c:pt>
                <c:pt idx="9">
                  <c:v>4.0222499999999997</c:v>
                </c:pt>
                <c:pt idx="10">
                  <c:v>4.0961999999999996</c:v>
                </c:pt>
                <c:pt idx="11">
                  <c:v>4.1648499999999995</c:v>
                </c:pt>
                <c:pt idx="12">
                  <c:v>4.2270799999999999</c:v>
                </c:pt>
                <c:pt idx="13">
                  <c:v>4.2857200000000004</c:v>
                </c:pt>
                <c:pt idx="14">
                  <c:v>4.34091</c:v>
                </c:pt>
                <c:pt idx="15">
                  <c:v>4.3917299999999999</c:v>
                </c:pt>
                <c:pt idx="16">
                  <c:v>4.4376300000000004</c:v>
                </c:pt>
                <c:pt idx="17">
                  <c:v>4.4817900000000002</c:v>
                </c:pt>
                <c:pt idx="18">
                  <c:v>4.5210900000000001</c:v>
                </c:pt>
                <c:pt idx="19">
                  <c:v>4.5542899999999999</c:v>
                </c:pt>
                <c:pt idx="20">
                  <c:v>4.5838000000000001</c:v>
                </c:pt>
                <c:pt idx="21">
                  <c:v>4.6088300000000002</c:v>
                </c:pt>
                <c:pt idx="22">
                  <c:v>4.6299799999999998</c:v>
                </c:pt>
                <c:pt idx="23">
                  <c:v>4.6483299999999996</c:v>
                </c:pt>
                <c:pt idx="24">
                  <c:v>4.66418</c:v>
                </c:pt>
                <c:pt idx="25">
                  <c:v>4.6787000000000001</c:v>
                </c:pt>
                <c:pt idx="26">
                  <c:v>4.6896900000000006</c:v>
                </c:pt>
                <c:pt idx="27">
                  <c:v>4.6958699999999993</c:v>
                </c:pt>
                <c:pt idx="28">
                  <c:v>4.6988700000000003</c:v>
                </c:pt>
                <c:pt idx="29">
                  <c:v>4.6969099999999999</c:v>
                </c:pt>
                <c:pt idx="30">
                  <c:v>4.6943900000000003</c:v>
                </c:pt>
                <c:pt idx="31">
                  <c:v>4.6893099999999999</c:v>
                </c:pt>
                <c:pt idx="32">
                  <c:v>4.6818900000000001</c:v>
                </c:pt>
                <c:pt idx="33">
                  <c:v>4.6676599999999997</c:v>
                </c:pt>
                <c:pt idx="34">
                  <c:v>4.6468799999999995</c:v>
                </c:pt>
                <c:pt idx="35">
                  <c:v>4.6251499999999997</c:v>
                </c:pt>
                <c:pt idx="36">
                  <c:v>4.6020699999999994</c:v>
                </c:pt>
                <c:pt idx="37">
                  <c:v>4.5811299999999999</c:v>
                </c:pt>
                <c:pt idx="38">
                  <c:v>4.5588699999999998</c:v>
                </c:pt>
                <c:pt idx="39">
                  <c:v>4.5365899999999995</c:v>
                </c:pt>
                <c:pt idx="40">
                  <c:v>4.5131199999999998</c:v>
                </c:pt>
                <c:pt idx="41">
                  <c:v>4.4871600000000003</c:v>
                </c:pt>
                <c:pt idx="42">
                  <c:v>4.4586199999999998</c:v>
                </c:pt>
                <c:pt idx="43">
                  <c:v>4.4276900000000001</c:v>
                </c:pt>
                <c:pt idx="44">
                  <c:v>4.3978200000000003</c:v>
                </c:pt>
                <c:pt idx="45">
                  <c:v>4.3669900000000004</c:v>
                </c:pt>
                <c:pt idx="46">
                  <c:v>4.3380400000000003</c:v>
                </c:pt>
                <c:pt idx="47">
                  <c:v>4.3078799999999999</c:v>
                </c:pt>
                <c:pt idx="48">
                  <c:v>4.2767600000000003</c:v>
                </c:pt>
                <c:pt idx="49">
                  <c:v>4.2455999999999996</c:v>
                </c:pt>
                <c:pt idx="50">
                  <c:v>4.2218299999999997</c:v>
                </c:pt>
                <c:pt idx="51">
                  <c:v>4.1903699999999997</c:v>
                </c:pt>
                <c:pt idx="52">
                  <c:v>4.1608800000000006</c:v>
                </c:pt>
                <c:pt idx="53">
                  <c:v>4.1305500000000004</c:v>
                </c:pt>
                <c:pt idx="54">
                  <c:v>4.0998099999999997</c:v>
                </c:pt>
                <c:pt idx="55">
                  <c:v>4.0655200000000002</c:v>
                </c:pt>
                <c:pt idx="56">
                  <c:v>4.0281099999999999</c:v>
                </c:pt>
                <c:pt idx="57">
                  <c:v>3.9918100000000001</c:v>
                </c:pt>
                <c:pt idx="58">
                  <c:v>3.9545300000000001</c:v>
                </c:pt>
                <c:pt idx="59">
                  <c:v>3.9200900000000001</c:v>
                </c:pt>
                <c:pt idx="60">
                  <c:v>3.8832</c:v>
                </c:pt>
                <c:pt idx="61">
                  <c:v>3.8488800000000003</c:v>
                </c:pt>
                <c:pt idx="62">
                  <c:v>3.8170100000000002</c:v>
                </c:pt>
                <c:pt idx="63">
                  <c:v>3.7868900000000001</c:v>
                </c:pt>
                <c:pt idx="64">
                  <c:v>3.7588100000000004</c:v>
                </c:pt>
                <c:pt idx="65">
                  <c:v>3.7368600000000001</c:v>
                </c:pt>
                <c:pt idx="66">
                  <c:v>3.7201200000000001</c:v>
                </c:pt>
                <c:pt idx="67">
                  <c:v>3.7073700000000001</c:v>
                </c:pt>
                <c:pt idx="68">
                  <c:v>3.69983</c:v>
                </c:pt>
                <c:pt idx="69">
                  <c:v>3.6949800000000002</c:v>
                </c:pt>
                <c:pt idx="70">
                  <c:v>3.69068</c:v>
                </c:pt>
                <c:pt idx="71">
                  <c:v>3.6920500000000001</c:v>
                </c:pt>
                <c:pt idx="72">
                  <c:v>3.6980499999999998</c:v>
                </c:pt>
                <c:pt idx="73">
                  <c:v>3.7037999999999998</c:v>
                </c:pt>
                <c:pt idx="74">
                  <c:v>3.7087199999999996</c:v>
                </c:pt>
                <c:pt idx="75">
                  <c:v>3.7143900000000003</c:v>
                </c:pt>
                <c:pt idx="76">
                  <c:v>3.7178800000000001</c:v>
                </c:pt>
                <c:pt idx="77">
                  <c:v>3.7219799999999998</c:v>
                </c:pt>
                <c:pt idx="78">
                  <c:v>3.7257400000000001</c:v>
                </c:pt>
                <c:pt idx="79">
                  <c:v>3.7274099999999999</c:v>
                </c:pt>
                <c:pt idx="80">
                  <c:v>3.7290899999999998</c:v>
                </c:pt>
                <c:pt idx="81">
                  <c:v>3.7286399999999995</c:v>
                </c:pt>
                <c:pt idx="82">
                  <c:v>3.7281900000000001</c:v>
                </c:pt>
                <c:pt idx="83">
                  <c:v>3.7291000000000003</c:v>
                </c:pt>
                <c:pt idx="84">
                  <c:v>3.7330700000000001</c:v>
                </c:pt>
                <c:pt idx="85">
                  <c:v>3.7345000000000002</c:v>
                </c:pt>
                <c:pt idx="86">
                  <c:v>3.7326799999999998</c:v>
                </c:pt>
                <c:pt idx="87">
                  <c:v>3.72818</c:v>
                </c:pt>
                <c:pt idx="88">
                  <c:v>3.7199999999999998</c:v>
                </c:pt>
                <c:pt idx="89">
                  <c:v>3.7072500000000002</c:v>
                </c:pt>
                <c:pt idx="90">
                  <c:v>3.69184</c:v>
                </c:pt>
                <c:pt idx="91">
                  <c:v>3.6773600000000002</c:v>
                </c:pt>
                <c:pt idx="92">
                  <c:v>3.6623600000000001</c:v>
                </c:pt>
                <c:pt idx="93">
                  <c:v>3.6453200000000003</c:v>
                </c:pt>
                <c:pt idx="94">
                  <c:v>3.6301000000000001</c:v>
                </c:pt>
                <c:pt idx="95">
                  <c:v>3.6170299999999997</c:v>
                </c:pt>
                <c:pt idx="96">
                  <c:v>3.6019299999999999</c:v>
                </c:pt>
                <c:pt idx="97">
                  <c:v>3.5902099999999999</c:v>
                </c:pt>
                <c:pt idx="98">
                  <c:v>3.5813000000000001</c:v>
                </c:pt>
                <c:pt idx="99">
                  <c:v>3.5753400000000002</c:v>
                </c:pt>
                <c:pt idx="100">
                  <c:v>3.5718199999999998</c:v>
                </c:pt>
                <c:pt idx="101">
                  <c:v>3.5694300000000001</c:v>
                </c:pt>
                <c:pt idx="102">
                  <c:v>3.5676700000000001</c:v>
                </c:pt>
                <c:pt idx="103">
                  <c:v>3.5652200000000001</c:v>
                </c:pt>
                <c:pt idx="104">
                  <c:v>3.5665799999999996</c:v>
                </c:pt>
                <c:pt idx="105">
                  <c:v>3.5709800000000005</c:v>
                </c:pt>
                <c:pt idx="106">
                  <c:v>3.5792800000000002</c:v>
                </c:pt>
                <c:pt idx="107">
                  <c:v>3.5882900000000002</c:v>
                </c:pt>
                <c:pt idx="108">
                  <c:v>3.5962899999999998</c:v>
                </c:pt>
                <c:pt idx="109">
                  <c:v>3.6048</c:v>
                </c:pt>
                <c:pt idx="110">
                  <c:v>3.6123699999999999</c:v>
                </c:pt>
                <c:pt idx="111">
                  <c:v>3.6166999999999998</c:v>
                </c:pt>
                <c:pt idx="112">
                  <c:v>3.6204499999999999</c:v>
                </c:pt>
                <c:pt idx="113">
                  <c:v>3.62216</c:v>
                </c:pt>
                <c:pt idx="114">
                  <c:v>3.6255199999999999</c:v>
                </c:pt>
                <c:pt idx="115">
                  <c:v>3.6295100000000002</c:v>
                </c:pt>
                <c:pt idx="116">
                  <c:v>3.6337199999999998</c:v>
                </c:pt>
                <c:pt idx="117">
                  <c:v>3.6369600000000002</c:v>
                </c:pt>
                <c:pt idx="118">
                  <c:v>3.64439</c:v>
                </c:pt>
                <c:pt idx="119">
                  <c:v>3.6547099999999997</c:v>
                </c:pt>
                <c:pt idx="120">
                  <c:v>3.6644500000000004</c:v>
                </c:pt>
                <c:pt idx="121">
                  <c:v>3.6737599999999997</c:v>
                </c:pt>
                <c:pt idx="122">
                  <c:v>3.6863200000000003</c:v>
                </c:pt>
                <c:pt idx="123">
                  <c:v>3.7011500000000002</c:v>
                </c:pt>
                <c:pt idx="124">
                  <c:v>3.7107800000000002</c:v>
                </c:pt>
                <c:pt idx="125">
                  <c:v>3.7124800000000002</c:v>
                </c:pt>
                <c:pt idx="126">
                  <c:v>3.7143100000000002</c:v>
                </c:pt>
                <c:pt idx="127">
                  <c:v>3.7158000000000002</c:v>
                </c:pt>
                <c:pt idx="128">
                  <c:v>3.71929</c:v>
                </c:pt>
                <c:pt idx="129">
                  <c:v>3.7225399999999995</c:v>
                </c:pt>
                <c:pt idx="130">
                  <c:v>3.7244100000000002</c:v>
                </c:pt>
                <c:pt idx="131">
                  <c:v>3.7241400000000002</c:v>
                </c:pt>
                <c:pt idx="132">
                  <c:v>3.7233300000000003</c:v>
                </c:pt>
                <c:pt idx="133">
                  <c:v>3.7225999999999999</c:v>
                </c:pt>
                <c:pt idx="134">
                  <c:v>3.7192500000000002</c:v>
                </c:pt>
                <c:pt idx="135">
                  <c:v>3.7193300000000002</c:v>
                </c:pt>
                <c:pt idx="136">
                  <c:v>3.7271199999999998</c:v>
                </c:pt>
                <c:pt idx="137">
                  <c:v>3.73821</c:v>
                </c:pt>
                <c:pt idx="138">
                  <c:v>3.7579200000000004</c:v>
                </c:pt>
                <c:pt idx="139">
                  <c:v>3.7791700000000001</c:v>
                </c:pt>
                <c:pt idx="140">
                  <c:v>3.80247</c:v>
                </c:pt>
                <c:pt idx="141">
                  <c:v>3.8247799999999996</c:v>
                </c:pt>
                <c:pt idx="142">
                  <c:v>3.85283</c:v>
                </c:pt>
                <c:pt idx="143">
                  <c:v>3.8804400000000001</c:v>
                </c:pt>
                <c:pt idx="144">
                  <c:v>3.9036999999999997</c:v>
                </c:pt>
                <c:pt idx="145">
                  <c:v>3.92788</c:v>
                </c:pt>
                <c:pt idx="146">
                  <c:v>3.9644400000000002</c:v>
                </c:pt>
                <c:pt idx="147">
                  <c:v>3.99735</c:v>
                </c:pt>
                <c:pt idx="148">
                  <c:v>4.0456900000000005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0.373892</c:v>
                </c:pt>
                <c:pt idx="2">
                  <c:v>0.78367200000000004</c:v>
                </c:pt>
                <c:pt idx="3">
                  <c:v>1.1856899999999999</c:v>
                </c:pt>
                <c:pt idx="4">
                  <c:v>1.59213</c:v>
                </c:pt>
                <c:pt idx="5">
                  <c:v>1.99823</c:v>
                </c:pt>
                <c:pt idx="6">
                  <c:v>2.4036300000000002</c:v>
                </c:pt>
                <c:pt idx="7">
                  <c:v>2.8147799999999998</c:v>
                </c:pt>
                <c:pt idx="8">
                  <c:v>3.21834</c:v>
                </c:pt>
                <c:pt idx="9">
                  <c:v>3.6246900000000002</c:v>
                </c:pt>
                <c:pt idx="10">
                  <c:v>4.0308299999999999</c:v>
                </c:pt>
                <c:pt idx="11">
                  <c:v>4.4373399999999998</c:v>
                </c:pt>
                <c:pt idx="12">
                  <c:v>4.8415800000000004</c:v>
                </c:pt>
                <c:pt idx="13">
                  <c:v>5.2527499999999998</c:v>
                </c:pt>
                <c:pt idx="14">
                  <c:v>5.6581000000000001</c:v>
                </c:pt>
                <c:pt idx="15">
                  <c:v>6.0613299999999999</c:v>
                </c:pt>
                <c:pt idx="16">
                  <c:v>6.4678000000000004</c:v>
                </c:pt>
                <c:pt idx="17">
                  <c:v>6.8768099999999999</c:v>
                </c:pt>
                <c:pt idx="18">
                  <c:v>7.2812299999999999</c:v>
                </c:pt>
                <c:pt idx="19">
                  <c:v>7.6865300000000003</c:v>
                </c:pt>
                <c:pt idx="20">
                  <c:v>8.0901499999999995</c:v>
                </c:pt>
                <c:pt idx="21">
                  <c:v>8.4991900000000005</c:v>
                </c:pt>
                <c:pt idx="22">
                  <c:v>8.9078499999999998</c:v>
                </c:pt>
                <c:pt idx="23">
                  <c:v>9.31419</c:v>
                </c:pt>
                <c:pt idx="24">
                  <c:v>9.7174200000000006</c:v>
                </c:pt>
                <c:pt idx="25">
                  <c:v>10.1233</c:v>
                </c:pt>
                <c:pt idx="26">
                  <c:v>10.528700000000001</c:v>
                </c:pt>
                <c:pt idx="27">
                  <c:v>10.9383</c:v>
                </c:pt>
                <c:pt idx="28">
                  <c:v>11.343</c:v>
                </c:pt>
                <c:pt idx="29">
                  <c:v>11.7498</c:v>
                </c:pt>
                <c:pt idx="30">
                  <c:v>12.1546</c:v>
                </c:pt>
                <c:pt idx="31">
                  <c:v>12.5648</c:v>
                </c:pt>
                <c:pt idx="32">
                  <c:v>12.9679</c:v>
                </c:pt>
                <c:pt idx="33">
                  <c:v>13.3767</c:v>
                </c:pt>
                <c:pt idx="34">
                  <c:v>13.7822</c:v>
                </c:pt>
                <c:pt idx="35">
                  <c:v>14.186500000000001</c:v>
                </c:pt>
                <c:pt idx="36">
                  <c:v>14.592599999999999</c:v>
                </c:pt>
                <c:pt idx="37">
                  <c:v>14.9993</c:v>
                </c:pt>
                <c:pt idx="38">
                  <c:v>15.407999999999999</c:v>
                </c:pt>
                <c:pt idx="39">
                  <c:v>15.8118</c:v>
                </c:pt>
                <c:pt idx="40">
                  <c:v>16.217300000000002</c:v>
                </c:pt>
                <c:pt idx="41">
                  <c:v>16.622499999999999</c:v>
                </c:pt>
                <c:pt idx="42">
                  <c:v>17.031099999999999</c:v>
                </c:pt>
                <c:pt idx="43">
                  <c:v>17.437899999999999</c:v>
                </c:pt>
                <c:pt idx="44">
                  <c:v>17.847000000000001</c:v>
                </c:pt>
                <c:pt idx="45">
                  <c:v>18.248899999999999</c:v>
                </c:pt>
                <c:pt idx="46">
                  <c:v>18.654699999999998</c:v>
                </c:pt>
                <c:pt idx="47">
                  <c:v>19.063300000000002</c:v>
                </c:pt>
                <c:pt idx="48">
                  <c:v>19.467600000000001</c:v>
                </c:pt>
                <c:pt idx="49">
                  <c:v>19.876100000000001</c:v>
                </c:pt>
                <c:pt idx="50">
                  <c:v>20.280100000000001</c:v>
                </c:pt>
                <c:pt idx="51">
                  <c:v>20.6858</c:v>
                </c:pt>
                <c:pt idx="52">
                  <c:v>21.091100000000001</c:v>
                </c:pt>
                <c:pt idx="53">
                  <c:v>21.498699999999999</c:v>
                </c:pt>
                <c:pt idx="54">
                  <c:v>21.905000000000001</c:v>
                </c:pt>
                <c:pt idx="55">
                  <c:v>22.3125</c:v>
                </c:pt>
                <c:pt idx="56">
                  <c:v>22.720199999999998</c:v>
                </c:pt>
                <c:pt idx="57">
                  <c:v>23.126899999999999</c:v>
                </c:pt>
                <c:pt idx="58">
                  <c:v>23.528700000000001</c:v>
                </c:pt>
                <c:pt idx="59">
                  <c:v>23.936900000000001</c:v>
                </c:pt>
                <c:pt idx="60">
                  <c:v>24.340599999999998</c:v>
                </c:pt>
                <c:pt idx="61">
                  <c:v>24.7514</c:v>
                </c:pt>
                <c:pt idx="62">
                  <c:v>25.157</c:v>
                </c:pt>
                <c:pt idx="63">
                  <c:v>25.5609</c:v>
                </c:pt>
                <c:pt idx="64">
                  <c:v>25.970199999999998</c:v>
                </c:pt>
                <c:pt idx="65">
                  <c:v>26.3749</c:v>
                </c:pt>
                <c:pt idx="66">
                  <c:v>26.7837</c:v>
                </c:pt>
                <c:pt idx="67">
                  <c:v>27.188099999999999</c:v>
                </c:pt>
                <c:pt idx="68">
                  <c:v>27.591999999999999</c:v>
                </c:pt>
                <c:pt idx="69">
                  <c:v>27.998100000000001</c:v>
                </c:pt>
                <c:pt idx="70">
                  <c:v>28.404699999999998</c:v>
                </c:pt>
                <c:pt idx="71">
                  <c:v>28.813199999999998</c:v>
                </c:pt>
                <c:pt idx="72">
                  <c:v>29.219899999999999</c:v>
                </c:pt>
                <c:pt idx="73">
                  <c:v>29.622699999999998</c:v>
                </c:pt>
                <c:pt idx="74">
                  <c:v>30.031600000000001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3.2958700000000003</c:v>
                </c:pt>
                <c:pt idx="1">
                  <c:v>3.3802300000000001</c:v>
                </c:pt>
                <c:pt idx="2">
                  <c:v>3.4626800000000002</c:v>
                </c:pt>
                <c:pt idx="3">
                  <c:v>3.5436899999999998</c:v>
                </c:pt>
                <c:pt idx="4">
                  <c:v>3.6262499999999998</c:v>
                </c:pt>
                <c:pt idx="5">
                  <c:v>3.70689</c:v>
                </c:pt>
                <c:pt idx="6">
                  <c:v>3.7879</c:v>
                </c:pt>
                <c:pt idx="7">
                  <c:v>3.8651400000000002</c:v>
                </c:pt>
                <c:pt idx="8">
                  <c:v>3.9443899999999998</c:v>
                </c:pt>
                <c:pt idx="9">
                  <c:v>4.0222499999999997</c:v>
                </c:pt>
                <c:pt idx="10">
                  <c:v>4.0961999999999996</c:v>
                </c:pt>
                <c:pt idx="11">
                  <c:v>4.1648499999999995</c:v>
                </c:pt>
                <c:pt idx="12">
                  <c:v>4.2270799999999999</c:v>
                </c:pt>
                <c:pt idx="13">
                  <c:v>4.2857200000000004</c:v>
                </c:pt>
                <c:pt idx="14">
                  <c:v>4.34091</c:v>
                </c:pt>
                <c:pt idx="15">
                  <c:v>4.3917299999999999</c:v>
                </c:pt>
                <c:pt idx="16">
                  <c:v>4.4376300000000004</c:v>
                </c:pt>
                <c:pt idx="17">
                  <c:v>4.4817900000000002</c:v>
                </c:pt>
                <c:pt idx="18">
                  <c:v>4.5210900000000001</c:v>
                </c:pt>
                <c:pt idx="19">
                  <c:v>4.5542899999999999</c:v>
                </c:pt>
                <c:pt idx="20">
                  <c:v>4.5838000000000001</c:v>
                </c:pt>
                <c:pt idx="21">
                  <c:v>4.6088300000000002</c:v>
                </c:pt>
                <c:pt idx="22">
                  <c:v>4.6299799999999998</c:v>
                </c:pt>
                <c:pt idx="23">
                  <c:v>4.6483299999999996</c:v>
                </c:pt>
                <c:pt idx="24">
                  <c:v>4.66418</c:v>
                </c:pt>
                <c:pt idx="25">
                  <c:v>4.6787000000000001</c:v>
                </c:pt>
                <c:pt idx="26">
                  <c:v>4.6896900000000006</c:v>
                </c:pt>
                <c:pt idx="27">
                  <c:v>4.6958699999999993</c:v>
                </c:pt>
                <c:pt idx="28">
                  <c:v>4.6988700000000003</c:v>
                </c:pt>
                <c:pt idx="29">
                  <c:v>4.6969099999999999</c:v>
                </c:pt>
                <c:pt idx="30">
                  <c:v>4.6943900000000003</c:v>
                </c:pt>
                <c:pt idx="31">
                  <c:v>4.6893099999999999</c:v>
                </c:pt>
                <c:pt idx="32">
                  <c:v>4.6818900000000001</c:v>
                </c:pt>
                <c:pt idx="33">
                  <c:v>4.6676599999999997</c:v>
                </c:pt>
                <c:pt idx="34">
                  <c:v>4.6468799999999995</c:v>
                </c:pt>
                <c:pt idx="35">
                  <c:v>4.6251499999999997</c:v>
                </c:pt>
                <c:pt idx="36">
                  <c:v>4.6020699999999994</c:v>
                </c:pt>
                <c:pt idx="37">
                  <c:v>4.5811299999999999</c:v>
                </c:pt>
                <c:pt idx="38">
                  <c:v>4.5588699999999998</c:v>
                </c:pt>
                <c:pt idx="39">
                  <c:v>4.5365899999999995</c:v>
                </c:pt>
                <c:pt idx="40">
                  <c:v>4.5131199999999998</c:v>
                </c:pt>
                <c:pt idx="41">
                  <c:v>4.4871600000000003</c:v>
                </c:pt>
                <c:pt idx="42">
                  <c:v>4.4586199999999998</c:v>
                </c:pt>
                <c:pt idx="43">
                  <c:v>4.4276900000000001</c:v>
                </c:pt>
                <c:pt idx="44">
                  <c:v>4.3978200000000003</c:v>
                </c:pt>
                <c:pt idx="45">
                  <c:v>4.3669900000000004</c:v>
                </c:pt>
                <c:pt idx="46">
                  <c:v>4.3380400000000003</c:v>
                </c:pt>
                <c:pt idx="47">
                  <c:v>4.3078799999999999</c:v>
                </c:pt>
                <c:pt idx="48">
                  <c:v>4.2767600000000003</c:v>
                </c:pt>
                <c:pt idx="49">
                  <c:v>4.2455999999999996</c:v>
                </c:pt>
                <c:pt idx="50">
                  <c:v>4.2218299999999997</c:v>
                </c:pt>
                <c:pt idx="51">
                  <c:v>4.1903699999999997</c:v>
                </c:pt>
                <c:pt idx="52">
                  <c:v>4.1608800000000006</c:v>
                </c:pt>
                <c:pt idx="53">
                  <c:v>4.1305500000000004</c:v>
                </c:pt>
                <c:pt idx="54">
                  <c:v>4.0998099999999997</c:v>
                </c:pt>
                <c:pt idx="55">
                  <c:v>4.0655200000000002</c:v>
                </c:pt>
                <c:pt idx="56">
                  <c:v>4.0281099999999999</c:v>
                </c:pt>
                <c:pt idx="57">
                  <c:v>3.9918100000000001</c:v>
                </c:pt>
                <c:pt idx="58">
                  <c:v>3.9545300000000001</c:v>
                </c:pt>
                <c:pt idx="59">
                  <c:v>3.9200900000000001</c:v>
                </c:pt>
                <c:pt idx="60">
                  <c:v>3.8832</c:v>
                </c:pt>
                <c:pt idx="61">
                  <c:v>3.8488800000000003</c:v>
                </c:pt>
                <c:pt idx="62">
                  <c:v>3.8170100000000002</c:v>
                </c:pt>
                <c:pt idx="63">
                  <c:v>3.7868900000000001</c:v>
                </c:pt>
                <c:pt idx="64">
                  <c:v>3.7588100000000004</c:v>
                </c:pt>
                <c:pt idx="65">
                  <c:v>3.7368600000000001</c:v>
                </c:pt>
                <c:pt idx="66">
                  <c:v>3.7201200000000001</c:v>
                </c:pt>
                <c:pt idx="67">
                  <c:v>3.7073700000000001</c:v>
                </c:pt>
                <c:pt idx="68">
                  <c:v>3.69983</c:v>
                </c:pt>
                <c:pt idx="69">
                  <c:v>3.6949800000000002</c:v>
                </c:pt>
                <c:pt idx="70">
                  <c:v>3.69068</c:v>
                </c:pt>
                <c:pt idx="71">
                  <c:v>3.6920500000000001</c:v>
                </c:pt>
                <c:pt idx="72">
                  <c:v>3.6980499999999998</c:v>
                </c:pt>
                <c:pt idx="73">
                  <c:v>3.7037999999999998</c:v>
                </c:pt>
                <c:pt idx="74">
                  <c:v>3.7087199999999996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30.031600000000001</c:v>
                </c:pt>
                <c:pt idx="1">
                  <c:v>30.6233</c:v>
                </c:pt>
                <c:pt idx="2">
                  <c:v>30.997900000000001</c:v>
                </c:pt>
                <c:pt idx="3">
                  <c:v>31.3736</c:v>
                </c:pt>
                <c:pt idx="4">
                  <c:v>31.748799999999999</c:v>
                </c:pt>
                <c:pt idx="5">
                  <c:v>32.1248</c:v>
                </c:pt>
                <c:pt idx="6">
                  <c:v>32.530700000000003</c:v>
                </c:pt>
                <c:pt idx="7">
                  <c:v>32.938099999999999</c:v>
                </c:pt>
                <c:pt idx="8">
                  <c:v>33.345100000000002</c:v>
                </c:pt>
                <c:pt idx="9">
                  <c:v>33.7498</c:v>
                </c:pt>
                <c:pt idx="10">
                  <c:v>34.154899999999998</c:v>
                </c:pt>
                <c:pt idx="11">
                  <c:v>34.561700000000002</c:v>
                </c:pt>
                <c:pt idx="12">
                  <c:v>34.968800000000002</c:v>
                </c:pt>
                <c:pt idx="13">
                  <c:v>35.376800000000003</c:v>
                </c:pt>
                <c:pt idx="14">
                  <c:v>35.781599999999997</c:v>
                </c:pt>
                <c:pt idx="15">
                  <c:v>36.186199999999999</c:v>
                </c:pt>
                <c:pt idx="16">
                  <c:v>36.595599999999997</c:v>
                </c:pt>
                <c:pt idx="17">
                  <c:v>37.000799999999998</c:v>
                </c:pt>
                <c:pt idx="18">
                  <c:v>37.407699999999998</c:v>
                </c:pt>
                <c:pt idx="19">
                  <c:v>37.813200000000002</c:v>
                </c:pt>
                <c:pt idx="20">
                  <c:v>38.216500000000003</c:v>
                </c:pt>
                <c:pt idx="21">
                  <c:v>38.622900000000001</c:v>
                </c:pt>
                <c:pt idx="22">
                  <c:v>39.031599999999997</c:v>
                </c:pt>
                <c:pt idx="23">
                  <c:v>39.4373</c:v>
                </c:pt>
                <c:pt idx="24">
                  <c:v>39.842700000000001</c:v>
                </c:pt>
                <c:pt idx="25">
                  <c:v>40.249200000000002</c:v>
                </c:pt>
                <c:pt idx="26">
                  <c:v>40.655700000000003</c:v>
                </c:pt>
                <c:pt idx="27">
                  <c:v>41.0608</c:v>
                </c:pt>
                <c:pt idx="28">
                  <c:v>41.470799999999997</c:v>
                </c:pt>
                <c:pt idx="29">
                  <c:v>41.875500000000002</c:v>
                </c:pt>
                <c:pt idx="30">
                  <c:v>42.281199999999998</c:v>
                </c:pt>
                <c:pt idx="31">
                  <c:v>42.685699999999997</c:v>
                </c:pt>
                <c:pt idx="32">
                  <c:v>43.090899999999998</c:v>
                </c:pt>
                <c:pt idx="33">
                  <c:v>43.499600000000001</c:v>
                </c:pt>
                <c:pt idx="34">
                  <c:v>43.906999999999996</c:v>
                </c:pt>
                <c:pt idx="35">
                  <c:v>44.314100000000003</c:v>
                </c:pt>
                <c:pt idx="36">
                  <c:v>44.716299999999997</c:v>
                </c:pt>
                <c:pt idx="37">
                  <c:v>45.128399999999999</c:v>
                </c:pt>
                <c:pt idx="38">
                  <c:v>45.529800000000002</c:v>
                </c:pt>
                <c:pt idx="39">
                  <c:v>45.939100000000003</c:v>
                </c:pt>
                <c:pt idx="40">
                  <c:v>46.344099999999997</c:v>
                </c:pt>
                <c:pt idx="41">
                  <c:v>46.751899999999999</c:v>
                </c:pt>
                <c:pt idx="42">
                  <c:v>47.1571</c:v>
                </c:pt>
                <c:pt idx="43">
                  <c:v>47.560400000000001</c:v>
                </c:pt>
                <c:pt idx="44">
                  <c:v>47.9679</c:v>
                </c:pt>
                <c:pt idx="45">
                  <c:v>48.375300000000003</c:v>
                </c:pt>
                <c:pt idx="46">
                  <c:v>48.7819</c:v>
                </c:pt>
                <c:pt idx="47">
                  <c:v>49.188800000000001</c:v>
                </c:pt>
                <c:pt idx="48">
                  <c:v>49.594900000000003</c:v>
                </c:pt>
                <c:pt idx="49">
                  <c:v>49.997199999999999</c:v>
                </c:pt>
                <c:pt idx="50">
                  <c:v>50.4054</c:v>
                </c:pt>
                <c:pt idx="51">
                  <c:v>50.813099999999999</c:v>
                </c:pt>
                <c:pt idx="52">
                  <c:v>51.218800000000002</c:v>
                </c:pt>
                <c:pt idx="53">
                  <c:v>51.6252</c:v>
                </c:pt>
                <c:pt idx="54">
                  <c:v>52.0274</c:v>
                </c:pt>
                <c:pt idx="55">
                  <c:v>52.436199999999999</c:v>
                </c:pt>
                <c:pt idx="56">
                  <c:v>52.845199999999998</c:v>
                </c:pt>
                <c:pt idx="57">
                  <c:v>53.2483</c:v>
                </c:pt>
                <c:pt idx="58">
                  <c:v>53.653799999999997</c:v>
                </c:pt>
                <c:pt idx="59">
                  <c:v>54.060200000000002</c:v>
                </c:pt>
                <c:pt idx="60">
                  <c:v>54.467300000000002</c:v>
                </c:pt>
                <c:pt idx="61">
                  <c:v>54.874899999999997</c:v>
                </c:pt>
                <c:pt idx="62">
                  <c:v>55.281199999999998</c:v>
                </c:pt>
                <c:pt idx="63">
                  <c:v>55.69</c:v>
                </c:pt>
                <c:pt idx="64">
                  <c:v>56.092599999999997</c:v>
                </c:pt>
                <c:pt idx="65">
                  <c:v>56.499400000000001</c:v>
                </c:pt>
                <c:pt idx="66">
                  <c:v>56.908499999999997</c:v>
                </c:pt>
                <c:pt idx="67">
                  <c:v>57.310099999999998</c:v>
                </c:pt>
                <c:pt idx="68">
                  <c:v>57.721699999999998</c:v>
                </c:pt>
                <c:pt idx="69">
                  <c:v>58.124400000000001</c:v>
                </c:pt>
                <c:pt idx="70">
                  <c:v>58.529800000000002</c:v>
                </c:pt>
                <c:pt idx="71">
                  <c:v>58.939300000000003</c:v>
                </c:pt>
                <c:pt idx="72">
                  <c:v>59.345199999999998</c:v>
                </c:pt>
                <c:pt idx="73">
                  <c:v>59.750300000000003</c:v>
                </c:pt>
                <c:pt idx="74">
                  <c:v>60.154000000000003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3.7087199999999996</c:v>
                </c:pt>
                <c:pt idx="1">
                  <c:v>3.7143900000000003</c:v>
                </c:pt>
                <c:pt idx="2">
                  <c:v>3.7178800000000001</c:v>
                </c:pt>
                <c:pt idx="3">
                  <c:v>3.7219799999999998</c:v>
                </c:pt>
                <c:pt idx="4">
                  <c:v>3.7257400000000001</c:v>
                </c:pt>
                <c:pt idx="5">
                  <c:v>3.7274099999999999</c:v>
                </c:pt>
                <c:pt idx="6">
                  <c:v>3.7290899999999998</c:v>
                </c:pt>
                <c:pt idx="7">
                  <c:v>3.7286399999999995</c:v>
                </c:pt>
                <c:pt idx="8">
                  <c:v>3.7281900000000001</c:v>
                </c:pt>
                <c:pt idx="9">
                  <c:v>3.7291000000000003</c:v>
                </c:pt>
                <c:pt idx="10">
                  <c:v>3.7330700000000001</c:v>
                </c:pt>
                <c:pt idx="11">
                  <c:v>3.7345000000000002</c:v>
                </c:pt>
                <c:pt idx="12">
                  <c:v>3.7326799999999998</c:v>
                </c:pt>
                <c:pt idx="13">
                  <c:v>3.72818</c:v>
                </c:pt>
                <c:pt idx="14">
                  <c:v>3.7199999999999998</c:v>
                </c:pt>
                <c:pt idx="15">
                  <c:v>3.7072500000000002</c:v>
                </c:pt>
                <c:pt idx="16">
                  <c:v>3.69184</c:v>
                </c:pt>
                <c:pt idx="17">
                  <c:v>3.6773600000000002</c:v>
                </c:pt>
                <c:pt idx="18">
                  <c:v>3.6623600000000001</c:v>
                </c:pt>
                <c:pt idx="19">
                  <c:v>3.6453200000000003</c:v>
                </c:pt>
                <c:pt idx="20">
                  <c:v>3.6301000000000001</c:v>
                </c:pt>
                <c:pt idx="21">
                  <c:v>3.6170299999999997</c:v>
                </c:pt>
                <c:pt idx="22">
                  <c:v>3.6019299999999999</c:v>
                </c:pt>
                <c:pt idx="23">
                  <c:v>3.5902099999999999</c:v>
                </c:pt>
                <c:pt idx="24">
                  <c:v>3.5813000000000001</c:v>
                </c:pt>
                <c:pt idx="25">
                  <c:v>3.5753400000000002</c:v>
                </c:pt>
                <c:pt idx="26">
                  <c:v>3.5718199999999998</c:v>
                </c:pt>
                <c:pt idx="27">
                  <c:v>3.5694300000000001</c:v>
                </c:pt>
                <c:pt idx="28">
                  <c:v>3.5676700000000001</c:v>
                </c:pt>
                <c:pt idx="29">
                  <c:v>3.5652200000000001</c:v>
                </c:pt>
                <c:pt idx="30">
                  <c:v>3.5665799999999996</c:v>
                </c:pt>
                <c:pt idx="31">
                  <c:v>3.5709800000000005</c:v>
                </c:pt>
                <c:pt idx="32">
                  <c:v>3.5792800000000002</c:v>
                </c:pt>
                <c:pt idx="33">
                  <c:v>3.5882900000000002</c:v>
                </c:pt>
                <c:pt idx="34">
                  <c:v>3.5962899999999998</c:v>
                </c:pt>
                <c:pt idx="35">
                  <c:v>3.6048</c:v>
                </c:pt>
                <c:pt idx="36">
                  <c:v>3.6123699999999999</c:v>
                </c:pt>
                <c:pt idx="37">
                  <c:v>3.6166999999999998</c:v>
                </c:pt>
                <c:pt idx="38">
                  <c:v>3.6204499999999999</c:v>
                </c:pt>
                <c:pt idx="39">
                  <c:v>3.62216</c:v>
                </c:pt>
                <c:pt idx="40">
                  <c:v>3.6255199999999999</c:v>
                </c:pt>
                <c:pt idx="41">
                  <c:v>3.6295100000000002</c:v>
                </c:pt>
                <c:pt idx="42">
                  <c:v>3.6337199999999998</c:v>
                </c:pt>
                <c:pt idx="43">
                  <c:v>3.6369600000000002</c:v>
                </c:pt>
                <c:pt idx="44">
                  <c:v>3.64439</c:v>
                </c:pt>
                <c:pt idx="45">
                  <c:v>3.6547099999999997</c:v>
                </c:pt>
                <c:pt idx="46">
                  <c:v>3.6644500000000004</c:v>
                </c:pt>
                <c:pt idx="47">
                  <c:v>3.6737599999999997</c:v>
                </c:pt>
                <c:pt idx="48">
                  <c:v>3.6863200000000003</c:v>
                </c:pt>
                <c:pt idx="49">
                  <c:v>3.7011500000000002</c:v>
                </c:pt>
                <c:pt idx="50">
                  <c:v>3.7107800000000002</c:v>
                </c:pt>
                <c:pt idx="51">
                  <c:v>3.7124800000000002</c:v>
                </c:pt>
                <c:pt idx="52">
                  <c:v>3.7143100000000002</c:v>
                </c:pt>
                <c:pt idx="53">
                  <c:v>3.7158000000000002</c:v>
                </c:pt>
                <c:pt idx="54">
                  <c:v>3.71929</c:v>
                </c:pt>
                <c:pt idx="55">
                  <c:v>3.7225399999999995</c:v>
                </c:pt>
                <c:pt idx="56">
                  <c:v>3.7244100000000002</c:v>
                </c:pt>
                <c:pt idx="57">
                  <c:v>3.7241400000000002</c:v>
                </c:pt>
                <c:pt idx="58">
                  <c:v>3.7233300000000003</c:v>
                </c:pt>
                <c:pt idx="59">
                  <c:v>3.7225999999999999</c:v>
                </c:pt>
                <c:pt idx="60">
                  <c:v>3.7192500000000002</c:v>
                </c:pt>
                <c:pt idx="61">
                  <c:v>3.7193300000000002</c:v>
                </c:pt>
                <c:pt idx="62">
                  <c:v>3.7271199999999998</c:v>
                </c:pt>
                <c:pt idx="63">
                  <c:v>3.73821</c:v>
                </c:pt>
                <c:pt idx="64">
                  <c:v>3.7579200000000004</c:v>
                </c:pt>
                <c:pt idx="65">
                  <c:v>3.7791700000000001</c:v>
                </c:pt>
                <c:pt idx="66">
                  <c:v>3.80247</c:v>
                </c:pt>
                <c:pt idx="67">
                  <c:v>3.8247799999999996</c:v>
                </c:pt>
                <c:pt idx="68">
                  <c:v>3.85283</c:v>
                </c:pt>
                <c:pt idx="69">
                  <c:v>3.8804400000000001</c:v>
                </c:pt>
                <c:pt idx="70">
                  <c:v>3.9036999999999997</c:v>
                </c:pt>
                <c:pt idx="71">
                  <c:v>3.92788</c:v>
                </c:pt>
                <c:pt idx="72">
                  <c:v>3.9644400000000002</c:v>
                </c:pt>
                <c:pt idx="73">
                  <c:v>3.99735</c:v>
                </c:pt>
                <c:pt idx="74">
                  <c:v>4.0456900000000005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15.038500000000001</c:v>
                </c:pt>
                <c:pt idx="1">
                  <c:v>45.115500000000004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4.1896944594594592</c:v>
                </c:pt>
                <c:pt idx="1">
                  <c:v>3.6952258108108116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0.373892</c:v>
                </c:pt>
                <c:pt idx="2">
                  <c:v>0.78367200000000004</c:v>
                </c:pt>
                <c:pt idx="3">
                  <c:v>1.1856899999999999</c:v>
                </c:pt>
                <c:pt idx="4">
                  <c:v>1.59213</c:v>
                </c:pt>
                <c:pt idx="5">
                  <c:v>1.99823</c:v>
                </c:pt>
                <c:pt idx="6">
                  <c:v>2.4036300000000002</c:v>
                </c:pt>
                <c:pt idx="7">
                  <c:v>2.8147799999999998</c:v>
                </c:pt>
                <c:pt idx="8">
                  <c:v>3.21834</c:v>
                </c:pt>
                <c:pt idx="9">
                  <c:v>3.6246900000000002</c:v>
                </c:pt>
                <c:pt idx="10">
                  <c:v>4.0308299999999999</c:v>
                </c:pt>
                <c:pt idx="11">
                  <c:v>4.4373399999999998</c:v>
                </c:pt>
                <c:pt idx="12">
                  <c:v>4.8415800000000004</c:v>
                </c:pt>
                <c:pt idx="13">
                  <c:v>5.2527499999999998</c:v>
                </c:pt>
                <c:pt idx="14">
                  <c:v>5.6581000000000001</c:v>
                </c:pt>
                <c:pt idx="15">
                  <c:v>6.0613299999999999</c:v>
                </c:pt>
                <c:pt idx="16">
                  <c:v>6.4678000000000004</c:v>
                </c:pt>
                <c:pt idx="17">
                  <c:v>6.8768099999999999</c:v>
                </c:pt>
                <c:pt idx="18">
                  <c:v>7.2812299999999999</c:v>
                </c:pt>
                <c:pt idx="19">
                  <c:v>7.6865300000000003</c:v>
                </c:pt>
                <c:pt idx="20">
                  <c:v>8.0901499999999995</c:v>
                </c:pt>
                <c:pt idx="21">
                  <c:v>8.4991900000000005</c:v>
                </c:pt>
                <c:pt idx="22">
                  <c:v>8.9078499999999998</c:v>
                </c:pt>
                <c:pt idx="23">
                  <c:v>9.31419</c:v>
                </c:pt>
                <c:pt idx="24">
                  <c:v>9.7174200000000006</c:v>
                </c:pt>
                <c:pt idx="25">
                  <c:v>10.1233</c:v>
                </c:pt>
                <c:pt idx="26">
                  <c:v>10.528700000000001</c:v>
                </c:pt>
                <c:pt idx="27">
                  <c:v>10.9383</c:v>
                </c:pt>
                <c:pt idx="28">
                  <c:v>11.343</c:v>
                </c:pt>
                <c:pt idx="29">
                  <c:v>11.7498</c:v>
                </c:pt>
                <c:pt idx="30">
                  <c:v>12.1546</c:v>
                </c:pt>
                <c:pt idx="31">
                  <c:v>12.5648</c:v>
                </c:pt>
                <c:pt idx="32">
                  <c:v>12.9679</c:v>
                </c:pt>
                <c:pt idx="33">
                  <c:v>13.3767</c:v>
                </c:pt>
                <c:pt idx="34">
                  <c:v>13.7822</c:v>
                </c:pt>
                <c:pt idx="35">
                  <c:v>14.186500000000001</c:v>
                </c:pt>
                <c:pt idx="36">
                  <c:v>14.592599999999999</c:v>
                </c:pt>
                <c:pt idx="37">
                  <c:v>14.9993</c:v>
                </c:pt>
                <c:pt idx="38">
                  <c:v>15.407999999999999</c:v>
                </c:pt>
                <c:pt idx="39">
                  <c:v>15.8118</c:v>
                </c:pt>
                <c:pt idx="40">
                  <c:v>16.217300000000002</c:v>
                </c:pt>
                <c:pt idx="41">
                  <c:v>16.622499999999999</c:v>
                </c:pt>
                <c:pt idx="42">
                  <c:v>17.031099999999999</c:v>
                </c:pt>
                <c:pt idx="43">
                  <c:v>17.437899999999999</c:v>
                </c:pt>
                <c:pt idx="44">
                  <c:v>17.847000000000001</c:v>
                </c:pt>
                <c:pt idx="45">
                  <c:v>18.248899999999999</c:v>
                </c:pt>
                <c:pt idx="46">
                  <c:v>18.654699999999998</c:v>
                </c:pt>
                <c:pt idx="47">
                  <c:v>19.063300000000002</c:v>
                </c:pt>
                <c:pt idx="48">
                  <c:v>19.467600000000001</c:v>
                </c:pt>
                <c:pt idx="49">
                  <c:v>19.876100000000001</c:v>
                </c:pt>
                <c:pt idx="50">
                  <c:v>20.280100000000001</c:v>
                </c:pt>
                <c:pt idx="51">
                  <c:v>20.6858</c:v>
                </c:pt>
                <c:pt idx="52">
                  <c:v>21.091100000000001</c:v>
                </c:pt>
                <c:pt idx="53">
                  <c:v>21.498699999999999</c:v>
                </c:pt>
                <c:pt idx="54">
                  <c:v>21.905000000000001</c:v>
                </c:pt>
                <c:pt idx="55">
                  <c:v>22.3125</c:v>
                </c:pt>
                <c:pt idx="56">
                  <c:v>22.720199999999998</c:v>
                </c:pt>
                <c:pt idx="57">
                  <c:v>23.126899999999999</c:v>
                </c:pt>
                <c:pt idx="58">
                  <c:v>23.528700000000001</c:v>
                </c:pt>
                <c:pt idx="59">
                  <c:v>23.936900000000001</c:v>
                </c:pt>
                <c:pt idx="60">
                  <c:v>24.340599999999998</c:v>
                </c:pt>
                <c:pt idx="61">
                  <c:v>24.7514</c:v>
                </c:pt>
                <c:pt idx="62">
                  <c:v>25.157</c:v>
                </c:pt>
                <c:pt idx="63">
                  <c:v>25.5609</c:v>
                </c:pt>
                <c:pt idx="64">
                  <c:v>25.970199999999998</c:v>
                </c:pt>
                <c:pt idx="65">
                  <c:v>26.3749</c:v>
                </c:pt>
                <c:pt idx="66">
                  <c:v>26.7837</c:v>
                </c:pt>
                <c:pt idx="67">
                  <c:v>27.188099999999999</c:v>
                </c:pt>
                <c:pt idx="68">
                  <c:v>27.591999999999999</c:v>
                </c:pt>
                <c:pt idx="69">
                  <c:v>27.998100000000001</c:v>
                </c:pt>
                <c:pt idx="70">
                  <c:v>28.404699999999998</c:v>
                </c:pt>
                <c:pt idx="71">
                  <c:v>28.813199999999998</c:v>
                </c:pt>
                <c:pt idx="72">
                  <c:v>29.219899999999999</c:v>
                </c:pt>
                <c:pt idx="73">
                  <c:v>29.622699999999998</c:v>
                </c:pt>
                <c:pt idx="74">
                  <c:v>30.031600000000001</c:v>
                </c:pt>
                <c:pt idx="75">
                  <c:v>30.6233</c:v>
                </c:pt>
                <c:pt idx="76">
                  <c:v>30.997900000000001</c:v>
                </c:pt>
                <c:pt idx="77">
                  <c:v>31.3736</c:v>
                </c:pt>
                <c:pt idx="78">
                  <c:v>31.748799999999999</c:v>
                </c:pt>
                <c:pt idx="79">
                  <c:v>32.1248</c:v>
                </c:pt>
                <c:pt idx="80">
                  <c:v>32.530700000000003</c:v>
                </c:pt>
                <c:pt idx="81">
                  <c:v>32.938099999999999</c:v>
                </c:pt>
                <c:pt idx="82">
                  <c:v>33.345100000000002</c:v>
                </c:pt>
                <c:pt idx="83">
                  <c:v>33.7498</c:v>
                </c:pt>
                <c:pt idx="84">
                  <c:v>34.154899999999998</c:v>
                </c:pt>
                <c:pt idx="85">
                  <c:v>34.561700000000002</c:v>
                </c:pt>
                <c:pt idx="86">
                  <c:v>34.968800000000002</c:v>
                </c:pt>
                <c:pt idx="87">
                  <c:v>35.376800000000003</c:v>
                </c:pt>
                <c:pt idx="88">
                  <c:v>35.781599999999997</c:v>
                </c:pt>
                <c:pt idx="89">
                  <c:v>36.186199999999999</c:v>
                </c:pt>
                <c:pt idx="90">
                  <c:v>36.595599999999997</c:v>
                </c:pt>
                <c:pt idx="91">
                  <c:v>37.000799999999998</c:v>
                </c:pt>
                <c:pt idx="92">
                  <c:v>37.407699999999998</c:v>
                </c:pt>
                <c:pt idx="93">
                  <c:v>37.813200000000002</c:v>
                </c:pt>
                <c:pt idx="94">
                  <c:v>38.216500000000003</c:v>
                </c:pt>
                <c:pt idx="95">
                  <c:v>38.622900000000001</c:v>
                </c:pt>
                <c:pt idx="96">
                  <c:v>39.031599999999997</c:v>
                </c:pt>
                <c:pt idx="97">
                  <c:v>39.4373</c:v>
                </c:pt>
                <c:pt idx="98">
                  <c:v>39.842700000000001</c:v>
                </c:pt>
                <c:pt idx="99">
                  <c:v>40.249200000000002</c:v>
                </c:pt>
                <c:pt idx="100">
                  <c:v>40.655700000000003</c:v>
                </c:pt>
                <c:pt idx="101">
                  <c:v>41.0608</c:v>
                </c:pt>
                <c:pt idx="102">
                  <c:v>41.470799999999997</c:v>
                </c:pt>
                <c:pt idx="103">
                  <c:v>41.875500000000002</c:v>
                </c:pt>
                <c:pt idx="104">
                  <c:v>42.281199999999998</c:v>
                </c:pt>
                <c:pt idx="105">
                  <c:v>42.685699999999997</c:v>
                </c:pt>
                <c:pt idx="106">
                  <c:v>43.090899999999998</c:v>
                </c:pt>
                <c:pt idx="107">
                  <c:v>43.499600000000001</c:v>
                </c:pt>
                <c:pt idx="108">
                  <c:v>43.906999999999996</c:v>
                </c:pt>
                <c:pt idx="109">
                  <c:v>44.314100000000003</c:v>
                </c:pt>
                <c:pt idx="110">
                  <c:v>44.716299999999997</c:v>
                </c:pt>
                <c:pt idx="111">
                  <c:v>45.128399999999999</c:v>
                </c:pt>
                <c:pt idx="112">
                  <c:v>45.529800000000002</c:v>
                </c:pt>
                <c:pt idx="113">
                  <c:v>45.939100000000003</c:v>
                </c:pt>
                <c:pt idx="114">
                  <c:v>46.344099999999997</c:v>
                </c:pt>
                <c:pt idx="115">
                  <c:v>46.751899999999999</c:v>
                </c:pt>
                <c:pt idx="116">
                  <c:v>47.1571</c:v>
                </c:pt>
                <c:pt idx="117">
                  <c:v>47.560400000000001</c:v>
                </c:pt>
                <c:pt idx="118">
                  <c:v>47.9679</c:v>
                </c:pt>
                <c:pt idx="119">
                  <c:v>48.375300000000003</c:v>
                </c:pt>
                <c:pt idx="120">
                  <c:v>48.7819</c:v>
                </c:pt>
                <c:pt idx="121">
                  <c:v>49.188800000000001</c:v>
                </c:pt>
                <c:pt idx="122">
                  <c:v>49.594900000000003</c:v>
                </c:pt>
                <c:pt idx="123">
                  <c:v>49.997199999999999</c:v>
                </c:pt>
                <c:pt idx="124">
                  <c:v>50.4054</c:v>
                </c:pt>
                <c:pt idx="125">
                  <c:v>50.813099999999999</c:v>
                </c:pt>
                <c:pt idx="126">
                  <c:v>51.218800000000002</c:v>
                </c:pt>
                <c:pt idx="127">
                  <c:v>51.6252</c:v>
                </c:pt>
                <c:pt idx="128">
                  <c:v>52.0274</c:v>
                </c:pt>
                <c:pt idx="129">
                  <c:v>52.436199999999999</c:v>
                </c:pt>
                <c:pt idx="130">
                  <c:v>52.845199999999998</c:v>
                </c:pt>
                <c:pt idx="131">
                  <c:v>53.2483</c:v>
                </c:pt>
                <c:pt idx="132">
                  <c:v>53.653799999999997</c:v>
                </c:pt>
                <c:pt idx="133">
                  <c:v>54.060200000000002</c:v>
                </c:pt>
                <c:pt idx="134">
                  <c:v>54.467300000000002</c:v>
                </c:pt>
                <c:pt idx="135">
                  <c:v>54.874899999999997</c:v>
                </c:pt>
                <c:pt idx="136">
                  <c:v>55.281199999999998</c:v>
                </c:pt>
                <c:pt idx="137">
                  <c:v>55.69</c:v>
                </c:pt>
                <c:pt idx="138">
                  <c:v>56.092599999999997</c:v>
                </c:pt>
                <c:pt idx="139">
                  <c:v>56.499400000000001</c:v>
                </c:pt>
                <c:pt idx="140">
                  <c:v>56.908499999999997</c:v>
                </c:pt>
                <c:pt idx="141">
                  <c:v>57.310099999999998</c:v>
                </c:pt>
                <c:pt idx="142">
                  <c:v>57.721699999999998</c:v>
                </c:pt>
                <c:pt idx="143">
                  <c:v>58.124400000000001</c:v>
                </c:pt>
                <c:pt idx="144">
                  <c:v>58.529800000000002</c:v>
                </c:pt>
                <c:pt idx="145">
                  <c:v>58.939300000000003</c:v>
                </c:pt>
                <c:pt idx="146">
                  <c:v>59.345199999999998</c:v>
                </c:pt>
                <c:pt idx="147">
                  <c:v>59.750300000000003</c:v>
                </c:pt>
                <c:pt idx="148">
                  <c:v>60.154000000000003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46.396100000000004</c:v>
                </c:pt>
                <c:pt idx="1">
                  <c:v>45.656100000000002</c:v>
                </c:pt>
                <c:pt idx="2">
                  <c:v>44.925699999999999</c:v>
                </c:pt>
                <c:pt idx="3">
                  <c:v>44.160600000000002</c:v>
                </c:pt>
                <c:pt idx="4">
                  <c:v>43.270299999999999</c:v>
                </c:pt>
                <c:pt idx="5">
                  <c:v>42.487299999999998</c:v>
                </c:pt>
                <c:pt idx="6">
                  <c:v>41.762500000000003</c:v>
                </c:pt>
                <c:pt idx="7">
                  <c:v>41.094000000000001</c:v>
                </c:pt>
                <c:pt idx="8">
                  <c:v>40.331000000000003</c:v>
                </c:pt>
                <c:pt idx="9">
                  <c:v>39.525799999999997</c:v>
                </c:pt>
                <c:pt idx="10">
                  <c:v>38.908500000000004</c:v>
                </c:pt>
                <c:pt idx="11">
                  <c:v>38.454000000000001</c:v>
                </c:pt>
                <c:pt idx="12">
                  <c:v>38.072600000000001</c:v>
                </c:pt>
                <c:pt idx="13">
                  <c:v>37.737500000000004</c:v>
                </c:pt>
                <c:pt idx="14">
                  <c:v>37.391500000000001</c:v>
                </c:pt>
                <c:pt idx="15">
                  <c:v>37.0914</c:v>
                </c:pt>
                <c:pt idx="16">
                  <c:v>36.742399999999996</c:v>
                </c:pt>
                <c:pt idx="17">
                  <c:v>36.396000000000001</c:v>
                </c:pt>
                <c:pt idx="18">
                  <c:v>35.9711</c:v>
                </c:pt>
                <c:pt idx="19">
                  <c:v>35.505299999999998</c:v>
                </c:pt>
                <c:pt idx="20">
                  <c:v>34.988799999999998</c:v>
                </c:pt>
                <c:pt idx="21">
                  <c:v>34.508200000000002</c:v>
                </c:pt>
                <c:pt idx="22">
                  <c:v>33.972200000000001</c:v>
                </c:pt>
                <c:pt idx="23">
                  <c:v>33.444400000000002</c:v>
                </c:pt>
                <c:pt idx="24">
                  <c:v>32.9071</c:v>
                </c:pt>
                <c:pt idx="25">
                  <c:v>32.401799999999994</c:v>
                </c:pt>
                <c:pt idx="26">
                  <c:v>31.905799999999999</c:v>
                </c:pt>
                <c:pt idx="27">
                  <c:v>31.418900000000001</c:v>
                </c:pt>
                <c:pt idx="28">
                  <c:v>30.993600000000001</c:v>
                </c:pt>
                <c:pt idx="29">
                  <c:v>30.650699999999997</c:v>
                </c:pt>
                <c:pt idx="30">
                  <c:v>30.344100000000001</c:v>
                </c:pt>
                <c:pt idx="31">
                  <c:v>30.098700000000001</c:v>
                </c:pt>
                <c:pt idx="32">
                  <c:v>29.897500000000001</c:v>
                </c:pt>
                <c:pt idx="33">
                  <c:v>29.811900000000001</c:v>
                </c:pt>
                <c:pt idx="34">
                  <c:v>29.817599999999999</c:v>
                </c:pt>
                <c:pt idx="35">
                  <c:v>29.852899999999998</c:v>
                </c:pt>
                <c:pt idx="36">
                  <c:v>29.877599999999997</c:v>
                </c:pt>
                <c:pt idx="37">
                  <c:v>29.876300000000001</c:v>
                </c:pt>
                <c:pt idx="38">
                  <c:v>29.9298</c:v>
                </c:pt>
                <c:pt idx="39">
                  <c:v>29.974600000000002</c:v>
                </c:pt>
                <c:pt idx="40">
                  <c:v>29.961600000000001</c:v>
                </c:pt>
                <c:pt idx="41">
                  <c:v>29.951499999999996</c:v>
                </c:pt>
                <c:pt idx="42">
                  <c:v>29.9786</c:v>
                </c:pt>
                <c:pt idx="43">
                  <c:v>29.965599999999998</c:v>
                </c:pt>
                <c:pt idx="44">
                  <c:v>29.963299999999997</c:v>
                </c:pt>
                <c:pt idx="45">
                  <c:v>30.023199999999999</c:v>
                </c:pt>
                <c:pt idx="46">
                  <c:v>30.051200000000001</c:v>
                </c:pt>
                <c:pt idx="47">
                  <c:v>30.090899999999998</c:v>
                </c:pt>
                <c:pt idx="48">
                  <c:v>30.088199999999997</c:v>
                </c:pt>
                <c:pt idx="49">
                  <c:v>30.144100000000002</c:v>
                </c:pt>
                <c:pt idx="50">
                  <c:v>30.271999999999998</c:v>
                </c:pt>
                <c:pt idx="51">
                  <c:v>30.333500000000001</c:v>
                </c:pt>
                <c:pt idx="52">
                  <c:v>30.377300000000002</c:v>
                </c:pt>
                <c:pt idx="53">
                  <c:v>30.402899999999999</c:v>
                </c:pt>
                <c:pt idx="54">
                  <c:v>30.361500000000003</c:v>
                </c:pt>
                <c:pt idx="55">
                  <c:v>30.358600000000003</c:v>
                </c:pt>
                <c:pt idx="56">
                  <c:v>30.430900000000001</c:v>
                </c:pt>
                <c:pt idx="57">
                  <c:v>30.497600000000002</c:v>
                </c:pt>
                <c:pt idx="58">
                  <c:v>30.529800000000002</c:v>
                </c:pt>
                <c:pt idx="59">
                  <c:v>30.496499999999997</c:v>
                </c:pt>
                <c:pt idx="60">
                  <c:v>30.471299999999999</c:v>
                </c:pt>
                <c:pt idx="61">
                  <c:v>30.470399999999998</c:v>
                </c:pt>
                <c:pt idx="62">
                  <c:v>30.576599999999999</c:v>
                </c:pt>
                <c:pt idx="63">
                  <c:v>30.6739</c:v>
                </c:pt>
                <c:pt idx="64">
                  <c:v>30.863400000000002</c:v>
                </c:pt>
                <c:pt idx="65">
                  <c:v>31.018600000000003</c:v>
                </c:pt>
                <c:pt idx="66">
                  <c:v>31.110500000000002</c:v>
                </c:pt>
                <c:pt idx="67">
                  <c:v>31.124499999999998</c:v>
                </c:pt>
                <c:pt idx="68">
                  <c:v>31.119200000000003</c:v>
                </c:pt>
                <c:pt idx="69">
                  <c:v>31.044599999999999</c:v>
                </c:pt>
                <c:pt idx="70">
                  <c:v>30.992399999999996</c:v>
                </c:pt>
                <c:pt idx="71">
                  <c:v>30.819999999999997</c:v>
                </c:pt>
                <c:pt idx="72">
                  <c:v>30.5913</c:v>
                </c:pt>
                <c:pt idx="73">
                  <c:v>30.395100000000003</c:v>
                </c:pt>
                <c:pt idx="74">
                  <c:v>30.1327</c:v>
                </c:pt>
                <c:pt idx="75">
                  <c:v>29.795400000000001</c:v>
                </c:pt>
                <c:pt idx="76">
                  <c:v>29.549300000000002</c:v>
                </c:pt>
                <c:pt idx="77">
                  <c:v>29.247899999999998</c:v>
                </c:pt>
                <c:pt idx="78">
                  <c:v>28.934500000000003</c:v>
                </c:pt>
                <c:pt idx="79">
                  <c:v>28.64</c:v>
                </c:pt>
                <c:pt idx="80">
                  <c:v>28.301900000000003</c:v>
                </c:pt>
                <c:pt idx="81">
                  <c:v>27.9453</c:v>
                </c:pt>
                <c:pt idx="82">
                  <c:v>27.566200000000002</c:v>
                </c:pt>
                <c:pt idx="83">
                  <c:v>27.204499999999999</c:v>
                </c:pt>
                <c:pt idx="84">
                  <c:v>26.817400000000003</c:v>
                </c:pt>
                <c:pt idx="85">
                  <c:v>26.469700000000003</c:v>
                </c:pt>
                <c:pt idx="86">
                  <c:v>26.1191</c:v>
                </c:pt>
                <c:pt idx="87">
                  <c:v>25.795200000000001</c:v>
                </c:pt>
                <c:pt idx="88">
                  <c:v>25.4739</c:v>
                </c:pt>
                <c:pt idx="89">
                  <c:v>25.145499999999998</c:v>
                </c:pt>
                <c:pt idx="90">
                  <c:v>24.883199999999999</c:v>
                </c:pt>
                <c:pt idx="91">
                  <c:v>24.680800000000001</c:v>
                </c:pt>
                <c:pt idx="92">
                  <c:v>24.489900000000002</c:v>
                </c:pt>
                <c:pt idx="93">
                  <c:v>24.366599999999998</c:v>
                </c:pt>
                <c:pt idx="94">
                  <c:v>24.284600000000001</c:v>
                </c:pt>
                <c:pt idx="95">
                  <c:v>24.286899999999999</c:v>
                </c:pt>
                <c:pt idx="96">
                  <c:v>24.397300000000001</c:v>
                </c:pt>
                <c:pt idx="97">
                  <c:v>24.5093</c:v>
                </c:pt>
                <c:pt idx="98">
                  <c:v>24.6553</c:v>
                </c:pt>
                <c:pt idx="99">
                  <c:v>24.834199999999999</c:v>
                </c:pt>
                <c:pt idx="100">
                  <c:v>24.970400000000001</c:v>
                </c:pt>
                <c:pt idx="101">
                  <c:v>25.114999999999998</c:v>
                </c:pt>
                <c:pt idx="102">
                  <c:v>25.248799999999999</c:v>
                </c:pt>
                <c:pt idx="103">
                  <c:v>25.458199999999998</c:v>
                </c:pt>
                <c:pt idx="104">
                  <c:v>25.658999999999999</c:v>
                </c:pt>
                <c:pt idx="105">
                  <c:v>25.821100000000001</c:v>
                </c:pt>
                <c:pt idx="106">
                  <c:v>25.995200000000001</c:v>
                </c:pt>
                <c:pt idx="107">
                  <c:v>26.200200000000002</c:v>
                </c:pt>
                <c:pt idx="108">
                  <c:v>26.413199999999996</c:v>
                </c:pt>
                <c:pt idx="109">
                  <c:v>26.630700000000001</c:v>
                </c:pt>
                <c:pt idx="110">
                  <c:v>26.877299999999998</c:v>
                </c:pt>
                <c:pt idx="111">
                  <c:v>27.110400000000002</c:v>
                </c:pt>
                <c:pt idx="112">
                  <c:v>27.256799999999998</c:v>
                </c:pt>
                <c:pt idx="113">
                  <c:v>27.312999999999999</c:v>
                </c:pt>
                <c:pt idx="114">
                  <c:v>27.387299999999996</c:v>
                </c:pt>
                <c:pt idx="115">
                  <c:v>27.456000000000003</c:v>
                </c:pt>
                <c:pt idx="116">
                  <c:v>27.5777</c:v>
                </c:pt>
                <c:pt idx="117">
                  <c:v>27.767599999999998</c:v>
                </c:pt>
                <c:pt idx="118">
                  <c:v>27.954600000000003</c:v>
                </c:pt>
                <c:pt idx="119">
                  <c:v>28.067599999999999</c:v>
                </c:pt>
                <c:pt idx="120">
                  <c:v>28.209</c:v>
                </c:pt>
                <c:pt idx="121">
                  <c:v>28.324999999999999</c:v>
                </c:pt>
                <c:pt idx="122">
                  <c:v>28.360999999999997</c:v>
                </c:pt>
                <c:pt idx="123">
                  <c:v>28.351199999999999</c:v>
                </c:pt>
                <c:pt idx="124">
                  <c:v>28.324700000000004</c:v>
                </c:pt>
                <c:pt idx="125">
                  <c:v>28.317500000000003</c:v>
                </c:pt>
                <c:pt idx="126">
                  <c:v>28.310999999999996</c:v>
                </c:pt>
                <c:pt idx="127">
                  <c:v>28.341899999999999</c:v>
                </c:pt>
                <c:pt idx="128">
                  <c:v>28.310800000000004</c:v>
                </c:pt>
                <c:pt idx="129">
                  <c:v>28.2957</c:v>
                </c:pt>
                <c:pt idx="130">
                  <c:v>28.3354</c:v>
                </c:pt>
                <c:pt idx="131">
                  <c:v>28.377500000000001</c:v>
                </c:pt>
                <c:pt idx="132">
                  <c:v>28.428599999999999</c:v>
                </c:pt>
                <c:pt idx="133">
                  <c:v>28.475899999999999</c:v>
                </c:pt>
                <c:pt idx="134">
                  <c:v>28.548000000000002</c:v>
                </c:pt>
                <c:pt idx="135">
                  <c:v>28.559800000000003</c:v>
                </c:pt>
                <c:pt idx="136">
                  <c:v>28.569299999999998</c:v>
                </c:pt>
                <c:pt idx="137">
                  <c:v>28.674100000000003</c:v>
                </c:pt>
                <c:pt idx="138">
                  <c:v>28.9589</c:v>
                </c:pt>
                <c:pt idx="139">
                  <c:v>29.2456</c:v>
                </c:pt>
                <c:pt idx="140">
                  <c:v>29.5091</c:v>
                </c:pt>
                <c:pt idx="141">
                  <c:v>29.666500000000003</c:v>
                </c:pt>
                <c:pt idx="142">
                  <c:v>29.762799999999999</c:v>
                </c:pt>
                <c:pt idx="143">
                  <c:v>29.779299999999999</c:v>
                </c:pt>
                <c:pt idx="144">
                  <c:v>29.876799999999999</c:v>
                </c:pt>
                <c:pt idx="145">
                  <c:v>29.705300000000001</c:v>
                </c:pt>
                <c:pt idx="146">
                  <c:v>29.450199999999999</c:v>
                </c:pt>
                <c:pt idx="147">
                  <c:v>29.384700000000002</c:v>
                </c:pt>
                <c:pt idx="148">
                  <c:v>29.2165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0.373892</c:v>
                </c:pt>
                <c:pt idx="2">
                  <c:v>0.78367200000000004</c:v>
                </c:pt>
                <c:pt idx="3">
                  <c:v>1.1856899999999999</c:v>
                </c:pt>
                <c:pt idx="4">
                  <c:v>1.59213</c:v>
                </c:pt>
                <c:pt idx="5">
                  <c:v>1.99823</c:v>
                </c:pt>
                <c:pt idx="6">
                  <c:v>2.4036300000000002</c:v>
                </c:pt>
                <c:pt idx="7">
                  <c:v>2.8147799999999998</c:v>
                </c:pt>
                <c:pt idx="8">
                  <c:v>3.21834</c:v>
                </c:pt>
                <c:pt idx="9">
                  <c:v>3.6246900000000002</c:v>
                </c:pt>
                <c:pt idx="10">
                  <c:v>4.0308299999999999</c:v>
                </c:pt>
                <c:pt idx="11">
                  <c:v>4.4373399999999998</c:v>
                </c:pt>
                <c:pt idx="12">
                  <c:v>4.8415800000000004</c:v>
                </c:pt>
                <c:pt idx="13">
                  <c:v>5.2527499999999998</c:v>
                </c:pt>
                <c:pt idx="14">
                  <c:v>5.6581000000000001</c:v>
                </c:pt>
                <c:pt idx="15">
                  <c:v>6.0613299999999999</c:v>
                </c:pt>
                <c:pt idx="16">
                  <c:v>6.4678000000000004</c:v>
                </c:pt>
                <c:pt idx="17">
                  <c:v>6.8768099999999999</c:v>
                </c:pt>
                <c:pt idx="18">
                  <c:v>7.2812299999999999</c:v>
                </c:pt>
                <c:pt idx="19">
                  <c:v>7.6865300000000003</c:v>
                </c:pt>
                <c:pt idx="20">
                  <c:v>8.0901499999999995</c:v>
                </c:pt>
                <c:pt idx="21">
                  <c:v>8.4991900000000005</c:v>
                </c:pt>
                <c:pt idx="22">
                  <c:v>8.9078499999999998</c:v>
                </c:pt>
                <c:pt idx="23">
                  <c:v>9.31419</c:v>
                </c:pt>
                <c:pt idx="24">
                  <c:v>9.7174200000000006</c:v>
                </c:pt>
                <c:pt idx="25">
                  <c:v>10.1233</c:v>
                </c:pt>
                <c:pt idx="26">
                  <c:v>10.528700000000001</c:v>
                </c:pt>
                <c:pt idx="27">
                  <c:v>10.9383</c:v>
                </c:pt>
                <c:pt idx="28">
                  <c:v>11.343</c:v>
                </c:pt>
                <c:pt idx="29">
                  <c:v>11.7498</c:v>
                </c:pt>
                <c:pt idx="30">
                  <c:v>12.1546</c:v>
                </c:pt>
                <c:pt idx="31">
                  <c:v>12.5648</c:v>
                </c:pt>
                <c:pt idx="32">
                  <c:v>12.9679</c:v>
                </c:pt>
                <c:pt idx="33">
                  <c:v>13.3767</c:v>
                </c:pt>
                <c:pt idx="34">
                  <c:v>13.7822</c:v>
                </c:pt>
                <c:pt idx="35">
                  <c:v>14.186500000000001</c:v>
                </c:pt>
                <c:pt idx="36">
                  <c:v>14.592599999999999</c:v>
                </c:pt>
                <c:pt idx="37">
                  <c:v>14.9993</c:v>
                </c:pt>
                <c:pt idx="38">
                  <c:v>15.407999999999999</c:v>
                </c:pt>
                <c:pt idx="39">
                  <c:v>15.8118</c:v>
                </c:pt>
                <c:pt idx="40">
                  <c:v>16.217300000000002</c:v>
                </c:pt>
                <c:pt idx="41">
                  <c:v>16.622499999999999</c:v>
                </c:pt>
                <c:pt idx="42">
                  <c:v>17.031099999999999</c:v>
                </c:pt>
                <c:pt idx="43">
                  <c:v>17.437899999999999</c:v>
                </c:pt>
                <c:pt idx="44">
                  <c:v>17.847000000000001</c:v>
                </c:pt>
                <c:pt idx="45">
                  <c:v>18.248899999999999</c:v>
                </c:pt>
                <c:pt idx="46">
                  <c:v>18.654699999999998</c:v>
                </c:pt>
                <c:pt idx="47">
                  <c:v>19.063300000000002</c:v>
                </c:pt>
                <c:pt idx="48">
                  <c:v>19.467600000000001</c:v>
                </c:pt>
                <c:pt idx="49">
                  <c:v>19.876100000000001</c:v>
                </c:pt>
                <c:pt idx="50">
                  <c:v>20.280100000000001</c:v>
                </c:pt>
                <c:pt idx="51">
                  <c:v>20.6858</c:v>
                </c:pt>
                <c:pt idx="52">
                  <c:v>21.091100000000001</c:v>
                </c:pt>
                <c:pt idx="53">
                  <c:v>21.498699999999999</c:v>
                </c:pt>
                <c:pt idx="54">
                  <c:v>21.905000000000001</c:v>
                </c:pt>
                <c:pt idx="55">
                  <c:v>22.3125</c:v>
                </c:pt>
                <c:pt idx="56">
                  <c:v>22.720199999999998</c:v>
                </c:pt>
                <c:pt idx="57">
                  <c:v>23.126899999999999</c:v>
                </c:pt>
                <c:pt idx="58">
                  <c:v>23.528700000000001</c:v>
                </c:pt>
                <c:pt idx="59">
                  <c:v>23.936900000000001</c:v>
                </c:pt>
                <c:pt idx="60">
                  <c:v>24.340599999999998</c:v>
                </c:pt>
                <c:pt idx="61">
                  <c:v>24.7514</c:v>
                </c:pt>
                <c:pt idx="62">
                  <c:v>25.157</c:v>
                </c:pt>
                <c:pt idx="63">
                  <c:v>25.5609</c:v>
                </c:pt>
                <c:pt idx="64">
                  <c:v>25.970199999999998</c:v>
                </c:pt>
                <c:pt idx="65">
                  <c:v>26.3749</c:v>
                </c:pt>
                <c:pt idx="66">
                  <c:v>26.7837</c:v>
                </c:pt>
                <c:pt idx="67">
                  <c:v>27.188099999999999</c:v>
                </c:pt>
                <c:pt idx="68">
                  <c:v>27.591999999999999</c:v>
                </c:pt>
                <c:pt idx="69">
                  <c:v>27.998100000000001</c:v>
                </c:pt>
                <c:pt idx="70">
                  <c:v>28.404699999999998</c:v>
                </c:pt>
                <c:pt idx="71">
                  <c:v>28.813199999999998</c:v>
                </c:pt>
                <c:pt idx="72">
                  <c:v>29.219899999999999</c:v>
                </c:pt>
                <c:pt idx="73">
                  <c:v>29.622699999999998</c:v>
                </c:pt>
                <c:pt idx="74">
                  <c:v>30.031600000000001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46.396100000000004</c:v>
                </c:pt>
                <c:pt idx="1">
                  <c:v>45.656100000000002</c:v>
                </c:pt>
                <c:pt idx="2">
                  <c:v>44.925699999999999</c:v>
                </c:pt>
                <c:pt idx="3">
                  <c:v>44.160600000000002</c:v>
                </c:pt>
                <c:pt idx="4">
                  <c:v>43.270299999999999</c:v>
                </c:pt>
                <c:pt idx="5">
                  <c:v>42.487299999999998</c:v>
                </c:pt>
                <c:pt idx="6">
                  <c:v>41.762500000000003</c:v>
                </c:pt>
                <c:pt idx="7">
                  <c:v>41.094000000000001</c:v>
                </c:pt>
                <c:pt idx="8">
                  <c:v>40.331000000000003</c:v>
                </c:pt>
                <c:pt idx="9">
                  <c:v>39.525799999999997</c:v>
                </c:pt>
                <c:pt idx="10">
                  <c:v>38.908500000000004</c:v>
                </c:pt>
                <c:pt idx="11">
                  <c:v>38.454000000000001</c:v>
                </c:pt>
                <c:pt idx="12">
                  <c:v>38.072600000000001</c:v>
                </c:pt>
                <c:pt idx="13">
                  <c:v>37.737500000000004</c:v>
                </c:pt>
                <c:pt idx="14">
                  <c:v>37.391500000000001</c:v>
                </c:pt>
                <c:pt idx="15">
                  <c:v>37.0914</c:v>
                </c:pt>
                <c:pt idx="16">
                  <c:v>36.742399999999996</c:v>
                </c:pt>
                <c:pt idx="17">
                  <c:v>36.396000000000001</c:v>
                </c:pt>
                <c:pt idx="18">
                  <c:v>35.9711</c:v>
                </c:pt>
                <c:pt idx="19">
                  <c:v>35.505299999999998</c:v>
                </c:pt>
                <c:pt idx="20">
                  <c:v>34.988799999999998</c:v>
                </c:pt>
                <c:pt idx="21">
                  <c:v>34.508200000000002</c:v>
                </c:pt>
                <c:pt idx="22">
                  <c:v>33.972200000000001</c:v>
                </c:pt>
                <c:pt idx="23">
                  <c:v>33.444400000000002</c:v>
                </c:pt>
                <c:pt idx="24">
                  <c:v>32.9071</c:v>
                </c:pt>
                <c:pt idx="25">
                  <c:v>32.401799999999994</c:v>
                </c:pt>
                <c:pt idx="26">
                  <c:v>31.905799999999999</c:v>
                </c:pt>
                <c:pt idx="27">
                  <c:v>31.418900000000001</c:v>
                </c:pt>
                <c:pt idx="28">
                  <c:v>30.993600000000001</c:v>
                </c:pt>
                <c:pt idx="29">
                  <c:v>30.650699999999997</c:v>
                </c:pt>
                <c:pt idx="30">
                  <c:v>30.344100000000001</c:v>
                </c:pt>
                <c:pt idx="31">
                  <c:v>30.098700000000001</c:v>
                </c:pt>
                <c:pt idx="32">
                  <c:v>29.897500000000001</c:v>
                </c:pt>
                <c:pt idx="33">
                  <c:v>29.811900000000001</c:v>
                </c:pt>
                <c:pt idx="34">
                  <c:v>29.817599999999999</c:v>
                </c:pt>
                <c:pt idx="35">
                  <c:v>29.852899999999998</c:v>
                </c:pt>
                <c:pt idx="36">
                  <c:v>29.877599999999997</c:v>
                </c:pt>
                <c:pt idx="37">
                  <c:v>29.876300000000001</c:v>
                </c:pt>
                <c:pt idx="38">
                  <c:v>29.9298</c:v>
                </c:pt>
                <c:pt idx="39">
                  <c:v>29.974600000000002</c:v>
                </c:pt>
                <c:pt idx="40">
                  <c:v>29.961600000000001</c:v>
                </c:pt>
                <c:pt idx="41">
                  <c:v>29.951499999999996</c:v>
                </c:pt>
                <c:pt idx="42">
                  <c:v>29.9786</c:v>
                </c:pt>
                <c:pt idx="43">
                  <c:v>29.965599999999998</c:v>
                </c:pt>
                <c:pt idx="44">
                  <c:v>29.963299999999997</c:v>
                </c:pt>
                <c:pt idx="45">
                  <c:v>30.023199999999999</c:v>
                </c:pt>
                <c:pt idx="46">
                  <c:v>30.051200000000001</c:v>
                </c:pt>
                <c:pt idx="47">
                  <c:v>30.090899999999998</c:v>
                </c:pt>
                <c:pt idx="48">
                  <c:v>30.088199999999997</c:v>
                </c:pt>
                <c:pt idx="49">
                  <c:v>30.144100000000002</c:v>
                </c:pt>
                <c:pt idx="50">
                  <c:v>30.271999999999998</c:v>
                </c:pt>
                <c:pt idx="51">
                  <c:v>30.333500000000001</c:v>
                </c:pt>
                <c:pt idx="52">
                  <c:v>30.377300000000002</c:v>
                </c:pt>
                <c:pt idx="53">
                  <c:v>30.402899999999999</c:v>
                </c:pt>
                <c:pt idx="54">
                  <c:v>30.361500000000003</c:v>
                </c:pt>
                <c:pt idx="55">
                  <c:v>30.358600000000003</c:v>
                </c:pt>
                <c:pt idx="56">
                  <c:v>30.430900000000001</c:v>
                </c:pt>
                <c:pt idx="57">
                  <c:v>30.497600000000002</c:v>
                </c:pt>
                <c:pt idx="58">
                  <c:v>30.529800000000002</c:v>
                </c:pt>
                <c:pt idx="59">
                  <c:v>30.496499999999997</c:v>
                </c:pt>
                <c:pt idx="60">
                  <c:v>30.471299999999999</c:v>
                </c:pt>
                <c:pt idx="61">
                  <c:v>30.470399999999998</c:v>
                </c:pt>
                <c:pt idx="62">
                  <c:v>30.576599999999999</c:v>
                </c:pt>
                <c:pt idx="63">
                  <c:v>30.6739</c:v>
                </c:pt>
                <c:pt idx="64">
                  <c:v>30.863400000000002</c:v>
                </c:pt>
                <c:pt idx="65">
                  <c:v>31.018600000000003</c:v>
                </c:pt>
                <c:pt idx="66">
                  <c:v>31.110500000000002</c:v>
                </c:pt>
                <c:pt idx="67">
                  <c:v>31.124499999999998</c:v>
                </c:pt>
                <c:pt idx="68">
                  <c:v>31.119200000000003</c:v>
                </c:pt>
                <c:pt idx="69">
                  <c:v>31.044599999999999</c:v>
                </c:pt>
                <c:pt idx="70">
                  <c:v>30.992399999999996</c:v>
                </c:pt>
                <c:pt idx="71">
                  <c:v>30.819999999999997</c:v>
                </c:pt>
                <c:pt idx="72">
                  <c:v>30.5913</c:v>
                </c:pt>
                <c:pt idx="73">
                  <c:v>30.395100000000003</c:v>
                </c:pt>
                <c:pt idx="74">
                  <c:v>30.1327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30.031600000000001</c:v>
                </c:pt>
                <c:pt idx="1">
                  <c:v>30.6233</c:v>
                </c:pt>
                <c:pt idx="2">
                  <c:v>30.997900000000001</c:v>
                </c:pt>
                <c:pt idx="3">
                  <c:v>31.3736</c:v>
                </c:pt>
                <c:pt idx="4">
                  <c:v>31.748799999999999</c:v>
                </c:pt>
                <c:pt idx="5">
                  <c:v>32.1248</c:v>
                </c:pt>
                <c:pt idx="6">
                  <c:v>32.530700000000003</c:v>
                </c:pt>
                <c:pt idx="7">
                  <c:v>32.938099999999999</c:v>
                </c:pt>
                <c:pt idx="8">
                  <c:v>33.345100000000002</c:v>
                </c:pt>
                <c:pt idx="9">
                  <c:v>33.7498</c:v>
                </c:pt>
                <c:pt idx="10">
                  <c:v>34.154899999999998</c:v>
                </c:pt>
                <c:pt idx="11">
                  <c:v>34.561700000000002</c:v>
                </c:pt>
                <c:pt idx="12">
                  <c:v>34.968800000000002</c:v>
                </c:pt>
                <c:pt idx="13">
                  <c:v>35.376800000000003</c:v>
                </c:pt>
                <c:pt idx="14">
                  <c:v>35.781599999999997</c:v>
                </c:pt>
                <c:pt idx="15">
                  <c:v>36.186199999999999</c:v>
                </c:pt>
                <c:pt idx="16">
                  <c:v>36.595599999999997</c:v>
                </c:pt>
                <c:pt idx="17">
                  <c:v>37.000799999999998</c:v>
                </c:pt>
                <c:pt idx="18">
                  <c:v>37.407699999999998</c:v>
                </c:pt>
                <c:pt idx="19">
                  <c:v>37.813200000000002</c:v>
                </c:pt>
                <c:pt idx="20">
                  <c:v>38.216500000000003</c:v>
                </c:pt>
                <c:pt idx="21">
                  <c:v>38.622900000000001</c:v>
                </c:pt>
                <c:pt idx="22">
                  <c:v>39.031599999999997</c:v>
                </c:pt>
                <c:pt idx="23">
                  <c:v>39.4373</c:v>
                </c:pt>
                <c:pt idx="24">
                  <c:v>39.842700000000001</c:v>
                </c:pt>
                <c:pt idx="25">
                  <c:v>40.249200000000002</c:v>
                </c:pt>
                <c:pt idx="26">
                  <c:v>40.655700000000003</c:v>
                </c:pt>
                <c:pt idx="27">
                  <c:v>41.0608</c:v>
                </c:pt>
                <c:pt idx="28">
                  <c:v>41.470799999999997</c:v>
                </c:pt>
                <c:pt idx="29">
                  <c:v>41.875500000000002</c:v>
                </c:pt>
                <c:pt idx="30">
                  <c:v>42.281199999999998</c:v>
                </c:pt>
                <c:pt idx="31">
                  <c:v>42.685699999999997</c:v>
                </c:pt>
                <c:pt idx="32">
                  <c:v>43.090899999999998</c:v>
                </c:pt>
                <c:pt idx="33">
                  <c:v>43.499600000000001</c:v>
                </c:pt>
                <c:pt idx="34">
                  <c:v>43.906999999999996</c:v>
                </c:pt>
                <c:pt idx="35">
                  <c:v>44.314100000000003</c:v>
                </c:pt>
                <c:pt idx="36">
                  <c:v>44.716299999999997</c:v>
                </c:pt>
                <c:pt idx="37">
                  <c:v>45.128399999999999</c:v>
                </c:pt>
                <c:pt idx="38">
                  <c:v>45.529800000000002</c:v>
                </c:pt>
                <c:pt idx="39">
                  <c:v>45.939100000000003</c:v>
                </c:pt>
                <c:pt idx="40">
                  <c:v>46.344099999999997</c:v>
                </c:pt>
                <c:pt idx="41">
                  <c:v>46.751899999999999</c:v>
                </c:pt>
                <c:pt idx="42">
                  <c:v>47.1571</c:v>
                </c:pt>
                <c:pt idx="43">
                  <c:v>47.560400000000001</c:v>
                </c:pt>
                <c:pt idx="44">
                  <c:v>47.9679</c:v>
                </c:pt>
                <c:pt idx="45">
                  <c:v>48.375300000000003</c:v>
                </c:pt>
                <c:pt idx="46">
                  <c:v>48.7819</c:v>
                </c:pt>
                <c:pt idx="47">
                  <c:v>49.188800000000001</c:v>
                </c:pt>
                <c:pt idx="48">
                  <c:v>49.594900000000003</c:v>
                </c:pt>
                <c:pt idx="49">
                  <c:v>49.997199999999999</c:v>
                </c:pt>
                <c:pt idx="50">
                  <c:v>50.4054</c:v>
                </c:pt>
                <c:pt idx="51">
                  <c:v>50.813099999999999</c:v>
                </c:pt>
                <c:pt idx="52">
                  <c:v>51.218800000000002</c:v>
                </c:pt>
                <c:pt idx="53">
                  <c:v>51.6252</c:v>
                </c:pt>
                <c:pt idx="54">
                  <c:v>52.0274</c:v>
                </c:pt>
                <c:pt idx="55">
                  <c:v>52.436199999999999</c:v>
                </c:pt>
                <c:pt idx="56">
                  <c:v>52.845199999999998</c:v>
                </c:pt>
                <c:pt idx="57">
                  <c:v>53.2483</c:v>
                </c:pt>
                <c:pt idx="58">
                  <c:v>53.653799999999997</c:v>
                </c:pt>
                <c:pt idx="59">
                  <c:v>54.060200000000002</c:v>
                </c:pt>
                <c:pt idx="60">
                  <c:v>54.467300000000002</c:v>
                </c:pt>
                <c:pt idx="61">
                  <c:v>54.874899999999997</c:v>
                </c:pt>
                <c:pt idx="62">
                  <c:v>55.281199999999998</c:v>
                </c:pt>
                <c:pt idx="63">
                  <c:v>55.69</c:v>
                </c:pt>
                <c:pt idx="64">
                  <c:v>56.092599999999997</c:v>
                </c:pt>
                <c:pt idx="65">
                  <c:v>56.499400000000001</c:v>
                </c:pt>
                <c:pt idx="66">
                  <c:v>56.908499999999997</c:v>
                </c:pt>
                <c:pt idx="67">
                  <c:v>57.310099999999998</c:v>
                </c:pt>
                <c:pt idx="68">
                  <c:v>57.721699999999998</c:v>
                </c:pt>
                <c:pt idx="69">
                  <c:v>58.124400000000001</c:v>
                </c:pt>
                <c:pt idx="70">
                  <c:v>58.529800000000002</c:v>
                </c:pt>
                <c:pt idx="71">
                  <c:v>58.939300000000003</c:v>
                </c:pt>
                <c:pt idx="72">
                  <c:v>59.345199999999998</c:v>
                </c:pt>
                <c:pt idx="73">
                  <c:v>59.750300000000003</c:v>
                </c:pt>
                <c:pt idx="74">
                  <c:v>60.154000000000003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30.1327</c:v>
                </c:pt>
                <c:pt idx="1">
                  <c:v>29.795400000000001</c:v>
                </c:pt>
                <c:pt idx="2">
                  <c:v>29.549300000000002</c:v>
                </c:pt>
                <c:pt idx="3">
                  <c:v>29.247899999999998</c:v>
                </c:pt>
                <c:pt idx="4">
                  <c:v>28.934500000000003</c:v>
                </c:pt>
                <c:pt idx="5">
                  <c:v>28.64</c:v>
                </c:pt>
                <c:pt idx="6">
                  <c:v>28.301900000000003</c:v>
                </c:pt>
                <c:pt idx="7">
                  <c:v>27.9453</c:v>
                </c:pt>
                <c:pt idx="8">
                  <c:v>27.566200000000002</c:v>
                </c:pt>
                <c:pt idx="9">
                  <c:v>27.204499999999999</c:v>
                </c:pt>
                <c:pt idx="10">
                  <c:v>26.817400000000003</c:v>
                </c:pt>
                <c:pt idx="11">
                  <c:v>26.469700000000003</c:v>
                </c:pt>
                <c:pt idx="12">
                  <c:v>26.1191</c:v>
                </c:pt>
                <c:pt idx="13">
                  <c:v>25.795200000000001</c:v>
                </c:pt>
                <c:pt idx="14">
                  <c:v>25.4739</c:v>
                </c:pt>
                <c:pt idx="15">
                  <c:v>25.145499999999998</c:v>
                </c:pt>
                <c:pt idx="16">
                  <c:v>24.883199999999999</c:v>
                </c:pt>
                <c:pt idx="17">
                  <c:v>24.680800000000001</c:v>
                </c:pt>
                <c:pt idx="18">
                  <c:v>24.489900000000002</c:v>
                </c:pt>
                <c:pt idx="19">
                  <c:v>24.366599999999998</c:v>
                </c:pt>
                <c:pt idx="20">
                  <c:v>24.284600000000001</c:v>
                </c:pt>
                <c:pt idx="21">
                  <c:v>24.286899999999999</c:v>
                </c:pt>
                <c:pt idx="22">
                  <c:v>24.397300000000001</c:v>
                </c:pt>
                <c:pt idx="23">
                  <c:v>24.5093</c:v>
                </c:pt>
                <c:pt idx="24">
                  <c:v>24.6553</c:v>
                </c:pt>
                <c:pt idx="25">
                  <c:v>24.834199999999999</c:v>
                </c:pt>
                <c:pt idx="26">
                  <c:v>24.970400000000001</c:v>
                </c:pt>
                <c:pt idx="27">
                  <c:v>25.114999999999998</c:v>
                </c:pt>
                <c:pt idx="28">
                  <c:v>25.248799999999999</c:v>
                </c:pt>
                <c:pt idx="29">
                  <c:v>25.458199999999998</c:v>
                </c:pt>
                <c:pt idx="30">
                  <c:v>25.658999999999999</c:v>
                </c:pt>
                <c:pt idx="31">
                  <c:v>25.821100000000001</c:v>
                </c:pt>
                <c:pt idx="32">
                  <c:v>25.995200000000001</c:v>
                </c:pt>
                <c:pt idx="33">
                  <c:v>26.200200000000002</c:v>
                </c:pt>
                <c:pt idx="34">
                  <c:v>26.413199999999996</c:v>
                </c:pt>
                <c:pt idx="35">
                  <c:v>26.630700000000001</c:v>
                </c:pt>
                <c:pt idx="36">
                  <c:v>26.877299999999998</c:v>
                </c:pt>
                <c:pt idx="37">
                  <c:v>27.110400000000002</c:v>
                </c:pt>
                <c:pt idx="38">
                  <c:v>27.256799999999998</c:v>
                </c:pt>
                <c:pt idx="39">
                  <c:v>27.312999999999999</c:v>
                </c:pt>
                <c:pt idx="40">
                  <c:v>27.387299999999996</c:v>
                </c:pt>
                <c:pt idx="41">
                  <c:v>27.456000000000003</c:v>
                </c:pt>
                <c:pt idx="42">
                  <c:v>27.5777</c:v>
                </c:pt>
                <c:pt idx="43">
                  <c:v>27.767599999999998</c:v>
                </c:pt>
                <c:pt idx="44">
                  <c:v>27.954600000000003</c:v>
                </c:pt>
                <c:pt idx="45">
                  <c:v>28.067599999999999</c:v>
                </c:pt>
                <c:pt idx="46">
                  <c:v>28.209</c:v>
                </c:pt>
                <c:pt idx="47">
                  <c:v>28.324999999999999</c:v>
                </c:pt>
                <c:pt idx="48">
                  <c:v>28.360999999999997</c:v>
                </c:pt>
                <c:pt idx="49">
                  <c:v>28.351199999999999</c:v>
                </c:pt>
                <c:pt idx="50">
                  <c:v>28.324700000000004</c:v>
                </c:pt>
                <c:pt idx="51">
                  <c:v>28.317500000000003</c:v>
                </c:pt>
                <c:pt idx="52">
                  <c:v>28.310999999999996</c:v>
                </c:pt>
                <c:pt idx="53">
                  <c:v>28.341899999999999</c:v>
                </c:pt>
                <c:pt idx="54">
                  <c:v>28.310800000000004</c:v>
                </c:pt>
                <c:pt idx="55">
                  <c:v>28.2957</c:v>
                </c:pt>
                <c:pt idx="56">
                  <c:v>28.3354</c:v>
                </c:pt>
                <c:pt idx="57">
                  <c:v>28.377500000000001</c:v>
                </c:pt>
                <c:pt idx="58">
                  <c:v>28.428599999999999</c:v>
                </c:pt>
                <c:pt idx="59">
                  <c:v>28.475899999999999</c:v>
                </c:pt>
                <c:pt idx="60">
                  <c:v>28.548000000000002</c:v>
                </c:pt>
                <c:pt idx="61">
                  <c:v>28.559800000000003</c:v>
                </c:pt>
                <c:pt idx="62">
                  <c:v>28.569299999999998</c:v>
                </c:pt>
                <c:pt idx="63">
                  <c:v>28.674100000000003</c:v>
                </c:pt>
                <c:pt idx="64">
                  <c:v>28.9589</c:v>
                </c:pt>
                <c:pt idx="65">
                  <c:v>29.2456</c:v>
                </c:pt>
                <c:pt idx="66">
                  <c:v>29.5091</c:v>
                </c:pt>
                <c:pt idx="67">
                  <c:v>29.666500000000003</c:v>
                </c:pt>
                <c:pt idx="68">
                  <c:v>29.762799999999999</c:v>
                </c:pt>
                <c:pt idx="69">
                  <c:v>29.779299999999999</c:v>
                </c:pt>
                <c:pt idx="70">
                  <c:v>29.876799999999999</c:v>
                </c:pt>
                <c:pt idx="71">
                  <c:v>29.705300000000001</c:v>
                </c:pt>
                <c:pt idx="72">
                  <c:v>29.450199999999999</c:v>
                </c:pt>
                <c:pt idx="73">
                  <c:v>29.384700000000002</c:v>
                </c:pt>
                <c:pt idx="74">
                  <c:v>29.2165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15.038500000000001</c:v>
                </c:pt>
                <c:pt idx="1">
                  <c:v>45.115500000000004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33.298686486486496</c:v>
                </c:pt>
                <c:pt idx="1">
                  <c:v>27.395436486486481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50.517600000000002</c:v>
                </c:pt>
                <c:pt idx="1">
                  <c:v>27.194600000000001</c:v>
                </c:pt>
                <c:pt idx="2">
                  <c:v>19.590299999999999</c:v>
                </c:pt>
                <c:pt idx="3">
                  <c:v>33.594799999999999</c:v>
                </c:pt>
                <c:pt idx="4">
                  <c:v>68.291300000000007</c:v>
                </c:pt>
                <c:pt idx="5">
                  <c:v>76.996099999999998</c:v>
                </c:pt>
                <c:pt idx="6">
                  <c:v>30.12</c:v>
                </c:pt>
                <c:pt idx="7">
                  <c:v>72.733800000000002</c:v>
                </c:pt>
                <c:pt idx="8">
                  <c:v>28.762499999999999</c:v>
                </c:pt>
                <c:pt idx="9">
                  <c:v>45.584800000000001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47.3887</c:v>
                </c:pt>
                <c:pt idx="1">
                  <c:v>30.555499999999999</c:v>
                </c:pt>
                <c:pt idx="2">
                  <c:v>20.9602</c:v>
                </c:pt>
                <c:pt idx="3">
                  <c:v>33.160600000000002</c:v>
                </c:pt>
                <c:pt idx="4">
                  <c:v>69.703900000000004</c:v>
                </c:pt>
                <c:pt idx="5">
                  <c:v>77.714500000000001</c:v>
                </c:pt>
                <c:pt idx="6">
                  <c:v>22.195499999999999</c:v>
                </c:pt>
                <c:pt idx="7">
                  <c:v>73.669499999999999</c:v>
                </c:pt>
                <c:pt idx="8">
                  <c:v>26.901</c:v>
                </c:pt>
                <c:pt idx="9">
                  <c:v>68.360900000000001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0.47020207752744708</c:v>
                </c:pt>
                <c:pt idx="1">
                  <c:v>0.248036933821282</c:v>
                </c:pt>
                <c:pt idx="2">
                  <c:v>0.28176098865127086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127</c:v>
                </c:pt>
                <c:pt idx="7">
                  <c:v>0</c:v>
                </c:pt>
                <c:pt idx="8">
                  <c:v>454</c:v>
                </c:pt>
                <c:pt idx="9">
                  <c:v>0</c:v>
                </c:pt>
                <c:pt idx="10">
                  <c:v>0</c:v>
                </c:pt>
                <c:pt idx="11">
                  <c:v>863</c:v>
                </c:pt>
                <c:pt idx="12">
                  <c:v>0</c:v>
                </c:pt>
                <c:pt idx="13">
                  <c:v>353</c:v>
                </c:pt>
                <c:pt idx="14">
                  <c:v>0</c:v>
                </c:pt>
                <c:pt idx="15">
                  <c:v>0</c:v>
                </c:pt>
                <c:pt idx="16">
                  <c:v>446</c:v>
                </c:pt>
                <c:pt idx="17">
                  <c:v>0</c:v>
                </c:pt>
                <c:pt idx="18">
                  <c:v>0</c:v>
                </c:pt>
                <c:pt idx="19">
                  <c:v>404</c:v>
                </c:pt>
                <c:pt idx="20">
                  <c:v>0</c:v>
                </c:pt>
                <c:pt idx="21">
                  <c:v>572</c:v>
                </c:pt>
                <c:pt idx="22">
                  <c:v>0</c:v>
                </c:pt>
                <c:pt idx="23">
                  <c:v>0</c:v>
                </c:pt>
                <c:pt idx="24">
                  <c:v>1003</c:v>
                </c:pt>
                <c:pt idx="25">
                  <c:v>0</c:v>
                </c:pt>
                <c:pt idx="26">
                  <c:v>3513</c:v>
                </c:pt>
                <c:pt idx="27">
                  <c:v>0</c:v>
                </c:pt>
                <c:pt idx="28">
                  <c:v>0</c:v>
                </c:pt>
                <c:pt idx="29">
                  <c:v>6621</c:v>
                </c:pt>
                <c:pt idx="30">
                  <c:v>0</c:v>
                </c:pt>
                <c:pt idx="31">
                  <c:v>8213</c:v>
                </c:pt>
                <c:pt idx="32">
                  <c:v>0</c:v>
                </c:pt>
                <c:pt idx="33">
                  <c:v>0</c:v>
                </c:pt>
                <c:pt idx="34">
                  <c:v>10936</c:v>
                </c:pt>
                <c:pt idx="35">
                  <c:v>0</c:v>
                </c:pt>
                <c:pt idx="36">
                  <c:v>0</c:v>
                </c:pt>
                <c:pt idx="37">
                  <c:v>17009</c:v>
                </c:pt>
                <c:pt idx="38">
                  <c:v>0</c:v>
                </c:pt>
                <c:pt idx="39">
                  <c:v>21137</c:v>
                </c:pt>
                <c:pt idx="40">
                  <c:v>0</c:v>
                </c:pt>
                <c:pt idx="41">
                  <c:v>0</c:v>
                </c:pt>
                <c:pt idx="42">
                  <c:v>28074</c:v>
                </c:pt>
                <c:pt idx="43">
                  <c:v>0</c:v>
                </c:pt>
                <c:pt idx="44">
                  <c:v>39219</c:v>
                </c:pt>
                <c:pt idx="45">
                  <c:v>0</c:v>
                </c:pt>
                <c:pt idx="46">
                  <c:v>0</c:v>
                </c:pt>
                <c:pt idx="47">
                  <c:v>42729</c:v>
                </c:pt>
                <c:pt idx="48">
                  <c:v>0</c:v>
                </c:pt>
                <c:pt idx="49">
                  <c:v>56806</c:v>
                </c:pt>
                <c:pt idx="50">
                  <c:v>0</c:v>
                </c:pt>
                <c:pt idx="51">
                  <c:v>0</c:v>
                </c:pt>
                <c:pt idx="52">
                  <c:v>55479</c:v>
                </c:pt>
                <c:pt idx="53">
                  <c:v>0</c:v>
                </c:pt>
                <c:pt idx="54">
                  <c:v>0</c:v>
                </c:pt>
                <c:pt idx="55">
                  <c:v>56569</c:v>
                </c:pt>
                <c:pt idx="56">
                  <c:v>0</c:v>
                </c:pt>
                <c:pt idx="57">
                  <c:v>64849</c:v>
                </c:pt>
                <c:pt idx="58">
                  <c:v>0</c:v>
                </c:pt>
                <c:pt idx="59">
                  <c:v>0</c:v>
                </c:pt>
                <c:pt idx="60">
                  <c:v>70330</c:v>
                </c:pt>
                <c:pt idx="61">
                  <c:v>0</c:v>
                </c:pt>
                <c:pt idx="62">
                  <c:v>75579</c:v>
                </c:pt>
                <c:pt idx="63">
                  <c:v>0</c:v>
                </c:pt>
                <c:pt idx="64">
                  <c:v>0</c:v>
                </c:pt>
                <c:pt idx="65">
                  <c:v>79587</c:v>
                </c:pt>
                <c:pt idx="66">
                  <c:v>0</c:v>
                </c:pt>
                <c:pt idx="67">
                  <c:v>84033</c:v>
                </c:pt>
                <c:pt idx="68">
                  <c:v>0</c:v>
                </c:pt>
                <c:pt idx="69">
                  <c:v>0</c:v>
                </c:pt>
                <c:pt idx="70">
                  <c:v>93745</c:v>
                </c:pt>
                <c:pt idx="71">
                  <c:v>0</c:v>
                </c:pt>
                <c:pt idx="72">
                  <c:v>0</c:v>
                </c:pt>
                <c:pt idx="73">
                  <c:v>91666</c:v>
                </c:pt>
                <c:pt idx="74">
                  <c:v>0</c:v>
                </c:pt>
                <c:pt idx="75">
                  <c:v>90462</c:v>
                </c:pt>
                <c:pt idx="76">
                  <c:v>0</c:v>
                </c:pt>
                <c:pt idx="77">
                  <c:v>0</c:v>
                </c:pt>
                <c:pt idx="78">
                  <c:v>91912</c:v>
                </c:pt>
                <c:pt idx="79">
                  <c:v>0</c:v>
                </c:pt>
                <c:pt idx="80">
                  <c:v>90490</c:v>
                </c:pt>
                <c:pt idx="81">
                  <c:v>0</c:v>
                </c:pt>
                <c:pt idx="82">
                  <c:v>0</c:v>
                </c:pt>
                <c:pt idx="83">
                  <c:v>91666</c:v>
                </c:pt>
                <c:pt idx="84">
                  <c:v>0</c:v>
                </c:pt>
                <c:pt idx="85">
                  <c:v>0</c:v>
                </c:pt>
                <c:pt idx="86">
                  <c:v>97731</c:v>
                </c:pt>
                <c:pt idx="87">
                  <c:v>0</c:v>
                </c:pt>
                <c:pt idx="88">
                  <c:v>96608</c:v>
                </c:pt>
                <c:pt idx="89">
                  <c:v>0</c:v>
                </c:pt>
                <c:pt idx="90">
                  <c:v>0</c:v>
                </c:pt>
                <c:pt idx="91">
                  <c:v>104650</c:v>
                </c:pt>
                <c:pt idx="92">
                  <c:v>0</c:v>
                </c:pt>
                <c:pt idx="93">
                  <c:v>107227</c:v>
                </c:pt>
                <c:pt idx="94">
                  <c:v>0</c:v>
                </c:pt>
                <c:pt idx="95">
                  <c:v>0</c:v>
                </c:pt>
                <c:pt idx="96">
                  <c:v>103372</c:v>
                </c:pt>
                <c:pt idx="97">
                  <c:v>0</c:v>
                </c:pt>
                <c:pt idx="98">
                  <c:v>107627</c:v>
                </c:pt>
                <c:pt idx="99">
                  <c:v>0</c:v>
                </c:pt>
                <c:pt idx="100">
                  <c:v>0</c:v>
                </c:pt>
                <c:pt idx="101">
                  <c:v>98507</c:v>
                </c:pt>
                <c:pt idx="102">
                  <c:v>0</c:v>
                </c:pt>
                <c:pt idx="103">
                  <c:v>0</c:v>
                </c:pt>
                <c:pt idx="104">
                  <c:v>91826</c:v>
                </c:pt>
                <c:pt idx="105">
                  <c:v>0</c:v>
                </c:pt>
                <c:pt idx="106">
                  <c:v>90927</c:v>
                </c:pt>
                <c:pt idx="107">
                  <c:v>0</c:v>
                </c:pt>
                <c:pt idx="108">
                  <c:v>0</c:v>
                </c:pt>
                <c:pt idx="109">
                  <c:v>87317</c:v>
                </c:pt>
                <c:pt idx="110">
                  <c:v>0</c:v>
                </c:pt>
                <c:pt idx="111">
                  <c:v>80088</c:v>
                </c:pt>
                <c:pt idx="112">
                  <c:v>0</c:v>
                </c:pt>
                <c:pt idx="113">
                  <c:v>0</c:v>
                </c:pt>
                <c:pt idx="114">
                  <c:v>87045</c:v>
                </c:pt>
                <c:pt idx="115">
                  <c:v>0</c:v>
                </c:pt>
                <c:pt idx="116">
                  <c:v>82632</c:v>
                </c:pt>
                <c:pt idx="117">
                  <c:v>0</c:v>
                </c:pt>
                <c:pt idx="118">
                  <c:v>0</c:v>
                </c:pt>
                <c:pt idx="119">
                  <c:v>83955</c:v>
                </c:pt>
                <c:pt idx="120">
                  <c:v>0</c:v>
                </c:pt>
                <c:pt idx="121">
                  <c:v>0</c:v>
                </c:pt>
                <c:pt idx="122">
                  <c:v>86587</c:v>
                </c:pt>
                <c:pt idx="123">
                  <c:v>0</c:v>
                </c:pt>
                <c:pt idx="124">
                  <c:v>87582</c:v>
                </c:pt>
                <c:pt idx="125">
                  <c:v>0</c:v>
                </c:pt>
                <c:pt idx="126">
                  <c:v>0</c:v>
                </c:pt>
                <c:pt idx="127">
                  <c:v>87923</c:v>
                </c:pt>
                <c:pt idx="128">
                  <c:v>0</c:v>
                </c:pt>
                <c:pt idx="129">
                  <c:v>87842</c:v>
                </c:pt>
                <c:pt idx="130">
                  <c:v>0</c:v>
                </c:pt>
                <c:pt idx="131">
                  <c:v>0</c:v>
                </c:pt>
                <c:pt idx="132">
                  <c:v>86369</c:v>
                </c:pt>
                <c:pt idx="133">
                  <c:v>0</c:v>
                </c:pt>
                <c:pt idx="134">
                  <c:v>75082</c:v>
                </c:pt>
                <c:pt idx="135">
                  <c:v>0</c:v>
                </c:pt>
                <c:pt idx="136">
                  <c:v>0</c:v>
                </c:pt>
                <c:pt idx="137">
                  <c:v>72648</c:v>
                </c:pt>
                <c:pt idx="138">
                  <c:v>0</c:v>
                </c:pt>
                <c:pt idx="139">
                  <c:v>0</c:v>
                </c:pt>
                <c:pt idx="140">
                  <c:v>69949</c:v>
                </c:pt>
                <c:pt idx="141">
                  <c:v>0</c:v>
                </c:pt>
                <c:pt idx="142">
                  <c:v>69540</c:v>
                </c:pt>
                <c:pt idx="143">
                  <c:v>0</c:v>
                </c:pt>
                <c:pt idx="144">
                  <c:v>0</c:v>
                </c:pt>
                <c:pt idx="145">
                  <c:v>66073</c:v>
                </c:pt>
                <c:pt idx="146">
                  <c:v>0</c:v>
                </c:pt>
                <c:pt idx="147">
                  <c:v>65345</c:v>
                </c:pt>
                <c:pt idx="148">
                  <c:v>0</c:v>
                </c:pt>
                <c:pt idx="149">
                  <c:v>0</c:v>
                </c:pt>
                <c:pt idx="150">
                  <c:v>56692</c:v>
                </c:pt>
                <c:pt idx="151">
                  <c:v>0</c:v>
                </c:pt>
                <c:pt idx="152">
                  <c:v>56911</c:v>
                </c:pt>
                <c:pt idx="153">
                  <c:v>0</c:v>
                </c:pt>
                <c:pt idx="154">
                  <c:v>0</c:v>
                </c:pt>
                <c:pt idx="155">
                  <c:v>55826</c:v>
                </c:pt>
                <c:pt idx="156">
                  <c:v>0</c:v>
                </c:pt>
                <c:pt idx="157">
                  <c:v>0</c:v>
                </c:pt>
                <c:pt idx="158">
                  <c:v>53419</c:v>
                </c:pt>
                <c:pt idx="159">
                  <c:v>0</c:v>
                </c:pt>
                <c:pt idx="160">
                  <c:v>51709</c:v>
                </c:pt>
                <c:pt idx="161">
                  <c:v>0</c:v>
                </c:pt>
                <c:pt idx="162">
                  <c:v>0</c:v>
                </c:pt>
                <c:pt idx="163">
                  <c:v>44813</c:v>
                </c:pt>
                <c:pt idx="164">
                  <c:v>0</c:v>
                </c:pt>
                <c:pt idx="165">
                  <c:v>41146</c:v>
                </c:pt>
                <c:pt idx="166">
                  <c:v>0</c:v>
                </c:pt>
                <c:pt idx="167">
                  <c:v>0</c:v>
                </c:pt>
                <c:pt idx="168">
                  <c:v>33007</c:v>
                </c:pt>
                <c:pt idx="169">
                  <c:v>0</c:v>
                </c:pt>
                <c:pt idx="170">
                  <c:v>0</c:v>
                </c:pt>
                <c:pt idx="171">
                  <c:v>29514</c:v>
                </c:pt>
                <c:pt idx="172">
                  <c:v>0</c:v>
                </c:pt>
                <c:pt idx="173">
                  <c:v>25492</c:v>
                </c:pt>
                <c:pt idx="174">
                  <c:v>0</c:v>
                </c:pt>
                <c:pt idx="175">
                  <c:v>0</c:v>
                </c:pt>
                <c:pt idx="176">
                  <c:v>19835</c:v>
                </c:pt>
                <c:pt idx="177">
                  <c:v>0</c:v>
                </c:pt>
                <c:pt idx="178">
                  <c:v>14576</c:v>
                </c:pt>
                <c:pt idx="179">
                  <c:v>0</c:v>
                </c:pt>
                <c:pt idx="180">
                  <c:v>0</c:v>
                </c:pt>
                <c:pt idx="181">
                  <c:v>8161</c:v>
                </c:pt>
                <c:pt idx="182">
                  <c:v>0</c:v>
                </c:pt>
                <c:pt idx="183">
                  <c:v>9107</c:v>
                </c:pt>
                <c:pt idx="184">
                  <c:v>0</c:v>
                </c:pt>
                <c:pt idx="185">
                  <c:v>0</c:v>
                </c:pt>
                <c:pt idx="186">
                  <c:v>7922</c:v>
                </c:pt>
                <c:pt idx="187">
                  <c:v>0</c:v>
                </c:pt>
                <c:pt idx="188">
                  <c:v>0</c:v>
                </c:pt>
                <c:pt idx="189">
                  <c:v>4610</c:v>
                </c:pt>
                <c:pt idx="190">
                  <c:v>0</c:v>
                </c:pt>
                <c:pt idx="191">
                  <c:v>4683</c:v>
                </c:pt>
                <c:pt idx="192">
                  <c:v>0</c:v>
                </c:pt>
                <c:pt idx="193">
                  <c:v>0</c:v>
                </c:pt>
                <c:pt idx="194">
                  <c:v>2536</c:v>
                </c:pt>
                <c:pt idx="195">
                  <c:v>0</c:v>
                </c:pt>
                <c:pt idx="196">
                  <c:v>2733</c:v>
                </c:pt>
                <c:pt idx="197">
                  <c:v>0</c:v>
                </c:pt>
                <c:pt idx="198">
                  <c:v>0</c:v>
                </c:pt>
                <c:pt idx="199">
                  <c:v>1465</c:v>
                </c:pt>
                <c:pt idx="200">
                  <c:v>0</c:v>
                </c:pt>
                <c:pt idx="201">
                  <c:v>623</c:v>
                </c:pt>
                <c:pt idx="202">
                  <c:v>0</c:v>
                </c:pt>
                <c:pt idx="203">
                  <c:v>0</c:v>
                </c:pt>
                <c:pt idx="204">
                  <c:v>404</c:v>
                </c:pt>
                <c:pt idx="205">
                  <c:v>0</c:v>
                </c:pt>
                <c:pt idx="206">
                  <c:v>0</c:v>
                </c:pt>
                <c:pt idx="207">
                  <c:v>292</c:v>
                </c:pt>
                <c:pt idx="208">
                  <c:v>0</c:v>
                </c:pt>
                <c:pt idx="209">
                  <c:v>674</c:v>
                </c:pt>
                <c:pt idx="210">
                  <c:v>0</c:v>
                </c:pt>
                <c:pt idx="211">
                  <c:v>0</c:v>
                </c:pt>
                <c:pt idx="212">
                  <c:v>581</c:v>
                </c:pt>
                <c:pt idx="213">
                  <c:v>0</c:v>
                </c:pt>
                <c:pt idx="214">
                  <c:v>151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101</c:v>
                </c:pt>
                <c:pt idx="7">
                  <c:v>0</c:v>
                </c:pt>
                <c:pt idx="8">
                  <c:v>775</c:v>
                </c:pt>
                <c:pt idx="9">
                  <c:v>0</c:v>
                </c:pt>
                <c:pt idx="10">
                  <c:v>0</c:v>
                </c:pt>
                <c:pt idx="11">
                  <c:v>1055</c:v>
                </c:pt>
                <c:pt idx="12">
                  <c:v>0</c:v>
                </c:pt>
                <c:pt idx="13">
                  <c:v>1593</c:v>
                </c:pt>
                <c:pt idx="14">
                  <c:v>0</c:v>
                </c:pt>
                <c:pt idx="15">
                  <c:v>0</c:v>
                </c:pt>
                <c:pt idx="16">
                  <c:v>3061</c:v>
                </c:pt>
                <c:pt idx="17">
                  <c:v>0</c:v>
                </c:pt>
                <c:pt idx="18">
                  <c:v>0</c:v>
                </c:pt>
                <c:pt idx="19">
                  <c:v>3077</c:v>
                </c:pt>
                <c:pt idx="20">
                  <c:v>0</c:v>
                </c:pt>
                <c:pt idx="21">
                  <c:v>6552</c:v>
                </c:pt>
                <c:pt idx="22">
                  <c:v>0</c:v>
                </c:pt>
                <c:pt idx="23">
                  <c:v>0</c:v>
                </c:pt>
                <c:pt idx="24">
                  <c:v>10601</c:v>
                </c:pt>
                <c:pt idx="25">
                  <c:v>0</c:v>
                </c:pt>
                <c:pt idx="26">
                  <c:v>15856</c:v>
                </c:pt>
                <c:pt idx="27">
                  <c:v>0</c:v>
                </c:pt>
                <c:pt idx="28">
                  <c:v>0</c:v>
                </c:pt>
                <c:pt idx="29">
                  <c:v>17542</c:v>
                </c:pt>
                <c:pt idx="30">
                  <c:v>0</c:v>
                </c:pt>
                <c:pt idx="31">
                  <c:v>23357</c:v>
                </c:pt>
                <c:pt idx="32">
                  <c:v>0</c:v>
                </c:pt>
                <c:pt idx="33">
                  <c:v>0</c:v>
                </c:pt>
                <c:pt idx="34">
                  <c:v>31186</c:v>
                </c:pt>
                <c:pt idx="35">
                  <c:v>0</c:v>
                </c:pt>
                <c:pt idx="36">
                  <c:v>0</c:v>
                </c:pt>
                <c:pt idx="37">
                  <c:v>36861</c:v>
                </c:pt>
                <c:pt idx="38">
                  <c:v>0</c:v>
                </c:pt>
                <c:pt idx="39">
                  <c:v>35444</c:v>
                </c:pt>
                <c:pt idx="40">
                  <c:v>0</c:v>
                </c:pt>
                <c:pt idx="41">
                  <c:v>0</c:v>
                </c:pt>
                <c:pt idx="42">
                  <c:v>44156</c:v>
                </c:pt>
                <c:pt idx="43">
                  <c:v>0</c:v>
                </c:pt>
                <c:pt idx="44">
                  <c:v>48827</c:v>
                </c:pt>
                <c:pt idx="45">
                  <c:v>0</c:v>
                </c:pt>
                <c:pt idx="46">
                  <c:v>0</c:v>
                </c:pt>
                <c:pt idx="47">
                  <c:v>50670</c:v>
                </c:pt>
                <c:pt idx="48">
                  <c:v>0</c:v>
                </c:pt>
                <c:pt idx="49">
                  <c:v>53356</c:v>
                </c:pt>
                <c:pt idx="50">
                  <c:v>0</c:v>
                </c:pt>
                <c:pt idx="51">
                  <c:v>0</c:v>
                </c:pt>
                <c:pt idx="52">
                  <c:v>58712</c:v>
                </c:pt>
                <c:pt idx="53">
                  <c:v>0</c:v>
                </c:pt>
                <c:pt idx="54">
                  <c:v>0</c:v>
                </c:pt>
                <c:pt idx="55">
                  <c:v>69116</c:v>
                </c:pt>
                <c:pt idx="56">
                  <c:v>0</c:v>
                </c:pt>
                <c:pt idx="57">
                  <c:v>69834</c:v>
                </c:pt>
                <c:pt idx="58">
                  <c:v>0</c:v>
                </c:pt>
                <c:pt idx="59">
                  <c:v>0</c:v>
                </c:pt>
                <c:pt idx="60">
                  <c:v>71910</c:v>
                </c:pt>
                <c:pt idx="61">
                  <c:v>0</c:v>
                </c:pt>
                <c:pt idx="62">
                  <c:v>73613</c:v>
                </c:pt>
                <c:pt idx="63">
                  <c:v>0</c:v>
                </c:pt>
                <c:pt idx="64">
                  <c:v>0</c:v>
                </c:pt>
                <c:pt idx="65">
                  <c:v>77539</c:v>
                </c:pt>
                <c:pt idx="66">
                  <c:v>0</c:v>
                </c:pt>
                <c:pt idx="67">
                  <c:v>76942</c:v>
                </c:pt>
                <c:pt idx="68">
                  <c:v>0</c:v>
                </c:pt>
                <c:pt idx="69">
                  <c:v>0</c:v>
                </c:pt>
                <c:pt idx="70">
                  <c:v>73507</c:v>
                </c:pt>
                <c:pt idx="71">
                  <c:v>0</c:v>
                </c:pt>
                <c:pt idx="72">
                  <c:v>0</c:v>
                </c:pt>
                <c:pt idx="73">
                  <c:v>83005</c:v>
                </c:pt>
                <c:pt idx="74">
                  <c:v>0</c:v>
                </c:pt>
                <c:pt idx="75">
                  <c:v>75571</c:v>
                </c:pt>
                <c:pt idx="76">
                  <c:v>0</c:v>
                </c:pt>
                <c:pt idx="77">
                  <c:v>0</c:v>
                </c:pt>
                <c:pt idx="78">
                  <c:v>73421</c:v>
                </c:pt>
                <c:pt idx="79">
                  <c:v>0</c:v>
                </c:pt>
                <c:pt idx="80">
                  <c:v>74031</c:v>
                </c:pt>
                <c:pt idx="81">
                  <c:v>0</c:v>
                </c:pt>
                <c:pt idx="82">
                  <c:v>0</c:v>
                </c:pt>
                <c:pt idx="83">
                  <c:v>80619</c:v>
                </c:pt>
                <c:pt idx="84">
                  <c:v>0</c:v>
                </c:pt>
                <c:pt idx="85">
                  <c:v>0</c:v>
                </c:pt>
                <c:pt idx="86">
                  <c:v>83716</c:v>
                </c:pt>
                <c:pt idx="87">
                  <c:v>0</c:v>
                </c:pt>
                <c:pt idx="88">
                  <c:v>85971</c:v>
                </c:pt>
                <c:pt idx="89">
                  <c:v>0</c:v>
                </c:pt>
                <c:pt idx="90">
                  <c:v>0</c:v>
                </c:pt>
                <c:pt idx="91">
                  <c:v>89598</c:v>
                </c:pt>
                <c:pt idx="92">
                  <c:v>0</c:v>
                </c:pt>
                <c:pt idx="93">
                  <c:v>95098</c:v>
                </c:pt>
                <c:pt idx="94">
                  <c:v>0</c:v>
                </c:pt>
                <c:pt idx="95">
                  <c:v>0</c:v>
                </c:pt>
                <c:pt idx="96">
                  <c:v>98053</c:v>
                </c:pt>
                <c:pt idx="97">
                  <c:v>0</c:v>
                </c:pt>
                <c:pt idx="98">
                  <c:v>100245</c:v>
                </c:pt>
                <c:pt idx="99">
                  <c:v>0</c:v>
                </c:pt>
                <c:pt idx="100">
                  <c:v>0</c:v>
                </c:pt>
                <c:pt idx="101">
                  <c:v>91131</c:v>
                </c:pt>
                <c:pt idx="102">
                  <c:v>0</c:v>
                </c:pt>
                <c:pt idx="103">
                  <c:v>0</c:v>
                </c:pt>
                <c:pt idx="104">
                  <c:v>94530</c:v>
                </c:pt>
                <c:pt idx="105">
                  <c:v>0</c:v>
                </c:pt>
                <c:pt idx="106">
                  <c:v>84511</c:v>
                </c:pt>
                <c:pt idx="107">
                  <c:v>0</c:v>
                </c:pt>
                <c:pt idx="108">
                  <c:v>0</c:v>
                </c:pt>
                <c:pt idx="109">
                  <c:v>85525</c:v>
                </c:pt>
                <c:pt idx="110">
                  <c:v>0</c:v>
                </c:pt>
                <c:pt idx="111">
                  <c:v>80736</c:v>
                </c:pt>
                <c:pt idx="112">
                  <c:v>0</c:v>
                </c:pt>
                <c:pt idx="113">
                  <c:v>0</c:v>
                </c:pt>
                <c:pt idx="114">
                  <c:v>71764</c:v>
                </c:pt>
                <c:pt idx="115">
                  <c:v>0</c:v>
                </c:pt>
                <c:pt idx="116">
                  <c:v>71972</c:v>
                </c:pt>
                <c:pt idx="117">
                  <c:v>0</c:v>
                </c:pt>
                <c:pt idx="118">
                  <c:v>0</c:v>
                </c:pt>
                <c:pt idx="119">
                  <c:v>62689</c:v>
                </c:pt>
                <c:pt idx="120">
                  <c:v>0</c:v>
                </c:pt>
                <c:pt idx="121">
                  <c:v>0</c:v>
                </c:pt>
                <c:pt idx="122">
                  <c:v>54713</c:v>
                </c:pt>
                <c:pt idx="123">
                  <c:v>0</c:v>
                </c:pt>
                <c:pt idx="124">
                  <c:v>54589</c:v>
                </c:pt>
                <c:pt idx="125">
                  <c:v>0</c:v>
                </c:pt>
                <c:pt idx="126">
                  <c:v>0</c:v>
                </c:pt>
                <c:pt idx="127">
                  <c:v>47809</c:v>
                </c:pt>
                <c:pt idx="128">
                  <c:v>0</c:v>
                </c:pt>
                <c:pt idx="129">
                  <c:v>41746</c:v>
                </c:pt>
                <c:pt idx="130">
                  <c:v>0</c:v>
                </c:pt>
                <c:pt idx="131">
                  <c:v>0</c:v>
                </c:pt>
                <c:pt idx="132">
                  <c:v>39651</c:v>
                </c:pt>
                <c:pt idx="133">
                  <c:v>0</c:v>
                </c:pt>
                <c:pt idx="134">
                  <c:v>36576</c:v>
                </c:pt>
                <c:pt idx="135">
                  <c:v>0</c:v>
                </c:pt>
                <c:pt idx="136">
                  <c:v>0</c:v>
                </c:pt>
                <c:pt idx="137">
                  <c:v>30901</c:v>
                </c:pt>
                <c:pt idx="138">
                  <c:v>0</c:v>
                </c:pt>
                <c:pt idx="139">
                  <c:v>0</c:v>
                </c:pt>
                <c:pt idx="140">
                  <c:v>24355</c:v>
                </c:pt>
                <c:pt idx="141">
                  <c:v>0</c:v>
                </c:pt>
                <c:pt idx="142">
                  <c:v>25006</c:v>
                </c:pt>
                <c:pt idx="143">
                  <c:v>0</c:v>
                </c:pt>
                <c:pt idx="144">
                  <c:v>0</c:v>
                </c:pt>
                <c:pt idx="145">
                  <c:v>20476</c:v>
                </c:pt>
                <c:pt idx="146">
                  <c:v>0</c:v>
                </c:pt>
                <c:pt idx="147">
                  <c:v>21485</c:v>
                </c:pt>
                <c:pt idx="148">
                  <c:v>0</c:v>
                </c:pt>
                <c:pt idx="149">
                  <c:v>0</c:v>
                </c:pt>
                <c:pt idx="150">
                  <c:v>18855</c:v>
                </c:pt>
                <c:pt idx="151">
                  <c:v>0</c:v>
                </c:pt>
                <c:pt idx="152">
                  <c:v>17740</c:v>
                </c:pt>
                <c:pt idx="153">
                  <c:v>0</c:v>
                </c:pt>
                <c:pt idx="154">
                  <c:v>0</c:v>
                </c:pt>
                <c:pt idx="155">
                  <c:v>17734</c:v>
                </c:pt>
                <c:pt idx="156">
                  <c:v>0</c:v>
                </c:pt>
                <c:pt idx="157">
                  <c:v>0</c:v>
                </c:pt>
                <c:pt idx="158">
                  <c:v>18110</c:v>
                </c:pt>
                <c:pt idx="159">
                  <c:v>0</c:v>
                </c:pt>
                <c:pt idx="160">
                  <c:v>21355</c:v>
                </c:pt>
                <c:pt idx="161">
                  <c:v>0</c:v>
                </c:pt>
                <c:pt idx="162">
                  <c:v>0</c:v>
                </c:pt>
                <c:pt idx="163">
                  <c:v>19771</c:v>
                </c:pt>
                <c:pt idx="164">
                  <c:v>0</c:v>
                </c:pt>
                <c:pt idx="165">
                  <c:v>18948</c:v>
                </c:pt>
                <c:pt idx="166">
                  <c:v>0</c:v>
                </c:pt>
                <c:pt idx="167">
                  <c:v>0</c:v>
                </c:pt>
                <c:pt idx="168">
                  <c:v>19211</c:v>
                </c:pt>
                <c:pt idx="169">
                  <c:v>0</c:v>
                </c:pt>
                <c:pt idx="170">
                  <c:v>0</c:v>
                </c:pt>
                <c:pt idx="171">
                  <c:v>16766</c:v>
                </c:pt>
                <c:pt idx="172">
                  <c:v>0</c:v>
                </c:pt>
                <c:pt idx="173">
                  <c:v>12983</c:v>
                </c:pt>
                <c:pt idx="174">
                  <c:v>0</c:v>
                </c:pt>
                <c:pt idx="175">
                  <c:v>0</c:v>
                </c:pt>
                <c:pt idx="176">
                  <c:v>13343</c:v>
                </c:pt>
                <c:pt idx="177">
                  <c:v>0</c:v>
                </c:pt>
                <c:pt idx="178">
                  <c:v>12955</c:v>
                </c:pt>
                <c:pt idx="179">
                  <c:v>0</c:v>
                </c:pt>
                <c:pt idx="180">
                  <c:v>0</c:v>
                </c:pt>
                <c:pt idx="181">
                  <c:v>14458</c:v>
                </c:pt>
                <c:pt idx="182">
                  <c:v>0</c:v>
                </c:pt>
                <c:pt idx="183">
                  <c:v>10126</c:v>
                </c:pt>
                <c:pt idx="184">
                  <c:v>0</c:v>
                </c:pt>
                <c:pt idx="185">
                  <c:v>0</c:v>
                </c:pt>
                <c:pt idx="186">
                  <c:v>7730</c:v>
                </c:pt>
                <c:pt idx="187">
                  <c:v>0</c:v>
                </c:pt>
                <c:pt idx="188">
                  <c:v>0</c:v>
                </c:pt>
                <c:pt idx="189">
                  <c:v>7263</c:v>
                </c:pt>
                <c:pt idx="190">
                  <c:v>0</c:v>
                </c:pt>
                <c:pt idx="191">
                  <c:v>6376</c:v>
                </c:pt>
                <c:pt idx="192">
                  <c:v>0</c:v>
                </c:pt>
                <c:pt idx="193">
                  <c:v>0</c:v>
                </c:pt>
                <c:pt idx="194">
                  <c:v>5364</c:v>
                </c:pt>
                <c:pt idx="195">
                  <c:v>0</c:v>
                </c:pt>
                <c:pt idx="196">
                  <c:v>2475</c:v>
                </c:pt>
                <c:pt idx="197">
                  <c:v>0</c:v>
                </c:pt>
                <c:pt idx="198">
                  <c:v>0</c:v>
                </c:pt>
                <c:pt idx="199">
                  <c:v>2642</c:v>
                </c:pt>
                <c:pt idx="200">
                  <c:v>0</c:v>
                </c:pt>
                <c:pt idx="201">
                  <c:v>3334</c:v>
                </c:pt>
                <c:pt idx="202">
                  <c:v>0</c:v>
                </c:pt>
                <c:pt idx="203">
                  <c:v>0</c:v>
                </c:pt>
                <c:pt idx="204">
                  <c:v>2486</c:v>
                </c:pt>
                <c:pt idx="205">
                  <c:v>0</c:v>
                </c:pt>
                <c:pt idx="206">
                  <c:v>0</c:v>
                </c:pt>
                <c:pt idx="207">
                  <c:v>1176</c:v>
                </c:pt>
                <c:pt idx="208">
                  <c:v>0</c:v>
                </c:pt>
                <c:pt idx="209">
                  <c:v>781</c:v>
                </c:pt>
                <c:pt idx="210">
                  <c:v>0</c:v>
                </c:pt>
                <c:pt idx="211">
                  <c:v>0</c:v>
                </c:pt>
                <c:pt idx="212">
                  <c:v>2142</c:v>
                </c:pt>
                <c:pt idx="213">
                  <c:v>0</c:v>
                </c:pt>
                <c:pt idx="214">
                  <c:v>750</c:v>
                </c:pt>
                <c:pt idx="215">
                  <c:v>0</c:v>
                </c:pt>
                <c:pt idx="216">
                  <c:v>0</c:v>
                </c:pt>
                <c:pt idx="217">
                  <c:v>971</c:v>
                </c:pt>
                <c:pt idx="218">
                  <c:v>0</c:v>
                </c:pt>
                <c:pt idx="219">
                  <c:v>450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0.15402886970539675</c:v>
                </c:pt>
                <c:pt idx="1">
                  <c:v>0.37705343719985496</c:v>
                </c:pt>
                <c:pt idx="2">
                  <c:v>0.46891769309474834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0.42992640387705922</c:v>
                </c:pt>
                <c:pt idx="1">
                  <c:v>0.23338308543872627</c:v>
                </c:pt>
                <c:pt idx="2">
                  <c:v>0.33669051068421452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4.3063850000000006</c:v>
                </c:pt>
                <c:pt idx="1">
                  <c:v>18.494989999999998</c:v>
                </c:pt>
                <c:pt idx="2">
                  <c:v>29.438949999999998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0.373892</c:v>
                </c:pt>
                <c:pt idx="2">
                  <c:v>0.78367200000000004</c:v>
                </c:pt>
                <c:pt idx="3">
                  <c:v>1.1856899999999999</c:v>
                </c:pt>
                <c:pt idx="4">
                  <c:v>1.59213</c:v>
                </c:pt>
                <c:pt idx="5">
                  <c:v>1.99823</c:v>
                </c:pt>
                <c:pt idx="6">
                  <c:v>2.4036300000000002</c:v>
                </c:pt>
                <c:pt idx="7">
                  <c:v>2.8147799999999998</c:v>
                </c:pt>
                <c:pt idx="8">
                  <c:v>3.21834</c:v>
                </c:pt>
                <c:pt idx="9">
                  <c:v>3.6246900000000002</c:v>
                </c:pt>
                <c:pt idx="10">
                  <c:v>4.0308299999999999</c:v>
                </c:pt>
                <c:pt idx="11">
                  <c:v>4.4373399999999998</c:v>
                </c:pt>
                <c:pt idx="12">
                  <c:v>4.8415800000000004</c:v>
                </c:pt>
                <c:pt idx="13">
                  <c:v>5.2527499999999998</c:v>
                </c:pt>
                <c:pt idx="14">
                  <c:v>5.6581000000000001</c:v>
                </c:pt>
                <c:pt idx="15">
                  <c:v>6.0613299999999999</c:v>
                </c:pt>
                <c:pt idx="16">
                  <c:v>6.4678000000000004</c:v>
                </c:pt>
                <c:pt idx="17">
                  <c:v>6.8768099999999999</c:v>
                </c:pt>
                <c:pt idx="18">
                  <c:v>7.2812299999999999</c:v>
                </c:pt>
                <c:pt idx="19">
                  <c:v>7.6865300000000003</c:v>
                </c:pt>
                <c:pt idx="20">
                  <c:v>8.0901499999999995</c:v>
                </c:pt>
                <c:pt idx="21">
                  <c:v>8.4991900000000005</c:v>
                </c:pt>
                <c:pt idx="22">
                  <c:v>8.9078499999999998</c:v>
                </c:pt>
                <c:pt idx="23">
                  <c:v>9.31419</c:v>
                </c:pt>
                <c:pt idx="24">
                  <c:v>9.7174200000000006</c:v>
                </c:pt>
                <c:pt idx="25">
                  <c:v>10.1233</c:v>
                </c:pt>
                <c:pt idx="26">
                  <c:v>10.528700000000001</c:v>
                </c:pt>
                <c:pt idx="27">
                  <c:v>10.9383</c:v>
                </c:pt>
                <c:pt idx="28">
                  <c:v>11.343</c:v>
                </c:pt>
                <c:pt idx="29">
                  <c:v>11.7498</c:v>
                </c:pt>
                <c:pt idx="30">
                  <c:v>12.1546</c:v>
                </c:pt>
                <c:pt idx="31">
                  <c:v>12.5648</c:v>
                </c:pt>
                <c:pt idx="32">
                  <c:v>12.9679</c:v>
                </c:pt>
                <c:pt idx="33">
                  <c:v>13.3767</c:v>
                </c:pt>
                <c:pt idx="34">
                  <c:v>13.7822</c:v>
                </c:pt>
                <c:pt idx="35">
                  <c:v>14.186500000000001</c:v>
                </c:pt>
                <c:pt idx="36">
                  <c:v>14.592599999999999</c:v>
                </c:pt>
                <c:pt idx="37">
                  <c:v>14.9993</c:v>
                </c:pt>
                <c:pt idx="38">
                  <c:v>15.407999999999999</c:v>
                </c:pt>
                <c:pt idx="39">
                  <c:v>15.8118</c:v>
                </c:pt>
                <c:pt idx="40">
                  <c:v>16.217300000000002</c:v>
                </c:pt>
                <c:pt idx="41">
                  <c:v>16.622499999999999</c:v>
                </c:pt>
                <c:pt idx="42">
                  <c:v>17.031099999999999</c:v>
                </c:pt>
                <c:pt idx="43">
                  <c:v>17.437899999999999</c:v>
                </c:pt>
                <c:pt idx="44">
                  <c:v>17.847000000000001</c:v>
                </c:pt>
                <c:pt idx="45">
                  <c:v>18.248899999999999</c:v>
                </c:pt>
                <c:pt idx="46">
                  <c:v>18.654699999999998</c:v>
                </c:pt>
                <c:pt idx="47">
                  <c:v>19.063300000000002</c:v>
                </c:pt>
                <c:pt idx="48">
                  <c:v>19.467600000000001</c:v>
                </c:pt>
                <c:pt idx="49">
                  <c:v>19.876100000000001</c:v>
                </c:pt>
                <c:pt idx="50">
                  <c:v>20.280100000000001</c:v>
                </c:pt>
                <c:pt idx="51">
                  <c:v>20.6858</c:v>
                </c:pt>
                <c:pt idx="52">
                  <c:v>21.091100000000001</c:v>
                </c:pt>
                <c:pt idx="53">
                  <c:v>21.498699999999999</c:v>
                </c:pt>
                <c:pt idx="54">
                  <c:v>21.905000000000001</c:v>
                </c:pt>
                <c:pt idx="55">
                  <c:v>22.3125</c:v>
                </c:pt>
                <c:pt idx="56">
                  <c:v>22.720199999999998</c:v>
                </c:pt>
                <c:pt idx="57">
                  <c:v>23.126899999999999</c:v>
                </c:pt>
                <c:pt idx="58">
                  <c:v>23.528700000000001</c:v>
                </c:pt>
                <c:pt idx="59">
                  <c:v>23.936900000000001</c:v>
                </c:pt>
                <c:pt idx="60">
                  <c:v>24.340599999999998</c:v>
                </c:pt>
                <c:pt idx="61">
                  <c:v>24.7514</c:v>
                </c:pt>
                <c:pt idx="62">
                  <c:v>25.157</c:v>
                </c:pt>
                <c:pt idx="63">
                  <c:v>25.5609</c:v>
                </c:pt>
                <c:pt idx="64">
                  <c:v>25.970199999999998</c:v>
                </c:pt>
                <c:pt idx="65">
                  <c:v>26.3749</c:v>
                </c:pt>
                <c:pt idx="66">
                  <c:v>26.7837</c:v>
                </c:pt>
                <c:pt idx="67">
                  <c:v>27.188099999999999</c:v>
                </c:pt>
                <c:pt idx="68">
                  <c:v>27.591999999999999</c:v>
                </c:pt>
                <c:pt idx="69">
                  <c:v>27.998100000000001</c:v>
                </c:pt>
                <c:pt idx="70">
                  <c:v>28.404699999999998</c:v>
                </c:pt>
                <c:pt idx="71">
                  <c:v>28.813199999999998</c:v>
                </c:pt>
                <c:pt idx="72">
                  <c:v>29.219899999999999</c:v>
                </c:pt>
                <c:pt idx="73">
                  <c:v>29.622699999999998</c:v>
                </c:pt>
                <c:pt idx="74">
                  <c:v>30.031600000000001</c:v>
                </c:pt>
                <c:pt idx="75">
                  <c:v>30.6233</c:v>
                </c:pt>
                <c:pt idx="76">
                  <c:v>30.997900000000001</c:v>
                </c:pt>
                <c:pt idx="77">
                  <c:v>31.3736</c:v>
                </c:pt>
                <c:pt idx="78">
                  <c:v>31.748799999999999</c:v>
                </c:pt>
                <c:pt idx="79">
                  <c:v>32.1248</c:v>
                </c:pt>
                <c:pt idx="80">
                  <c:v>32.530700000000003</c:v>
                </c:pt>
                <c:pt idx="81">
                  <c:v>32.938099999999999</c:v>
                </c:pt>
                <c:pt idx="82">
                  <c:v>33.345100000000002</c:v>
                </c:pt>
                <c:pt idx="83">
                  <c:v>33.7498</c:v>
                </c:pt>
                <c:pt idx="84">
                  <c:v>34.154899999999998</c:v>
                </c:pt>
                <c:pt idx="85">
                  <c:v>34.561700000000002</c:v>
                </c:pt>
                <c:pt idx="86">
                  <c:v>34.968800000000002</c:v>
                </c:pt>
                <c:pt idx="87">
                  <c:v>35.376800000000003</c:v>
                </c:pt>
                <c:pt idx="88">
                  <c:v>35.781599999999997</c:v>
                </c:pt>
                <c:pt idx="89">
                  <c:v>36.186199999999999</c:v>
                </c:pt>
                <c:pt idx="90">
                  <c:v>36.595599999999997</c:v>
                </c:pt>
                <c:pt idx="91">
                  <c:v>37.000799999999998</c:v>
                </c:pt>
                <c:pt idx="92">
                  <c:v>37.407699999999998</c:v>
                </c:pt>
                <c:pt idx="93">
                  <c:v>37.813200000000002</c:v>
                </c:pt>
                <c:pt idx="94">
                  <c:v>38.216500000000003</c:v>
                </c:pt>
                <c:pt idx="95">
                  <c:v>38.622900000000001</c:v>
                </c:pt>
                <c:pt idx="96">
                  <c:v>39.031599999999997</c:v>
                </c:pt>
                <c:pt idx="97">
                  <c:v>39.4373</c:v>
                </c:pt>
                <c:pt idx="98">
                  <c:v>39.842700000000001</c:v>
                </c:pt>
                <c:pt idx="99">
                  <c:v>40.249200000000002</c:v>
                </c:pt>
                <c:pt idx="100">
                  <c:v>40.655700000000003</c:v>
                </c:pt>
                <c:pt idx="101">
                  <c:v>41.0608</c:v>
                </c:pt>
                <c:pt idx="102">
                  <c:v>41.470799999999997</c:v>
                </c:pt>
                <c:pt idx="103">
                  <c:v>41.875500000000002</c:v>
                </c:pt>
                <c:pt idx="104">
                  <c:v>42.281199999999998</c:v>
                </c:pt>
                <c:pt idx="105">
                  <c:v>42.685699999999997</c:v>
                </c:pt>
                <c:pt idx="106">
                  <c:v>43.090899999999998</c:v>
                </c:pt>
                <c:pt idx="107">
                  <c:v>43.499600000000001</c:v>
                </c:pt>
                <c:pt idx="108">
                  <c:v>43.906999999999996</c:v>
                </c:pt>
                <c:pt idx="109">
                  <c:v>44.314100000000003</c:v>
                </c:pt>
                <c:pt idx="110">
                  <c:v>44.716299999999997</c:v>
                </c:pt>
                <c:pt idx="111">
                  <c:v>45.128399999999999</c:v>
                </c:pt>
                <c:pt idx="112">
                  <c:v>45.529800000000002</c:v>
                </c:pt>
                <c:pt idx="113">
                  <c:v>45.939100000000003</c:v>
                </c:pt>
                <c:pt idx="114">
                  <c:v>46.344099999999997</c:v>
                </c:pt>
                <c:pt idx="115">
                  <c:v>46.751899999999999</c:v>
                </c:pt>
                <c:pt idx="116">
                  <c:v>47.1571</c:v>
                </c:pt>
                <c:pt idx="117">
                  <c:v>47.560400000000001</c:v>
                </c:pt>
                <c:pt idx="118">
                  <c:v>47.9679</c:v>
                </c:pt>
                <c:pt idx="119">
                  <c:v>48.375300000000003</c:v>
                </c:pt>
                <c:pt idx="120">
                  <c:v>48.7819</c:v>
                </c:pt>
                <c:pt idx="121">
                  <c:v>49.188800000000001</c:v>
                </c:pt>
                <c:pt idx="122">
                  <c:v>49.594900000000003</c:v>
                </c:pt>
                <c:pt idx="123">
                  <c:v>49.997199999999999</c:v>
                </c:pt>
                <c:pt idx="124">
                  <c:v>50.4054</c:v>
                </c:pt>
                <c:pt idx="125">
                  <c:v>50.813099999999999</c:v>
                </c:pt>
                <c:pt idx="126">
                  <c:v>51.218800000000002</c:v>
                </c:pt>
                <c:pt idx="127">
                  <c:v>51.6252</c:v>
                </c:pt>
                <c:pt idx="128">
                  <c:v>52.0274</c:v>
                </c:pt>
                <c:pt idx="129">
                  <c:v>52.436199999999999</c:v>
                </c:pt>
                <c:pt idx="130">
                  <c:v>52.845199999999998</c:v>
                </c:pt>
                <c:pt idx="131">
                  <c:v>53.2483</c:v>
                </c:pt>
                <c:pt idx="132">
                  <c:v>53.653799999999997</c:v>
                </c:pt>
                <c:pt idx="133">
                  <c:v>54.060200000000002</c:v>
                </c:pt>
                <c:pt idx="134">
                  <c:v>54.467300000000002</c:v>
                </c:pt>
                <c:pt idx="135">
                  <c:v>54.874899999999997</c:v>
                </c:pt>
                <c:pt idx="136">
                  <c:v>55.281199999999998</c:v>
                </c:pt>
                <c:pt idx="137">
                  <c:v>55.69</c:v>
                </c:pt>
                <c:pt idx="138">
                  <c:v>56.092599999999997</c:v>
                </c:pt>
                <c:pt idx="139">
                  <c:v>56.499400000000001</c:v>
                </c:pt>
                <c:pt idx="140">
                  <c:v>56.908499999999997</c:v>
                </c:pt>
                <c:pt idx="141">
                  <c:v>57.310099999999998</c:v>
                </c:pt>
                <c:pt idx="142">
                  <c:v>57.721699999999998</c:v>
                </c:pt>
                <c:pt idx="143">
                  <c:v>58.124400000000001</c:v>
                </c:pt>
                <c:pt idx="144">
                  <c:v>58.529800000000002</c:v>
                </c:pt>
                <c:pt idx="145">
                  <c:v>58.939300000000003</c:v>
                </c:pt>
                <c:pt idx="146">
                  <c:v>59.345199999999998</c:v>
                </c:pt>
                <c:pt idx="147">
                  <c:v>59.750300000000003</c:v>
                </c:pt>
                <c:pt idx="148">
                  <c:v>60.154000000000003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3.2958700000000003</c:v>
                </c:pt>
                <c:pt idx="1">
                  <c:v>3.3802300000000001</c:v>
                </c:pt>
                <c:pt idx="2">
                  <c:v>3.4626800000000002</c:v>
                </c:pt>
                <c:pt idx="3">
                  <c:v>3.5436899999999998</c:v>
                </c:pt>
                <c:pt idx="4">
                  <c:v>3.6262499999999998</c:v>
                </c:pt>
                <c:pt idx="5">
                  <c:v>3.70689</c:v>
                </c:pt>
                <c:pt idx="6">
                  <c:v>3.7879</c:v>
                </c:pt>
                <c:pt idx="7">
                  <c:v>3.8651400000000002</c:v>
                </c:pt>
                <c:pt idx="8">
                  <c:v>3.9443899999999998</c:v>
                </c:pt>
                <c:pt idx="9">
                  <c:v>4.0222499999999997</c:v>
                </c:pt>
                <c:pt idx="10">
                  <c:v>4.0961999999999996</c:v>
                </c:pt>
                <c:pt idx="11">
                  <c:v>4.1648499999999995</c:v>
                </c:pt>
                <c:pt idx="12">
                  <c:v>4.2270799999999999</c:v>
                </c:pt>
                <c:pt idx="13">
                  <c:v>4.2857200000000004</c:v>
                </c:pt>
                <c:pt idx="14">
                  <c:v>4.34091</c:v>
                </c:pt>
                <c:pt idx="15">
                  <c:v>4.3917299999999999</c:v>
                </c:pt>
                <c:pt idx="16">
                  <c:v>4.4376300000000004</c:v>
                </c:pt>
                <c:pt idx="17">
                  <c:v>4.4817900000000002</c:v>
                </c:pt>
                <c:pt idx="18">
                  <c:v>4.5210900000000001</c:v>
                </c:pt>
                <c:pt idx="19">
                  <c:v>4.5542899999999999</c:v>
                </c:pt>
                <c:pt idx="20">
                  <c:v>4.5838000000000001</c:v>
                </c:pt>
                <c:pt idx="21">
                  <c:v>4.6088300000000002</c:v>
                </c:pt>
                <c:pt idx="22">
                  <c:v>4.6299799999999998</c:v>
                </c:pt>
                <c:pt idx="23">
                  <c:v>4.6483299999999996</c:v>
                </c:pt>
                <c:pt idx="24">
                  <c:v>4.66418</c:v>
                </c:pt>
                <c:pt idx="25">
                  <c:v>4.6787000000000001</c:v>
                </c:pt>
                <c:pt idx="26">
                  <c:v>4.6896900000000006</c:v>
                </c:pt>
                <c:pt idx="27">
                  <c:v>4.6958699999999993</c:v>
                </c:pt>
                <c:pt idx="28">
                  <c:v>4.6988700000000003</c:v>
                </c:pt>
                <c:pt idx="29">
                  <c:v>4.6969099999999999</c:v>
                </c:pt>
                <c:pt idx="30">
                  <c:v>4.6943900000000003</c:v>
                </c:pt>
                <c:pt idx="31">
                  <c:v>4.6893099999999999</c:v>
                </c:pt>
                <c:pt idx="32">
                  <c:v>4.6818900000000001</c:v>
                </c:pt>
                <c:pt idx="33">
                  <c:v>4.6676599999999997</c:v>
                </c:pt>
                <c:pt idx="34">
                  <c:v>4.6468799999999995</c:v>
                </c:pt>
                <c:pt idx="35">
                  <c:v>4.6251499999999997</c:v>
                </c:pt>
                <c:pt idx="36">
                  <c:v>4.6020699999999994</c:v>
                </c:pt>
                <c:pt idx="37">
                  <c:v>4.5811299999999999</c:v>
                </c:pt>
                <c:pt idx="38">
                  <c:v>4.5588699999999998</c:v>
                </c:pt>
                <c:pt idx="39">
                  <c:v>4.5365899999999995</c:v>
                </c:pt>
                <c:pt idx="40">
                  <c:v>4.5131199999999998</c:v>
                </c:pt>
                <c:pt idx="41">
                  <c:v>4.4871600000000003</c:v>
                </c:pt>
                <c:pt idx="42">
                  <c:v>4.4586199999999998</c:v>
                </c:pt>
                <c:pt idx="43">
                  <c:v>4.4276900000000001</c:v>
                </c:pt>
                <c:pt idx="44">
                  <c:v>4.3978200000000003</c:v>
                </c:pt>
                <c:pt idx="45">
                  <c:v>4.3669900000000004</c:v>
                </c:pt>
                <c:pt idx="46">
                  <c:v>4.3380400000000003</c:v>
                </c:pt>
                <c:pt idx="47">
                  <c:v>4.3078799999999999</c:v>
                </c:pt>
                <c:pt idx="48">
                  <c:v>4.2767600000000003</c:v>
                </c:pt>
                <c:pt idx="49">
                  <c:v>4.2455999999999996</c:v>
                </c:pt>
                <c:pt idx="50">
                  <c:v>4.2218299999999997</c:v>
                </c:pt>
                <c:pt idx="51">
                  <c:v>4.1903699999999997</c:v>
                </c:pt>
                <c:pt idx="52">
                  <c:v>4.1608800000000006</c:v>
                </c:pt>
                <c:pt idx="53">
                  <c:v>4.1305500000000004</c:v>
                </c:pt>
                <c:pt idx="54">
                  <c:v>4.0998099999999997</c:v>
                </c:pt>
                <c:pt idx="55">
                  <c:v>4.0655200000000002</c:v>
                </c:pt>
                <c:pt idx="56">
                  <c:v>4.0281099999999999</c:v>
                </c:pt>
                <c:pt idx="57">
                  <c:v>3.9918100000000001</c:v>
                </c:pt>
                <c:pt idx="58">
                  <c:v>3.9545300000000001</c:v>
                </c:pt>
                <c:pt idx="59">
                  <c:v>3.9200900000000001</c:v>
                </c:pt>
                <c:pt idx="60">
                  <c:v>3.8832</c:v>
                </c:pt>
                <c:pt idx="61">
                  <c:v>3.8488800000000003</c:v>
                </c:pt>
                <c:pt idx="62">
                  <c:v>3.8170100000000002</c:v>
                </c:pt>
                <c:pt idx="63">
                  <c:v>3.7868900000000001</c:v>
                </c:pt>
                <c:pt idx="64">
                  <c:v>3.7588100000000004</c:v>
                </c:pt>
                <c:pt idx="65">
                  <c:v>3.7368600000000001</c:v>
                </c:pt>
                <c:pt idx="66">
                  <c:v>3.7201200000000001</c:v>
                </c:pt>
                <c:pt idx="67">
                  <c:v>3.7073700000000001</c:v>
                </c:pt>
                <c:pt idx="68">
                  <c:v>3.69983</c:v>
                </c:pt>
                <c:pt idx="69">
                  <c:v>3.6949800000000002</c:v>
                </c:pt>
                <c:pt idx="70">
                  <c:v>3.69068</c:v>
                </c:pt>
                <c:pt idx="71">
                  <c:v>3.6920500000000001</c:v>
                </c:pt>
                <c:pt idx="72">
                  <c:v>3.6980499999999998</c:v>
                </c:pt>
                <c:pt idx="73">
                  <c:v>3.7037999999999998</c:v>
                </c:pt>
                <c:pt idx="74">
                  <c:v>3.7087199999999996</c:v>
                </c:pt>
                <c:pt idx="75">
                  <c:v>3.7143900000000003</c:v>
                </c:pt>
                <c:pt idx="76">
                  <c:v>3.7178800000000001</c:v>
                </c:pt>
                <c:pt idx="77">
                  <c:v>3.7219799999999998</c:v>
                </c:pt>
                <c:pt idx="78">
                  <c:v>3.7257400000000001</c:v>
                </c:pt>
                <c:pt idx="79">
                  <c:v>3.7274099999999999</c:v>
                </c:pt>
                <c:pt idx="80">
                  <c:v>3.7290899999999998</c:v>
                </c:pt>
                <c:pt idx="81">
                  <c:v>3.7286399999999995</c:v>
                </c:pt>
                <c:pt idx="82">
                  <c:v>3.7281900000000001</c:v>
                </c:pt>
                <c:pt idx="83">
                  <c:v>3.7291000000000003</c:v>
                </c:pt>
                <c:pt idx="84">
                  <c:v>3.7330700000000001</c:v>
                </c:pt>
                <c:pt idx="85">
                  <c:v>3.7345000000000002</c:v>
                </c:pt>
                <c:pt idx="86">
                  <c:v>3.7326799999999998</c:v>
                </c:pt>
                <c:pt idx="87">
                  <c:v>3.72818</c:v>
                </c:pt>
                <c:pt idx="88">
                  <c:v>3.7199999999999998</c:v>
                </c:pt>
                <c:pt idx="89">
                  <c:v>3.7072500000000002</c:v>
                </c:pt>
                <c:pt idx="90">
                  <c:v>3.69184</c:v>
                </c:pt>
                <c:pt idx="91">
                  <c:v>3.6773600000000002</c:v>
                </c:pt>
                <c:pt idx="92">
                  <c:v>3.6623600000000001</c:v>
                </c:pt>
                <c:pt idx="93">
                  <c:v>3.6453200000000003</c:v>
                </c:pt>
                <c:pt idx="94">
                  <c:v>3.6301000000000001</c:v>
                </c:pt>
                <c:pt idx="95">
                  <c:v>3.6170299999999997</c:v>
                </c:pt>
                <c:pt idx="96">
                  <c:v>3.6019299999999999</c:v>
                </c:pt>
                <c:pt idx="97">
                  <c:v>3.5902099999999999</c:v>
                </c:pt>
                <c:pt idx="98">
                  <c:v>3.5813000000000001</c:v>
                </c:pt>
                <c:pt idx="99">
                  <c:v>3.5753400000000002</c:v>
                </c:pt>
                <c:pt idx="100">
                  <c:v>3.5718199999999998</c:v>
                </c:pt>
                <c:pt idx="101">
                  <c:v>3.5694300000000001</c:v>
                </c:pt>
                <c:pt idx="102">
                  <c:v>3.5676700000000001</c:v>
                </c:pt>
                <c:pt idx="103">
                  <c:v>3.5652200000000001</c:v>
                </c:pt>
                <c:pt idx="104">
                  <c:v>3.5665799999999996</c:v>
                </c:pt>
                <c:pt idx="105">
                  <c:v>3.5709800000000005</c:v>
                </c:pt>
                <c:pt idx="106">
                  <c:v>3.5792800000000002</c:v>
                </c:pt>
                <c:pt idx="107">
                  <c:v>3.5882900000000002</c:v>
                </c:pt>
                <c:pt idx="108">
                  <c:v>3.5962899999999998</c:v>
                </c:pt>
                <c:pt idx="109">
                  <c:v>3.6048</c:v>
                </c:pt>
                <c:pt idx="110">
                  <c:v>3.6123699999999999</c:v>
                </c:pt>
                <c:pt idx="111">
                  <c:v>3.6166999999999998</c:v>
                </c:pt>
                <c:pt idx="112">
                  <c:v>3.6204499999999999</c:v>
                </c:pt>
                <c:pt idx="113">
                  <c:v>3.62216</c:v>
                </c:pt>
                <c:pt idx="114">
                  <c:v>3.6255199999999999</c:v>
                </c:pt>
                <c:pt idx="115">
                  <c:v>3.6295100000000002</c:v>
                </c:pt>
                <c:pt idx="116">
                  <c:v>3.6337199999999998</c:v>
                </c:pt>
                <c:pt idx="117">
                  <c:v>3.6369600000000002</c:v>
                </c:pt>
                <c:pt idx="118">
                  <c:v>3.64439</c:v>
                </c:pt>
                <c:pt idx="119">
                  <c:v>3.6547099999999997</c:v>
                </c:pt>
                <c:pt idx="120">
                  <c:v>3.6644500000000004</c:v>
                </c:pt>
                <c:pt idx="121">
                  <c:v>3.6737599999999997</c:v>
                </c:pt>
                <c:pt idx="122">
                  <c:v>3.6863200000000003</c:v>
                </c:pt>
                <c:pt idx="123">
                  <c:v>3.7011500000000002</c:v>
                </c:pt>
                <c:pt idx="124">
                  <c:v>3.7107800000000002</c:v>
                </c:pt>
                <c:pt idx="125">
                  <c:v>3.7124800000000002</c:v>
                </c:pt>
                <c:pt idx="126">
                  <c:v>3.7143100000000002</c:v>
                </c:pt>
                <c:pt idx="127">
                  <c:v>3.7158000000000002</c:v>
                </c:pt>
                <c:pt idx="128">
                  <c:v>3.71929</c:v>
                </c:pt>
                <c:pt idx="129">
                  <c:v>3.7225399999999995</c:v>
                </c:pt>
                <c:pt idx="130">
                  <c:v>3.7244100000000002</c:v>
                </c:pt>
                <c:pt idx="131">
                  <c:v>3.7241400000000002</c:v>
                </c:pt>
                <c:pt idx="132">
                  <c:v>3.7233300000000003</c:v>
                </c:pt>
                <c:pt idx="133">
                  <c:v>3.7225999999999999</c:v>
                </c:pt>
                <c:pt idx="134">
                  <c:v>3.7192500000000002</c:v>
                </c:pt>
                <c:pt idx="135">
                  <c:v>3.7193300000000002</c:v>
                </c:pt>
                <c:pt idx="136">
                  <c:v>3.7271199999999998</c:v>
                </c:pt>
                <c:pt idx="137">
                  <c:v>3.73821</c:v>
                </c:pt>
                <c:pt idx="138">
                  <c:v>3.7579200000000004</c:v>
                </c:pt>
                <c:pt idx="139">
                  <c:v>3.7791700000000001</c:v>
                </c:pt>
                <c:pt idx="140">
                  <c:v>3.80247</c:v>
                </c:pt>
                <c:pt idx="141">
                  <c:v>3.8247799999999996</c:v>
                </c:pt>
                <c:pt idx="142">
                  <c:v>3.85283</c:v>
                </c:pt>
                <c:pt idx="143">
                  <c:v>3.8804400000000001</c:v>
                </c:pt>
                <c:pt idx="144">
                  <c:v>3.9036999999999997</c:v>
                </c:pt>
                <c:pt idx="145">
                  <c:v>3.92788</c:v>
                </c:pt>
                <c:pt idx="146">
                  <c:v>3.9644400000000002</c:v>
                </c:pt>
                <c:pt idx="147">
                  <c:v>3.99735</c:v>
                </c:pt>
                <c:pt idx="148">
                  <c:v>4.0456900000000005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0.373892</c:v>
                </c:pt>
                <c:pt idx="2">
                  <c:v>0.78367200000000004</c:v>
                </c:pt>
                <c:pt idx="3">
                  <c:v>1.1856899999999999</c:v>
                </c:pt>
                <c:pt idx="4">
                  <c:v>1.59213</c:v>
                </c:pt>
                <c:pt idx="5">
                  <c:v>1.99823</c:v>
                </c:pt>
                <c:pt idx="6">
                  <c:v>2.4036300000000002</c:v>
                </c:pt>
                <c:pt idx="7">
                  <c:v>2.8147799999999998</c:v>
                </c:pt>
                <c:pt idx="8">
                  <c:v>3.21834</c:v>
                </c:pt>
                <c:pt idx="9">
                  <c:v>3.6246900000000002</c:v>
                </c:pt>
                <c:pt idx="10">
                  <c:v>4.0308299999999999</c:v>
                </c:pt>
                <c:pt idx="11">
                  <c:v>4.4373399999999998</c:v>
                </c:pt>
                <c:pt idx="12">
                  <c:v>4.8415800000000004</c:v>
                </c:pt>
                <c:pt idx="13">
                  <c:v>5.2527499999999998</c:v>
                </c:pt>
                <c:pt idx="14">
                  <c:v>5.6581000000000001</c:v>
                </c:pt>
                <c:pt idx="15">
                  <c:v>6.0613299999999999</c:v>
                </c:pt>
                <c:pt idx="16">
                  <c:v>6.4678000000000004</c:v>
                </c:pt>
                <c:pt idx="17">
                  <c:v>6.8768099999999999</c:v>
                </c:pt>
                <c:pt idx="18">
                  <c:v>7.2812299999999999</c:v>
                </c:pt>
                <c:pt idx="19">
                  <c:v>7.6865300000000003</c:v>
                </c:pt>
                <c:pt idx="20">
                  <c:v>8.0901499999999995</c:v>
                </c:pt>
                <c:pt idx="21">
                  <c:v>8.4991900000000005</c:v>
                </c:pt>
                <c:pt idx="22">
                  <c:v>8.9078499999999998</c:v>
                </c:pt>
                <c:pt idx="23">
                  <c:v>9.31419</c:v>
                </c:pt>
                <c:pt idx="24">
                  <c:v>9.7174200000000006</c:v>
                </c:pt>
                <c:pt idx="25">
                  <c:v>10.1233</c:v>
                </c:pt>
                <c:pt idx="26">
                  <c:v>10.528700000000001</c:v>
                </c:pt>
                <c:pt idx="27">
                  <c:v>10.9383</c:v>
                </c:pt>
                <c:pt idx="28">
                  <c:v>11.343</c:v>
                </c:pt>
                <c:pt idx="29">
                  <c:v>11.7498</c:v>
                </c:pt>
                <c:pt idx="30">
                  <c:v>12.1546</c:v>
                </c:pt>
                <c:pt idx="31">
                  <c:v>12.5648</c:v>
                </c:pt>
                <c:pt idx="32">
                  <c:v>12.9679</c:v>
                </c:pt>
                <c:pt idx="33">
                  <c:v>13.3767</c:v>
                </c:pt>
                <c:pt idx="34">
                  <c:v>13.7822</c:v>
                </c:pt>
                <c:pt idx="35">
                  <c:v>14.186500000000001</c:v>
                </c:pt>
                <c:pt idx="36">
                  <c:v>14.592599999999999</c:v>
                </c:pt>
                <c:pt idx="37">
                  <c:v>14.9993</c:v>
                </c:pt>
                <c:pt idx="38">
                  <c:v>15.407999999999999</c:v>
                </c:pt>
                <c:pt idx="39">
                  <c:v>15.8118</c:v>
                </c:pt>
                <c:pt idx="40">
                  <c:v>16.217300000000002</c:v>
                </c:pt>
                <c:pt idx="41">
                  <c:v>16.622499999999999</c:v>
                </c:pt>
                <c:pt idx="42">
                  <c:v>17.031099999999999</c:v>
                </c:pt>
                <c:pt idx="43">
                  <c:v>17.437899999999999</c:v>
                </c:pt>
                <c:pt idx="44">
                  <c:v>17.847000000000001</c:v>
                </c:pt>
                <c:pt idx="45">
                  <c:v>18.248899999999999</c:v>
                </c:pt>
                <c:pt idx="46">
                  <c:v>18.654699999999998</c:v>
                </c:pt>
                <c:pt idx="47">
                  <c:v>19.063300000000002</c:v>
                </c:pt>
                <c:pt idx="48">
                  <c:v>19.467600000000001</c:v>
                </c:pt>
                <c:pt idx="49">
                  <c:v>19.876100000000001</c:v>
                </c:pt>
                <c:pt idx="50">
                  <c:v>20.280100000000001</c:v>
                </c:pt>
                <c:pt idx="51">
                  <c:v>20.6858</c:v>
                </c:pt>
                <c:pt idx="52">
                  <c:v>21.091100000000001</c:v>
                </c:pt>
                <c:pt idx="53">
                  <c:v>21.498699999999999</c:v>
                </c:pt>
                <c:pt idx="54">
                  <c:v>21.905000000000001</c:v>
                </c:pt>
                <c:pt idx="55">
                  <c:v>22.3125</c:v>
                </c:pt>
                <c:pt idx="56">
                  <c:v>22.720199999999998</c:v>
                </c:pt>
                <c:pt idx="57">
                  <c:v>23.126899999999999</c:v>
                </c:pt>
                <c:pt idx="58">
                  <c:v>23.528700000000001</c:v>
                </c:pt>
                <c:pt idx="59">
                  <c:v>23.936900000000001</c:v>
                </c:pt>
                <c:pt idx="60">
                  <c:v>24.340599999999998</c:v>
                </c:pt>
                <c:pt idx="61">
                  <c:v>24.7514</c:v>
                </c:pt>
                <c:pt idx="62">
                  <c:v>25.157</c:v>
                </c:pt>
                <c:pt idx="63">
                  <c:v>25.5609</c:v>
                </c:pt>
                <c:pt idx="64">
                  <c:v>25.970199999999998</c:v>
                </c:pt>
                <c:pt idx="65">
                  <c:v>26.3749</c:v>
                </c:pt>
                <c:pt idx="66">
                  <c:v>26.7837</c:v>
                </c:pt>
                <c:pt idx="67">
                  <c:v>27.188099999999999</c:v>
                </c:pt>
                <c:pt idx="68">
                  <c:v>27.591999999999999</c:v>
                </c:pt>
                <c:pt idx="69">
                  <c:v>27.998100000000001</c:v>
                </c:pt>
                <c:pt idx="70">
                  <c:v>28.404699999999998</c:v>
                </c:pt>
                <c:pt idx="71">
                  <c:v>28.813199999999998</c:v>
                </c:pt>
                <c:pt idx="72">
                  <c:v>29.219899999999999</c:v>
                </c:pt>
                <c:pt idx="73">
                  <c:v>29.622699999999998</c:v>
                </c:pt>
                <c:pt idx="74">
                  <c:v>30.031600000000001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3.2958700000000003</c:v>
                </c:pt>
                <c:pt idx="1">
                  <c:v>3.3802300000000001</c:v>
                </c:pt>
                <c:pt idx="2">
                  <c:v>3.4626800000000002</c:v>
                </c:pt>
                <c:pt idx="3">
                  <c:v>3.5436899999999998</c:v>
                </c:pt>
                <c:pt idx="4">
                  <c:v>3.6262499999999998</c:v>
                </c:pt>
                <c:pt idx="5">
                  <c:v>3.70689</c:v>
                </c:pt>
                <c:pt idx="6">
                  <c:v>3.7879</c:v>
                </c:pt>
                <c:pt idx="7">
                  <c:v>3.8651400000000002</c:v>
                </c:pt>
                <c:pt idx="8">
                  <c:v>3.9443899999999998</c:v>
                </c:pt>
                <c:pt idx="9">
                  <c:v>4.0222499999999997</c:v>
                </c:pt>
                <c:pt idx="10">
                  <c:v>4.0961999999999996</c:v>
                </c:pt>
                <c:pt idx="11">
                  <c:v>4.1648499999999995</c:v>
                </c:pt>
                <c:pt idx="12">
                  <c:v>4.2270799999999999</c:v>
                </c:pt>
                <c:pt idx="13">
                  <c:v>4.2857200000000004</c:v>
                </c:pt>
                <c:pt idx="14">
                  <c:v>4.34091</c:v>
                </c:pt>
                <c:pt idx="15">
                  <c:v>4.3917299999999999</c:v>
                </c:pt>
                <c:pt idx="16">
                  <c:v>4.4376300000000004</c:v>
                </c:pt>
                <c:pt idx="17">
                  <c:v>4.4817900000000002</c:v>
                </c:pt>
                <c:pt idx="18">
                  <c:v>4.5210900000000001</c:v>
                </c:pt>
                <c:pt idx="19">
                  <c:v>4.5542899999999999</c:v>
                </c:pt>
                <c:pt idx="20">
                  <c:v>4.5838000000000001</c:v>
                </c:pt>
                <c:pt idx="21">
                  <c:v>4.6088300000000002</c:v>
                </c:pt>
                <c:pt idx="22">
                  <c:v>4.6299799999999998</c:v>
                </c:pt>
                <c:pt idx="23">
                  <c:v>4.6483299999999996</c:v>
                </c:pt>
                <c:pt idx="24">
                  <c:v>4.66418</c:v>
                </c:pt>
                <c:pt idx="25">
                  <c:v>4.6787000000000001</c:v>
                </c:pt>
                <c:pt idx="26">
                  <c:v>4.6896900000000006</c:v>
                </c:pt>
                <c:pt idx="27">
                  <c:v>4.6958699999999993</c:v>
                </c:pt>
                <c:pt idx="28">
                  <c:v>4.6988700000000003</c:v>
                </c:pt>
                <c:pt idx="29">
                  <c:v>4.6969099999999999</c:v>
                </c:pt>
                <c:pt idx="30">
                  <c:v>4.6943900000000003</c:v>
                </c:pt>
                <c:pt idx="31">
                  <c:v>4.6893099999999999</c:v>
                </c:pt>
                <c:pt idx="32">
                  <c:v>4.6818900000000001</c:v>
                </c:pt>
                <c:pt idx="33">
                  <c:v>4.6676599999999997</c:v>
                </c:pt>
                <c:pt idx="34">
                  <c:v>4.6468799999999995</c:v>
                </c:pt>
                <c:pt idx="35">
                  <c:v>4.6251499999999997</c:v>
                </c:pt>
                <c:pt idx="36">
                  <c:v>4.6020699999999994</c:v>
                </c:pt>
                <c:pt idx="37">
                  <c:v>4.5811299999999999</c:v>
                </c:pt>
                <c:pt idx="38">
                  <c:v>4.5588699999999998</c:v>
                </c:pt>
                <c:pt idx="39">
                  <c:v>4.5365899999999995</c:v>
                </c:pt>
                <c:pt idx="40">
                  <c:v>4.5131199999999998</c:v>
                </c:pt>
                <c:pt idx="41">
                  <c:v>4.4871600000000003</c:v>
                </c:pt>
                <c:pt idx="42">
                  <c:v>4.4586199999999998</c:v>
                </c:pt>
                <c:pt idx="43">
                  <c:v>4.4276900000000001</c:v>
                </c:pt>
                <c:pt idx="44">
                  <c:v>4.3978200000000003</c:v>
                </c:pt>
                <c:pt idx="45">
                  <c:v>4.3669900000000004</c:v>
                </c:pt>
                <c:pt idx="46">
                  <c:v>4.3380400000000003</c:v>
                </c:pt>
                <c:pt idx="47">
                  <c:v>4.3078799999999999</c:v>
                </c:pt>
                <c:pt idx="48">
                  <c:v>4.2767600000000003</c:v>
                </c:pt>
                <c:pt idx="49">
                  <c:v>4.2455999999999996</c:v>
                </c:pt>
                <c:pt idx="50">
                  <c:v>4.2218299999999997</c:v>
                </c:pt>
                <c:pt idx="51">
                  <c:v>4.1903699999999997</c:v>
                </c:pt>
                <c:pt idx="52">
                  <c:v>4.1608800000000006</c:v>
                </c:pt>
                <c:pt idx="53">
                  <c:v>4.1305500000000004</c:v>
                </c:pt>
                <c:pt idx="54">
                  <c:v>4.0998099999999997</c:v>
                </c:pt>
                <c:pt idx="55">
                  <c:v>4.0655200000000002</c:v>
                </c:pt>
                <c:pt idx="56">
                  <c:v>4.0281099999999999</c:v>
                </c:pt>
                <c:pt idx="57">
                  <c:v>3.9918100000000001</c:v>
                </c:pt>
                <c:pt idx="58">
                  <c:v>3.9545300000000001</c:v>
                </c:pt>
                <c:pt idx="59">
                  <c:v>3.9200900000000001</c:v>
                </c:pt>
                <c:pt idx="60">
                  <c:v>3.8832</c:v>
                </c:pt>
                <c:pt idx="61">
                  <c:v>3.8488800000000003</c:v>
                </c:pt>
                <c:pt idx="62">
                  <c:v>3.8170100000000002</c:v>
                </c:pt>
                <c:pt idx="63">
                  <c:v>3.7868900000000001</c:v>
                </c:pt>
                <c:pt idx="64">
                  <c:v>3.7588100000000004</c:v>
                </c:pt>
                <c:pt idx="65">
                  <c:v>3.7368600000000001</c:v>
                </c:pt>
                <c:pt idx="66">
                  <c:v>3.7201200000000001</c:v>
                </c:pt>
                <c:pt idx="67">
                  <c:v>3.7073700000000001</c:v>
                </c:pt>
                <c:pt idx="68">
                  <c:v>3.69983</c:v>
                </c:pt>
                <c:pt idx="69">
                  <c:v>3.6949800000000002</c:v>
                </c:pt>
                <c:pt idx="70">
                  <c:v>3.69068</c:v>
                </c:pt>
                <c:pt idx="71">
                  <c:v>3.6920500000000001</c:v>
                </c:pt>
                <c:pt idx="72">
                  <c:v>3.6980499999999998</c:v>
                </c:pt>
                <c:pt idx="73">
                  <c:v>3.7037999999999998</c:v>
                </c:pt>
                <c:pt idx="74">
                  <c:v>3.7087199999999996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30.031600000000001</c:v>
                </c:pt>
                <c:pt idx="1">
                  <c:v>30.6233</c:v>
                </c:pt>
                <c:pt idx="2">
                  <c:v>30.997900000000001</c:v>
                </c:pt>
                <c:pt idx="3">
                  <c:v>31.3736</c:v>
                </c:pt>
                <c:pt idx="4">
                  <c:v>31.748799999999999</c:v>
                </c:pt>
                <c:pt idx="5">
                  <c:v>32.1248</c:v>
                </c:pt>
                <c:pt idx="6">
                  <c:v>32.530700000000003</c:v>
                </c:pt>
                <c:pt idx="7">
                  <c:v>32.938099999999999</c:v>
                </c:pt>
                <c:pt idx="8">
                  <c:v>33.345100000000002</c:v>
                </c:pt>
                <c:pt idx="9">
                  <c:v>33.7498</c:v>
                </c:pt>
                <c:pt idx="10">
                  <c:v>34.154899999999998</c:v>
                </c:pt>
                <c:pt idx="11">
                  <c:v>34.561700000000002</c:v>
                </c:pt>
                <c:pt idx="12">
                  <c:v>34.968800000000002</c:v>
                </c:pt>
                <c:pt idx="13">
                  <c:v>35.376800000000003</c:v>
                </c:pt>
                <c:pt idx="14">
                  <c:v>35.781599999999997</c:v>
                </c:pt>
                <c:pt idx="15">
                  <c:v>36.186199999999999</c:v>
                </c:pt>
                <c:pt idx="16">
                  <c:v>36.595599999999997</c:v>
                </c:pt>
                <c:pt idx="17">
                  <c:v>37.000799999999998</c:v>
                </c:pt>
                <c:pt idx="18">
                  <c:v>37.407699999999998</c:v>
                </c:pt>
                <c:pt idx="19">
                  <c:v>37.813200000000002</c:v>
                </c:pt>
                <c:pt idx="20">
                  <c:v>38.216500000000003</c:v>
                </c:pt>
                <c:pt idx="21">
                  <c:v>38.622900000000001</c:v>
                </c:pt>
                <c:pt idx="22">
                  <c:v>39.031599999999997</c:v>
                </c:pt>
                <c:pt idx="23">
                  <c:v>39.4373</c:v>
                </c:pt>
                <c:pt idx="24">
                  <c:v>39.842700000000001</c:v>
                </c:pt>
                <c:pt idx="25">
                  <c:v>40.249200000000002</c:v>
                </c:pt>
                <c:pt idx="26">
                  <c:v>40.655700000000003</c:v>
                </c:pt>
                <c:pt idx="27">
                  <c:v>41.0608</c:v>
                </c:pt>
                <c:pt idx="28">
                  <c:v>41.470799999999997</c:v>
                </c:pt>
                <c:pt idx="29">
                  <c:v>41.875500000000002</c:v>
                </c:pt>
                <c:pt idx="30">
                  <c:v>42.281199999999998</c:v>
                </c:pt>
                <c:pt idx="31">
                  <c:v>42.685699999999997</c:v>
                </c:pt>
                <c:pt idx="32">
                  <c:v>43.090899999999998</c:v>
                </c:pt>
                <c:pt idx="33">
                  <c:v>43.499600000000001</c:v>
                </c:pt>
                <c:pt idx="34">
                  <c:v>43.906999999999996</c:v>
                </c:pt>
                <c:pt idx="35">
                  <c:v>44.314100000000003</c:v>
                </c:pt>
                <c:pt idx="36">
                  <c:v>44.716299999999997</c:v>
                </c:pt>
                <c:pt idx="37">
                  <c:v>45.128399999999999</c:v>
                </c:pt>
                <c:pt idx="38">
                  <c:v>45.529800000000002</c:v>
                </c:pt>
                <c:pt idx="39">
                  <c:v>45.939100000000003</c:v>
                </c:pt>
                <c:pt idx="40">
                  <c:v>46.344099999999997</c:v>
                </c:pt>
                <c:pt idx="41">
                  <c:v>46.751899999999999</c:v>
                </c:pt>
                <c:pt idx="42">
                  <c:v>47.1571</c:v>
                </c:pt>
                <c:pt idx="43">
                  <c:v>47.560400000000001</c:v>
                </c:pt>
                <c:pt idx="44">
                  <c:v>47.9679</c:v>
                </c:pt>
                <c:pt idx="45">
                  <c:v>48.375300000000003</c:v>
                </c:pt>
                <c:pt idx="46">
                  <c:v>48.7819</c:v>
                </c:pt>
                <c:pt idx="47">
                  <c:v>49.188800000000001</c:v>
                </c:pt>
                <c:pt idx="48">
                  <c:v>49.594900000000003</c:v>
                </c:pt>
                <c:pt idx="49">
                  <c:v>49.997199999999999</c:v>
                </c:pt>
                <c:pt idx="50">
                  <c:v>50.4054</c:v>
                </c:pt>
                <c:pt idx="51">
                  <c:v>50.813099999999999</c:v>
                </c:pt>
                <c:pt idx="52">
                  <c:v>51.218800000000002</c:v>
                </c:pt>
                <c:pt idx="53">
                  <c:v>51.6252</c:v>
                </c:pt>
                <c:pt idx="54">
                  <c:v>52.0274</c:v>
                </c:pt>
                <c:pt idx="55">
                  <c:v>52.436199999999999</c:v>
                </c:pt>
                <c:pt idx="56">
                  <c:v>52.845199999999998</c:v>
                </c:pt>
                <c:pt idx="57">
                  <c:v>53.2483</c:v>
                </c:pt>
                <c:pt idx="58">
                  <c:v>53.653799999999997</c:v>
                </c:pt>
                <c:pt idx="59">
                  <c:v>54.060200000000002</c:v>
                </c:pt>
                <c:pt idx="60">
                  <c:v>54.467300000000002</c:v>
                </c:pt>
                <c:pt idx="61">
                  <c:v>54.874899999999997</c:v>
                </c:pt>
                <c:pt idx="62">
                  <c:v>55.281199999999998</c:v>
                </c:pt>
                <c:pt idx="63">
                  <c:v>55.69</c:v>
                </c:pt>
                <c:pt idx="64">
                  <c:v>56.092599999999997</c:v>
                </c:pt>
                <c:pt idx="65">
                  <c:v>56.499400000000001</c:v>
                </c:pt>
                <c:pt idx="66">
                  <c:v>56.908499999999997</c:v>
                </c:pt>
                <c:pt idx="67">
                  <c:v>57.310099999999998</c:v>
                </c:pt>
                <c:pt idx="68">
                  <c:v>57.721699999999998</c:v>
                </c:pt>
                <c:pt idx="69">
                  <c:v>58.124400000000001</c:v>
                </c:pt>
                <c:pt idx="70">
                  <c:v>58.529800000000002</c:v>
                </c:pt>
                <c:pt idx="71">
                  <c:v>58.939300000000003</c:v>
                </c:pt>
                <c:pt idx="72">
                  <c:v>59.345199999999998</c:v>
                </c:pt>
                <c:pt idx="73">
                  <c:v>59.750300000000003</c:v>
                </c:pt>
                <c:pt idx="74">
                  <c:v>60.154000000000003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3.7087199999999996</c:v>
                </c:pt>
                <c:pt idx="1">
                  <c:v>3.7143900000000003</c:v>
                </c:pt>
                <c:pt idx="2">
                  <c:v>3.7178800000000001</c:v>
                </c:pt>
                <c:pt idx="3">
                  <c:v>3.7219799999999998</c:v>
                </c:pt>
                <c:pt idx="4">
                  <c:v>3.7257400000000001</c:v>
                </c:pt>
                <c:pt idx="5">
                  <c:v>3.7274099999999999</c:v>
                </c:pt>
                <c:pt idx="6">
                  <c:v>3.7290899999999998</c:v>
                </c:pt>
                <c:pt idx="7">
                  <c:v>3.7286399999999995</c:v>
                </c:pt>
                <c:pt idx="8">
                  <c:v>3.7281900000000001</c:v>
                </c:pt>
                <c:pt idx="9">
                  <c:v>3.7291000000000003</c:v>
                </c:pt>
                <c:pt idx="10">
                  <c:v>3.7330700000000001</c:v>
                </c:pt>
                <c:pt idx="11">
                  <c:v>3.7345000000000002</c:v>
                </c:pt>
                <c:pt idx="12">
                  <c:v>3.7326799999999998</c:v>
                </c:pt>
                <c:pt idx="13">
                  <c:v>3.72818</c:v>
                </c:pt>
                <c:pt idx="14">
                  <c:v>3.7199999999999998</c:v>
                </c:pt>
                <c:pt idx="15">
                  <c:v>3.7072500000000002</c:v>
                </c:pt>
                <c:pt idx="16">
                  <c:v>3.69184</c:v>
                </c:pt>
                <c:pt idx="17">
                  <c:v>3.6773600000000002</c:v>
                </c:pt>
                <c:pt idx="18">
                  <c:v>3.6623600000000001</c:v>
                </c:pt>
                <c:pt idx="19">
                  <c:v>3.6453200000000003</c:v>
                </c:pt>
                <c:pt idx="20">
                  <c:v>3.6301000000000001</c:v>
                </c:pt>
                <c:pt idx="21">
                  <c:v>3.6170299999999997</c:v>
                </c:pt>
                <c:pt idx="22">
                  <c:v>3.6019299999999999</c:v>
                </c:pt>
                <c:pt idx="23">
                  <c:v>3.5902099999999999</c:v>
                </c:pt>
                <c:pt idx="24">
                  <c:v>3.5813000000000001</c:v>
                </c:pt>
                <c:pt idx="25">
                  <c:v>3.5753400000000002</c:v>
                </c:pt>
                <c:pt idx="26">
                  <c:v>3.5718199999999998</c:v>
                </c:pt>
                <c:pt idx="27">
                  <c:v>3.5694300000000001</c:v>
                </c:pt>
                <c:pt idx="28">
                  <c:v>3.5676700000000001</c:v>
                </c:pt>
                <c:pt idx="29">
                  <c:v>3.5652200000000001</c:v>
                </c:pt>
                <c:pt idx="30">
                  <c:v>3.5665799999999996</c:v>
                </c:pt>
                <c:pt idx="31">
                  <c:v>3.5709800000000005</c:v>
                </c:pt>
                <c:pt idx="32">
                  <c:v>3.5792800000000002</c:v>
                </c:pt>
                <c:pt idx="33">
                  <c:v>3.5882900000000002</c:v>
                </c:pt>
                <c:pt idx="34">
                  <c:v>3.5962899999999998</c:v>
                </c:pt>
                <c:pt idx="35">
                  <c:v>3.6048</c:v>
                </c:pt>
                <c:pt idx="36">
                  <c:v>3.6123699999999999</c:v>
                </c:pt>
                <c:pt idx="37">
                  <c:v>3.6166999999999998</c:v>
                </c:pt>
                <c:pt idx="38">
                  <c:v>3.6204499999999999</c:v>
                </c:pt>
                <c:pt idx="39">
                  <c:v>3.62216</c:v>
                </c:pt>
                <c:pt idx="40">
                  <c:v>3.6255199999999999</c:v>
                </c:pt>
                <c:pt idx="41">
                  <c:v>3.6295100000000002</c:v>
                </c:pt>
                <c:pt idx="42">
                  <c:v>3.6337199999999998</c:v>
                </c:pt>
                <c:pt idx="43">
                  <c:v>3.6369600000000002</c:v>
                </c:pt>
                <c:pt idx="44">
                  <c:v>3.64439</c:v>
                </c:pt>
                <c:pt idx="45">
                  <c:v>3.6547099999999997</c:v>
                </c:pt>
                <c:pt idx="46">
                  <c:v>3.6644500000000004</c:v>
                </c:pt>
                <c:pt idx="47">
                  <c:v>3.6737599999999997</c:v>
                </c:pt>
                <c:pt idx="48">
                  <c:v>3.6863200000000003</c:v>
                </c:pt>
                <c:pt idx="49">
                  <c:v>3.7011500000000002</c:v>
                </c:pt>
                <c:pt idx="50">
                  <c:v>3.7107800000000002</c:v>
                </c:pt>
                <c:pt idx="51">
                  <c:v>3.7124800000000002</c:v>
                </c:pt>
                <c:pt idx="52">
                  <c:v>3.7143100000000002</c:v>
                </c:pt>
                <c:pt idx="53">
                  <c:v>3.7158000000000002</c:v>
                </c:pt>
                <c:pt idx="54">
                  <c:v>3.71929</c:v>
                </c:pt>
                <c:pt idx="55">
                  <c:v>3.7225399999999995</c:v>
                </c:pt>
                <c:pt idx="56">
                  <c:v>3.7244100000000002</c:v>
                </c:pt>
                <c:pt idx="57">
                  <c:v>3.7241400000000002</c:v>
                </c:pt>
                <c:pt idx="58">
                  <c:v>3.7233300000000003</c:v>
                </c:pt>
                <c:pt idx="59">
                  <c:v>3.7225999999999999</c:v>
                </c:pt>
                <c:pt idx="60">
                  <c:v>3.7192500000000002</c:v>
                </c:pt>
                <c:pt idx="61">
                  <c:v>3.7193300000000002</c:v>
                </c:pt>
                <c:pt idx="62">
                  <c:v>3.7271199999999998</c:v>
                </c:pt>
                <c:pt idx="63">
                  <c:v>3.73821</c:v>
                </c:pt>
                <c:pt idx="64">
                  <c:v>3.7579200000000004</c:v>
                </c:pt>
                <c:pt idx="65">
                  <c:v>3.7791700000000001</c:v>
                </c:pt>
                <c:pt idx="66">
                  <c:v>3.80247</c:v>
                </c:pt>
                <c:pt idx="67">
                  <c:v>3.8247799999999996</c:v>
                </c:pt>
                <c:pt idx="68">
                  <c:v>3.85283</c:v>
                </c:pt>
                <c:pt idx="69">
                  <c:v>3.8804400000000001</c:v>
                </c:pt>
                <c:pt idx="70">
                  <c:v>3.9036999999999997</c:v>
                </c:pt>
                <c:pt idx="71">
                  <c:v>3.92788</c:v>
                </c:pt>
                <c:pt idx="72">
                  <c:v>3.9644400000000002</c:v>
                </c:pt>
                <c:pt idx="73">
                  <c:v>3.99735</c:v>
                </c:pt>
                <c:pt idx="74">
                  <c:v>4.0456900000000005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15.038500000000001</c:v>
                </c:pt>
                <c:pt idx="1">
                  <c:v>45.115500000000004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4.1896944594594592</c:v>
                </c:pt>
                <c:pt idx="1">
                  <c:v>3.6952258108108116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0.373892</c:v>
                </c:pt>
                <c:pt idx="2">
                  <c:v>0.78367200000000004</c:v>
                </c:pt>
                <c:pt idx="3">
                  <c:v>1.1856899999999999</c:v>
                </c:pt>
                <c:pt idx="4">
                  <c:v>1.59213</c:v>
                </c:pt>
                <c:pt idx="5">
                  <c:v>1.99823</c:v>
                </c:pt>
                <c:pt idx="6">
                  <c:v>2.4036300000000002</c:v>
                </c:pt>
                <c:pt idx="7">
                  <c:v>2.8147799999999998</c:v>
                </c:pt>
                <c:pt idx="8">
                  <c:v>3.21834</c:v>
                </c:pt>
                <c:pt idx="9">
                  <c:v>3.6246900000000002</c:v>
                </c:pt>
                <c:pt idx="10">
                  <c:v>4.0308299999999999</c:v>
                </c:pt>
                <c:pt idx="11">
                  <c:v>4.4373399999999998</c:v>
                </c:pt>
                <c:pt idx="12">
                  <c:v>4.8415800000000004</c:v>
                </c:pt>
                <c:pt idx="13">
                  <c:v>5.2527499999999998</c:v>
                </c:pt>
                <c:pt idx="14">
                  <c:v>5.6581000000000001</c:v>
                </c:pt>
                <c:pt idx="15">
                  <c:v>6.0613299999999999</c:v>
                </c:pt>
                <c:pt idx="16">
                  <c:v>6.4678000000000004</c:v>
                </c:pt>
                <c:pt idx="17">
                  <c:v>6.8768099999999999</c:v>
                </c:pt>
                <c:pt idx="18">
                  <c:v>7.2812299999999999</c:v>
                </c:pt>
                <c:pt idx="19">
                  <c:v>7.6865300000000003</c:v>
                </c:pt>
                <c:pt idx="20">
                  <c:v>8.0901499999999995</c:v>
                </c:pt>
                <c:pt idx="21">
                  <c:v>8.4991900000000005</c:v>
                </c:pt>
                <c:pt idx="22">
                  <c:v>8.9078499999999998</c:v>
                </c:pt>
                <c:pt idx="23">
                  <c:v>9.31419</c:v>
                </c:pt>
                <c:pt idx="24">
                  <c:v>9.7174200000000006</c:v>
                </c:pt>
                <c:pt idx="25">
                  <c:v>10.1233</c:v>
                </c:pt>
                <c:pt idx="26">
                  <c:v>10.528700000000001</c:v>
                </c:pt>
                <c:pt idx="27">
                  <c:v>10.9383</c:v>
                </c:pt>
                <c:pt idx="28">
                  <c:v>11.343</c:v>
                </c:pt>
                <c:pt idx="29">
                  <c:v>11.7498</c:v>
                </c:pt>
                <c:pt idx="30">
                  <c:v>12.1546</c:v>
                </c:pt>
                <c:pt idx="31">
                  <c:v>12.5648</c:v>
                </c:pt>
                <c:pt idx="32">
                  <c:v>12.9679</c:v>
                </c:pt>
                <c:pt idx="33">
                  <c:v>13.3767</c:v>
                </c:pt>
                <c:pt idx="34">
                  <c:v>13.7822</c:v>
                </c:pt>
                <c:pt idx="35">
                  <c:v>14.186500000000001</c:v>
                </c:pt>
                <c:pt idx="36">
                  <c:v>14.592599999999999</c:v>
                </c:pt>
                <c:pt idx="37">
                  <c:v>14.9993</c:v>
                </c:pt>
                <c:pt idx="38">
                  <c:v>15.407999999999999</c:v>
                </c:pt>
                <c:pt idx="39">
                  <c:v>15.8118</c:v>
                </c:pt>
                <c:pt idx="40">
                  <c:v>16.217300000000002</c:v>
                </c:pt>
                <c:pt idx="41">
                  <c:v>16.622499999999999</c:v>
                </c:pt>
                <c:pt idx="42">
                  <c:v>17.031099999999999</c:v>
                </c:pt>
                <c:pt idx="43">
                  <c:v>17.437899999999999</c:v>
                </c:pt>
                <c:pt idx="44">
                  <c:v>17.847000000000001</c:v>
                </c:pt>
                <c:pt idx="45">
                  <c:v>18.248899999999999</c:v>
                </c:pt>
                <c:pt idx="46">
                  <c:v>18.654699999999998</c:v>
                </c:pt>
                <c:pt idx="47">
                  <c:v>19.063300000000002</c:v>
                </c:pt>
                <c:pt idx="48">
                  <c:v>19.467600000000001</c:v>
                </c:pt>
                <c:pt idx="49">
                  <c:v>19.876100000000001</c:v>
                </c:pt>
                <c:pt idx="50">
                  <c:v>20.280100000000001</c:v>
                </c:pt>
                <c:pt idx="51">
                  <c:v>20.6858</c:v>
                </c:pt>
                <c:pt idx="52">
                  <c:v>21.091100000000001</c:v>
                </c:pt>
                <c:pt idx="53">
                  <c:v>21.498699999999999</c:v>
                </c:pt>
                <c:pt idx="54">
                  <c:v>21.905000000000001</c:v>
                </c:pt>
                <c:pt idx="55">
                  <c:v>22.3125</c:v>
                </c:pt>
                <c:pt idx="56">
                  <c:v>22.720199999999998</c:v>
                </c:pt>
                <c:pt idx="57">
                  <c:v>23.126899999999999</c:v>
                </c:pt>
                <c:pt idx="58">
                  <c:v>23.528700000000001</c:v>
                </c:pt>
                <c:pt idx="59">
                  <c:v>23.936900000000001</c:v>
                </c:pt>
                <c:pt idx="60">
                  <c:v>24.340599999999998</c:v>
                </c:pt>
                <c:pt idx="61">
                  <c:v>24.7514</c:v>
                </c:pt>
                <c:pt idx="62">
                  <c:v>25.157</c:v>
                </c:pt>
                <c:pt idx="63">
                  <c:v>25.5609</c:v>
                </c:pt>
                <c:pt idx="64">
                  <c:v>25.970199999999998</c:v>
                </c:pt>
                <c:pt idx="65">
                  <c:v>26.3749</c:v>
                </c:pt>
                <c:pt idx="66">
                  <c:v>26.7837</c:v>
                </c:pt>
                <c:pt idx="67">
                  <c:v>27.188099999999999</c:v>
                </c:pt>
                <c:pt idx="68">
                  <c:v>27.591999999999999</c:v>
                </c:pt>
                <c:pt idx="69">
                  <c:v>27.998100000000001</c:v>
                </c:pt>
                <c:pt idx="70">
                  <c:v>28.404699999999998</c:v>
                </c:pt>
                <c:pt idx="71">
                  <c:v>28.813199999999998</c:v>
                </c:pt>
                <c:pt idx="72">
                  <c:v>29.219899999999999</c:v>
                </c:pt>
                <c:pt idx="73">
                  <c:v>29.622699999999998</c:v>
                </c:pt>
                <c:pt idx="74">
                  <c:v>30.031600000000001</c:v>
                </c:pt>
                <c:pt idx="75">
                  <c:v>30.6233</c:v>
                </c:pt>
                <c:pt idx="76">
                  <c:v>30.997900000000001</c:v>
                </c:pt>
                <c:pt idx="77">
                  <c:v>31.3736</c:v>
                </c:pt>
                <c:pt idx="78">
                  <c:v>31.748799999999999</c:v>
                </c:pt>
                <c:pt idx="79">
                  <c:v>32.1248</c:v>
                </c:pt>
                <c:pt idx="80">
                  <c:v>32.530700000000003</c:v>
                </c:pt>
                <c:pt idx="81">
                  <c:v>32.938099999999999</c:v>
                </c:pt>
                <c:pt idx="82">
                  <c:v>33.345100000000002</c:v>
                </c:pt>
                <c:pt idx="83">
                  <c:v>33.7498</c:v>
                </c:pt>
                <c:pt idx="84">
                  <c:v>34.154899999999998</c:v>
                </c:pt>
                <c:pt idx="85">
                  <c:v>34.561700000000002</c:v>
                </c:pt>
                <c:pt idx="86">
                  <c:v>34.968800000000002</c:v>
                </c:pt>
                <c:pt idx="87">
                  <c:v>35.376800000000003</c:v>
                </c:pt>
                <c:pt idx="88">
                  <c:v>35.781599999999997</c:v>
                </c:pt>
                <c:pt idx="89">
                  <c:v>36.186199999999999</c:v>
                </c:pt>
                <c:pt idx="90">
                  <c:v>36.595599999999997</c:v>
                </c:pt>
                <c:pt idx="91">
                  <c:v>37.000799999999998</c:v>
                </c:pt>
                <c:pt idx="92">
                  <c:v>37.407699999999998</c:v>
                </c:pt>
                <c:pt idx="93">
                  <c:v>37.813200000000002</c:v>
                </c:pt>
                <c:pt idx="94">
                  <c:v>38.216500000000003</c:v>
                </c:pt>
                <c:pt idx="95">
                  <c:v>38.622900000000001</c:v>
                </c:pt>
                <c:pt idx="96">
                  <c:v>39.031599999999997</c:v>
                </c:pt>
                <c:pt idx="97">
                  <c:v>39.4373</c:v>
                </c:pt>
                <c:pt idx="98">
                  <c:v>39.842700000000001</c:v>
                </c:pt>
                <c:pt idx="99">
                  <c:v>40.249200000000002</c:v>
                </c:pt>
                <c:pt idx="100">
                  <c:v>40.655700000000003</c:v>
                </c:pt>
                <c:pt idx="101">
                  <c:v>41.0608</c:v>
                </c:pt>
                <c:pt idx="102">
                  <c:v>41.470799999999997</c:v>
                </c:pt>
                <c:pt idx="103">
                  <c:v>41.875500000000002</c:v>
                </c:pt>
                <c:pt idx="104">
                  <c:v>42.281199999999998</c:v>
                </c:pt>
                <c:pt idx="105">
                  <c:v>42.685699999999997</c:v>
                </c:pt>
                <c:pt idx="106">
                  <c:v>43.090899999999998</c:v>
                </c:pt>
                <c:pt idx="107">
                  <c:v>43.499600000000001</c:v>
                </c:pt>
                <c:pt idx="108">
                  <c:v>43.906999999999996</c:v>
                </c:pt>
                <c:pt idx="109">
                  <c:v>44.314100000000003</c:v>
                </c:pt>
                <c:pt idx="110">
                  <c:v>44.716299999999997</c:v>
                </c:pt>
                <c:pt idx="111">
                  <c:v>45.128399999999999</c:v>
                </c:pt>
                <c:pt idx="112">
                  <c:v>45.529800000000002</c:v>
                </c:pt>
                <c:pt idx="113">
                  <c:v>45.939100000000003</c:v>
                </c:pt>
                <c:pt idx="114">
                  <c:v>46.344099999999997</c:v>
                </c:pt>
                <c:pt idx="115">
                  <c:v>46.751899999999999</c:v>
                </c:pt>
                <c:pt idx="116">
                  <c:v>47.1571</c:v>
                </c:pt>
                <c:pt idx="117">
                  <c:v>47.560400000000001</c:v>
                </c:pt>
                <c:pt idx="118">
                  <c:v>47.9679</c:v>
                </c:pt>
                <c:pt idx="119">
                  <c:v>48.375300000000003</c:v>
                </c:pt>
                <c:pt idx="120">
                  <c:v>48.7819</c:v>
                </c:pt>
                <c:pt idx="121">
                  <c:v>49.188800000000001</c:v>
                </c:pt>
                <c:pt idx="122">
                  <c:v>49.594900000000003</c:v>
                </c:pt>
                <c:pt idx="123">
                  <c:v>49.997199999999999</c:v>
                </c:pt>
                <c:pt idx="124">
                  <c:v>50.4054</c:v>
                </c:pt>
                <c:pt idx="125">
                  <c:v>50.813099999999999</c:v>
                </c:pt>
                <c:pt idx="126">
                  <c:v>51.218800000000002</c:v>
                </c:pt>
                <c:pt idx="127">
                  <c:v>51.6252</c:v>
                </c:pt>
                <c:pt idx="128">
                  <c:v>52.0274</c:v>
                </c:pt>
                <c:pt idx="129">
                  <c:v>52.436199999999999</c:v>
                </c:pt>
                <c:pt idx="130">
                  <c:v>52.845199999999998</c:v>
                </c:pt>
                <c:pt idx="131">
                  <c:v>53.2483</c:v>
                </c:pt>
                <c:pt idx="132">
                  <c:v>53.653799999999997</c:v>
                </c:pt>
                <c:pt idx="133">
                  <c:v>54.060200000000002</c:v>
                </c:pt>
                <c:pt idx="134">
                  <c:v>54.467300000000002</c:v>
                </c:pt>
                <c:pt idx="135">
                  <c:v>54.874899999999997</c:v>
                </c:pt>
                <c:pt idx="136">
                  <c:v>55.281199999999998</c:v>
                </c:pt>
                <c:pt idx="137">
                  <c:v>55.69</c:v>
                </c:pt>
                <c:pt idx="138">
                  <c:v>56.092599999999997</c:v>
                </c:pt>
                <c:pt idx="139">
                  <c:v>56.499400000000001</c:v>
                </c:pt>
                <c:pt idx="140">
                  <c:v>56.908499999999997</c:v>
                </c:pt>
                <c:pt idx="141">
                  <c:v>57.310099999999998</c:v>
                </c:pt>
                <c:pt idx="142">
                  <c:v>57.721699999999998</c:v>
                </c:pt>
                <c:pt idx="143">
                  <c:v>58.124400000000001</c:v>
                </c:pt>
                <c:pt idx="144">
                  <c:v>58.529800000000002</c:v>
                </c:pt>
                <c:pt idx="145">
                  <c:v>58.939300000000003</c:v>
                </c:pt>
                <c:pt idx="146">
                  <c:v>59.345199999999998</c:v>
                </c:pt>
                <c:pt idx="147">
                  <c:v>59.750300000000003</c:v>
                </c:pt>
                <c:pt idx="148">
                  <c:v>60.154000000000003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46.396100000000004</c:v>
                </c:pt>
                <c:pt idx="1">
                  <c:v>45.656100000000002</c:v>
                </c:pt>
                <c:pt idx="2">
                  <c:v>44.925699999999999</c:v>
                </c:pt>
                <c:pt idx="3">
                  <c:v>44.160600000000002</c:v>
                </c:pt>
                <c:pt idx="4">
                  <c:v>43.270299999999999</c:v>
                </c:pt>
                <c:pt idx="5">
                  <c:v>42.487299999999998</c:v>
                </c:pt>
                <c:pt idx="6">
                  <c:v>41.762500000000003</c:v>
                </c:pt>
                <c:pt idx="7">
                  <c:v>41.094000000000001</c:v>
                </c:pt>
                <c:pt idx="8">
                  <c:v>40.331000000000003</c:v>
                </c:pt>
                <c:pt idx="9">
                  <c:v>39.525799999999997</c:v>
                </c:pt>
                <c:pt idx="10">
                  <c:v>38.908500000000004</c:v>
                </c:pt>
                <c:pt idx="11">
                  <c:v>38.454000000000001</c:v>
                </c:pt>
                <c:pt idx="12">
                  <c:v>38.072600000000001</c:v>
                </c:pt>
                <c:pt idx="13">
                  <c:v>37.737500000000004</c:v>
                </c:pt>
                <c:pt idx="14">
                  <c:v>37.391500000000001</c:v>
                </c:pt>
                <c:pt idx="15">
                  <c:v>37.0914</c:v>
                </c:pt>
                <c:pt idx="16">
                  <c:v>36.742399999999996</c:v>
                </c:pt>
                <c:pt idx="17">
                  <c:v>36.396000000000001</c:v>
                </c:pt>
                <c:pt idx="18">
                  <c:v>35.9711</c:v>
                </c:pt>
                <c:pt idx="19">
                  <c:v>35.505299999999998</c:v>
                </c:pt>
                <c:pt idx="20">
                  <c:v>34.988799999999998</c:v>
                </c:pt>
                <c:pt idx="21">
                  <c:v>34.508200000000002</c:v>
                </c:pt>
                <c:pt idx="22">
                  <c:v>33.972200000000001</c:v>
                </c:pt>
                <c:pt idx="23">
                  <c:v>33.444400000000002</c:v>
                </c:pt>
                <c:pt idx="24">
                  <c:v>32.9071</c:v>
                </c:pt>
                <c:pt idx="25">
                  <c:v>32.401799999999994</c:v>
                </c:pt>
                <c:pt idx="26">
                  <c:v>31.905799999999999</c:v>
                </c:pt>
                <c:pt idx="27">
                  <c:v>31.418900000000001</c:v>
                </c:pt>
                <c:pt idx="28">
                  <c:v>30.993600000000001</c:v>
                </c:pt>
                <c:pt idx="29">
                  <c:v>30.650699999999997</c:v>
                </c:pt>
                <c:pt idx="30">
                  <c:v>30.344100000000001</c:v>
                </c:pt>
                <c:pt idx="31">
                  <c:v>30.098700000000001</c:v>
                </c:pt>
                <c:pt idx="32">
                  <c:v>29.897500000000001</c:v>
                </c:pt>
                <c:pt idx="33">
                  <c:v>29.811900000000001</c:v>
                </c:pt>
                <c:pt idx="34">
                  <c:v>29.817599999999999</c:v>
                </c:pt>
                <c:pt idx="35">
                  <c:v>29.852899999999998</c:v>
                </c:pt>
                <c:pt idx="36">
                  <c:v>29.877599999999997</c:v>
                </c:pt>
                <c:pt idx="37">
                  <c:v>29.876300000000001</c:v>
                </c:pt>
                <c:pt idx="38">
                  <c:v>29.9298</c:v>
                </c:pt>
                <c:pt idx="39">
                  <c:v>29.974600000000002</c:v>
                </c:pt>
                <c:pt idx="40">
                  <c:v>29.961600000000001</c:v>
                </c:pt>
                <c:pt idx="41">
                  <c:v>29.951499999999996</c:v>
                </c:pt>
                <c:pt idx="42">
                  <c:v>29.9786</c:v>
                </c:pt>
                <c:pt idx="43">
                  <c:v>29.965599999999998</c:v>
                </c:pt>
                <c:pt idx="44">
                  <c:v>29.963299999999997</c:v>
                </c:pt>
                <c:pt idx="45">
                  <c:v>30.023199999999999</c:v>
                </c:pt>
                <c:pt idx="46">
                  <c:v>30.051200000000001</c:v>
                </c:pt>
                <c:pt idx="47">
                  <c:v>30.090899999999998</c:v>
                </c:pt>
                <c:pt idx="48">
                  <c:v>30.088199999999997</c:v>
                </c:pt>
                <c:pt idx="49">
                  <c:v>30.144100000000002</c:v>
                </c:pt>
                <c:pt idx="50">
                  <c:v>30.271999999999998</c:v>
                </c:pt>
                <c:pt idx="51">
                  <c:v>30.333500000000001</c:v>
                </c:pt>
                <c:pt idx="52">
                  <c:v>30.377300000000002</c:v>
                </c:pt>
                <c:pt idx="53">
                  <c:v>30.402899999999999</c:v>
                </c:pt>
                <c:pt idx="54">
                  <c:v>30.361500000000003</c:v>
                </c:pt>
                <c:pt idx="55">
                  <c:v>30.358600000000003</c:v>
                </c:pt>
                <c:pt idx="56">
                  <c:v>30.430900000000001</c:v>
                </c:pt>
                <c:pt idx="57">
                  <c:v>30.497600000000002</c:v>
                </c:pt>
                <c:pt idx="58">
                  <c:v>30.529800000000002</c:v>
                </c:pt>
                <c:pt idx="59">
                  <c:v>30.496499999999997</c:v>
                </c:pt>
                <c:pt idx="60">
                  <c:v>30.471299999999999</c:v>
                </c:pt>
                <c:pt idx="61">
                  <c:v>30.470399999999998</c:v>
                </c:pt>
                <c:pt idx="62">
                  <c:v>30.576599999999999</c:v>
                </c:pt>
                <c:pt idx="63">
                  <c:v>30.6739</c:v>
                </c:pt>
                <c:pt idx="64">
                  <c:v>30.863400000000002</c:v>
                </c:pt>
                <c:pt idx="65">
                  <c:v>31.018600000000003</c:v>
                </c:pt>
                <c:pt idx="66">
                  <c:v>31.110500000000002</c:v>
                </c:pt>
                <c:pt idx="67">
                  <c:v>31.124499999999998</c:v>
                </c:pt>
                <c:pt idx="68">
                  <c:v>31.119200000000003</c:v>
                </c:pt>
                <c:pt idx="69">
                  <c:v>31.044599999999999</c:v>
                </c:pt>
                <c:pt idx="70">
                  <c:v>30.992399999999996</c:v>
                </c:pt>
                <c:pt idx="71">
                  <c:v>30.819999999999997</c:v>
                </c:pt>
                <c:pt idx="72">
                  <c:v>30.5913</c:v>
                </c:pt>
                <c:pt idx="73">
                  <c:v>30.395100000000003</c:v>
                </c:pt>
                <c:pt idx="74">
                  <c:v>30.1327</c:v>
                </c:pt>
                <c:pt idx="75">
                  <c:v>29.795400000000001</c:v>
                </c:pt>
                <c:pt idx="76">
                  <c:v>29.549300000000002</c:v>
                </c:pt>
                <c:pt idx="77">
                  <c:v>29.247899999999998</c:v>
                </c:pt>
                <c:pt idx="78">
                  <c:v>28.934500000000003</c:v>
                </c:pt>
                <c:pt idx="79">
                  <c:v>28.64</c:v>
                </c:pt>
                <c:pt idx="80">
                  <c:v>28.301900000000003</c:v>
                </c:pt>
                <c:pt idx="81">
                  <c:v>27.9453</c:v>
                </c:pt>
                <c:pt idx="82">
                  <c:v>27.566200000000002</c:v>
                </c:pt>
                <c:pt idx="83">
                  <c:v>27.204499999999999</c:v>
                </c:pt>
                <c:pt idx="84">
                  <c:v>26.817400000000003</c:v>
                </c:pt>
                <c:pt idx="85">
                  <c:v>26.469700000000003</c:v>
                </c:pt>
                <c:pt idx="86">
                  <c:v>26.1191</c:v>
                </c:pt>
                <c:pt idx="87">
                  <c:v>25.795200000000001</c:v>
                </c:pt>
                <c:pt idx="88">
                  <c:v>25.4739</c:v>
                </c:pt>
                <c:pt idx="89">
                  <c:v>25.145499999999998</c:v>
                </c:pt>
                <c:pt idx="90">
                  <c:v>24.883199999999999</c:v>
                </c:pt>
                <c:pt idx="91">
                  <c:v>24.680800000000001</c:v>
                </c:pt>
                <c:pt idx="92">
                  <c:v>24.489900000000002</c:v>
                </c:pt>
                <c:pt idx="93">
                  <c:v>24.366599999999998</c:v>
                </c:pt>
                <c:pt idx="94">
                  <c:v>24.284600000000001</c:v>
                </c:pt>
                <c:pt idx="95">
                  <c:v>24.286899999999999</c:v>
                </c:pt>
                <c:pt idx="96">
                  <c:v>24.397300000000001</c:v>
                </c:pt>
                <c:pt idx="97">
                  <c:v>24.5093</c:v>
                </c:pt>
                <c:pt idx="98">
                  <c:v>24.6553</c:v>
                </c:pt>
                <c:pt idx="99">
                  <c:v>24.834199999999999</c:v>
                </c:pt>
                <c:pt idx="100">
                  <c:v>24.970400000000001</c:v>
                </c:pt>
                <c:pt idx="101">
                  <c:v>25.114999999999998</c:v>
                </c:pt>
                <c:pt idx="102">
                  <c:v>25.248799999999999</c:v>
                </c:pt>
                <c:pt idx="103">
                  <c:v>25.458199999999998</c:v>
                </c:pt>
                <c:pt idx="104">
                  <c:v>25.658999999999999</c:v>
                </c:pt>
                <c:pt idx="105">
                  <c:v>25.821100000000001</c:v>
                </c:pt>
                <c:pt idx="106">
                  <c:v>25.995200000000001</c:v>
                </c:pt>
                <c:pt idx="107">
                  <c:v>26.200200000000002</c:v>
                </c:pt>
                <c:pt idx="108">
                  <c:v>26.413199999999996</c:v>
                </c:pt>
                <c:pt idx="109">
                  <c:v>26.630700000000001</c:v>
                </c:pt>
                <c:pt idx="110">
                  <c:v>26.877299999999998</c:v>
                </c:pt>
                <c:pt idx="111">
                  <c:v>27.110400000000002</c:v>
                </c:pt>
                <c:pt idx="112">
                  <c:v>27.256799999999998</c:v>
                </c:pt>
                <c:pt idx="113">
                  <c:v>27.312999999999999</c:v>
                </c:pt>
                <c:pt idx="114">
                  <c:v>27.387299999999996</c:v>
                </c:pt>
                <c:pt idx="115">
                  <c:v>27.456000000000003</c:v>
                </c:pt>
                <c:pt idx="116">
                  <c:v>27.5777</c:v>
                </c:pt>
                <c:pt idx="117">
                  <c:v>27.767599999999998</c:v>
                </c:pt>
                <c:pt idx="118">
                  <c:v>27.954600000000003</c:v>
                </c:pt>
                <c:pt idx="119">
                  <c:v>28.067599999999999</c:v>
                </c:pt>
                <c:pt idx="120">
                  <c:v>28.209</c:v>
                </c:pt>
                <c:pt idx="121">
                  <c:v>28.324999999999999</c:v>
                </c:pt>
                <c:pt idx="122">
                  <c:v>28.360999999999997</c:v>
                </c:pt>
                <c:pt idx="123">
                  <c:v>28.351199999999999</c:v>
                </c:pt>
                <c:pt idx="124">
                  <c:v>28.324700000000004</c:v>
                </c:pt>
                <c:pt idx="125">
                  <c:v>28.317500000000003</c:v>
                </c:pt>
                <c:pt idx="126">
                  <c:v>28.310999999999996</c:v>
                </c:pt>
                <c:pt idx="127">
                  <c:v>28.341899999999999</c:v>
                </c:pt>
                <c:pt idx="128">
                  <c:v>28.310800000000004</c:v>
                </c:pt>
                <c:pt idx="129">
                  <c:v>28.2957</c:v>
                </c:pt>
                <c:pt idx="130">
                  <c:v>28.3354</c:v>
                </c:pt>
                <c:pt idx="131">
                  <c:v>28.377500000000001</c:v>
                </c:pt>
                <c:pt idx="132">
                  <c:v>28.428599999999999</c:v>
                </c:pt>
                <c:pt idx="133">
                  <c:v>28.475899999999999</c:v>
                </c:pt>
                <c:pt idx="134">
                  <c:v>28.548000000000002</c:v>
                </c:pt>
                <c:pt idx="135">
                  <c:v>28.559800000000003</c:v>
                </c:pt>
                <c:pt idx="136">
                  <c:v>28.569299999999998</c:v>
                </c:pt>
                <c:pt idx="137">
                  <c:v>28.674100000000003</c:v>
                </c:pt>
                <c:pt idx="138">
                  <c:v>28.9589</c:v>
                </c:pt>
                <c:pt idx="139">
                  <c:v>29.2456</c:v>
                </c:pt>
                <c:pt idx="140">
                  <c:v>29.5091</c:v>
                </c:pt>
                <c:pt idx="141">
                  <c:v>29.666500000000003</c:v>
                </c:pt>
                <c:pt idx="142">
                  <c:v>29.762799999999999</c:v>
                </c:pt>
                <c:pt idx="143">
                  <c:v>29.779299999999999</c:v>
                </c:pt>
                <c:pt idx="144">
                  <c:v>29.876799999999999</c:v>
                </c:pt>
                <c:pt idx="145">
                  <c:v>29.705300000000001</c:v>
                </c:pt>
                <c:pt idx="146">
                  <c:v>29.450199999999999</c:v>
                </c:pt>
                <c:pt idx="147">
                  <c:v>29.384700000000002</c:v>
                </c:pt>
                <c:pt idx="148">
                  <c:v>29.2165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0.373892</c:v>
                </c:pt>
                <c:pt idx="2">
                  <c:v>0.78367200000000004</c:v>
                </c:pt>
                <c:pt idx="3">
                  <c:v>1.1856899999999999</c:v>
                </c:pt>
                <c:pt idx="4">
                  <c:v>1.59213</c:v>
                </c:pt>
                <c:pt idx="5">
                  <c:v>1.99823</c:v>
                </c:pt>
                <c:pt idx="6">
                  <c:v>2.4036300000000002</c:v>
                </c:pt>
                <c:pt idx="7">
                  <c:v>2.8147799999999998</c:v>
                </c:pt>
                <c:pt idx="8">
                  <c:v>3.21834</c:v>
                </c:pt>
                <c:pt idx="9">
                  <c:v>3.6246900000000002</c:v>
                </c:pt>
                <c:pt idx="10">
                  <c:v>4.0308299999999999</c:v>
                </c:pt>
                <c:pt idx="11">
                  <c:v>4.4373399999999998</c:v>
                </c:pt>
                <c:pt idx="12">
                  <c:v>4.8415800000000004</c:v>
                </c:pt>
                <c:pt idx="13">
                  <c:v>5.2527499999999998</c:v>
                </c:pt>
                <c:pt idx="14">
                  <c:v>5.6581000000000001</c:v>
                </c:pt>
                <c:pt idx="15">
                  <c:v>6.0613299999999999</c:v>
                </c:pt>
                <c:pt idx="16">
                  <c:v>6.4678000000000004</c:v>
                </c:pt>
                <c:pt idx="17">
                  <c:v>6.8768099999999999</c:v>
                </c:pt>
                <c:pt idx="18">
                  <c:v>7.2812299999999999</c:v>
                </c:pt>
                <c:pt idx="19">
                  <c:v>7.6865300000000003</c:v>
                </c:pt>
                <c:pt idx="20">
                  <c:v>8.0901499999999995</c:v>
                </c:pt>
                <c:pt idx="21">
                  <c:v>8.4991900000000005</c:v>
                </c:pt>
                <c:pt idx="22">
                  <c:v>8.9078499999999998</c:v>
                </c:pt>
                <c:pt idx="23">
                  <c:v>9.31419</c:v>
                </c:pt>
                <c:pt idx="24">
                  <c:v>9.7174200000000006</c:v>
                </c:pt>
                <c:pt idx="25">
                  <c:v>10.1233</c:v>
                </c:pt>
                <c:pt idx="26">
                  <c:v>10.528700000000001</c:v>
                </c:pt>
                <c:pt idx="27">
                  <c:v>10.9383</c:v>
                </c:pt>
                <c:pt idx="28">
                  <c:v>11.343</c:v>
                </c:pt>
                <c:pt idx="29">
                  <c:v>11.7498</c:v>
                </c:pt>
                <c:pt idx="30">
                  <c:v>12.1546</c:v>
                </c:pt>
                <c:pt idx="31">
                  <c:v>12.5648</c:v>
                </c:pt>
                <c:pt idx="32">
                  <c:v>12.9679</c:v>
                </c:pt>
                <c:pt idx="33">
                  <c:v>13.3767</c:v>
                </c:pt>
                <c:pt idx="34">
                  <c:v>13.7822</c:v>
                </c:pt>
                <c:pt idx="35">
                  <c:v>14.186500000000001</c:v>
                </c:pt>
                <c:pt idx="36">
                  <c:v>14.592599999999999</c:v>
                </c:pt>
                <c:pt idx="37">
                  <c:v>14.9993</c:v>
                </c:pt>
                <c:pt idx="38">
                  <c:v>15.407999999999999</c:v>
                </c:pt>
                <c:pt idx="39">
                  <c:v>15.8118</c:v>
                </c:pt>
                <c:pt idx="40">
                  <c:v>16.217300000000002</c:v>
                </c:pt>
                <c:pt idx="41">
                  <c:v>16.622499999999999</c:v>
                </c:pt>
                <c:pt idx="42">
                  <c:v>17.031099999999999</c:v>
                </c:pt>
                <c:pt idx="43">
                  <c:v>17.437899999999999</c:v>
                </c:pt>
                <c:pt idx="44">
                  <c:v>17.847000000000001</c:v>
                </c:pt>
                <c:pt idx="45">
                  <c:v>18.248899999999999</c:v>
                </c:pt>
                <c:pt idx="46">
                  <c:v>18.654699999999998</c:v>
                </c:pt>
                <c:pt idx="47">
                  <c:v>19.063300000000002</c:v>
                </c:pt>
                <c:pt idx="48">
                  <c:v>19.467600000000001</c:v>
                </c:pt>
                <c:pt idx="49">
                  <c:v>19.876100000000001</c:v>
                </c:pt>
                <c:pt idx="50">
                  <c:v>20.280100000000001</c:v>
                </c:pt>
                <c:pt idx="51">
                  <c:v>20.6858</c:v>
                </c:pt>
                <c:pt idx="52">
                  <c:v>21.091100000000001</c:v>
                </c:pt>
                <c:pt idx="53">
                  <c:v>21.498699999999999</c:v>
                </c:pt>
                <c:pt idx="54">
                  <c:v>21.905000000000001</c:v>
                </c:pt>
                <c:pt idx="55">
                  <c:v>22.3125</c:v>
                </c:pt>
                <c:pt idx="56">
                  <c:v>22.720199999999998</c:v>
                </c:pt>
                <c:pt idx="57">
                  <c:v>23.126899999999999</c:v>
                </c:pt>
                <c:pt idx="58">
                  <c:v>23.528700000000001</c:v>
                </c:pt>
                <c:pt idx="59">
                  <c:v>23.936900000000001</c:v>
                </c:pt>
                <c:pt idx="60">
                  <c:v>24.340599999999998</c:v>
                </c:pt>
                <c:pt idx="61">
                  <c:v>24.7514</c:v>
                </c:pt>
                <c:pt idx="62">
                  <c:v>25.157</c:v>
                </c:pt>
                <c:pt idx="63">
                  <c:v>25.5609</c:v>
                </c:pt>
                <c:pt idx="64">
                  <c:v>25.970199999999998</c:v>
                </c:pt>
                <c:pt idx="65">
                  <c:v>26.3749</c:v>
                </c:pt>
                <c:pt idx="66">
                  <c:v>26.7837</c:v>
                </c:pt>
                <c:pt idx="67">
                  <c:v>27.188099999999999</c:v>
                </c:pt>
                <c:pt idx="68">
                  <c:v>27.591999999999999</c:v>
                </c:pt>
                <c:pt idx="69">
                  <c:v>27.998100000000001</c:v>
                </c:pt>
                <c:pt idx="70">
                  <c:v>28.404699999999998</c:v>
                </c:pt>
                <c:pt idx="71">
                  <c:v>28.813199999999998</c:v>
                </c:pt>
                <c:pt idx="72">
                  <c:v>29.219899999999999</c:v>
                </c:pt>
                <c:pt idx="73">
                  <c:v>29.622699999999998</c:v>
                </c:pt>
                <c:pt idx="74">
                  <c:v>30.031600000000001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46.396100000000004</c:v>
                </c:pt>
                <c:pt idx="1">
                  <c:v>45.656100000000002</c:v>
                </c:pt>
                <c:pt idx="2">
                  <c:v>44.925699999999999</c:v>
                </c:pt>
                <c:pt idx="3">
                  <c:v>44.160600000000002</c:v>
                </c:pt>
                <c:pt idx="4">
                  <c:v>43.270299999999999</c:v>
                </c:pt>
                <c:pt idx="5">
                  <c:v>42.487299999999998</c:v>
                </c:pt>
                <c:pt idx="6">
                  <c:v>41.762500000000003</c:v>
                </c:pt>
                <c:pt idx="7">
                  <c:v>41.094000000000001</c:v>
                </c:pt>
                <c:pt idx="8">
                  <c:v>40.331000000000003</c:v>
                </c:pt>
                <c:pt idx="9">
                  <c:v>39.525799999999997</c:v>
                </c:pt>
                <c:pt idx="10">
                  <c:v>38.908500000000004</c:v>
                </c:pt>
                <c:pt idx="11">
                  <c:v>38.454000000000001</c:v>
                </c:pt>
                <c:pt idx="12">
                  <c:v>38.072600000000001</c:v>
                </c:pt>
                <c:pt idx="13">
                  <c:v>37.737500000000004</c:v>
                </c:pt>
                <c:pt idx="14">
                  <c:v>37.391500000000001</c:v>
                </c:pt>
                <c:pt idx="15">
                  <c:v>37.0914</c:v>
                </c:pt>
                <c:pt idx="16">
                  <c:v>36.742399999999996</c:v>
                </c:pt>
                <c:pt idx="17">
                  <c:v>36.396000000000001</c:v>
                </c:pt>
                <c:pt idx="18">
                  <c:v>35.9711</c:v>
                </c:pt>
                <c:pt idx="19">
                  <c:v>35.505299999999998</c:v>
                </c:pt>
                <c:pt idx="20">
                  <c:v>34.988799999999998</c:v>
                </c:pt>
                <c:pt idx="21">
                  <c:v>34.508200000000002</c:v>
                </c:pt>
                <c:pt idx="22">
                  <c:v>33.972200000000001</c:v>
                </c:pt>
                <c:pt idx="23">
                  <c:v>33.444400000000002</c:v>
                </c:pt>
                <c:pt idx="24">
                  <c:v>32.9071</c:v>
                </c:pt>
                <c:pt idx="25">
                  <c:v>32.401799999999994</c:v>
                </c:pt>
                <c:pt idx="26">
                  <c:v>31.905799999999999</c:v>
                </c:pt>
                <c:pt idx="27">
                  <c:v>31.418900000000001</c:v>
                </c:pt>
                <c:pt idx="28">
                  <c:v>30.993600000000001</c:v>
                </c:pt>
                <c:pt idx="29">
                  <c:v>30.650699999999997</c:v>
                </c:pt>
                <c:pt idx="30">
                  <c:v>30.344100000000001</c:v>
                </c:pt>
                <c:pt idx="31">
                  <c:v>30.098700000000001</c:v>
                </c:pt>
                <c:pt idx="32">
                  <c:v>29.897500000000001</c:v>
                </c:pt>
                <c:pt idx="33">
                  <c:v>29.811900000000001</c:v>
                </c:pt>
                <c:pt idx="34">
                  <c:v>29.817599999999999</c:v>
                </c:pt>
                <c:pt idx="35">
                  <c:v>29.852899999999998</c:v>
                </c:pt>
                <c:pt idx="36">
                  <c:v>29.877599999999997</c:v>
                </c:pt>
                <c:pt idx="37">
                  <c:v>29.876300000000001</c:v>
                </c:pt>
                <c:pt idx="38">
                  <c:v>29.9298</c:v>
                </c:pt>
                <c:pt idx="39">
                  <c:v>29.974600000000002</c:v>
                </c:pt>
                <c:pt idx="40">
                  <c:v>29.961600000000001</c:v>
                </c:pt>
                <c:pt idx="41">
                  <c:v>29.951499999999996</c:v>
                </c:pt>
                <c:pt idx="42">
                  <c:v>29.9786</c:v>
                </c:pt>
                <c:pt idx="43">
                  <c:v>29.965599999999998</c:v>
                </c:pt>
                <c:pt idx="44">
                  <c:v>29.963299999999997</c:v>
                </c:pt>
                <c:pt idx="45">
                  <c:v>30.023199999999999</c:v>
                </c:pt>
                <c:pt idx="46">
                  <c:v>30.051200000000001</c:v>
                </c:pt>
                <c:pt idx="47">
                  <c:v>30.090899999999998</c:v>
                </c:pt>
                <c:pt idx="48">
                  <c:v>30.088199999999997</c:v>
                </c:pt>
                <c:pt idx="49">
                  <c:v>30.144100000000002</c:v>
                </c:pt>
                <c:pt idx="50">
                  <c:v>30.271999999999998</c:v>
                </c:pt>
                <c:pt idx="51">
                  <c:v>30.333500000000001</c:v>
                </c:pt>
                <c:pt idx="52">
                  <c:v>30.377300000000002</c:v>
                </c:pt>
                <c:pt idx="53">
                  <c:v>30.402899999999999</c:v>
                </c:pt>
                <c:pt idx="54">
                  <c:v>30.361500000000003</c:v>
                </c:pt>
                <c:pt idx="55">
                  <c:v>30.358600000000003</c:v>
                </c:pt>
                <c:pt idx="56">
                  <c:v>30.430900000000001</c:v>
                </c:pt>
                <c:pt idx="57">
                  <c:v>30.497600000000002</c:v>
                </c:pt>
                <c:pt idx="58">
                  <c:v>30.529800000000002</c:v>
                </c:pt>
                <c:pt idx="59">
                  <c:v>30.496499999999997</c:v>
                </c:pt>
                <c:pt idx="60">
                  <c:v>30.471299999999999</c:v>
                </c:pt>
                <c:pt idx="61">
                  <c:v>30.470399999999998</c:v>
                </c:pt>
                <c:pt idx="62">
                  <c:v>30.576599999999999</c:v>
                </c:pt>
                <c:pt idx="63">
                  <c:v>30.6739</c:v>
                </c:pt>
                <c:pt idx="64">
                  <c:v>30.863400000000002</c:v>
                </c:pt>
                <c:pt idx="65">
                  <c:v>31.018600000000003</c:v>
                </c:pt>
                <c:pt idx="66">
                  <c:v>31.110500000000002</c:v>
                </c:pt>
                <c:pt idx="67">
                  <c:v>31.124499999999998</c:v>
                </c:pt>
                <c:pt idx="68">
                  <c:v>31.119200000000003</c:v>
                </c:pt>
                <c:pt idx="69">
                  <c:v>31.044599999999999</c:v>
                </c:pt>
                <c:pt idx="70">
                  <c:v>30.992399999999996</c:v>
                </c:pt>
                <c:pt idx="71">
                  <c:v>30.819999999999997</c:v>
                </c:pt>
                <c:pt idx="72">
                  <c:v>30.5913</c:v>
                </c:pt>
                <c:pt idx="73">
                  <c:v>30.395100000000003</c:v>
                </c:pt>
                <c:pt idx="74">
                  <c:v>30.1327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30.031600000000001</c:v>
                </c:pt>
                <c:pt idx="1">
                  <c:v>30.6233</c:v>
                </c:pt>
                <c:pt idx="2">
                  <c:v>30.997900000000001</c:v>
                </c:pt>
                <c:pt idx="3">
                  <c:v>31.3736</c:v>
                </c:pt>
                <c:pt idx="4">
                  <c:v>31.748799999999999</c:v>
                </c:pt>
                <c:pt idx="5">
                  <c:v>32.1248</c:v>
                </c:pt>
                <c:pt idx="6">
                  <c:v>32.530700000000003</c:v>
                </c:pt>
                <c:pt idx="7">
                  <c:v>32.938099999999999</c:v>
                </c:pt>
                <c:pt idx="8">
                  <c:v>33.345100000000002</c:v>
                </c:pt>
                <c:pt idx="9">
                  <c:v>33.7498</c:v>
                </c:pt>
                <c:pt idx="10">
                  <c:v>34.154899999999998</c:v>
                </c:pt>
                <c:pt idx="11">
                  <c:v>34.561700000000002</c:v>
                </c:pt>
                <c:pt idx="12">
                  <c:v>34.968800000000002</c:v>
                </c:pt>
                <c:pt idx="13">
                  <c:v>35.376800000000003</c:v>
                </c:pt>
                <c:pt idx="14">
                  <c:v>35.781599999999997</c:v>
                </c:pt>
                <c:pt idx="15">
                  <c:v>36.186199999999999</c:v>
                </c:pt>
                <c:pt idx="16">
                  <c:v>36.595599999999997</c:v>
                </c:pt>
                <c:pt idx="17">
                  <c:v>37.000799999999998</c:v>
                </c:pt>
                <c:pt idx="18">
                  <c:v>37.407699999999998</c:v>
                </c:pt>
                <c:pt idx="19">
                  <c:v>37.813200000000002</c:v>
                </c:pt>
                <c:pt idx="20">
                  <c:v>38.216500000000003</c:v>
                </c:pt>
                <c:pt idx="21">
                  <c:v>38.622900000000001</c:v>
                </c:pt>
                <c:pt idx="22">
                  <c:v>39.031599999999997</c:v>
                </c:pt>
                <c:pt idx="23">
                  <c:v>39.4373</c:v>
                </c:pt>
                <c:pt idx="24">
                  <c:v>39.842700000000001</c:v>
                </c:pt>
                <c:pt idx="25">
                  <c:v>40.249200000000002</c:v>
                </c:pt>
                <c:pt idx="26">
                  <c:v>40.655700000000003</c:v>
                </c:pt>
                <c:pt idx="27">
                  <c:v>41.0608</c:v>
                </c:pt>
                <c:pt idx="28">
                  <c:v>41.470799999999997</c:v>
                </c:pt>
                <c:pt idx="29">
                  <c:v>41.875500000000002</c:v>
                </c:pt>
                <c:pt idx="30">
                  <c:v>42.281199999999998</c:v>
                </c:pt>
                <c:pt idx="31">
                  <c:v>42.685699999999997</c:v>
                </c:pt>
                <c:pt idx="32">
                  <c:v>43.090899999999998</c:v>
                </c:pt>
                <c:pt idx="33">
                  <c:v>43.499600000000001</c:v>
                </c:pt>
                <c:pt idx="34">
                  <c:v>43.906999999999996</c:v>
                </c:pt>
                <c:pt idx="35">
                  <c:v>44.314100000000003</c:v>
                </c:pt>
                <c:pt idx="36">
                  <c:v>44.716299999999997</c:v>
                </c:pt>
                <c:pt idx="37">
                  <c:v>45.128399999999999</c:v>
                </c:pt>
                <c:pt idx="38">
                  <c:v>45.529800000000002</c:v>
                </c:pt>
                <c:pt idx="39">
                  <c:v>45.939100000000003</c:v>
                </c:pt>
                <c:pt idx="40">
                  <c:v>46.344099999999997</c:v>
                </c:pt>
                <c:pt idx="41">
                  <c:v>46.751899999999999</c:v>
                </c:pt>
                <c:pt idx="42">
                  <c:v>47.1571</c:v>
                </c:pt>
                <c:pt idx="43">
                  <c:v>47.560400000000001</c:v>
                </c:pt>
                <c:pt idx="44">
                  <c:v>47.9679</c:v>
                </c:pt>
                <c:pt idx="45">
                  <c:v>48.375300000000003</c:v>
                </c:pt>
                <c:pt idx="46">
                  <c:v>48.7819</c:v>
                </c:pt>
                <c:pt idx="47">
                  <c:v>49.188800000000001</c:v>
                </c:pt>
                <c:pt idx="48">
                  <c:v>49.594900000000003</c:v>
                </c:pt>
                <c:pt idx="49">
                  <c:v>49.997199999999999</c:v>
                </c:pt>
                <c:pt idx="50">
                  <c:v>50.4054</c:v>
                </c:pt>
                <c:pt idx="51">
                  <c:v>50.813099999999999</c:v>
                </c:pt>
                <c:pt idx="52">
                  <c:v>51.218800000000002</c:v>
                </c:pt>
                <c:pt idx="53">
                  <c:v>51.6252</c:v>
                </c:pt>
                <c:pt idx="54">
                  <c:v>52.0274</c:v>
                </c:pt>
                <c:pt idx="55">
                  <c:v>52.436199999999999</c:v>
                </c:pt>
                <c:pt idx="56">
                  <c:v>52.845199999999998</c:v>
                </c:pt>
                <c:pt idx="57">
                  <c:v>53.2483</c:v>
                </c:pt>
                <c:pt idx="58">
                  <c:v>53.653799999999997</c:v>
                </c:pt>
                <c:pt idx="59">
                  <c:v>54.060200000000002</c:v>
                </c:pt>
                <c:pt idx="60">
                  <c:v>54.467300000000002</c:v>
                </c:pt>
                <c:pt idx="61">
                  <c:v>54.874899999999997</c:v>
                </c:pt>
                <c:pt idx="62">
                  <c:v>55.281199999999998</c:v>
                </c:pt>
                <c:pt idx="63">
                  <c:v>55.69</c:v>
                </c:pt>
                <c:pt idx="64">
                  <c:v>56.092599999999997</c:v>
                </c:pt>
                <c:pt idx="65">
                  <c:v>56.499400000000001</c:v>
                </c:pt>
                <c:pt idx="66">
                  <c:v>56.908499999999997</c:v>
                </c:pt>
                <c:pt idx="67">
                  <c:v>57.310099999999998</c:v>
                </c:pt>
                <c:pt idx="68">
                  <c:v>57.721699999999998</c:v>
                </c:pt>
                <c:pt idx="69">
                  <c:v>58.124400000000001</c:v>
                </c:pt>
                <c:pt idx="70">
                  <c:v>58.529800000000002</c:v>
                </c:pt>
                <c:pt idx="71">
                  <c:v>58.939300000000003</c:v>
                </c:pt>
                <c:pt idx="72">
                  <c:v>59.345199999999998</c:v>
                </c:pt>
                <c:pt idx="73">
                  <c:v>59.750300000000003</c:v>
                </c:pt>
                <c:pt idx="74">
                  <c:v>60.154000000000003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30.1327</c:v>
                </c:pt>
                <c:pt idx="1">
                  <c:v>29.795400000000001</c:v>
                </c:pt>
                <c:pt idx="2">
                  <c:v>29.549300000000002</c:v>
                </c:pt>
                <c:pt idx="3">
                  <c:v>29.247899999999998</c:v>
                </c:pt>
                <c:pt idx="4">
                  <c:v>28.934500000000003</c:v>
                </c:pt>
                <c:pt idx="5">
                  <c:v>28.64</c:v>
                </c:pt>
                <c:pt idx="6">
                  <c:v>28.301900000000003</c:v>
                </c:pt>
                <c:pt idx="7">
                  <c:v>27.9453</c:v>
                </c:pt>
                <c:pt idx="8">
                  <c:v>27.566200000000002</c:v>
                </c:pt>
                <c:pt idx="9">
                  <c:v>27.204499999999999</c:v>
                </c:pt>
                <c:pt idx="10">
                  <c:v>26.817400000000003</c:v>
                </c:pt>
                <c:pt idx="11">
                  <c:v>26.469700000000003</c:v>
                </c:pt>
                <c:pt idx="12">
                  <c:v>26.1191</c:v>
                </c:pt>
                <c:pt idx="13">
                  <c:v>25.795200000000001</c:v>
                </c:pt>
                <c:pt idx="14">
                  <c:v>25.4739</c:v>
                </c:pt>
                <c:pt idx="15">
                  <c:v>25.145499999999998</c:v>
                </c:pt>
                <c:pt idx="16">
                  <c:v>24.883199999999999</c:v>
                </c:pt>
                <c:pt idx="17">
                  <c:v>24.680800000000001</c:v>
                </c:pt>
                <c:pt idx="18">
                  <c:v>24.489900000000002</c:v>
                </c:pt>
                <c:pt idx="19">
                  <c:v>24.366599999999998</c:v>
                </c:pt>
                <c:pt idx="20">
                  <c:v>24.284600000000001</c:v>
                </c:pt>
                <c:pt idx="21">
                  <c:v>24.286899999999999</c:v>
                </c:pt>
                <c:pt idx="22">
                  <c:v>24.397300000000001</c:v>
                </c:pt>
                <c:pt idx="23">
                  <c:v>24.5093</c:v>
                </c:pt>
                <c:pt idx="24">
                  <c:v>24.6553</c:v>
                </c:pt>
                <c:pt idx="25">
                  <c:v>24.834199999999999</c:v>
                </c:pt>
                <c:pt idx="26">
                  <c:v>24.970400000000001</c:v>
                </c:pt>
                <c:pt idx="27">
                  <c:v>25.114999999999998</c:v>
                </c:pt>
                <c:pt idx="28">
                  <c:v>25.248799999999999</c:v>
                </c:pt>
                <c:pt idx="29">
                  <c:v>25.458199999999998</c:v>
                </c:pt>
                <c:pt idx="30">
                  <c:v>25.658999999999999</c:v>
                </c:pt>
                <c:pt idx="31">
                  <c:v>25.821100000000001</c:v>
                </c:pt>
                <c:pt idx="32">
                  <c:v>25.995200000000001</c:v>
                </c:pt>
                <c:pt idx="33">
                  <c:v>26.200200000000002</c:v>
                </c:pt>
                <c:pt idx="34">
                  <c:v>26.413199999999996</c:v>
                </c:pt>
                <c:pt idx="35">
                  <c:v>26.630700000000001</c:v>
                </c:pt>
                <c:pt idx="36">
                  <c:v>26.877299999999998</c:v>
                </c:pt>
                <c:pt idx="37">
                  <c:v>27.110400000000002</c:v>
                </c:pt>
                <c:pt idx="38">
                  <c:v>27.256799999999998</c:v>
                </c:pt>
                <c:pt idx="39">
                  <c:v>27.312999999999999</c:v>
                </c:pt>
                <c:pt idx="40">
                  <c:v>27.387299999999996</c:v>
                </c:pt>
                <c:pt idx="41">
                  <c:v>27.456000000000003</c:v>
                </c:pt>
                <c:pt idx="42">
                  <c:v>27.5777</c:v>
                </c:pt>
                <c:pt idx="43">
                  <c:v>27.767599999999998</c:v>
                </c:pt>
                <c:pt idx="44">
                  <c:v>27.954600000000003</c:v>
                </c:pt>
                <c:pt idx="45">
                  <c:v>28.067599999999999</c:v>
                </c:pt>
                <c:pt idx="46">
                  <c:v>28.209</c:v>
                </c:pt>
                <c:pt idx="47">
                  <c:v>28.324999999999999</c:v>
                </c:pt>
                <c:pt idx="48">
                  <c:v>28.360999999999997</c:v>
                </c:pt>
                <c:pt idx="49">
                  <c:v>28.351199999999999</c:v>
                </c:pt>
                <c:pt idx="50">
                  <c:v>28.324700000000004</c:v>
                </c:pt>
                <c:pt idx="51">
                  <c:v>28.317500000000003</c:v>
                </c:pt>
                <c:pt idx="52">
                  <c:v>28.310999999999996</c:v>
                </c:pt>
                <c:pt idx="53">
                  <c:v>28.341899999999999</c:v>
                </c:pt>
                <c:pt idx="54">
                  <c:v>28.310800000000004</c:v>
                </c:pt>
                <c:pt idx="55">
                  <c:v>28.2957</c:v>
                </c:pt>
                <c:pt idx="56">
                  <c:v>28.3354</c:v>
                </c:pt>
                <c:pt idx="57">
                  <c:v>28.377500000000001</c:v>
                </c:pt>
                <c:pt idx="58">
                  <c:v>28.428599999999999</c:v>
                </c:pt>
                <c:pt idx="59">
                  <c:v>28.475899999999999</c:v>
                </c:pt>
                <c:pt idx="60">
                  <c:v>28.548000000000002</c:v>
                </c:pt>
                <c:pt idx="61">
                  <c:v>28.559800000000003</c:v>
                </c:pt>
                <c:pt idx="62">
                  <c:v>28.569299999999998</c:v>
                </c:pt>
                <c:pt idx="63">
                  <c:v>28.674100000000003</c:v>
                </c:pt>
                <c:pt idx="64">
                  <c:v>28.9589</c:v>
                </c:pt>
                <c:pt idx="65">
                  <c:v>29.2456</c:v>
                </c:pt>
                <c:pt idx="66">
                  <c:v>29.5091</c:v>
                </c:pt>
                <c:pt idx="67">
                  <c:v>29.666500000000003</c:v>
                </c:pt>
                <c:pt idx="68">
                  <c:v>29.762799999999999</c:v>
                </c:pt>
                <c:pt idx="69">
                  <c:v>29.779299999999999</c:v>
                </c:pt>
                <c:pt idx="70">
                  <c:v>29.876799999999999</c:v>
                </c:pt>
                <c:pt idx="71">
                  <c:v>29.705300000000001</c:v>
                </c:pt>
                <c:pt idx="72">
                  <c:v>29.450199999999999</c:v>
                </c:pt>
                <c:pt idx="73">
                  <c:v>29.384700000000002</c:v>
                </c:pt>
                <c:pt idx="74">
                  <c:v>29.2165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15.038500000000001</c:v>
                </c:pt>
                <c:pt idx="1">
                  <c:v>45.115500000000004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33.298686486486496</c:v>
                </c:pt>
                <c:pt idx="1">
                  <c:v>27.395436486486481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3.2958700000000003</c:v>
                </c:pt>
                <c:pt idx="1">
                  <c:v>3.3802300000000001</c:v>
                </c:pt>
                <c:pt idx="2">
                  <c:v>3.4626800000000002</c:v>
                </c:pt>
                <c:pt idx="3">
                  <c:v>3.5436899999999998</c:v>
                </c:pt>
                <c:pt idx="4">
                  <c:v>3.6262499999999998</c:v>
                </c:pt>
                <c:pt idx="5">
                  <c:v>3.70689</c:v>
                </c:pt>
                <c:pt idx="6">
                  <c:v>3.7879</c:v>
                </c:pt>
                <c:pt idx="7">
                  <c:v>3.8651400000000002</c:v>
                </c:pt>
                <c:pt idx="8">
                  <c:v>3.9443899999999998</c:v>
                </c:pt>
                <c:pt idx="9">
                  <c:v>4.0222499999999997</c:v>
                </c:pt>
                <c:pt idx="10">
                  <c:v>4.0961999999999996</c:v>
                </c:pt>
                <c:pt idx="11">
                  <c:v>4.1648499999999995</c:v>
                </c:pt>
                <c:pt idx="12">
                  <c:v>4.2270799999999999</c:v>
                </c:pt>
                <c:pt idx="13">
                  <c:v>4.2857200000000004</c:v>
                </c:pt>
                <c:pt idx="14">
                  <c:v>4.34091</c:v>
                </c:pt>
                <c:pt idx="15">
                  <c:v>4.3917299999999999</c:v>
                </c:pt>
                <c:pt idx="16">
                  <c:v>4.4376300000000004</c:v>
                </c:pt>
                <c:pt idx="17">
                  <c:v>4.4817900000000002</c:v>
                </c:pt>
                <c:pt idx="18">
                  <c:v>4.5210900000000001</c:v>
                </c:pt>
                <c:pt idx="19">
                  <c:v>4.5542899999999999</c:v>
                </c:pt>
                <c:pt idx="20">
                  <c:v>4.5838000000000001</c:v>
                </c:pt>
                <c:pt idx="21">
                  <c:v>4.6088300000000002</c:v>
                </c:pt>
                <c:pt idx="22">
                  <c:v>4.6299799999999998</c:v>
                </c:pt>
                <c:pt idx="23">
                  <c:v>4.6483299999999996</c:v>
                </c:pt>
                <c:pt idx="24">
                  <c:v>4.66418</c:v>
                </c:pt>
                <c:pt idx="25">
                  <c:v>4.6787000000000001</c:v>
                </c:pt>
                <c:pt idx="26">
                  <c:v>4.6896900000000006</c:v>
                </c:pt>
                <c:pt idx="27">
                  <c:v>4.6958699999999993</c:v>
                </c:pt>
                <c:pt idx="28">
                  <c:v>4.6988700000000003</c:v>
                </c:pt>
                <c:pt idx="29">
                  <c:v>4.6969099999999999</c:v>
                </c:pt>
                <c:pt idx="30">
                  <c:v>4.6943900000000003</c:v>
                </c:pt>
                <c:pt idx="31">
                  <c:v>4.6893099999999999</c:v>
                </c:pt>
                <c:pt idx="32">
                  <c:v>4.6818900000000001</c:v>
                </c:pt>
                <c:pt idx="33">
                  <c:v>4.6676599999999997</c:v>
                </c:pt>
                <c:pt idx="34">
                  <c:v>4.6468799999999995</c:v>
                </c:pt>
                <c:pt idx="35">
                  <c:v>4.6251499999999997</c:v>
                </c:pt>
                <c:pt idx="36">
                  <c:v>4.6020699999999994</c:v>
                </c:pt>
                <c:pt idx="37">
                  <c:v>4.5811299999999999</c:v>
                </c:pt>
                <c:pt idx="38">
                  <c:v>4.5588699999999998</c:v>
                </c:pt>
                <c:pt idx="39">
                  <c:v>4.5365899999999995</c:v>
                </c:pt>
                <c:pt idx="40">
                  <c:v>4.5131199999999998</c:v>
                </c:pt>
                <c:pt idx="41">
                  <c:v>4.4871600000000003</c:v>
                </c:pt>
                <c:pt idx="42">
                  <c:v>4.4586199999999998</c:v>
                </c:pt>
                <c:pt idx="43">
                  <c:v>4.4276900000000001</c:v>
                </c:pt>
                <c:pt idx="44">
                  <c:v>4.3978200000000003</c:v>
                </c:pt>
                <c:pt idx="45">
                  <c:v>4.3669900000000004</c:v>
                </c:pt>
                <c:pt idx="46">
                  <c:v>4.3380400000000003</c:v>
                </c:pt>
                <c:pt idx="47">
                  <c:v>4.3078799999999999</c:v>
                </c:pt>
                <c:pt idx="48">
                  <c:v>4.2767600000000003</c:v>
                </c:pt>
                <c:pt idx="49">
                  <c:v>4.2455999999999996</c:v>
                </c:pt>
                <c:pt idx="50">
                  <c:v>4.2218299999999997</c:v>
                </c:pt>
                <c:pt idx="51">
                  <c:v>4.1903699999999997</c:v>
                </c:pt>
                <c:pt idx="52">
                  <c:v>4.1608800000000006</c:v>
                </c:pt>
                <c:pt idx="53">
                  <c:v>4.1305500000000004</c:v>
                </c:pt>
                <c:pt idx="54">
                  <c:v>4.0998099999999997</c:v>
                </c:pt>
                <c:pt idx="55">
                  <c:v>4.0655200000000002</c:v>
                </c:pt>
                <c:pt idx="56">
                  <c:v>4.0281099999999999</c:v>
                </c:pt>
                <c:pt idx="57">
                  <c:v>3.9918100000000001</c:v>
                </c:pt>
                <c:pt idx="58">
                  <c:v>3.9545300000000001</c:v>
                </c:pt>
                <c:pt idx="59">
                  <c:v>3.9200900000000001</c:v>
                </c:pt>
                <c:pt idx="60">
                  <c:v>3.8832</c:v>
                </c:pt>
                <c:pt idx="61">
                  <c:v>3.8488800000000003</c:v>
                </c:pt>
                <c:pt idx="62">
                  <c:v>3.8170100000000002</c:v>
                </c:pt>
                <c:pt idx="63">
                  <c:v>3.7868900000000001</c:v>
                </c:pt>
                <c:pt idx="64">
                  <c:v>3.7588100000000004</c:v>
                </c:pt>
                <c:pt idx="65">
                  <c:v>3.7368600000000001</c:v>
                </c:pt>
                <c:pt idx="66">
                  <c:v>3.7201200000000001</c:v>
                </c:pt>
                <c:pt idx="67">
                  <c:v>3.7073700000000001</c:v>
                </c:pt>
                <c:pt idx="68">
                  <c:v>3.69983</c:v>
                </c:pt>
                <c:pt idx="69">
                  <c:v>3.6949800000000002</c:v>
                </c:pt>
                <c:pt idx="70">
                  <c:v>3.69068</c:v>
                </c:pt>
                <c:pt idx="71">
                  <c:v>3.6920500000000001</c:v>
                </c:pt>
                <c:pt idx="72">
                  <c:v>3.6980499999999998</c:v>
                </c:pt>
                <c:pt idx="73">
                  <c:v>3.7037999999999998</c:v>
                </c:pt>
                <c:pt idx="74">
                  <c:v>3.7087199999999996</c:v>
                </c:pt>
                <c:pt idx="75">
                  <c:v>3.7143900000000003</c:v>
                </c:pt>
                <c:pt idx="76">
                  <c:v>3.7178800000000001</c:v>
                </c:pt>
                <c:pt idx="77">
                  <c:v>3.7219799999999998</c:v>
                </c:pt>
                <c:pt idx="78">
                  <c:v>3.7257400000000001</c:v>
                </c:pt>
                <c:pt idx="79">
                  <c:v>3.7274099999999999</c:v>
                </c:pt>
                <c:pt idx="80">
                  <c:v>3.7290899999999998</c:v>
                </c:pt>
                <c:pt idx="81">
                  <c:v>3.7286399999999995</c:v>
                </c:pt>
                <c:pt idx="82">
                  <c:v>3.7281900000000001</c:v>
                </c:pt>
                <c:pt idx="83">
                  <c:v>3.7291000000000003</c:v>
                </c:pt>
                <c:pt idx="84">
                  <c:v>3.7330700000000001</c:v>
                </c:pt>
                <c:pt idx="85">
                  <c:v>3.7345000000000002</c:v>
                </c:pt>
                <c:pt idx="86">
                  <c:v>3.7326799999999998</c:v>
                </c:pt>
                <c:pt idx="87">
                  <c:v>3.72818</c:v>
                </c:pt>
                <c:pt idx="88">
                  <c:v>3.7199999999999998</c:v>
                </c:pt>
                <c:pt idx="89">
                  <c:v>3.7072500000000002</c:v>
                </c:pt>
                <c:pt idx="90">
                  <c:v>3.69184</c:v>
                </c:pt>
                <c:pt idx="91">
                  <c:v>3.6773600000000002</c:v>
                </c:pt>
                <c:pt idx="92">
                  <c:v>3.6623600000000001</c:v>
                </c:pt>
                <c:pt idx="93">
                  <c:v>3.6453200000000003</c:v>
                </c:pt>
                <c:pt idx="94">
                  <c:v>3.6301000000000001</c:v>
                </c:pt>
                <c:pt idx="95">
                  <c:v>3.6170299999999997</c:v>
                </c:pt>
                <c:pt idx="96">
                  <c:v>3.6019299999999999</c:v>
                </c:pt>
                <c:pt idx="97">
                  <c:v>3.5902099999999999</c:v>
                </c:pt>
                <c:pt idx="98">
                  <c:v>3.5813000000000001</c:v>
                </c:pt>
                <c:pt idx="99">
                  <c:v>3.5753400000000002</c:v>
                </c:pt>
                <c:pt idx="100">
                  <c:v>3.5718199999999998</c:v>
                </c:pt>
                <c:pt idx="101">
                  <c:v>3.5694300000000001</c:v>
                </c:pt>
                <c:pt idx="102">
                  <c:v>3.5676700000000001</c:v>
                </c:pt>
                <c:pt idx="103">
                  <c:v>3.5652200000000001</c:v>
                </c:pt>
                <c:pt idx="104">
                  <c:v>3.5665799999999996</c:v>
                </c:pt>
                <c:pt idx="105">
                  <c:v>3.5709800000000005</c:v>
                </c:pt>
                <c:pt idx="106">
                  <c:v>3.5792800000000002</c:v>
                </c:pt>
                <c:pt idx="107">
                  <c:v>3.5882900000000002</c:v>
                </c:pt>
                <c:pt idx="108">
                  <c:v>3.5962899999999998</c:v>
                </c:pt>
                <c:pt idx="109">
                  <c:v>3.6048</c:v>
                </c:pt>
                <c:pt idx="110">
                  <c:v>3.6123699999999999</c:v>
                </c:pt>
                <c:pt idx="111">
                  <c:v>3.6166999999999998</c:v>
                </c:pt>
                <c:pt idx="112">
                  <c:v>3.6204499999999999</c:v>
                </c:pt>
                <c:pt idx="113">
                  <c:v>3.62216</c:v>
                </c:pt>
                <c:pt idx="114">
                  <c:v>3.6255199999999999</c:v>
                </c:pt>
                <c:pt idx="115">
                  <c:v>3.6295100000000002</c:v>
                </c:pt>
                <c:pt idx="116">
                  <c:v>3.6337199999999998</c:v>
                </c:pt>
                <c:pt idx="117">
                  <c:v>3.6369600000000002</c:v>
                </c:pt>
                <c:pt idx="118">
                  <c:v>3.64439</c:v>
                </c:pt>
                <c:pt idx="119">
                  <c:v>3.6547099999999997</c:v>
                </c:pt>
                <c:pt idx="120">
                  <c:v>3.6644500000000004</c:v>
                </c:pt>
                <c:pt idx="121">
                  <c:v>3.6737599999999997</c:v>
                </c:pt>
                <c:pt idx="122">
                  <c:v>3.6863200000000003</c:v>
                </c:pt>
                <c:pt idx="123">
                  <c:v>3.7011500000000002</c:v>
                </c:pt>
                <c:pt idx="124">
                  <c:v>3.7107800000000002</c:v>
                </c:pt>
                <c:pt idx="125">
                  <c:v>3.7124800000000002</c:v>
                </c:pt>
                <c:pt idx="126">
                  <c:v>3.7143100000000002</c:v>
                </c:pt>
                <c:pt idx="127">
                  <c:v>3.7158000000000002</c:v>
                </c:pt>
                <c:pt idx="128">
                  <c:v>3.71929</c:v>
                </c:pt>
                <c:pt idx="129">
                  <c:v>3.7225399999999995</c:v>
                </c:pt>
                <c:pt idx="130">
                  <c:v>3.7244100000000002</c:v>
                </c:pt>
                <c:pt idx="131">
                  <c:v>3.7241400000000002</c:v>
                </c:pt>
                <c:pt idx="132">
                  <c:v>3.7233300000000003</c:v>
                </c:pt>
                <c:pt idx="133">
                  <c:v>3.7225999999999999</c:v>
                </c:pt>
                <c:pt idx="134">
                  <c:v>3.7192500000000002</c:v>
                </c:pt>
                <c:pt idx="135">
                  <c:v>3.7193300000000002</c:v>
                </c:pt>
                <c:pt idx="136">
                  <c:v>3.7271199999999998</c:v>
                </c:pt>
                <c:pt idx="137">
                  <c:v>3.73821</c:v>
                </c:pt>
                <c:pt idx="138">
                  <c:v>3.7579200000000004</c:v>
                </c:pt>
                <c:pt idx="139">
                  <c:v>3.7791700000000001</c:v>
                </c:pt>
                <c:pt idx="140">
                  <c:v>3.80247</c:v>
                </c:pt>
                <c:pt idx="141">
                  <c:v>3.8247799999999996</c:v>
                </c:pt>
                <c:pt idx="142">
                  <c:v>3.85283</c:v>
                </c:pt>
                <c:pt idx="143">
                  <c:v>3.8804400000000001</c:v>
                </c:pt>
                <c:pt idx="144">
                  <c:v>3.9036999999999997</c:v>
                </c:pt>
                <c:pt idx="145">
                  <c:v>3.92788</c:v>
                </c:pt>
                <c:pt idx="146">
                  <c:v>3.9644400000000002</c:v>
                </c:pt>
                <c:pt idx="147">
                  <c:v>3.99735</c:v>
                </c:pt>
                <c:pt idx="148">
                  <c:v>4.0456900000000005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46.396100000000004</c:v>
                </c:pt>
                <c:pt idx="1">
                  <c:v>45.656100000000002</c:v>
                </c:pt>
                <c:pt idx="2">
                  <c:v>44.925699999999999</c:v>
                </c:pt>
                <c:pt idx="3">
                  <c:v>44.160600000000002</c:v>
                </c:pt>
                <c:pt idx="4">
                  <c:v>43.270299999999999</c:v>
                </c:pt>
                <c:pt idx="5">
                  <c:v>42.487299999999998</c:v>
                </c:pt>
                <c:pt idx="6">
                  <c:v>41.762500000000003</c:v>
                </c:pt>
                <c:pt idx="7">
                  <c:v>41.094000000000001</c:v>
                </c:pt>
                <c:pt idx="8">
                  <c:v>40.331000000000003</c:v>
                </c:pt>
                <c:pt idx="9">
                  <c:v>39.525799999999997</c:v>
                </c:pt>
                <c:pt idx="10">
                  <c:v>38.908500000000004</c:v>
                </c:pt>
                <c:pt idx="11">
                  <c:v>38.454000000000001</c:v>
                </c:pt>
                <c:pt idx="12">
                  <c:v>38.072600000000001</c:v>
                </c:pt>
                <c:pt idx="13">
                  <c:v>37.737500000000004</c:v>
                </c:pt>
                <c:pt idx="14">
                  <c:v>37.391500000000001</c:v>
                </c:pt>
                <c:pt idx="15">
                  <c:v>37.0914</c:v>
                </c:pt>
                <c:pt idx="16">
                  <c:v>36.742399999999996</c:v>
                </c:pt>
                <c:pt idx="17">
                  <c:v>36.396000000000001</c:v>
                </c:pt>
                <c:pt idx="18">
                  <c:v>35.9711</c:v>
                </c:pt>
                <c:pt idx="19">
                  <c:v>35.505299999999998</c:v>
                </c:pt>
                <c:pt idx="20">
                  <c:v>34.988799999999998</c:v>
                </c:pt>
                <c:pt idx="21">
                  <c:v>34.508200000000002</c:v>
                </c:pt>
                <c:pt idx="22">
                  <c:v>33.972200000000001</c:v>
                </c:pt>
                <c:pt idx="23">
                  <c:v>33.444400000000002</c:v>
                </c:pt>
                <c:pt idx="24">
                  <c:v>32.9071</c:v>
                </c:pt>
                <c:pt idx="25">
                  <c:v>32.401799999999994</c:v>
                </c:pt>
                <c:pt idx="26">
                  <c:v>31.905799999999999</c:v>
                </c:pt>
                <c:pt idx="27">
                  <c:v>31.418900000000001</c:v>
                </c:pt>
                <c:pt idx="28">
                  <c:v>30.993600000000001</c:v>
                </c:pt>
                <c:pt idx="29">
                  <c:v>30.650699999999997</c:v>
                </c:pt>
                <c:pt idx="30">
                  <c:v>30.344100000000001</c:v>
                </c:pt>
                <c:pt idx="31">
                  <c:v>30.098700000000001</c:v>
                </c:pt>
                <c:pt idx="32">
                  <c:v>29.897500000000001</c:v>
                </c:pt>
                <c:pt idx="33">
                  <c:v>29.811900000000001</c:v>
                </c:pt>
                <c:pt idx="34">
                  <c:v>29.817599999999999</c:v>
                </c:pt>
                <c:pt idx="35">
                  <c:v>29.852899999999998</c:v>
                </c:pt>
                <c:pt idx="36">
                  <c:v>29.877599999999997</c:v>
                </c:pt>
                <c:pt idx="37">
                  <c:v>29.876300000000001</c:v>
                </c:pt>
                <c:pt idx="38">
                  <c:v>29.9298</c:v>
                </c:pt>
                <c:pt idx="39">
                  <c:v>29.974600000000002</c:v>
                </c:pt>
                <c:pt idx="40">
                  <c:v>29.961600000000001</c:v>
                </c:pt>
                <c:pt idx="41">
                  <c:v>29.951499999999996</c:v>
                </c:pt>
                <c:pt idx="42">
                  <c:v>29.9786</c:v>
                </c:pt>
                <c:pt idx="43">
                  <c:v>29.965599999999998</c:v>
                </c:pt>
                <c:pt idx="44">
                  <c:v>29.963299999999997</c:v>
                </c:pt>
                <c:pt idx="45">
                  <c:v>30.023199999999999</c:v>
                </c:pt>
                <c:pt idx="46">
                  <c:v>30.051200000000001</c:v>
                </c:pt>
                <c:pt idx="47">
                  <c:v>30.090899999999998</c:v>
                </c:pt>
                <c:pt idx="48">
                  <c:v>30.088199999999997</c:v>
                </c:pt>
                <c:pt idx="49">
                  <c:v>30.144100000000002</c:v>
                </c:pt>
                <c:pt idx="50">
                  <c:v>30.271999999999998</c:v>
                </c:pt>
                <c:pt idx="51">
                  <c:v>30.333500000000001</c:v>
                </c:pt>
                <c:pt idx="52">
                  <c:v>30.377300000000002</c:v>
                </c:pt>
                <c:pt idx="53">
                  <c:v>30.402899999999999</c:v>
                </c:pt>
                <c:pt idx="54">
                  <c:v>30.361500000000003</c:v>
                </c:pt>
                <c:pt idx="55">
                  <c:v>30.358600000000003</c:v>
                </c:pt>
                <c:pt idx="56">
                  <c:v>30.430900000000001</c:v>
                </c:pt>
                <c:pt idx="57">
                  <c:v>30.497600000000002</c:v>
                </c:pt>
                <c:pt idx="58">
                  <c:v>30.529800000000002</c:v>
                </c:pt>
                <c:pt idx="59">
                  <c:v>30.496499999999997</c:v>
                </c:pt>
                <c:pt idx="60">
                  <c:v>30.471299999999999</c:v>
                </c:pt>
                <c:pt idx="61">
                  <c:v>30.470399999999998</c:v>
                </c:pt>
                <c:pt idx="62">
                  <c:v>30.576599999999999</c:v>
                </c:pt>
                <c:pt idx="63">
                  <c:v>30.6739</c:v>
                </c:pt>
                <c:pt idx="64">
                  <c:v>30.863400000000002</c:v>
                </c:pt>
                <c:pt idx="65">
                  <c:v>31.018600000000003</c:v>
                </c:pt>
                <c:pt idx="66">
                  <c:v>31.110500000000002</c:v>
                </c:pt>
                <c:pt idx="67">
                  <c:v>31.124499999999998</c:v>
                </c:pt>
                <c:pt idx="68">
                  <c:v>31.119200000000003</c:v>
                </c:pt>
                <c:pt idx="69">
                  <c:v>31.044599999999999</c:v>
                </c:pt>
                <c:pt idx="70">
                  <c:v>30.992399999999996</c:v>
                </c:pt>
                <c:pt idx="71">
                  <c:v>30.819999999999997</c:v>
                </c:pt>
                <c:pt idx="72">
                  <c:v>30.5913</c:v>
                </c:pt>
                <c:pt idx="73">
                  <c:v>30.395100000000003</c:v>
                </c:pt>
                <c:pt idx="74">
                  <c:v>30.1327</c:v>
                </c:pt>
                <c:pt idx="75">
                  <c:v>29.795400000000001</c:v>
                </c:pt>
                <c:pt idx="76">
                  <c:v>29.549300000000002</c:v>
                </c:pt>
                <c:pt idx="77">
                  <c:v>29.247899999999998</c:v>
                </c:pt>
                <c:pt idx="78">
                  <c:v>28.934500000000003</c:v>
                </c:pt>
                <c:pt idx="79">
                  <c:v>28.64</c:v>
                </c:pt>
                <c:pt idx="80">
                  <c:v>28.301900000000003</c:v>
                </c:pt>
                <c:pt idx="81">
                  <c:v>27.9453</c:v>
                </c:pt>
                <c:pt idx="82">
                  <c:v>27.566200000000002</c:v>
                </c:pt>
                <c:pt idx="83">
                  <c:v>27.204499999999999</c:v>
                </c:pt>
                <c:pt idx="84">
                  <c:v>26.817400000000003</c:v>
                </c:pt>
                <c:pt idx="85">
                  <c:v>26.469700000000003</c:v>
                </c:pt>
                <c:pt idx="86">
                  <c:v>26.1191</c:v>
                </c:pt>
                <c:pt idx="87">
                  <c:v>25.795200000000001</c:v>
                </c:pt>
                <c:pt idx="88">
                  <c:v>25.4739</c:v>
                </c:pt>
                <c:pt idx="89">
                  <c:v>25.145499999999998</c:v>
                </c:pt>
                <c:pt idx="90">
                  <c:v>24.883199999999999</c:v>
                </c:pt>
                <c:pt idx="91">
                  <c:v>24.680800000000001</c:v>
                </c:pt>
                <c:pt idx="92">
                  <c:v>24.489900000000002</c:v>
                </c:pt>
                <c:pt idx="93">
                  <c:v>24.366599999999998</c:v>
                </c:pt>
                <c:pt idx="94">
                  <c:v>24.284600000000001</c:v>
                </c:pt>
                <c:pt idx="95">
                  <c:v>24.286899999999999</c:v>
                </c:pt>
                <c:pt idx="96">
                  <c:v>24.397300000000001</c:v>
                </c:pt>
                <c:pt idx="97">
                  <c:v>24.5093</c:v>
                </c:pt>
                <c:pt idx="98">
                  <c:v>24.6553</c:v>
                </c:pt>
                <c:pt idx="99">
                  <c:v>24.834199999999999</c:v>
                </c:pt>
                <c:pt idx="100">
                  <c:v>24.970400000000001</c:v>
                </c:pt>
                <c:pt idx="101">
                  <c:v>25.114999999999998</c:v>
                </c:pt>
                <c:pt idx="102">
                  <c:v>25.248799999999999</c:v>
                </c:pt>
                <c:pt idx="103">
                  <c:v>25.458199999999998</c:v>
                </c:pt>
                <c:pt idx="104">
                  <c:v>25.658999999999999</c:v>
                </c:pt>
                <c:pt idx="105">
                  <c:v>25.821100000000001</c:v>
                </c:pt>
                <c:pt idx="106">
                  <c:v>25.995200000000001</c:v>
                </c:pt>
                <c:pt idx="107">
                  <c:v>26.200200000000002</c:v>
                </c:pt>
                <c:pt idx="108">
                  <c:v>26.413199999999996</c:v>
                </c:pt>
                <c:pt idx="109">
                  <c:v>26.630700000000001</c:v>
                </c:pt>
                <c:pt idx="110">
                  <c:v>26.877299999999998</c:v>
                </c:pt>
                <c:pt idx="111">
                  <c:v>27.110400000000002</c:v>
                </c:pt>
                <c:pt idx="112">
                  <c:v>27.256799999999998</c:v>
                </c:pt>
                <c:pt idx="113">
                  <c:v>27.312999999999999</c:v>
                </c:pt>
                <c:pt idx="114">
                  <c:v>27.387299999999996</c:v>
                </c:pt>
                <c:pt idx="115">
                  <c:v>27.456000000000003</c:v>
                </c:pt>
                <c:pt idx="116">
                  <c:v>27.5777</c:v>
                </c:pt>
                <c:pt idx="117">
                  <c:v>27.767599999999998</c:v>
                </c:pt>
                <c:pt idx="118">
                  <c:v>27.954600000000003</c:v>
                </c:pt>
                <c:pt idx="119">
                  <c:v>28.067599999999999</c:v>
                </c:pt>
                <c:pt idx="120">
                  <c:v>28.209</c:v>
                </c:pt>
                <c:pt idx="121">
                  <c:v>28.324999999999999</c:v>
                </c:pt>
                <c:pt idx="122">
                  <c:v>28.360999999999997</c:v>
                </c:pt>
                <c:pt idx="123">
                  <c:v>28.351199999999999</c:v>
                </c:pt>
                <c:pt idx="124">
                  <c:v>28.324700000000004</c:v>
                </c:pt>
                <c:pt idx="125">
                  <c:v>28.317500000000003</c:v>
                </c:pt>
                <c:pt idx="126">
                  <c:v>28.310999999999996</c:v>
                </c:pt>
                <c:pt idx="127">
                  <c:v>28.341899999999999</c:v>
                </c:pt>
                <c:pt idx="128">
                  <c:v>28.310800000000004</c:v>
                </c:pt>
                <c:pt idx="129">
                  <c:v>28.2957</c:v>
                </c:pt>
                <c:pt idx="130">
                  <c:v>28.3354</c:v>
                </c:pt>
                <c:pt idx="131">
                  <c:v>28.377500000000001</c:v>
                </c:pt>
                <c:pt idx="132">
                  <c:v>28.428599999999999</c:v>
                </c:pt>
                <c:pt idx="133">
                  <c:v>28.475899999999999</c:v>
                </c:pt>
                <c:pt idx="134">
                  <c:v>28.548000000000002</c:v>
                </c:pt>
                <c:pt idx="135">
                  <c:v>28.559800000000003</c:v>
                </c:pt>
                <c:pt idx="136">
                  <c:v>28.569299999999998</c:v>
                </c:pt>
                <c:pt idx="137">
                  <c:v>28.674100000000003</c:v>
                </c:pt>
                <c:pt idx="138">
                  <c:v>28.9589</c:v>
                </c:pt>
                <c:pt idx="139">
                  <c:v>29.2456</c:v>
                </c:pt>
                <c:pt idx="140">
                  <c:v>29.5091</c:v>
                </c:pt>
                <c:pt idx="141">
                  <c:v>29.666500000000003</c:v>
                </c:pt>
                <c:pt idx="142">
                  <c:v>29.762799999999999</c:v>
                </c:pt>
                <c:pt idx="143">
                  <c:v>29.779299999999999</c:v>
                </c:pt>
                <c:pt idx="144">
                  <c:v>29.876799999999999</c:v>
                </c:pt>
                <c:pt idx="145">
                  <c:v>29.705300000000001</c:v>
                </c:pt>
                <c:pt idx="146">
                  <c:v>29.450199999999999</c:v>
                </c:pt>
                <c:pt idx="147">
                  <c:v>29.384700000000002</c:v>
                </c:pt>
                <c:pt idx="148">
                  <c:v>29.2165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3.2958700000000003</c:v>
                </c:pt>
                <c:pt idx="1">
                  <c:v>3.3802300000000001</c:v>
                </c:pt>
                <c:pt idx="2">
                  <c:v>3.4626800000000002</c:v>
                </c:pt>
                <c:pt idx="3">
                  <c:v>3.5436899999999998</c:v>
                </c:pt>
                <c:pt idx="4">
                  <c:v>3.6262499999999998</c:v>
                </c:pt>
                <c:pt idx="5">
                  <c:v>3.70689</c:v>
                </c:pt>
                <c:pt idx="6">
                  <c:v>3.7879</c:v>
                </c:pt>
                <c:pt idx="7">
                  <c:v>3.8651400000000002</c:v>
                </c:pt>
                <c:pt idx="8">
                  <c:v>3.9443899999999998</c:v>
                </c:pt>
                <c:pt idx="9">
                  <c:v>4.0222499999999997</c:v>
                </c:pt>
                <c:pt idx="10">
                  <c:v>4.0961999999999996</c:v>
                </c:pt>
                <c:pt idx="11">
                  <c:v>4.1648499999999995</c:v>
                </c:pt>
                <c:pt idx="12">
                  <c:v>4.2270799999999999</c:v>
                </c:pt>
                <c:pt idx="13">
                  <c:v>4.2857200000000004</c:v>
                </c:pt>
                <c:pt idx="14">
                  <c:v>4.34091</c:v>
                </c:pt>
                <c:pt idx="15">
                  <c:v>4.3917299999999999</c:v>
                </c:pt>
                <c:pt idx="16">
                  <c:v>4.4376300000000004</c:v>
                </c:pt>
                <c:pt idx="17">
                  <c:v>4.4817900000000002</c:v>
                </c:pt>
                <c:pt idx="18">
                  <c:v>4.5210900000000001</c:v>
                </c:pt>
                <c:pt idx="19">
                  <c:v>4.5542899999999999</c:v>
                </c:pt>
                <c:pt idx="20">
                  <c:v>4.5838000000000001</c:v>
                </c:pt>
                <c:pt idx="21">
                  <c:v>4.6088300000000002</c:v>
                </c:pt>
                <c:pt idx="22">
                  <c:v>4.6299799999999998</c:v>
                </c:pt>
                <c:pt idx="23">
                  <c:v>4.6483299999999996</c:v>
                </c:pt>
                <c:pt idx="24">
                  <c:v>4.66418</c:v>
                </c:pt>
                <c:pt idx="25">
                  <c:v>4.6787000000000001</c:v>
                </c:pt>
                <c:pt idx="26">
                  <c:v>4.6896900000000006</c:v>
                </c:pt>
                <c:pt idx="27">
                  <c:v>4.6958699999999993</c:v>
                </c:pt>
                <c:pt idx="28">
                  <c:v>4.6988700000000003</c:v>
                </c:pt>
                <c:pt idx="29">
                  <c:v>4.6969099999999999</c:v>
                </c:pt>
                <c:pt idx="30">
                  <c:v>4.6943900000000003</c:v>
                </c:pt>
                <c:pt idx="31">
                  <c:v>4.6893099999999999</c:v>
                </c:pt>
                <c:pt idx="32">
                  <c:v>4.6818900000000001</c:v>
                </c:pt>
                <c:pt idx="33">
                  <c:v>4.6676599999999997</c:v>
                </c:pt>
                <c:pt idx="34">
                  <c:v>4.6468799999999995</c:v>
                </c:pt>
                <c:pt idx="35">
                  <c:v>4.6251499999999997</c:v>
                </c:pt>
                <c:pt idx="36">
                  <c:v>4.6020699999999994</c:v>
                </c:pt>
                <c:pt idx="37">
                  <c:v>4.5811299999999999</c:v>
                </c:pt>
                <c:pt idx="38">
                  <c:v>4.5588699999999998</c:v>
                </c:pt>
                <c:pt idx="39">
                  <c:v>4.5365899999999995</c:v>
                </c:pt>
                <c:pt idx="40">
                  <c:v>4.5131199999999998</c:v>
                </c:pt>
                <c:pt idx="41">
                  <c:v>4.4871600000000003</c:v>
                </c:pt>
                <c:pt idx="42">
                  <c:v>4.4586199999999998</c:v>
                </c:pt>
                <c:pt idx="43">
                  <c:v>4.4276900000000001</c:v>
                </c:pt>
                <c:pt idx="44">
                  <c:v>4.3978200000000003</c:v>
                </c:pt>
                <c:pt idx="45">
                  <c:v>4.3669900000000004</c:v>
                </c:pt>
                <c:pt idx="46">
                  <c:v>4.3380400000000003</c:v>
                </c:pt>
                <c:pt idx="47">
                  <c:v>4.3078799999999999</c:v>
                </c:pt>
                <c:pt idx="48">
                  <c:v>4.2767600000000003</c:v>
                </c:pt>
                <c:pt idx="49">
                  <c:v>4.2455999999999996</c:v>
                </c:pt>
                <c:pt idx="50">
                  <c:v>4.2218299999999997</c:v>
                </c:pt>
                <c:pt idx="51">
                  <c:v>4.1903699999999997</c:v>
                </c:pt>
                <c:pt idx="52">
                  <c:v>4.1608800000000006</c:v>
                </c:pt>
                <c:pt idx="53">
                  <c:v>4.1305500000000004</c:v>
                </c:pt>
                <c:pt idx="54">
                  <c:v>4.0998099999999997</c:v>
                </c:pt>
                <c:pt idx="55">
                  <c:v>4.0655200000000002</c:v>
                </c:pt>
                <c:pt idx="56">
                  <c:v>4.0281099999999999</c:v>
                </c:pt>
                <c:pt idx="57">
                  <c:v>3.9918100000000001</c:v>
                </c:pt>
                <c:pt idx="58">
                  <c:v>3.9545300000000001</c:v>
                </c:pt>
                <c:pt idx="59">
                  <c:v>3.9200900000000001</c:v>
                </c:pt>
                <c:pt idx="60">
                  <c:v>3.8832</c:v>
                </c:pt>
                <c:pt idx="61">
                  <c:v>3.8488800000000003</c:v>
                </c:pt>
                <c:pt idx="62">
                  <c:v>3.8170100000000002</c:v>
                </c:pt>
                <c:pt idx="63">
                  <c:v>3.7868900000000001</c:v>
                </c:pt>
                <c:pt idx="64">
                  <c:v>3.7588100000000004</c:v>
                </c:pt>
                <c:pt idx="65">
                  <c:v>3.7368600000000001</c:v>
                </c:pt>
                <c:pt idx="66">
                  <c:v>3.7201200000000001</c:v>
                </c:pt>
                <c:pt idx="67">
                  <c:v>3.7073700000000001</c:v>
                </c:pt>
                <c:pt idx="68">
                  <c:v>3.69983</c:v>
                </c:pt>
                <c:pt idx="69">
                  <c:v>3.6949800000000002</c:v>
                </c:pt>
                <c:pt idx="70">
                  <c:v>3.69068</c:v>
                </c:pt>
                <c:pt idx="71">
                  <c:v>3.6920500000000001</c:v>
                </c:pt>
                <c:pt idx="72">
                  <c:v>3.6980499999999998</c:v>
                </c:pt>
                <c:pt idx="73">
                  <c:v>3.7037999999999998</c:v>
                </c:pt>
                <c:pt idx="74">
                  <c:v>3.7087199999999996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46.396100000000004</c:v>
                </c:pt>
                <c:pt idx="1">
                  <c:v>45.656100000000002</c:v>
                </c:pt>
                <c:pt idx="2">
                  <c:v>44.925699999999999</c:v>
                </c:pt>
                <c:pt idx="3">
                  <c:v>44.160600000000002</c:v>
                </c:pt>
                <c:pt idx="4">
                  <c:v>43.270299999999999</c:v>
                </c:pt>
                <c:pt idx="5">
                  <c:v>42.487299999999998</c:v>
                </c:pt>
                <c:pt idx="6">
                  <c:v>41.762500000000003</c:v>
                </c:pt>
                <c:pt idx="7">
                  <c:v>41.094000000000001</c:v>
                </c:pt>
                <c:pt idx="8">
                  <c:v>40.331000000000003</c:v>
                </c:pt>
                <c:pt idx="9">
                  <c:v>39.525799999999997</c:v>
                </c:pt>
                <c:pt idx="10">
                  <c:v>38.908500000000004</c:v>
                </c:pt>
                <c:pt idx="11">
                  <c:v>38.454000000000001</c:v>
                </c:pt>
                <c:pt idx="12">
                  <c:v>38.072600000000001</c:v>
                </c:pt>
                <c:pt idx="13">
                  <c:v>37.737500000000004</c:v>
                </c:pt>
                <c:pt idx="14">
                  <c:v>37.391500000000001</c:v>
                </c:pt>
                <c:pt idx="15">
                  <c:v>37.0914</c:v>
                </c:pt>
                <c:pt idx="16">
                  <c:v>36.742399999999996</c:v>
                </c:pt>
                <c:pt idx="17">
                  <c:v>36.396000000000001</c:v>
                </c:pt>
                <c:pt idx="18">
                  <c:v>35.9711</c:v>
                </c:pt>
                <c:pt idx="19">
                  <c:v>35.505299999999998</c:v>
                </c:pt>
                <c:pt idx="20">
                  <c:v>34.988799999999998</c:v>
                </c:pt>
                <c:pt idx="21">
                  <c:v>34.508200000000002</c:v>
                </c:pt>
                <c:pt idx="22">
                  <c:v>33.972200000000001</c:v>
                </c:pt>
                <c:pt idx="23">
                  <c:v>33.444400000000002</c:v>
                </c:pt>
                <c:pt idx="24">
                  <c:v>32.9071</c:v>
                </c:pt>
                <c:pt idx="25">
                  <c:v>32.401799999999994</c:v>
                </c:pt>
                <c:pt idx="26">
                  <c:v>31.905799999999999</c:v>
                </c:pt>
                <c:pt idx="27">
                  <c:v>31.418900000000001</c:v>
                </c:pt>
                <c:pt idx="28">
                  <c:v>30.993600000000001</c:v>
                </c:pt>
                <c:pt idx="29">
                  <c:v>30.650699999999997</c:v>
                </c:pt>
                <c:pt idx="30">
                  <c:v>30.344100000000001</c:v>
                </c:pt>
                <c:pt idx="31">
                  <c:v>30.098700000000001</c:v>
                </c:pt>
                <c:pt idx="32">
                  <c:v>29.897500000000001</c:v>
                </c:pt>
                <c:pt idx="33">
                  <c:v>29.811900000000001</c:v>
                </c:pt>
                <c:pt idx="34">
                  <c:v>29.817599999999999</c:v>
                </c:pt>
                <c:pt idx="35">
                  <c:v>29.852899999999998</c:v>
                </c:pt>
                <c:pt idx="36">
                  <c:v>29.877599999999997</c:v>
                </c:pt>
                <c:pt idx="37">
                  <c:v>29.876300000000001</c:v>
                </c:pt>
                <c:pt idx="38">
                  <c:v>29.9298</c:v>
                </c:pt>
                <c:pt idx="39">
                  <c:v>29.974600000000002</c:v>
                </c:pt>
                <c:pt idx="40">
                  <c:v>29.961600000000001</c:v>
                </c:pt>
                <c:pt idx="41">
                  <c:v>29.951499999999996</c:v>
                </c:pt>
                <c:pt idx="42">
                  <c:v>29.9786</c:v>
                </c:pt>
                <c:pt idx="43">
                  <c:v>29.965599999999998</c:v>
                </c:pt>
                <c:pt idx="44">
                  <c:v>29.963299999999997</c:v>
                </c:pt>
                <c:pt idx="45">
                  <c:v>30.023199999999999</c:v>
                </c:pt>
                <c:pt idx="46">
                  <c:v>30.051200000000001</c:v>
                </c:pt>
                <c:pt idx="47">
                  <c:v>30.090899999999998</c:v>
                </c:pt>
                <c:pt idx="48">
                  <c:v>30.088199999999997</c:v>
                </c:pt>
                <c:pt idx="49">
                  <c:v>30.144100000000002</c:v>
                </c:pt>
                <c:pt idx="50">
                  <c:v>30.271999999999998</c:v>
                </c:pt>
                <c:pt idx="51">
                  <c:v>30.333500000000001</c:v>
                </c:pt>
                <c:pt idx="52">
                  <c:v>30.377300000000002</c:v>
                </c:pt>
                <c:pt idx="53">
                  <c:v>30.402899999999999</c:v>
                </c:pt>
                <c:pt idx="54">
                  <c:v>30.361500000000003</c:v>
                </c:pt>
                <c:pt idx="55">
                  <c:v>30.358600000000003</c:v>
                </c:pt>
                <c:pt idx="56">
                  <c:v>30.430900000000001</c:v>
                </c:pt>
                <c:pt idx="57">
                  <c:v>30.497600000000002</c:v>
                </c:pt>
                <c:pt idx="58">
                  <c:v>30.529800000000002</c:v>
                </c:pt>
                <c:pt idx="59">
                  <c:v>30.496499999999997</c:v>
                </c:pt>
                <c:pt idx="60">
                  <c:v>30.471299999999999</c:v>
                </c:pt>
                <c:pt idx="61">
                  <c:v>30.470399999999998</c:v>
                </c:pt>
                <c:pt idx="62">
                  <c:v>30.576599999999999</c:v>
                </c:pt>
                <c:pt idx="63">
                  <c:v>30.6739</c:v>
                </c:pt>
                <c:pt idx="64">
                  <c:v>30.863400000000002</c:v>
                </c:pt>
                <c:pt idx="65">
                  <c:v>31.018600000000003</c:v>
                </c:pt>
                <c:pt idx="66">
                  <c:v>31.110500000000002</c:v>
                </c:pt>
                <c:pt idx="67">
                  <c:v>31.124499999999998</c:v>
                </c:pt>
                <c:pt idx="68">
                  <c:v>31.119200000000003</c:v>
                </c:pt>
                <c:pt idx="69">
                  <c:v>31.044599999999999</c:v>
                </c:pt>
                <c:pt idx="70">
                  <c:v>30.992399999999996</c:v>
                </c:pt>
                <c:pt idx="71">
                  <c:v>30.819999999999997</c:v>
                </c:pt>
                <c:pt idx="72">
                  <c:v>30.5913</c:v>
                </c:pt>
                <c:pt idx="73">
                  <c:v>30.395100000000003</c:v>
                </c:pt>
                <c:pt idx="74">
                  <c:v>30.1327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3.7087199999999996</c:v>
                </c:pt>
                <c:pt idx="1">
                  <c:v>3.7143900000000003</c:v>
                </c:pt>
                <c:pt idx="2">
                  <c:v>3.7178800000000001</c:v>
                </c:pt>
                <c:pt idx="3">
                  <c:v>3.7219799999999998</c:v>
                </c:pt>
                <c:pt idx="4">
                  <c:v>3.7257400000000001</c:v>
                </c:pt>
                <c:pt idx="5">
                  <c:v>3.7274099999999999</c:v>
                </c:pt>
                <c:pt idx="6">
                  <c:v>3.7290899999999998</c:v>
                </c:pt>
                <c:pt idx="7">
                  <c:v>3.7286399999999995</c:v>
                </c:pt>
                <c:pt idx="8">
                  <c:v>3.7281900000000001</c:v>
                </c:pt>
                <c:pt idx="9">
                  <c:v>3.7291000000000003</c:v>
                </c:pt>
                <c:pt idx="10">
                  <c:v>3.7330700000000001</c:v>
                </c:pt>
                <c:pt idx="11">
                  <c:v>3.7345000000000002</c:v>
                </c:pt>
                <c:pt idx="12">
                  <c:v>3.7326799999999998</c:v>
                </c:pt>
                <c:pt idx="13">
                  <c:v>3.72818</c:v>
                </c:pt>
                <c:pt idx="14">
                  <c:v>3.7199999999999998</c:v>
                </c:pt>
                <c:pt idx="15">
                  <c:v>3.7072500000000002</c:v>
                </c:pt>
                <c:pt idx="16">
                  <c:v>3.69184</c:v>
                </c:pt>
                <c:pt idx="17">
                  <c:v>3.6773600000000002</c:v>
                </c:pt>
                <c:pt idx="18">
                  <c:v>3.6623600000000001</c:v>
                </c:pt>
                <c:pt idx="19">
                  <c:v>3.6453200000000003</c:v>
                </c:pt>
                <c:pt idx="20">
                  <c:v>3.6301000000000001</c:v>
                </c:pt>
                <c:pt idx="21">
                  <c:v>3.6170299999999997</c:v>
                </c:pt>
                <c:pt idx="22">
                  <c:v>3.6019299999999999</c:v>
                </c:pt>
                <c:pt idx="23">
                  <c:v>3.5902099999999999</c:v>
                </c:pt>
                <c:pt idx="24">
                  <c:v>3.5813000000000001</c:v>
                </c:pt>
                <c:pt idx="25">
                  <c:v>3.5753400000000002</c:v>
                </c:pt>
                <c:pt idx="26">
                  <c:v>3.5718199999999998</c:v>
                </c:pt>
                <c:pt idx="27">
                  <c:v>3.5694300000000001</c:v>
                </c:pt>
                <c:pt idx="28">
                  <c:v>3.5676700000000001</c:v>
                </c:pt>
                <c:pt idx="29">
                  <c:v>3.5652200000000001</c:v>
                </c:pt>
                <c:pt idx="30">
                  <c:v>3.5665799999999996</c:v>
                </c:pt>
                <c:pt idx="31">
                  <c:v>3.5709800000000005</c:v>
                </c:pt>
                <c:pt idx="32">
                  <c:v>3.5792800000000002</c:v>
                </c:pt>
                <c:pt idx="33">
                  <c:v>3.5882900000000002</c:v>
                </c:pt>
                <c:pt idx="34">
                  <c:v>3.5962899999999998</c:v>
                </c:pt>
                <c:pt idx="35">
                  <c:v>3.6048</c:v>
                </c:pt>
                <c:pt idx="36">
                  <c:v>3.6123699999999999</c:v>
                </c:pt>
                <c:pt idx="37">
                  <c:v>3.6166999999999998</c:v>
                </c:pt>
                <c:pt idx="38">
                  <c:v>3.6204499999999999</c:v>
                </c:pt>
                <c:pt idx="39">
                  <c:v>3.62216</c:v>
                </c:pt>
                <c:pt idx="40">
                  <c:v>3.6255199999999999</c:v>
                </c:pt>
                <c:pt idx="41">
                  <c:v>3.6295100000000002</c:v>
                </c:pt>
                <c:pt idx="42">
                  <c:v>3.6337199999999998</c:v>
                </c:pt>
                <c:pt idx="43">
                  <c:v>3.6369600000000002</c:v>
                </c:pt>
                <c:pt idx="44">
                  <c:v>3.64439</c:v>
                </c:pt>
                <c:pt idx="45">
                  <c:v>3.6547099999999997</c:v>
                </c:pt>
                <c:pt idx="46">
                  <c:v>3.6644500000000004</c:v>
                </c:pt>
                <c:pt idx="47">
                  <c:v>3.6737599999999997</c:v>
                </c:pt>
                <c:pt idx="48">
                  <c:v>3.6863200000000003</c:v>
                </c:pt>
                <c:pt idx="49">
                  <c:v>3.7011500000000002</c:v>
                </c:pt>
                <c:pt idx="50">
                  <c:v>3.7107800000000002</c:v>
                </c:pt>
                <c:pt idx="51">
                  <c:v>3.7124800000000002</c:v>
                </c:pt>
                <c:pt idx="52">
                  <c:v>3.7143100000000002</c:v>
                </c:pt>
                <c:pt idx="53">
                  <c:v>3.7158000000000002</c:v>
                </c:pt>
                <c:pt idx="54">
                  <c:v>3.71929</c:v>
                </c:pt>
                <c:pt idx="55">
                  <c:v>3.7225399999999995</c:v>
                </c:pt>
                <c:pt idx="56">
                  <c:v>3.7244100000000002</c:v>
                </c:pt>
                <c:pt idx="57">
                  <c:v>3.7241400000000002</c:v>
                </c:pt>
                <c:pt idx="58">
                  <c:v>3.7233300000000003</c:v>
                </c:pt>
                <c:pt idx="59">
                  <c:v>3.7225999999999999</c:v>
                </c:pt>
                <c:pt idx="60">
                  <c:v>3.7192500000000002</c:v>
                </c:pt>
                <c:pt idx="61">
                  <c:v>3.7193300000000002</c:v>
                </c:pt>
                <c:pt idx="62">
                  <c:v>3.7271199999999998</c:v>
                </c:pt>
                <c:pt idx="63">
                  <c:v>3.73821</c:v>
                </c:pt>
                <c:pt idx="64">
                  <c:v>3.7579200000000004</c:v>
                </c:pt>
                <c:pt idx="65">
                  <c:v>3.7791700000000001</c:v>
                </c:pt>
                <c:pt idx="66">
                  <c:v>3.80247</c:v>
                </c:pt>
                <c:pt idx="67">
                  <c:v>3.8247799999999996</c:v>
                </c:pt>
                <c:pt idx="68">
                  <c:v>3.85283</c:v>
                </c:pt>
                <c:pt idx="69">
                  <c:v>3.8804400000000001</c:v>
                </c:pt>
                <c:pt idx="70">
                  <c:v>3.9036999999999997</c:v>
                </c:pt>
                <c:pt idx="71">
                  <c:v>3.92788</c:v>
                </c:pt>
                <c:pt idx="72">
                  <c:v>3.9644400000000002</c:v>
                </c:pt>
                <c:pt idx="73">
                  <c:v>3.99735</c:v>
                </c:pt>
                <c:pt idx="74">
                  <c:v>4.0456900000000005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30.1327</c:v>
                </c:pt>
                <c:pt idx="1">
                  <c:v>29.795400000000001</c:v>
                </c:pt>
                <c:pt idx="2">
                  <c:v>29.549300000000002</c:v>
                </c:pt>
                <c:pt idx="3">
                  <c:v>29.247899999999998</c:v>
                </c:pt>
                <c:pt idx="4">
                  <c:v>28.934500000000003</c:v>
                </c:pt>
                <c:pt idx="5">
                  <c:v>28.64</c:v>
                </c:pt>
                <c:pt idx="6">
                  <c:v>28.301900000000003</c:v>
                </c:pt>
                <c:pt idx="7">
                  <c:v>27.9453</c:v>
                </c:pt>
                <c:pt idx="8">
                  <c:v>27.566200000000002</c:v>
                </c:pt>
                <c:pt idx="9">
                  <c:v>27.204499999999999</c:v>
                </c:pt>
                <c:pt idx="10">
                  <c:v>26.817400000000003</c:v>
                </c:pt>
                <c:pt idx="11">
                  <c:v>26.469700000000003</c:v>
                </c:pt>
                <c:pt idx="12">
                  <c:v>26.1191</c:v>
                </c:pt>
                <c:pt idx="13">
                  <c:v>25.795200000000001</c:v>
                </c:pt>
                <c:pt idx="14">
                  <c:v>25.4739</c:v>
                </c:pt>
                <c:pt idx="15">
                  <c:v>25.145499999999998</c:v>
                </c:pt>
                <c:pt idx="16">
                  <c:v>24.883199999999999</c:v>
                </c:pt>
                <c:pt idx="17">
                  <c:v>24.680800000000001</c:v>
                </c:pt>
                <c:pt idx="18">
                  <c:v>24.489900000000002</c:v>
                </c:pt>
                <c:pt idx="19">
                  <c:v>24.366599999999998</c:v>
                </c:pt>
                <c:pt idx="20">
                  <c:v>24.284600000000001</c:v>
                </c:pt>
                <c:pt idx="21">
                  <c:v>24.286899999999999</c:v>
                </c:pt>
                <c:pt idx="22">
                  <c:v>24.397300000000001</c:v>
                </c:pt>
                <c:pt idx="23">
                  <c:v>24.5093</c:v>
                </c:pt>
                <c:pt idx="24">
                  <c:v>24.6553</c:v>
                </c:pt>
                <c:pt idx="25">
                  <c:v>24.834199999999999</c:v>
                </c:pt>
                <c:pt idx="26">
                  <c:v>24.970400000000001</c:v>
                </c:pt>
                <c:pt idx="27">
                  <c:v>25.114999999999998</c:v>
                </c:pt>
                <c:pt idx="28">
                  <c:v>25.248799999999999</c:v>
                </c:pt>
                <c:pt idx="29">
                  <c:v>25.458199999999998</c:v>
                </c:pt>
                <c:pt idx="30">
                  <c:v>25.658999999999999</c:v>
                </c:pt>
                <c:pt idx="31">
                  <c:v>25.821100000000001</c:v>
                </c:pt>
                <c:pt idx="32">
                  <c:v>25.995200000000001</c:v>
                </c:pt>
                <c:pt idx="33">
                  <c:v>26.200200000000002</c:v>
                </c:pt>
                <c:pt idx="34">
                  <c:v>26.413199999999996</c:v>
                </c:pt>
                <c:pt idx="35">
                  <c:v>26.630700000000001</c:v>
                </c:pt>
                <c:pt idx="36">
                  <c:v>26.877299999999998</c:v>
                </c:pt>
                <c:pt idx="37">
                  <c:v>27.110400000000002</c:v>
                </c:pt>
                <c:pt idx="38">
                  <c:v>27.256799999999998</c:v>
                </c:pt>
                <c:pt idx="39">
                  <c:v>27.312999999999999</c:v>
                </c:pt>
                <c:pt idx="40">
                  <c:v>27.387299999999996</c:v>
                </c:pt>
                <c:pt idx="41">
                  <c:v>27.456000000000003</c:v>
                </c:pt>
                <c:pt idx="42">
                  <c:v>27.5777</c:v>
                </c:pt>
                <c:pt idx="43">
                  <c:v>27.767599999999998</c:v>
                </c:pt>
                <c:pt idx="44">
                  <c:v>27.954600000000003</c:v>
                </c:pt>
                <c:pt idx="45">
                  <c:v>28.067599999999999</c:v>
                </c:pt>
                <c:pt idx="46">
                  <c:v>28.209</c:v>
                </c:pt>
                <c:pt idx="47">
                  <c:v>28.324999999999999</c:v>
                </c:pt>
                <c:pt idx="48">
                  <c:v>28.360999999999997</c:v>
                </c:pt>
                <c:pt idx="49">
                  <c:v>28.351199999999999</c:v>
                </c:pt>
                <c:pt idx="50">
                  <c:v>28.324700000000004</c:v>
                </c:pt>
                <c:pt idx="51">
                  <c:v>28.317500000000003</c:v>
                </c:pt>
                <c:pt idx="52">
                  <c:v>28.310999999999996</c:v>
                </c:pt>
                <c:pt idx="53">
                  <c:v>28.341899999999999</c:v>
                </c:pt>
                <c:pt idx="54">
                  <c:v>28.310800000000004</c:v>
                </c:pt>
                <c:pt idx="55">
                  <c:v>28.2957</c:v>
                </c:pt>
                <c:pt idx="56">
                  <c:v>28.3354</c:v>
                </c:pt>
                <c:pt idx="57">
                  <c:v>28.377500000000001</c:v>
                </c:pt>
                <c:pt idx="58">
                  <c:v>28.428599999999999</c:v>
                </c:pt>
                <c:pt idx="59">
                  <c:v>28.475899999999999</c:v>
                </c:pt>
                <c:pt idx="60">
                  <c:v>28.548000000000002</c:v>
                </c:pt>
                <c:pt idx="61">
                  <c:v>28.559800000000003</c:v>
                </c:pt>
                <c:pt idx="62">
                  <c:v>28.569299999999998</c:v>
                </c:pt>
                <c:pt idx="63">
                  <c:v>28.674100000000003</c:v>
                </c:pt>
                <c:pt idx="64">
                  <c:v>28.9589</c:v>
                </c:pt>
                <c:pt idx="65">
                  <c:v>29.2456</c:v>
                </c:pt>
                <c:pt idx="66">
                  <c:v>29.5091</c:v>
                </c:pt>
                <c:pt idx="67">
                  <c:v>29.666500000000003</c:v>
                </c:pt>
                <c:pt idx="68">
                  <c:v>29.762799999999999</c:v>
                </c:pt>
                <c:pt idx="69">
                  <c:v>29.779299999999999</c:v>
                </c:pt>
                <c:pt idx="70">
                  <c:v>29.876799999999999</c:v>
                </c:pt>
                <c:pt idx="71">
                  <c:v>29.705300000000001</c:v>
                </c:pt>
                <c:pt idx="72">
                  <c:v>29.450199999999999</c:v>
                </c:pt>
                <c:pt idx="73">
                  <c:v>29.384700000000002</c:v>
                </c:pt>
                <c:pt idx="74">
                  <c:v>29.2165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3.2958700000000003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46.396100000000004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4.1896944594594592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33.298686486486496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3.6952258108108116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27.395436486486481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3.6952258108108116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27.395436486486481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575</v>
      </c>
      <c r="D5" s="151"/>
      <c r="E5" s="151"/>
      <c r="F5" s="152"/>
      <c r="G5" s="48" t="str">
        <f>lang!B27</f>
        <v>编号</v>
      </c>
      <c r="H5" s="150">
        <v>2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574</v>
      </c>
      <c r="D6" s="188"/>
      <c r="E6" s="188"/>
      <c r="F6" s="189"/>
      <c r="G6" s="49" t="str">
        <f>lang!B28</f>
        <v xml:space="preserve"> 日期</v>
      </c>
      <c r="H6" s="172">
        <f>FH_info!A2</f>
        <v>43628.377268518518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31</v>
      </c>
      <c r="D7" s="191"/>
      <c r="E7" s="191"/>
      <c r="F7" s="192"/>
      <c r="G7" s="50" t="str">
        <f>lang!B29</f>
        <v>误差率（%）</v>
      </c>
      <c r="H7" s="175">
        <f>M!B17*1</f>
        <v>18.301200000000001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48.042700000000004</v>
      </c>
      <c r="O8" s="59">
        <f>M!C5*1</f>
        <v>8.6665200000000002</v>
      </c>
      <c r="P8" s="59">
        <f>M!D5*1</f>
        <v>18.039200000000001</v>
      </c>
      <c r="Q8" s="59">
        <f>M!E5*1</f>
        <v>20</v>
      </c>
      <c r="R8" s="59">
        <f>M!F5*1</f>
        <v>18.065100000000001</v>
      </c>
      <c r="S8" s="59">
        <f>M!G5*1</f>
        <v>50</v>
      </c>
      <c r="T8" s="59">
        <f>M!H5*1</f>
        <v>61.0563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28.767099999999999</v>
      </c>
      <c r="O9" s="59">
        <f>M!C6*1</f>
        <v>4.7371299999999996</v>
      </c>
      <c r="P9" s="59">
        <f>M!D6*1</f>
        <v>16.467199999999998</v>
      </c>
      <c r="Q9" s="59">
        <f>M!E6*1</f>
        <v>20</v>
      </c>
      <c r="R9" s="59">
        <f>M!F6*1</f>
        <v>17.4894</v>
      </c>
      <c r="S9" s="59">
        <f>M!G6*1</f>
        <v>40</v>
      </c>
      <c r="T9" s="59">
        <f>M!H6*1</f>
        <v>40.742400000000004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18.065100000000001</v>
      </c>
      <c r="D10" s="99">
        <f>N8</f>
        <v>48.042700000000004</v>
      </c>
      <c r="E10" s="100">
        <f>T8</f>
        <v>61.0563</v>
      </c>
      <c r="F10" s="91">
        <f>P8</f>
        <v>18.039200000000001</v>
      </c>
      <c r="G10" s="81" t="str">
        <f>CONCATENATE(M9,"
(20 ~ 40)")</f>
        <v>压力
(20 ~ 40)</v>
      </c>
      <c r="H10" s="98">
        <f>R9</f>
        <v>17.4894</v>
      </c>
      <c r="I10" s="108">
        <f>N9</f>
        <v>28.767099999999999</v>
      </c>
      <c r="J10" s="98">
        <f>T9</f>
        <v>40.742400000000004</v>
      </c>
      <c r="K10" s="92">
        <f>P9</f>
        <v>16.467199999999998</v>
      </c>
      <c r="L10" s="6"/>
      <c r="M10" s="27" t="str">
        <f>lang!B16</f>
        <v>焦虑</v>
      </c>
      <c r="N10" s="59">
        <f>M!B7*1</f>
        <v>19.6753</v>
      </c>
      <c r="O10" s="59">
        <f>M!C7*1</f>
        <v>7.5658399999999997</v>
      </c>
      <c r="P10" s="59">
        <f>M!D7*1</f>
        <v>38.453600000000002</v>
      </c>
      <c r="Q10" s="59">
        <f>M!E7*1</f>
        <v>15</v>
      </c>
      <c r="R10" s="59">
        <f>M!F7*1</f>
        <v>5.1019500000000004</v>
      </c>
      <c r="S10" s="59">
        <f>M!G7*1</f>
        <v>40</v>
      </c>
      <c r="T10" s="59">
        <f>M!H7*1</f>
        <v>35.036499999999997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5.1019500000000004</v>
      </c>
      <c r="D11" s="102">
        <f>N10</f>
        <v>19.6753</v>
      </c>
      <c r="E11" s="103">
        <f>T10</f>
        <v>35.036499999999997</v>
      </c>
      <c r="F11" s="94">
        <f>P10</f>
        <v>38.453600000000002</v>
      </c>
      <c r="G11" s="52" t="str">
        <f>CONCATENATE(M11,"
(20 ~ 50)")</f>
        <v>可疑
(20 ~ 50)</v>
      </c>
      <c r="H11" s="101">
        <f>R11</f>
        <v>14.600199999999999</v>
      </c>
      <c r="I11" s="104">
        <f>N11</f>
        <v>33.427999999999997</v>
      </c>
      <c r="J11" s="101">
        <f>T11</f>
        <v>40.050899999999999</v>
      </c>
      <c r="K11" s="95">
        <f>P11</f>
        <v>17.242000000000001</v>
      </c>
      <c r="L11" s="4"/>
      <c r="M11" s="27" t="str">
        <f>lang!B17</f>
        <v>可疑</v>
      </c>
      <c r="N11" s="59">
        <f>M!B8*1</f>
        <v>33.427999999999997</v>
      </c>
      <c r="O11" s="59">
        <f>M!C8*1</f>
        <v>5.7636700000000003</v>
      </c>
      <c r="P11" s="59">
        <f>M!D8*1</f>
        <v>17.242000000000001</v>
      </c>
      <c r="Q11" s="59">
        <f>M!E8*1</f>
        <v>20</v>
      </c>
      <c r="R11" s="59">
        <f>M!F8*1</f>
        <v>14.600199999999999</v>
      </c>
      <c r="S11" s="59">
        <f>M!G8*1</f>
        <v>50</v>
      </c>
      <c r="T11" s="59">
        <f>M!H8*1</f>
        <v>40.050899999999999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59.247199999999999</v>
      </c>
      <c r="D12" s="104">
        <f>N12</f>
        <v>69.041499999999999</v>
      </c>
      <c r="E12" s="101">
        <f>T12</f>
        <v>83.915599999999998</v>
      </c>
      <c r="F12" s="93">
        <f>P12</f>
        <v>6.7873700000000001</v>
      </c>
      <c r="G12" s="52" t="str">
        <f>CONCATENATE(M13,"
(40 ~ 100)")</f>
        <v>自信
(40 ~ 100)</v>
      </c>
      <c r="H12" s="101">
        <f>R13</f>
        <v>72.427499999999995</v>
      </c>
      <c r="I12" s="104">
        <f>N13</f>
        <v>77.505399999999995</v>
      </c>
      <c r="J12" s="101">
        <f>T13</f>
        <v>86.052999999999997</v>
      </c>
      <c r="K12" s="95">
        <f>P13</f>
        <v>3.7309899999999998</v>
      </c>
      <c r="L12" s="4"/>
      <c r="M12" s="27" t="str">
        <f>lang!B18</f>
        <v>平衡</v>
      </c>
      <c r="N12" s="59">
        <f>M!B9*1</f>
        <v>69.041499999999999</v>
      </c>
      <c r="O12" s="59">
        <f>M!C9*1</f>
        <v>4.6861100000000002</v>
      </c>
      <c r="P12" s="59">
        <f>M!D9*1</f>
        <v>6.7873700000000001</v>
      </c>
      <c r="Q12" s="59">
        <f>M!E9*1</f>
        <v>50</v>
      </c>
      <c r="R12" s="59">
        <f>M!F9*1</f>
        <v>59.247199999999999</v>
      </c>
      <c r="S12" s="59">
        <f>M!G9*1</f>
        <v>100</v>
      </c>
      <c r="T12" s="59">
        <f>M!H9*1</f>
        <v>83.915599999999998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16.365300000000001</v>
      </c>
      <c r="D13" s="102">
        <f>N14</f>
        <v>23.648499999999999</v>
      </c>
      <c r="E13" s="103">
        <f>T14</f>
        <v>35.283299999999997</v>
      </c>
      <c r="F13" s="94">
        <f>P14</f>
        <v>20.814599999999999</v>
      </c>
      <c r="G13" s="52" t="str">
        <f>CONCATENATE(M15,"
(50 ~ 100)")</f>
        <v>自我调节
(50 ~ 100)</v>
      </c>
      <c r="H13" s="101">
        <f>R15</f>
        <v>66.580100000000002</v>
      </c>
      <c r="I13" s="104">
        <f>N15</f>
        <v>73.406800000000004</v>
      </c>
      <c r="J13" s="101">
        <f>T15</f>
        <v>84.951700000000002</v>
      </c>
      <c r="K13" s="95">
        <f>P15</f>
        <v>4.5874199999999998</v>
      </c>
      <c r="L13" s="4"/>
      <c r="M13" s="27" t="str">
        <f>lang!B19</f>
        <v>自信</v>
      </c>
      <c r="N13" s="59">
        <f>M!B10*1</f>
        <v>77.505399999999995</v>
      </c>
      <c r="O13" s="59">
        <f>M!C10*1</f>
        <v>2.8917199999999998</v>
      </c>
      <c r="P13" s="59">
        <f>M!D10*1</f>
        <v>3.7309899999999998</v>
      </c>
      <c r="Q13" s="59">
        <f>M!E10*1</f>
        <v>40</v>
      </c>
      <c r="R13" s="59">
        <f>M!F10*1</f>
        <v>72.427499999999995</v>
      </c>
      <c r="S13" s="59">
        <f>M!G10*1</f>
        <v>100</v>
      </c>
      <c r="T13" s="59">
        <f>M!H10*1</f>
        <v>86.052999999999997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20.4697</v>
      </c>
      <c r="D14" s="106">
        <f>N16</f>
        <v>27.793900000000001</v>
      </c>
      <c r="E14" s="107">
        <f>T16</f>
        <v>55.889699999999998</v>
      </c>
      <c r="F14" s="96">
        <f>P16</f>
        <v>20.964300000000001</v>
      </c>
      <c r="G14" s="112" t="str">
        <f>CONCATENATE(M17,"
(10 ~ 50)")</f>
        <v>神经质
(10 ~ 50)</v>
      </c>
      <c r="H14" s="105">
        <f>R17</f>
        <v>3.7773500000000002</v>
      </c>
      <c r="I14" s="106">
        <f>N17</f>
        <v>58.267899999999997</v>
      </c>
      <c r="J14" s="107">
        <f>T17</f>
        <v>90.355400000000003</v>
      </c>
      <c r="K14" s="97">
        <f>P17</f>
        <v>35.925699999999999</v>
      </c>
      <c r="M14" s="27" t="str">
        <f>lang!B20</f>
        <v>活力</v>
      </c>
      <c r="N14" s="59">
        <f>M!B11*1</f>
        <v>23.648499999999999</v>
      </c>
      <c r="O14" s="59">
        <f>M!C11*1</f>
        <v>4.9223499999999998</v>
      </c>
      <c r="P14" s="59">
        <f>M!D11*1</f>
        <v>20.814599999999999</v>
      </c>
      <c r="Q14" s="59">
        <f>M!E11*1</f>
        <v>10</v>
      </c>
      <c r="R14" s="59">
        <f>M!F11*1</f>
        <v>16.365300000000001</v>
      </c>
      <c r="S14" s="59">
        <f>M!G11*1</f>
        <v>50</v>
      </c>
      <c r="T14" s="59">
        <f>M!H11*1</f>
        <v>35.283299999999997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73.406800000000004</v>
      </c>
      <c r="O15" s="59">
        <f>M!C12*1</f>
        <v>3.36747</v>
      </c>
      <c r="P15" s="59">
        <f>M!D12*1</f>
        <v>4.5874199999999998</v>
      </c>
      <c r="Q15" s="59">
        <f>M!E12*1</f>
        <v>50</v>
      </c>
      <c r="R15" s="59">
        <f>M!F12*1</f>
        <v>66.580100000000002</v>
      </c>
      <c r="S15" s="59">
        <f>M!G12*1</f>
        <v>100</v>
      </c>
      <c r="T15" s="59">
        <f>M!H12*1</f>
        <v>84.951700000000002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27.793900000000001</v>
      </c>
      <c r="O16" s="59">
        <f>M!C13*1</f>
        <v>5.8267899999999999</v>
      </c>
      <c r="P16" s="59">
        <f>M!D13*1</f>
        <v>20.964300000000001</v>
      </c>
      <c r="Q16" s="59">
        <f>M!E13*1</f>
        <v>10</v>
      </c>
      <c r="R16" s="59">
        <f>M!F13*1</f>
        <v>20.4697</v>
      </c>
      <c r="S16" s="59">
        <f>M!G13*1</f>
        <v>25</v>
      </c>
      <c r="T16" s="59">
        <f>M!H13*1</f>
        <v>55.889699999999998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58.267899999999997</v>
      </c>
      <c r="O17" s="59">
        <f>M!C14*1</f>
        <v>20.933199999999999</v>
      </c>
      <c r="P17" s="59">
        <f>M!D14*1</f>
        <v>35.925699999999999</v>
      </c>
      <c r="Q17" s="59">
        <f>M!E14*1</f>
        <v>10</v>
      </c>
      <c r="R17" s="59">
        <f>M!F14*1</f>
        <v>3.7773500000000002</v>
      </c>
      <c r="S17" s="59">
        <f>M!G14*1</f>
        <v>50</v>
      </c>
      <c r="T17" s="59">
        <f>M!H14*1</f>
        <v>90.355400000000003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60.900550000000003</v>
      </c>
      <c r="O18" s="22">
        <f>N18/(N18+N19+N20)</f>
        <v>0.44645313961302979</v>
      </c>
      <c r="P18" s="65">
        <f>SUM(P12:P15)/4</f>
        <v>8.9800950000000004</v>
      </c>
      <c r="Q18" s="22">
        <f>P18/(P18+P19+P20)</f>
        <v>0.14972915233271133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32.478274999999996</v>
      </c>
      <c r="O19" s="22">
        <f>N19/(N18+N19+N20)</f>
        <v>0.23809354501667673</v>
      </c>
      <c r="P19" s="18">
        <f>SUM(P8:P11)/4</f>
        <v>22.550500000000003</v>
      </c>
      <c r="Q19" s="22">
        <f>P19/(P18+P19+P20)</f>
        <v>0.37599460247122185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43.030900000000003</v>
      </c>
      <c r="O20" s="22">
        <f>N20/(N18+N19+N20)</f>
        <v>0.31545331537029342</v>
      </c>
      <c r="P20" s="18">
        <f>(P16+P17)/2</f>
        <v>28.445</v>
      </c>
      <c r="Q20" s="22">
        <f>P20/(P18+P19+P20)</f>
        <v>0.47427624519606681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-9.5856351351353841E-3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1.9245597009329507</v>
      </c>
      <c r="D25" s="44" t="str">
        <f>lang!B11</f>
        <v>频率方差</v>
      </c>
      <c r="E25" s="142">
        <f ca="1">FH!L3</f>
        <v>0.70894945654764274</v>
      </c>
      <c r="F25" s="143"/>
      <c r="G25" s="134" t="str">
        <f>lang!B12</f>
        <v>生理变化率</v>
      </c>
      <c r="H25" s="135"/>
      <c r="I25" s="62" t="str">
        <f ca="1">CONCATENATE(info!M7,"-",info!M8)</f>
        <v>24.3-46.4</v>
      </c>
      <c r="J25" s="42" t="str">
        <f>lang!B13</f>
        <v>千卡l/分钟</v>
      </c>
      <c r="K25" s="41" t="str">
        <f ca="1">CONCATENATE(info!M5,"-",info!M6)</f>
        <v>3.3-4.7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39.384900000000002</v>
      </c>
      <c r="F28" s="164"/>
      <c r="G28" s="178" t="str">
        <f>lang!B33</f>
        <v>稳定性</v>
      </c>
      <c r="H28" s="179"/>
      <c r="I28" s="180"/>
      <c r="J28" s="181">
        <f>M!B19*100</f>
        <v>49.602600000000002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43628.377268518518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-3.1289000000000016</v>
      </c>
      <c r="O7" s="59">
        <f t="shared" ref="O7:T7" si="2">AG7-X7</f>
        <v>-9.4278300000000002</v>
      </c>
      <c r="P7" s="59">
        <f t="shared" si="2"/>
        <v>-18.331940000000003</v>
      </c>
      <c r="Q7" s="59">
        <f t="shared" si="2"/>
        <v>0</v>
      </c>
      <c r="R7" s="59">
        <f t="shared" si="2"/>
        <v>22.020499999999998</v>
      </c>
      <c r="S7" s="59">
        <f t="shared" si="2"/>
        <v>0</v>
      </c>
      <c r="T7" s="59">
        <f t="shared" si="2"/>
        <v>-7.7903999999999982</v>
      </c>
      <c r="U7" s="14"/>
      <c r="V7" s="27" t="str">
        <f>M7</f>
        <v>攻击性</v>
      </c>
      <c r="W7" s="59">
        <f>'M1'!B5*1</f>
        <v>50.517600000000002</v>
      </c>
      <c r="X7" s="59">
        <f>'M1'!C5*1</f>
        <v>11.956899999999999</v>
      </c>
      <c r="Y7" s="59">
        <f>'M1'!D5*1</f>
        <v>23.668800000000001</v>
      </c>
      <c r="Z7" s="59">
        <f>'M1'!E5*1</f>
        <v>20</v>
      </c>
      <c r="AA7" s="59">
        <f>'M1'!F5*1</f>
        <v>18.065100000000001</v>
      </c>
      <c r="AB7" s="59">
        <f>'M1'!G5*1</f>
        <v>50</v>
      </c>
      <c r="AC7" s="59">
        <f>'M1'!H5*1</f>
        <v>61.0563</v>
      </c>
      <c r="AE7" s="27" t="str">
        <f>V7</f>
        <v>攻击性</v>
      </c>
      <c r="AF7" s="59">
        <f>'M2'!B5*1</f>
        <v>47.3887</v>
      </c>
      <c r="AG7" s="59">
        <f>'M2'!C5*1</f>
        <v>2.5290699999999999</v>
      </c>
      <c r="AH7" s="59">
        <f>'M2'!D5*1</f>
        <v>5.3368599999999997</v>
      </c>
      <c r="AI7" s="59">
        <f>'M2'!E5*1</f>
        <v>20</v>
      </c>
      <c r="AJ7" s="59">
        <f>'M2'!F5*1</f>
        <v>40.085599999999999</v>
      </c>
      <c r="AK7" s="59">
        <f>'M2'!G5*1</f>
        <v>50</v>
      </c>
      <c r="AL7" s="59">
        <f>'M2'!H5*1</f>
        <v>53.265900000000002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3.3608999999999973</v>
      </c>
      <c r="O8" s="59">
        <f t="shared" ref="O8:O16" si="5">AG8-X8</f>
        <v>-0.65343000000000018</v>
      </c>
      <c r="P8" s="59">
        <f t="shared" ref="P8:P16" si="6">AH8-Y8</f>
        <v>-3.9940999999999995</v>
      </c>
      <c r="Q8" s="59">
        <f t="shared" ref="Q8:Q16" si="7">AI8-Z8</f>
        <v>0</v>
      </c>
      <c r="R8" s="59">
        <f t="shared" ref="R8:R16" si="8">AJ8-AA8</f>
        <v>6.7772000000000006</v>
      </c>
      <c r="S8" s="59">
        <f t="shared" ref="S8:S16" si="9">AK8-AB8</f>
        <v>0</v>
      </c>
      <c r="T8" s="59">
        <f t="shared" ref="T8:T16" si="10">AL8-AC8</f>
        <v>7.7188000000000017</v>
      </c>
      <c r="U8" s="15"/>
      <c r="V8" s="27" t="str">
        <f t="shared" ref="V8:V16" si="11">M8</f>
        <v>压力</v>
      </c>
      <c r="W8" s="59">
        <f>'M1'!B6*1</f>
        <v>27.194600000000001</v>
      </c>
      <c r="X8" s="59">
        <f>'M1'!C6*1</f>
        <v>4.5878100000000002</v>
      </c>
      <c r="Y8" s="59">
        <f>'M1'!D6*1</f>
        <v>16.8703</v>
      </c>
      <c r="Z8" s="59">
        <f>'M1'!E6*1</f>
        <v>20</v>
      </c>
      <c r="AA8" s="59">
        <f>'M1'!F6*1</f>
        <v>17.4894</v>
      </c>
      <c r="AB8" s="59">
        <f>'M1'!G6*1</f>
        <v>40</v>
      </c>
      <c r="AC8" s="59">
        <f>'M1'!H6*1</f>
        <v>33.023600000000002</v>
      </c>
      <c r="AE8" s="27" t="str">
        <f t="shared" ref="AE8:AE16" si="12">V8</f>
        <v>压力</v>
      </c>
      <c r="AF8" s="59">
        <f>'M2'!B6*1</f>
        <v>30.555499999999999</v>
      </c>
      <c r="AG8" s="59">
        <f>'M2'!C6*1</f>
        <v>3.93438</v>
      </c>
      <c r="AH8" s="59">
        <f>'M2'!D6*1</f>
        <v>12.876200000000001</v>
      </c>
      <c r="AI8" s="59">
        <f>'M2'!E6*1</f>
        <v>20</v>
      </c>
      <c r="AJ8" s="59">
        <f>'M2'!F6*1</f>
        <v>24.2666</v>
      </c>
      <c r="AK8" s="59">
        <f>'M2'!G6*1</f>
        <v>40</v>
      </c>
      <c r="AL8" s="59">
        <f>'M2'!H6*1</f>
        <v>40.742400000000004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22.020499999999998</v>
      </c>
      <c r="D9" s="78">
        <f>N7</f>
        <v>-3.1289000000000016</v>
      </c>
      <c r="E9" s="79">
        <f>T7</f>
        <v>-7.7903999999999982</v>
      </c>
      <c r="F9" s="79">
        <f>P7</f>
        <v>-18.331940000000003</v>
      </c>
      <c r="G9" s="80" t="str">
        <f>CONCATENATE(M8,"
(20 ~ 40)")</f>
        <v>压力
(20 ~ 40)</v>
      </c>
      <c r="H9" s="77">
        <f>R8</f>
        <v>6.7772000000000006</v>
      </c>
      <c r="I9" s="81">
        <f>N8</f>
        <v>3.3608999999999973</v>
      </c>
      <c r="J9" s="77">
        <f>T8</f>
        <v>7.7188000000000017</v>
      </c>
      <c r="K9" s="82">
        <f>P8</f>
        <v>-3.9940999999999995</v>
      </c>
      <c r="L9" s="6"/>
      <c r="M9" s="27" t="str">
        <f>lang!B16</f>
        <v>焦虑</v>
      </c>
      <c r="N9" s="59">
        <f t="shared" si="4"/>
        <v>1.3699000000000012</v>
      </c>
      <c r="O9" s="59">
        <f t="shared" si="5"/>
        <v>4.2014300000000002</v>
      </c>
      <c r="P9" s="59">
        <f t="shared" si="6"/>
        <v>18.3398</v>
      </c>
      <c r="Q9" s="59">
        <f t="shared" si="7"/>
        <v>0</v>
      </c>
      <c r="R9" s="59">
        <f t="shared" si="8"/>
        <v>-2.7139899999999999</v>
      </c>
      <c r="S9" s="59">
        <f t="shared" si="9"/>
        <v>0</v>
      </c>
      <c r="T9" s="59">
        <f t="shared" si="10"/>
        <v>2.8856999999999999</v>
      </c>
      <c r="U9" s="14"/>
      <c r="V9" s="27" t="str">
        <f t="shared" si="11"/>
        <v>焦虑</v>
      </c>
      <c r="W9" s="59">
        <f>'M1'!B7*1</f>
        <v>19.590299999999999</v>
      </c>
      <c r="X9" s="59">
        <f>'M1'!C7*1</f>
        <v>5.1103500000000004</v>
      </c>
      <c r="Y9" s="59">
        <f>'M1'!D7*1</f>
        <v>26.086099999999998</v>
      </c>
      <c r="Z9" s="59">
        <f>'M1'!E7*1</f>
        <v>15</v>
      </c>
      <c r="AA9" s="59">
        <f>'M1'!F7*1</f>
        <v>7.8159400000000003</v>
      </c>
      <c r="AB9" s="59">
        <f>'M1'!G7*1</f>
        <v>40</v>
      </c>
      <c r="AC9" s="59">
        <f>'M1'!H7*1</f>
        <v>32.150799999999997</v>
      </c>
      <c r="AE9" s="27" t="str">
        <f t="shared" si="12"/>
        <v>焦虑</v>
      </c>
      <c r="AF9" s="59">
        <f>'M2'!B7*1</f>
        <v>20.9602</v>
      </c>
      <c r="AG9" s="59">
        <f>'M2'!C7*1</f>
        <v>9.3117800000000006</v>
      </c>
      <c r="AH9" s="59">
        <f>'M2'!D7*1</f>
        <v>44.425899999999999</v>
      </c>
      <c r="AI9" s="59">
        <f>'M2'!E7*1</f>
        <v>15</v>
      </c>
      <c r="AJ9" s="59">
        <f>'M2'!F7*1</f>
        <v>5.1019500000000004</v>
      </c>
      <c r="AK9" s="59">
        <f>'M2'!G7*1</f>
        <v>40</v>
      </c>
      <c r="AL9" s="59">
        <f>'M2'!H7*1</f>
        <v>35.036499999999997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-2.7139899999999999</v>
      </c>
      <c r="D10" s="51">
        <f>N9</f>
        <v>1.3699000000000012</v>
      </c>
      <c r="E10" s="53">
        <f>T9</f>
        <v>2.8856999999999999</v>
      </c>
      <c r="F10" s="53">
        <f>P9</f>
        <v>18.3398</v>
      </c>
      <c r="G10" s="73" t="str">
        <f>CONCATENATE(M10,"
(20 ~ 50)")</f>
        <v>可疑
(20 ~ 50)</v>
      </c>
      <c r="H10" s="24">
        <f>R10</f>
        <v>11.546100000000001</v>
      </c>
      <c r="I10" s="52">
        <f>N10</f>
        <v>-0.43419999999999703</v>
      </c>
      <c r="J10" s="24">
        <f>T10</f>
        <v>2.8994</v>
      </c>
      <c r="K10" s="25">
        <f>P10</f>
        <v>-9.0989000000000022</v>
      </c>
      <c r="L10" s="4"/>
      <c r="M10" s="27" t="str">
        <f>lang!B17</f>
        <v>可疑</v>
      </c>
      <c r="N10" s="59">
        <f t="shared" si="4"/>
        <v>-0.43419999999999703</v>
      </c>
      <c r="O10" s="59">
        <f t="shared" si="5"/>
        <v>-3.1059899999999998</v>
      </c>
      <c r="P10" s="59">
        <f t="shared" si="6"/>
        <v>-9.0989000000000022</v>
      </c>
      <c r="Q10" s="59">
        <f t="shared" si="7"/>
        <v>0</v>
      </c>
      <c r="R10" s="59">
        <f t="shared" si="8"/>
        <v>11.546100000000001</v>
      </c>
      <c r="S10" s="59">
        <f t="shared" si="9"/>
        <v>0</v>
      </c>
      <c r="T10" s="59">
        <f t="shared" si="10"/>
        <v>2.8994</v>
      </c>
      <c r="U10" s="14"/>
      <c r="V10" s="27" t="str">
        <f t="shared" si="11"/>
        <v>可疑</v>
      </c>
      <c r="W10" s="59">
        <f>'M1'!B8*1</f>
        <v>33.594799999999999</v>
      </c>
      <c r="X10" s="59">
        <f>'M1'!C8*1</f>
        <v>6.8667199999999999</v>
      </c>
      <c r="Y10" s="59">
        <f>'M1'!D8*1</f>
        <v>20.439900000000002</v>
      </c>
      <c r="Z10" s="59">
        <f>'M1'!E8*1</f>
        <v>20</v>
      </c>
      <c r="AA10" s="59">
        <f>'M1'!F8*1</f>
        <v>14.600199999999999</v>
      </c>
      <c r="AB10" s="59">
        <f>'M1'!G8*1</f>
        <v>50</v>
      </c>
      <c r="AC10" s="59">
        <f>'M1'!H8*1</f>
        <v>37.151499999999999</v>
      </c>
      <c r="AE10" s="27" t="str">
        <f t="shared" si="12"/>
        <v>可疑</v>
      </c>
      <c r="AF10" s="59">
        <f>'M2'!B8*1</f>
        <v>33.160600000000002</v>
      </c>
      <c r="AG10" s="59">
        <f>'M2'!C8*1</f>
        <v>3.7607300000000001</v>
      </c>
      <c r="AH10" s="59">
        <f>'M2'!D8*1</f>
        <v>11.340999999999999</v>
      </c>
      <c r="AI10" s="59">
        <f>'M2'!E8*1</f>
        <v>20</v>
      </c>
      <c r="AJ10" s="59">
        <f>'M2'!F8*1</f>
        <v>26.1463</v>
      </c>
      <c r="AK10" s="59">
        <f>'M2'!G8*1</f>
        <v>50</v>
      </c>
      <c r="AL10" s="59">
        <f>'M2'!H8*1</f>
        <v>40.050899999999999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3.6253000000000029</v>
      </c>
      <c r="D11" s="52">
        <f>N11</f>
        <v>1.4125999999999976</v>
      </c>
      <c r="E11" s="24">
        <f>T11</f>
        <v>-7.3623000000000047</v>
      </c>
      <c r="F11" s="24">
        <f>P11</f>
        <v>-2.7981199999999999</v>
      </c>
      <c r="G11" s="73" t="str">
        <f>CONCATENATE(M12,"
(40 ~ 100)")</f>
        <v>自信
(40 ~ 100)</v>
      </c>
      <c r="H11" s="24">
        <f>R12</f>
        <v>1.7338000000000022</v>
      </c>
      <c r="I11" s="52">
        <f>N12</f>
        <v>0.71840000000000259</v>
      </c>
      <c r="J11" s="24">
        <f>T12</f>
        <v>-5.9528999999999996</v>
      </c>
      <c r="K11" s="25">
        <f>P12</f>
        <v>-2.5804299999999998</v>
      </c>
      <c r="L11" s="4"/>
      <c r="M11" s="27" t="str">
        <f>lang!B18</f>
        <v>平衡</v>
      </c>
      <c r="N11" s="59">
        <f t="shared" si="4"/>
        <v>1.4125999999999976</v>
      </c>
      <c r="O11" s="59">
        <f t="shared" si="5"/>
        <v>-1.8363499999999999</v>
      </c>
      <c r="P11" s="59">
        <f t="shared" si="6"/>
        <v>-2.7981199999999999</v>
      </c>
      <c r="Q11" s="59">
        <f t="shared" si="7"/>
        <v>0</v>
      </c>
      <c r="R11" s="59">
        <f t="shared" si="8"/>
        <v>3.6253000000000029</v>
      </c>
      <c r="S11" s="59">
        <f t="shared" si="9"/>
        <v>0</v>
      </c>
      <c r="T11" s="59">
        <f t="shared" si="10"/>
        <v>-7.3623000000000047</v>
      </c>
      <c r="U11" s="14"/>
      <c r="V11" s="27" t="str">
        <f t="shared" si="11"/>
        <v>平衡</v>
      </c>
      <c r="W11" s="59">
        <f>'M1'!B9*1</f>
        <v>68.291300000000007</v>
      </c>
      <c r="X11" s="59">
        <f>'M1'!C9*1</f>
        <v>5.5135800000000001</v>
      </c>
      <c r="Y11" s="59">
        <f>'M1'!D9*1</f>
        <v>8.07362</v>
      </c>
      <c r="Z11" s="59">
        <f>'M1'!E9*1</f>
        <v>50</v>
      </c>
      <c r="AA11" s="59">
        <f>'M1'!F9*1</f>
        <v>59.247199999999999</v>
      </c>
      <c r="AB11" s="59">
        <f>'M1'!G9*1</f>
        <v>100</v>
      </c>
      <c r="AC11" s="59">
        <f>'M1'!H9*1</f>
        <v>83.915599999999998</v>
      </c>
      <c r="AE11" s="27" t="str">
        <f t="shared" si="12"/>
        <v>平衡</v>
      </c>
      <c r="AF11" s="59">
        <f>'M2'!B9*1</f>
        <v>69.703900000000004</v>
      </c>
      <c r="AG11" s="59">
        <f>'M2'!C9*1</f>
        <v>3.6772300000000002</v>
      </c>
      <c r="AH11" s="59">
        <f>'M2'!D9*1</f>
        <v>5.2755000000000001</v>
      </c>
      <c r="AI11" s="59">
        <f>'M2'!E9*1</f>
        <v>50</v>
      </c>
      <c r="AJ11" s="59">
        <f>'M2'!F9*1</f>
        <v>62.872500000000002</v>
      </c>
      <c r="AK11" s="59">
        <f>'M2'!G9*1</f>
        <v>100</v>
      </c>
      <c r="AL11" s="59">
        <f>'M2'!H9*1</f>
        <v>76.553299999999993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2.3039999999999985</v>
      </c>
      <c r="D12" s="51">
        <f>N13</f>
        <v>-7.9245000000000019</v>
      </c>
      <c r="E12" s="53">
        <f>T13</f>
        <v>-9.752799999999997</v>
      </c>
      <c r="F12" s="53">
        <f>P13</f>
        <v>-9.1138100000000009</v>
      </c>
      <c r="G12" s="73" t="str">
        <f>CONCATENATE(M14,"
(50 ~ 100)")</f>
        <v>自我调节
(50 ~ 100)</v>
      </c>
      <c r="H12" s="24">
        <f>R14</f>
        <v>3.3684999999999974</v>
      </c>
      <c r="I12" s="52">
        <f>N14</f>
        <v>0.93569999999999709</v>
      </c>
      <c r="J12" s="24">
        <f>T14</f>
        <v>-7.9625000000000057</v>
      </c>
      <c r="K12" s="25">
        <f>P14</f>
        <v>-3.8487800000000001</v>
      </c>
      <c r="L12" s="4"/>
      <c r="M12" s="27" t="str">
        <f>lang!B19</f>
        <v>自信</v>
      </c>
      <c r="N12" s="59">
        <f t="shared" si="4"/>
        <v>0.71840000000000259</v>
      </c>
      <c r="O12" s="59">
        <f t="shared" si="5"/>
        <v>-1.9713400000000001</v>
      </c>
      <c r="P12" s="59">
        <f t="shared" si="6"/>
        <v>-2.5804299999999998</v>
      </c>
      <c r="Q12" s="59">
        <f t="shared" si="7"/>
        <v>0</v>
      </c>
      <c r="R12" s="59">
        <f t="shared" si="8"/>
        <v>1.7338000000000022</v>
      </c>
      <c r="S12" s="59">
        <f t="shared" si="9"/>
        <v>0</v>
      </c>
      <c r="T12" s="59">
        <f t="shared" si="10"/>
        <v>-5.9528999999999996</v>
      </c>
      <c r="U12" s="15"/>
      <c r="V12" s="27" t="str">
        <f t="shared" si="11"/>
        <v>自信</v>
      </c>
      <c r="W12" s="59">
        <f>'M1'!B10*1</f>
        <v>76.996099999999998</v>
      </c>
      <c r="X12" s="59">
        <f>'M1'!C10*1</f>
        <v>3.64764</v>
      </c>
      <c r="Y12" s="59">
        <f>'M1'!D10*1</f>
        <v>4.7374299999999998</v>
      </c>
      <c r="Z12" s="59">
        <f>'M1'!E10*1</f>
        <v>40</v>
      </c>
      <c r="AA12" s="59">
        <f>'M1'!F10*1</f>
        <v>72.427499999999995</v>
      </c>
      <c r="AB12" s="59">
        <f>'M1'!G10*1</f>
        <v>100</v>
      </c>
      <c r="AC12" s="59">
        <f>'M1'!H10*1</f>
        <v>86.052999999999997</v>
      </c>
      <c r="AE12" s="27" t="str">
        <f t="shared" si="12"/>
        <v>自信</v>
      </c>
      <c r="AF12" s="59">
        <f>'M2'!B10*1</f>
        <v>77.714500000000001</v>
      </c>
      <c r="AG12" s="59">
        <f>'M2'!C10*1</f>
        <v>1.6762999999999999</v>
      </c>
      <c r="AH12" s="59">
        <f>'M2'!D10*1</f>
        <v>2.157</v>
      </c>
      <c r="AI12" s="59">
        <f>'M2'!E10*1</f>
        <v>40</v>
      </c>
      <c r="AJ12" s="59">
        <f>'M2'!F10*1</f>
        <v>74.161299999999997</v>
      </c>
      <c r="AK12" s="59">
        <f>'M2'!G10*1</f>
        <v>100</v>
      </c>
      <c r="AL12" s="59">
        <f>'M2'!H10*1</f>
        <v>80.100099999999998</v>
      </c>
    </row>
    <row r="13" spans="2:38" ht="25.5" customHeight="1" thickBot="1">
      <c r="B13" s="72" t="str">
        <f>CONCATENATE(M15,"
(10 ~ 25)")</f>
        <v>抑郁
(10 ~ 25)</v>
      </c>
      <c r="C13" s="54">
        <f>R15</f>
        <v>-1.2051000000000016</v>
      </c>
      <c r="D13" s="55">
        <f>N15</f>
        <v>-1.8614999999999995</v>
      </c>
      <c r="E13" s="56">
        <f>T15</f>
        <v>13.041999999999994</v>
      </c>
      <c r="F13" s="56">
        <f>P15</f>
        <v>9.5632999999999999</v>
      </c>
      <c r="G13" s="74" t="str">
        <f>CONCATENATE(M16,"
(10 ~ 50)")</f>
        <v>神经质
(10 ~ 50)</v>
      </c>
      <c r="H13" s="54">
        <f>R16</f>
        <v>0.99737999999999971</v>
      </c>
      <c r="I13" s="55">
        <f>N16</f>
        <v>22.7761</v>
      </c>
      <c r="J13" s="56">
        <f>T16</f>
        <v>25.769500000000008</v>
      </c>
      <c r="K13" s="57">
        <f>P16</f>
        <v>-4.8241000000000014</v>
      </c>
      <c r="M13" s="27" t="str">
        <f>lang!B20</f>
        <v>活力</v>
      </c>
      <c r="N13" s="59">
        <f t="shared" si="4"/>
        <v>-7.9245000000000019</v>
      </c>
      <c r="O13" s="59">
        <f t="shared" si="5"/>
        <v>-3.3403900000000002</v>
      </c>
      <c r="P13" s="59">
        <f t="shared" si="6"/>
        <v>-9.1138100000000009</v>
      </c>
      <c r="Q13" s="59">
        <f t="shared" si="7"/>
        <v>0</v>
      </c>
      <c r="R13" s="59">
        <f t="shared" si="8"/>
        <v>2.3039999999999985</v>
      </c>
      <c r="S13" s="59">
        <f t="shared" si="9"/>
        <v>0</v>
      </c>
      <c r="T13" s="59">
        <f t="shared" si="10"/>
        <v>-9.752799999999997</v>
      </c>
      <c r="U13" s="14"/>
      <c r="V13" s="27" t="str">
        <f t="shared" si="11"/>
        <v>活力</v>
      </c>
      <c r="W13" s="59">
        <f>'M1'!B11*1</f>
        <v>30.12</v>
      </c>
      <c r="X13" s="59">
        <f>'M1'!C11*1</f>
        <v>5.0077800000000003</v>
      </c>
      <c r="Y13" s="59">
        <f>'M1'!D11*1</f>
        <v>16.626100000000001</v>
      </c>
      <c r="Z13" s="59">
        <f>'M1'!E11*1</f>
        <v>10</v>
      </c>
      <c r="AA13" s="59">
        <f>'M1'!F11*1</f>
        <v>16.365300000000001</v>
      </c>
      <c r="AB13" s="59">
        <f>'M1'!G11*1</f>
        <v>50</v>
      </c>
      <c r="AC13" s="59">
        <f>'M1'!H11*1</f>
        <v>35.283299999999997</v>
      </c>
      <c r="AE13" s="27" t="str">
        <f t="shared" si="12"/>
        <v>活力</v>
      </c>
      <c r="AF13" s="59">
        <f>'M2'!B11*1</f>
        <v>22.195499999999999</v>
      </c>
      <c r="AG13" s="59">
        <f>'M2'!C11*1</f>
        <v>1.6673899999999999</v>
      </c>
      <c r="AH13" s="59">
        <f>'M2'!D11*1</f>
        <v>7.5122900000000001</v>
      </c>
      <c r="AI13" s="59">
        <f>'M2'!E11*1</f>
        <v>10</v>
      </c>
      <c r="AJ13" s="59">
        <f>'M2'!F11*1</f>
        <v>18.6693</v>
      </c>
      <c r="AK13" s="59">
        <f>'M2'!G11*1</f>
        <v>50</v>
      </c>
      <c r="AL13" s="59">
        <f>'M2'!H11*1</f>
        <v>25.5305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0.93569999999999709</v>
      </c>
      <c r="O14" s="59">
        <f t="shared" si="5"/>
        <v>-2.7780199999999997</v>
      </c>
      <c r="P14" s="59">
        <f t="shared" si="6"/>
        <v>-3.8487800000000001</v>
      </c>
      <c r="Q14" s="59">
        <f t="shared" si="7"/>
        <v>0</v>
      </c>
      <c r="R14" s="59">
        <f t="shared" si="8"/>
        <v>3.3684999999999974</v>
      </c>
      <c r="S14" s="59">
        <f t="shared" si="9"/>
        <v>0</v>
      </c>
      <c r="T14" s="59">
        <f t="shared" si="10"/>
        <v>-7.9625000000000057</v>
      </c>
      <c r="U14" s="14"/>
      <c r="V14" s="27" t="str">
        <f t="shared" si="11"/>
        <v>自我调节</v>
      </c>
      <c r="W14" s="59">
        <f>'M1'!B12*1</f>
        <v>72.733800000000002</v>
      </c>
      <c r="X14" s="59">
        <f>'M1'!C12*1</f>
        <v>4.45824</v>
      </c>
      <c r="Y14" s="59">
        <f>'M1'!D12*1</f>
        <v>6.1295299999999999</v>
      </c>
      <c r="Z14" s="59">
        <f>'M1'!E12*1</f>
        <v>50</v>
      </c>
      <c r="AA14" s="59">
        <f>'M1'!F12*1</f>
        <v>66.580100000000002</v>
      </c>
      <c r="AB14" s="59">
        <f>'M1'!G12*1</f>
        <v>100</v>
      </c>
      <c r="AC14" s="59">
        <f>'M1'!H12*1</f>
        <v>84.951700000000002</v>
      </c>
      <c r="AE14" s="27" t="str">
        <f t="shared" si="12"/>
        <v>自我调节</v>
      </c>
      <c r="AF14" s="59">
        <f>'M2'!B12*1</f>
        <v>73.669499999999999</v>
      </c>
      <c r="AG14" s="59">
        <f>'M2'!C12*1</f>
        <v>1.68022</v>
      </c>
      <c r="AH14" s="59">
        <f>'M2'!D12*1</f>
        <v>2.2807499999999998</v>
      </c>
      <c r="AI14" s="59">
        <f>'M2'!E12*1</f>
        <v>50</v>
      </c>
      <c r="AJ14" s="59">
        <f>'M2'!F12*1</f>
        <v>69.948599999999999</v>
      </c>
      <c r="AK14" s="59">
        <f>'M2'!G12*1</f>
        <v>100</v>
      </c>
      <c r="AL14" s="59">
        <f>'M2'!H12*1</f>
        <v>76.989199999999997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-1.8614999999999995</v>
      </c>
      <c r="O15" s="59">
        <f t="shared" si="5"/>
        <v>2.2776100000000001</v>
      </c>
      <c r="P15" s="59">
        <f t="shared" si="6"/>
        <v>9.5632999999999999</v>
      </c>
      <c r="Q15" s="59">
        <f t="shared" si="7"/>
        <v>0</v>
      </c>
      <c r="R15" s="59">
        <f t="shared" si="8"/>
        <v>-1.2051000000000016</v>
      </c>
      <c r="S15" s="59">
        <f t="shared" si="9"/>
        <v>0</v>
      </c>
      <c r="T15" s="59">
        <f t="shared" si="10"/>
        <v>13.041999999999994</v>
      </c>
      <c r="U15" s="14"/>
      <c r="V15" s="27" t="str">
        <f t="shared" si="11"/>
        <v>抑郁</v>
      </c>
      <c r="W15" s="59">
        <f>'M1'!B13*1</f>
        <v>28.762499999999999</v>
      </c>
      <c r="X15" s="59">
        <f>'M1'!C13*1</f>
        <v>4.5584800000000003</v>
      </c>
      <c r="Y15" s="59">
        <f>'M1'!D13*1</f>
        <v>15.848699999999999</v>
      </c>
      <c r="Z15" s="59">
        <f>'M1'!E13*1</f>
        <v>10</v>
      </c>
      <c r="AA15" s="59">
        <f>'M1'!F13*1</f>
        <v>21.674800000000001</v>
      </c>
      <c r="AB15" s="59">
        <f>'M1'!G13*1</f>
        <v>25</v>
      </c>
      <c r="AC15" s="59">
        <f>'M1'!H13*1</f>
        <v>42.847700000000003</v>
      </c>
      <c r="AE15" s="27" t="str">
        <f t="shared" si="12"/>
        <v>抑郁</v>
      </c>
      <c r="AF15" s="59">
        <f>'M2'!B13*1</f>
        <v>26.901</v>
      </c>
      <c r="AG15" s="59">
        <f>'M2'!C13*1</f>
        <v>6.8360900000000004</v>
      </c>
      <c r="AH15" s="59">
        <f>'M2'!D13*1</f>
        <v>25.411999999999999</v>
      </c>
      <c r="AI15" s="59">
        <f>'M2'!E13*1</f>
        <v>10</v>
      </c>
      <c r="AJ15" s="59">
        <f>'M2'!F13*1</f>
        <v>20.4697</v>
      </c>
      <c r="AK15" s="59">
        <f>'M2'!G13*1</f>
        <v>25</v>
      </c>
      <c r="AL15" s="59">
        <f>'M2'!H13*1</f>
        <v>55.889699999999998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22.7761</v>
      </c>
      <c r="O16" s="59">
        <f t="shared" si="5"/>
        <v>5.4232000000000014</v>
      </c>
      <c r="P16" s="59">
        <f t="shared" si="6"/>
        <v>-4.8241000000000014</v>
      </c>
      <c r="Q16" s="59">
        <f t="shared" si="7"/>
        <v>0</v>
      </c>
      <c r="R16" s="59">
        <f t="shared" si="8"/>
        <v>0.99737999999999971</v>
      </c>
      <c r="S16" s="59">
        <f t="shared" si="9"/>
        <v>0</v>
      </c>
      <c r="T16" s="59">
        <f t="shared" si="10"/>
        <v>25.769500000000008</v>
      </c>
      <c r="U16" s="15"/>
      <c r="V16" s="27" t="str">
        <f t="shared" si="11"/>
        <v>神经质</v>
      </c>
      <c r="W16" s="59">
        <f>'M1'!B14*1</f>
        <v>45.584800000000001</v>
      </c>
      <c r="X16" s="59">
        <f>'M1'!C14*1</f>
        <v>17.4544</v>
      </c>
      <c r="Y16" s="59">
        <f>'M1'!D14*1</f>
        <v>38.29</v>
      </c>
      <c r="Z16" s="59">
        <f>'M1'!E14*1</f>
        <v>10</v>
      </c>
      <c r="AA16" s="59">
        <f>'M1'!F14*1</f>
        <v>3.7773500000000002</v>
      </c>
      <c r="AB16" s="59">
        <f>'M1'!G14*1</f>
        <v>50</v>
      </c>
      <c r="AC16" s="59">
        <f>'M1'!H14*1</f>
        <v>64.585899999999995</v>
      </c>
      <c r="AE16" s="27" t="str">
        <f t="shared" si="12"/>
        <v>神经质</v>
      </c>
      <c r="AF16" s="59">
        <f>'M2'!B14*1</f>
        <v>68.360900000000001</v>
      </c>
      <c r="AG16" s="59">
        <f>'M2'!C14*1</f>
        <v>22.877600000000001</v>
      </c>
      <c r="AH16" s="59">
        <f>'M2'!D14*1</f>
        <v>33.465899999999998</v>
      </c>
      <c r="AI16" s="59">
        <f>'M2'!E14*1</f>
        <v>10</v>
      </c>
      <c r="AJ16" s="59">
        <f>'M2'!F14*1</f>
        <v>4.7747299999999999</v>
      </c>
      <c r="AK16" s="59">
        <f>'M2'!G14*1</f>
        <v>50</v>
      </c>
      <c r="AL16" s="59">
        <f>'M2'!H14*1</f>
        <v>90.355400000000003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-1.2144500000000011</v>
      </c>
      <c r="O17" s="22">
        <f>N17/(N17+N18+N19)</f>
        <v>-0.12737059867694844</v>
      </c>
      <c r="P17" s="65">
        <f>SUM(P11:P14)/4</f>
        <v>-4.5852850000000007</v>
      </c>
      <c r="Q17" s="22">
        <f>P17/(P17+P18+P19)</f>
        <v>0.83566795517380243</v>
      </c>
      <c r="R17" s="14"/>
      <c r="S17" s="14"/>
      <c r="T17" s="14"/>
      <c r="U17" s="14"/>
      <c r="V17" s="21" t="str">
        <f>M17</f>
        <v>Positive</v>
      </c>
      <c r="W17" s="65">
        <f>SUM(W11:W14)/4</f>
        <v>62.035299999999999</v>
      </c>
      <c r="X17" s="22">
        <f>W17/(W17+W18+W19)</f>
        <v>0.47020207752744708</v>
      </c>
      <c r="Y17" s="65">
        <f>SUM(Y11:Y14)/4</f>
        <v>8.8916700000000013</v>
      </c>
      <c r="Z17" s="22">
        <f>Y17/(Y17+Y18+Y19)</f>
        <v>0.15402886970539675</v>
      </c>
      <c r="AA17" s="14"/>
      <c r="AB17" s="14"/>
      <c r="AC17" s="14"/>
      <c r="AE17" s="21" t="str">
        <f>V17</f>
        <v>Positive</v>
      </c>
      <c r="AF17" s="65">
        <f>SUM(AF11:AF14)/4</f>
        <v>60.820850000000007</v>
      </c>
      <c r="AG17" s="22">
        <f>AF17/(AF17+AF18+AF19)</f>
        <v>0.42992640387705922</v>
      </c>
      <c r="AH17" s="65">
        <f>SUM(AH11:AH14)/4</f>
        <v>4.3063850000000006</v>
      </c>
      <c r="AI17" s="22">
        <f>AH17/(AH17+AH18+AH19)</f>
        <v>8.2434115790818691E-2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0.29192499999999999</v>
      </c>
      <c r="O18" s="22">
        <f>N18/(N17+N18+N19)</f>
        <v>3.0616873497277073E-2</v>
      </c>
      <c r="P18" s="18">
        <f>SUM(P7:P10)/4</f>
        <v>-3.2712850000000011</v>
      </c>
      <c r="Q18" s="22">
        <f>P18/(P17+P18+P19)</f>
        <v>0.59619152282589483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32.724325</v>
      </c>
      <c r="X18" s="22">
        <f>W18/(W17+W18+W19)</f>
        <v>0.248036933821282</v>
      </c>
      <c r="Y18" s="18">
        <f>SUM(Y7:Y10)/4</f>
        <v>21.766275</v>
      </c>
      <c r="Z18" s="22">
        <f>Y18/(Y17+Y18+Y19)</f>
        <v>0.37705343719985496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33.016249999999999</v>
      </c>
      <c r="AG18" s="22">
        <f>AF18/(AF17+AF18+AF19)</f>
        <v>0.23338308543872627</v>
      </c>
      <c r="AH18" s="18">
        <f>SUM(AH7:AH10)/4</f>
        <v>18.494989999999998</v>
      </c>
      <c r="AI18" s="22">
        <f>AH18/(AH17+AH18+AH19)</f>
        <v>0.35403665654836564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10.4573</v>
      </c>
      <c r="O19" s="22">
        <f>N19/(N17+N18+N19)</f>
        <v>1.0967537251796713</v>
      </c>
      <c r="P19" s="18">
        <f>(P15+P16)/2</f>
        <v>2.3695999999999993</v>
      </c>
      <c r="Q19" s="22">
        <f>P19/(P17+P18+P19)</f>
        <v>-0.43185947799969715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37.173650000000002</v>
      </c>
      <c r="X19" s="22">
        <f>W19/(W17+W18+W19)</f>
        <v>0.28176098865127086</v>
      </c>
      <c r="Y19" s="18">
        <f>(Y15+Y16)/2</f>
        <v>27.06935</v>
      </c>
      <c r="Z19" s="22">
        <f>Y19/(Y17+Y18+Y19)</f>
        <v>0.46891769309474834</v>
      </c>
      <c r="AA19" s="14"/>
      <c r="AB19" s="14"/>
      <c r="AC19" s="14"/>
      <c r="AE19" s="21" t="str">
        <f t="shared" si="14"/>
        <v>Physiological</v>
      </c>
      <c r="AF19" s="18">
        <f>(AF15+AF16)/2</f>
        <v>47.630949999999999</v>
      </c>
      <c r="AG19" s="22">
        <f>AF19/(AF17+AF18+AF19)</f>
        <v>0.33669051068421452</v>
      </c>
      <c r="AH19" s="18">
        <f>(AH15+AH16)/2</f>
        <v>29.438949999999998</v>
      </c>
      <c r="AI19" s="22">
        <f>AH19/(AH17+AH18+AH19)</f>
        <v>0.5635292276608157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2.02/1.81</v>
      </c>
      <c r="D24" s="44" t="str">
        <f>lang!B11</f>
        <v>频率方差</v>
      </c>
      <c r="E24" s="142" t="str">
        <f ca="1">CONCATENATE(ROUND('FH1'!L3,2),"/",ROUND('FH2'!L3,2))</f>
        <v>0.69/0.71</v>
      </c>
      <c r="F24" s="143"/>
      <c r="G24" s="134" t="str">
        <f>lang!B12</f>
        <v>生理变化率</v>
      </c>
      <c r="H24" s="135"/>
      <c r="I24" s="62" t="str">
        <f ca="1">CONCATENATE(info!M7,"-",info!M8)</f>
        <v>24.3-46.4</v>
      </c>
      <c r="J24" s="42" t="str">
        <f>lang!B13</f>
        <v>千卡l/分钟</v>
      </c>
      <c r="K24" s="41" t="str">
        <f ca="1">CONCATENATE(info!M5,"-",info!M6)</f>
        <v>3.3-4.7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5.0105000000000013</v>
      </c>
      <c r="F27" s="164"/>
      <c r="G27" s="178" t="str">
        <f>lang!B33</f>
        <v>稳定性</v>
      </c>
      <c r="H27" s="179"/>
      <c r="I27" s="180"/>
      <c r="J27" s="181">
        <f>dM!B19*100</f>
        <v>-4.148299999999999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-0.40869441914788518</v>
      </c>
      <c r="C2">
        <f t="array" aca="1" ref="C2" ca="1">CORREL(FT_E02,FT_PH02)</f>
        <v>0.67905017539897738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3.2958700000000003</v>
      </c>
      <c r="G2" s="61">
        <f>IF(FT!B2&lt;&gt;"",FT!B2*100,"")</f>
        <v>46.396100000000004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4.9207200000000002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1.929694117647059E-2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3.3802300000000001</v>
      </c>
      <c r="G3" s="61">
        <f>IF(FT!B3&lt;&gt;"",FT!B3*100,"")</f>
        <v>45.656100000000002</v>
      </c>
      <c r="H3" s="61">
        <f t="shared" ref="H3:H66" si="1">(IF(F3&lt;&gt;"",1,""))</f>
        <v>1</v>
      </c>
      <c r="I3" t="str">
        <f>IF(FT!B3&lt;&gt;"",FT!E3,"")</f>
        <v>1 [0.373892]</v>
      </c>
      <c r="J3">
        <f>IF(FT!B3&lt;&gt;"",FT!C3,"")</f>
        <v>0.373892</v>
      </c>
      <c r="K3" t="s">
        <v>52</v>
      </c>
      <c r="L3">
        <f>SUM(H2:H2005)</f>
        <v>149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0.33298686486486495</v>
      </c>
      <c r="V3">
        <f ca="1">AVERAGE(OFFSET(FT!B2,info!$L$3/2,0,info!$L$3/2,1))</f>
        <v>0.2739543648648648</v>
      </c>
      <c r="W3">
        <f ca="1">AVERAGE(OFFSET(FT!A2,0,0,info!$L$3/2,1))</f>
        <v>0.41896944594594593</v>
      </c>
      <c r="X3">
        <f ca="1">AVERAGE(OFFSET(FT!A2,info!$L$3/2,0,info!$L$3/2,1))</f>
        <v>0.36952258108108116</v>
      </c>
    </row>
    <row r="4" spans="1:24">
      <c r="A4" s="61">
        <f t="shared" ref="A4:A67" si="2">A3+1</f>
        <v>2</v>
      </c>
      <c r="B4" s="61">
        <f t="shared" si="0"/>
        <v>3.8593882352941179E-2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3.4626800000000002</v>
      </c>
      <c r="G4" s="61">
        <f>IF(FT!B4&lt;&gt;"",FT!B4*100,"")</f>
        <v>44.925699999999999</v>
      </c>
      <c r="H4" s="61">
        <f t="shared" si="1"/>
        <v>1</v>
      </c>
      <c r="I4" t="str">
        <f>IF(FT!B4&lt;&gt;"",FT!E4,"")</f>
        <v>1 [0.783672]</v>
      </c>
      <c r="J4">
        <f>IF(FT!B4&lt;&gt;"",FT!C4,"")</f>
        <v>0.78367200000000004</v>
      </c>
      <c r="O4">
        <f>O3+1</f>
        <v>1</v>
      </c>
      <c r="P4">
        <v>0</v>
      </c>
      <c r="Q4">
        <f>IF(R4=1998,0,R4)</f>
        <v>74</v>
      </c>
      <c r="R4">
        <f t="array" ref="R4">MAX(IF(ft_nq=O4,row_n))</f>
        <v>74</v>
      </c>
      <c r="S4">
        <f>Q4-P4+1</f>
        <v>75</v>
      </c>
      <c r="U4">
        <f>MAX(FT!C2:C4000)/4</f>
        <v>15.038500000000001</v>
      </c>
      <c r="V4">
        <f>U4*3</f>
        <v>45.115500000000004</v>
      </c>
      <c r="W4">
        <f>U4</f>
        <v>15.038500000000001</v>
      </c>
      <c r="X4">
        <f>V4</f>
        <v>45.115500000000004</v>
      </c>
    </row>
    <row r="5" spans="1:24">
      <c r="A5" s="61">
        <f t="shared" si="2"/>
        <v>3</v>
      </c>
      <c r="B5" s="61">
        <f t="shared" si="0"/>
        <v>5.7890823529411765E-2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3.5436899999999998</v>
      </c>
      <c r="G5" s="61">
        <f>IF(FT!B5&lt;&gt;"",FT!B5*100,"")</f>
        <v>44.160600000000002</v>
      </c>
      <c r="H5" s="61">
        <f t="shared" si="1"/>
        <v>1</v>
      </c>
      <c r="I5" t="str">
        <f>IF(FT!B5&lt;&gt;"",FT!E5,"")</f>
        <v>1 [1.185695]</v>
      </c>
      <c r="J5">
        <f>IF(FT!B5&lt;&gt;"",FT!C5,"")</f>
        <v>1.1856899999999999</v>
      </c>
      <c r="K5" t="s">
        <v>53</v>
      </c>
      <c r="L5" s="63">
        <f ca="1">MIN(FT_E)</f>
        <v>3.2958700000000003</v>
      </c>
      <c r="M5" s="63">
        <f ca="1">ROUND(L5,1)</f>
        <v>3.3</v>
      </c>
      <c r="O5">
        <f t="shared" ref="O5:O27" si="4">O4+1</f>
        <v>2</v>
      </c>
      <c r="P5">
        <f>IF(OR(R5=1998,R5=0),0,Q4)</f>
        <v>74</v>
      </c>
      <c r="Q5">
        <f>IF(R5=1998,0,R5)</f>
        <v>148</v>
      </c>
      <c r="R5">
        <f t="array" ref="R5">MAX(IF(ft_nq=O5,row_n))</f>
        <v>148</v>
      </c>
      <c r="S5">
        <f t="shared" ref="S5:S27" si="5">Q5-P5+1</f>
        <v>75</v>
      </c>
      <c r="U5">
        <f ca="1">U3*100</f>
        <v>33.298686486486496</v>
      </c>
      <c r="V5">
        <f ca="1">V3*100</f>
        <v>27.395436486486481</v>
      </c>
      <c r="W5">
        <f ca="1">W3*10</f>
        <v>4.1896944594594592</v>
      </c>
      <c r="X5">
        <f ca="1">X3*10</f>
        <v>3.6952258108108116</v>
      </c>
    </row>
    <row r="6" spans="1:24">
      <c r="A6" s="61">
        <f t="shared" si="2"/>
        <v>4</v>
      </c>
      <c r="B6" s="61">
        <f t="shared" si="0"/>
        <v>7.7187764705882358E-2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3.6262499999999998</v>
      </c>
      <c r="G6" s="61">
        <f>IF(FT!B6&lt;&gt;"",FT!B6*100,"")</f>
        <v>43.270299999999999</v>
      </c>
      <c r="H6" s="61">
        <f t="shared" si="1"/>
        <v>1</v>
      </c>
      <c r="I6" t="str">
        <f>IF(FT!B6&lt;&gt;"",FT!E6,"")</f>
        <v>1 [1.592125]</v>
      </c>
      <c r="J6">
        <f>IF(FT!B6&lt;&gt;"",FT!C6,"")</f>
        <v>1.59213</v>
      </c>
      <c r="K6" t="s">
        <v>54</v>
      </c>
      <c r="L6" s="63">
        <f ca="1">MAX(FT_E)</f>
        <v>4.6988700000000003</v>
      </c>
      <c r="M6" s="63">
        <f ca="1">ROUND(L6,1)</f>
        <v>4.7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9.6484705882352945E-2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3.70689</v>
      </c>
      <c r="G7" s="61">
        <f>IF(FT!B7&lt;&gt;"",FT!B7*100,"")</f>
        <v>42.487299999999998</v>
      </c>
      <c r="H7" s="61">
        <f t="shared" si="1"/>
        <v>1</v>
      </c>
      <c r="I7" t="str">
        <f>IF(FT!B7&lt;&gt;"",FT!E7,"")</f>
        <v>1 [1.998232]</v>
      </c>
      <c r="J7">
        <f>IF(FT!B7&lt;&gt;"",FT!C7,"")</f>
        <v>1.99823</v>
      </c>
      <c r="K7" t="s">
        <v>55</v>
      </c>
      <c r="L7" s="63">
        <f ca="1">MIN(FT_PH)</f>
        <v>24.284600000000001</v>
      </c>
      <c r="M7" s="63">
        <f ca="1">ROUND(L7,1)</f>
        <v>24.3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0.11578164705882353</v>
      </c>
      <c r="C8" s="61">
        <f>FH!A8*1</f>
        <v>228</v>
      </c>
      <c r="D8" s="61">
        <f>FH!B8*1</f>
        <v>228</v>
      </c>
      <c r="E8">
        <f t="shared" si="3"/>
        <v>6</v>
      </c>
      <c r="F8" s="61">
        <f>IF(FT!A8&lt;&gt;"",FT!A8*10,"")</f>
        <v>3.7879</v>
      </c>
      <c r="G8" s="61">
        <f>IF(FT!B8&lt;&gt;"",FT!B8*100,"")</f>
        <v>41.762500000000003</v>
      </c>
      <c r="H8" s="61">
        <f t="shared" si="1"/>
        <v>1</v>
      </c>
      <c r="I8" t="str">
        <f>IF(FT!B8&lt;&gt;"",FT!E8,"")</f>
        <v>1 [2.403627]</v>
      </c>
      <c r="J8">
        <f>IF(FT!B8&lt;&gt;"",FT!C8,"")</f>
        <v>2.4036300000000002</v>
      </c>
      <c r="K8" t="s">
        <v>56</v>
      </c>
      <c r="L8" s="63">
        <f ca="1">MAX(FT_PH)</f>
        <v>46.396100000000004</v>
      </c>
      <c r="M8" s="63">
        <f ca="1">ROUND(L8,1)</f>
        <v>46.4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0.13507858823529412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3.8651400000000002</v>
      </c>
      <c r="G9" s="61">
        <f>IF(FT!B9&lt;&gt;"",FT!B9*100,"")</f>
        <v>41.094000000000001</v>
      </c>
      <c r="H9" s="61">
        <f t="shared" si="1"/>
        <v>1</v>
      </c>
      <c r="I9" t="str">
        <f>IF(FT!B9&lt;&gt;"",FT!E9,"")</f>
        <v>1 [2.814777]</v>
      </c>
      <c r="J9">
        <f>IF(FT!B9&lt;&gt;"",FT!C9,"")</f>
        <v>2.8147799999999998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0.15437552941176472</v>
      </c>
      <c r="C10" s="61">
        <f>FH!A10*1</f>
        <v>1179</v>
      </c>
      <c r="D10" s="61">
        <f>FH!B10*1</f>
        <v>1179</v>
      </c>
      <c r="E10">
        <f t="shared" si="3"/>
        <v>8</v>
      </c>
      <c r="F10" s="61">
        <f>IF(FT!A10&lt;&gt;"",FT!A10*10,"")</f>
        <v>3.9443899999999998</v>
      </c>
      <c r="G10" s="61">
        <f>IF(FT!B10&lt;&gt;"",FT!B10*100,"")</f>
        <v>40.331000000000003</v>
      </c>
      <c r="H10" s="61">
        <f t="shared" si="1"/>
        <v>1</v>
      </c>
      <c r="I10" t="str">
        <f>IF(FT!B10&lt;&gt;"",FT!E10,"")</f>
        <v>1 [3.218338]</v>
      </c>
      <c r="J10">
        <f>IF(FT!B10&lt;&gt;"",FT!C10,"")</f>
        <v>3.21834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0.17367247058823529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4.0222499999999997</v>
      </c>
      <c r="G11" s="61">
        <f>IF(FT!B11&lt;&gt;"",FT!B11*100,"")</f>
        <v>39.525799999999997</v>
      </c>
      <c r="H11" s="61">
        <f t="shared" si="1"/>
        <v>1</v>
      </c>
      <c r="I11" t="str">
        <f>IF(FT!B11&lt;&gt;"",FT!E11,"")</f>
        <v>1 [3.624686]</v>
      </c>
      <c r="J11">
        <f>IF(FT!B11&lt;&gt;"",FT!C11,"")</f>
        <v>3.6246900000000002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0.19296941176470589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4.0961999999999996</v>
      </c>
      <c r="G12" s="61">
        <f>IF(FT!B12&lt;&gt;"",FT!B12*100,"")</f>
        <v>38.908500000000004</v>
      </c>
      <c r="H12" s="61">
        <f t="shared" si="1"/>
        <v>1</v>
      </c>
      <c r="I12" t="str">
        <f>IF(FT!B12&lt;&gt;"",FT!E12,"")</f>
        <v>1 [4.030828]</v>
      </c>
      <c r="J12">
        <f>IF(FT!B12&lt;&gt;"",FT!C12,"")</f>
        <v>4.0308299999999999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0.21226635294117649</v>
      </c>
      <c r="C13" s="61">
        <f>FH!A13*1</f>
        <v>1893</v>
      </c>
      <c r="D13" s="61">
        <f>FH!B13*1</f>
        <v>1893</v>
      </c>
      <c r="E13">
        <f t="shared" si="3"/>
        <v>11</v>
      </c>
      <c r="F13" s="61">
        <f>IF(FT!A13&lt;&gt;"",FT!A13*10,"")</f>
        <v>4.1648499999999995</v>
      </c>
      <c r="G13" s="61">
        <f>IF(FT!B13&lt;&gt;"",FT!B13*100,"")</f>
        <v>38.454000000000001</v>
      </c>
      <c r="H13" s="61">
        <f t="shared" si="1"/>
        <v>1</v>
      </c>
      <c r="I13" t="str">
        <f>IF(FT!B13&lt;&gt;"",FT!E13,"")</f>
        <v>1 [4.437342]</v>
      </c>
      <c r="J13">
        <f>IF(FT!B13&lt;&gt;"",FT!C13,"")</f>
        <v>4.4373399999999998</v>
      </c>
      <c r="L13" s="67">
        <f t="array" ref="L13">MAX(IF(ft_nq=2,row_n))</f>
        <v>148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0.23156329411764706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4.2270799999999999</v>
      </c>
      <c r="G14" s="61">
        <f>IF(FT!B14&lt;&gt;"",FT!B14*100,"")</f>
        <v>38.072600000000001</v>
      </c>
      <c r="H14" s="61">
        <f t="shared" si="1"/>
        <v>1</v>
      </c>
      <c r="I14" t="str">
        <f>IF(FT!B14&lt;&gt;"",FT!E14,"")</f>
        <v>1 [4.841579]</v>
      </c>
      <c r="J14">
        <f>IF(FT!B14&lt;&gt;"",FT!C14,"")</f>
        <v>4.8415800000000004</v>
      </c>
      <c r="L14">
        <f>L13+1</f>
        <v>149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0.25086023529411766</v>
      </c>
      <c r="C15" s="61">
        <f>FH!A15*1</f>
        <v>1946</v>
      </c>
      <c r="D15" s="61">
        <f>FH!B15*1</f>
        <v>1946</v>
      </c>
      <c r="E15">
        <f t="shared" si="3"/>
        <v>13</v>
      </c>
      <c r="F15" s="61">
        <f>IF(FT!A15&lt;&gt;"",FT!A15*10,"")</f>
        <v>4.2857200000000004</v>
      </c>
      <c r="G15" s="61">
        <f>IF(FT!B15&lt;&gt;"",FT!B15*100,"")</f>
        <v>37.737500000000004</v>
      </c>
      <c r="H15" s="61">
        <f t="shared" si="1"/>
        <v>1</v>
      </c>
      <c r="I15" t="str">
        <f>IF(FT!B15&lt;&gt;"",FT!E15,"")</f>
        <v>1 [5.252749]</v>
      </c>
      <c r="J15">
        <f>IF(FT!B15&lt;&gt;"",FT!C15,"")</f>
        <v>5.2527499999999998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0.27015717647058823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4.34091</v>
      </c>
      <c r="G16" s="61">
        <f>IF(FT!B16&lt;&gt;"",FT!B16*100,"")</f>
        <v>37.391500000000001</v>
      </c>
      <c r="H16" s="61">
        <f t="shared" si="1"/>
        <v>1</v>
      </c>
      <c r="I16" t="str">
        <f>IF(FT!B16&lt;&gt;"",FT!E16,"")</f>
        <v>1 [5.658105]</v>
      </c>
      <c r="J16">
        <f>IF(FT!B16&lt;&gt;"",FT!C16,"")</f>
        <v>5.6581000000000001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0.28945411764705881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4.3917299999999999</v>
      </c>
      <c r="G17" s="61">
        <f>IF(FT!B17&lt;&gt;"",FT!B17*100,"")</f>
        <v>37.0914</v>
      </c>
      <c r="H17" s="61">
        <f t="shared" si="1"/>
        <v>1</v>
      </c>
      <c r="I17" t="str">
        <f>IF(FT!B17&lt;&gt;"",FT!E17,"")</f>
        <v>1 [6.061334]</v>
      </c>
      <c r="J17">
        <f>IF(FT!B17&lt;&gt;"",FT!C17,"")</f>
        <v>6.0613299999999999</v>
      </c>
      <c r="L17">
        <f>L3+1</f>
        <v>150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0.30875105882352943</v>
      </c>
      <c r="C18" s="61">
        <f>FH!A18*1</f>
        <v>3482</v>
      </c>
      <c r="D18" s="61">
        <f>FH!B18*1</f>
        <v>3482</v>
      </c>
      <c r="E18">
        <f t="shared" si="3"/>
        <v>16</v>
      </c>
      <c r="F18" s="61">
        <f>IF(FT!A18&lt;&gt;"",FT!A18*10,"")</f>
        <v>4.4376300000000004</v>
      </c>
      <c r="G18" s="61">
        <f>IF(FT!B18&lt;&gt;"",FT!B18*100,"")</f>
        <v>36.742399999999996</v>
      </c>
      <c r="H18" s="61">
        <f t="shared" si="1"/>
        <v>1</v>
      </c>
      <c r="I18" t="str">
        <f>IF(FT!B18&lt;&gt;"",FT!E18,"")</f>
        <v>1 [6.467799]</v>
      </c>
      <c r="J18">
        <f>IF(FT!B18&lt;&gt;"",FT!C18,"")</f>
        <v>6.4678000000000004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0.32804800000000001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4.4817900000000002</v>
      </c>
      <c r="G19" s="61">
        <f>IF(FT!B19&lt;&gt;"",FT!B19*100,"")</f>
        <v>36.396000000000001</v>
      </c>
      <c r="H19" s="61">
        <f t="shared" si="1"/>
        <v>1</v>
      </c>
      <c r="I19" t="str">
        <f>IF(FT!B19&lt;&gt;"",FT!E19,"")</f>
        <v>1 [6.876815]</v>
      </c>
      <c r="J19">
        <f>IF(FT!B19&lt;&gt;"",FT!C19,"")</f>
        <v>6.8768099999999999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0.34734494117647058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4.5210900000000001</v>
      </c>
      <c r="G20" s="61">
        <f>IF(FT!B20&lt;&gt;"",FT!B20*100,"")</f>
        <v>35.9711</v>
      </c>
      <c r="H20" s="61">
        <f t="shared" si="1"/>
        <v>1</v>
      </c>
      <c r="I20" t="str">
        <f>IF(FT!B20&lt;&gt;"",FT!E20,"")</f>
        <v>1 [7.281227]</v>
      </c>
      <c r="J20">
        <f>IF(FT!B20&lt;&gt;"",FT!C20,"")</f>
        <v>7.2812299999999999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0.36664188235294121</v>
      </c>
      <c r="C21" s="61">
        <f>FH!A21*1</f>
        <v>3481</v>
      </c>
      <c r="D21" s="61">
        <f>FH!B21*1</f>
        <v>3481</v>
      </c>
      <c r="E21">
        <f t="shared" si="3"/>
        <v>19</v>
      </c>
      <c r="F21" s="61">
        <f>IF(FT!A21&lt;&gt;"",FT!A21*10,"")</f>
        <v>4.5542899999999999</v>
      </c>
      <c r="G21" s="61">
        <f>IF(FT!B21&lt;&gt;"",FT!B21*100,"")</f>
        <v>35.505299999999998</v>
      </c>
      <c r="H21" s="61">
        <f t="shared" si="1"/>
        <v>1</v>
      </c>
      <c r="I21" t="str">
        <f>IF(FT!B21&lt;&gt;"",FT!E21,"")</f>
        <v>1 [7.686534]</v>
      </c>
      <c r="J21">
        <f>IF(FT!B21&lt;&gt;"",FT!C21,"")</f>
        <v>7.6865300000000003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0.38593882352941178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4.5838000000000001</v>
      </c>
      <c r="G22" s="61">
        <f>IF(FT!B22&lt;&gt;"",FT!B22*100,"")</f>
        <v>34.988799999999998</v>
      </c>
      <c r="H22" s="61">
        <f t="shared" si="1"/>
        <v>1</v>
      </c>
      <c r="I22" t="str">
        <f>IF(FT!B22&lt;&gt;"",FT!E22,"")</f>
        <v>1 [8.090154]</v>
      </c>
      <c r="J22">
        <f>IF(FT!B22&lt;&gt;"",FT!C22,"")</f>
        <v>8.0901499999999995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0.40523576470588235</v>
      </c>
      <c r="C23" s="61">
        <f>FH!A23*1</f>
        <v>6984</v>
      </c>
      <c r="D23" s="61">
        <f>FH!B23*1</f>
        <v>6984</v>
      </c>
      <c r="E23">
        <f t="shared" si="3"/>
        <v>21</v>
      </c>
      <c r="F23" s="61">
        <f>IF(FT!A23&lt;&gt;"",FT!A23*10,"")</f>
        <v>4.6088300000000002</v>
      </c>
      <c r="G23" s="61">
        <f>IF(FT!B23&lt;&gt;"",FT!B23*100,"")</f>
        <v>34.508200000000002</v>
      </c>
      <c r="H23" s="61">
        <f t="shared" si="1"/>
        <v>1</v>
      </c>
      <c r="I23" t="str">
        <f>IF(FT!B23&lt;&gt;"",FT!E23,"")</f>
        <v>1 [8.499186]</v>
      </c>
      <c r="J23">
        <f>IF(FT!B23&lt;&gt;"",FT!C23,"")</f>
        <v>8.4991900000000005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0.42453270588235298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4.6299799999999998</v>
      </c>
      <c r="G24" s="61">
        <f>IF(FT!B24&lt;&gt;"",FT!B24*100,"")</f>
        <v>33.972200000000001</v>
      </c>
      <c r="H24" s="61">
        <f t="shared" si="1"/>
        <v>1</v>
      </c>
      <c r="I24" t="str">
        <f>IF(FT!B24&lt;&gt;"",FT!E24,"")</f>
        <v>1 [8.907853]</v>
      </c>
      <c r="J24">
        <f>IF(FT!B24&lt;&gt;"",FT!C24,"")</f>
        <v>8.9078499999999998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0.44382964705882355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4.6483299999999996</v>
      </c>
      <c r="G25" s="61">
        <f>IF(FT!B25&lt;&gt;"",FT!B25*100,"")</f>
        <v>33.444400000000002</v>
      </c>
      <c r="H25" s="61">
        <f t="shared" si="1"/>
        <v>1</v>
      </c>
      <c r="I25" t="str">
        <f>IF(FT!B25&lt;&gt;"",FT!E25,"")</f>
        <v>1 [9.314187]</v>
      </c>
      <c r="J25">
        <f>IF(FT!B25&lt;&gt;"",FT!C25,"")</f>
        <v>9.31419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0.46312658823529412</v>
      </c>
      <c r="C26" s="61">
        <f>FH!A26*1</f>
        <v>11369</v>
      </c>
      <c r="D26" s="61">
        <f>FH!B26*1</f>
        <v>11369</v>
      </c>
      <c r="E26">
        <f t="shared" si="3"/>
        <v>24</v>
      </c>
      <c r="F26" s="61">
        <f>IF(FT!A26&lt;&gt;"",FT!A26*10,"")</f>
        <v>4.66418</v>
      </c>
      <c r="G26" s="61">
        <f>IF(FT!B26&lt;&gt;"",FT!B26*100,"")</f>
        <v>32.9071</v>
      </c>
      <c r="H26" s="61">
        <f t="shared" si="1"/>
        <v>1</v>
      </c>
      <c r="I26" t="str">
        <f>IF(FT!B26&lt;&gt;"",FT!E26,"")</f>
        <v>1 [9.717424]</v>
      </c>
      <c r="J26">
        <f>IF(FT!B26&lt;&gt;"",FT!C26,"")</f>
        <v>9.7174200000000006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0.4824235294117647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4.6787000000000001</v>
      </c>
      <c r="G27" s="61">
        <f>IF(FT!B27&lt;&gt;"",FT!B27*100,"")</f>
        <v>32.401799999999994</v>
      </c>
      <c r="H27" s="61">
        <f t="shared" si="1"/>
        <v>1</v>
      </c>
      <c r="I27" t="str">
        <f>IF(FT!B27&lt;&gt;"",FT!E27,"")</f>
        <v>1 [10.123256]</v>
      </c>
      <c r="J27">
        <f>IF(FT!B27&lt;&gt;"",FT!C27,"")</f>
        <v>10.1233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0.50172047058823532</v>
      </c>
      <c r="C28" s="61">
        <f>FH!A28*1</f>
        <v>18554</v>
      </c>
      <c r="D28" s="61">
        <f>FH!B28*1</f>
        <v>18554</v>
      </c>
      <c r="E28">
        <f t="shared" si="3"/>
        <v>26</v>
      </c>
      <c r="F28" s="61">
        <f>IF(FT!A28&lt;&gt;"",FT!A28*10,"")</f>
        <v>4.6896900000000006</v>
      </c>
      <c r="G28" s="61">
        <f>IF(FT!B28&lt;&gt;"",FT!B28*100,"")</f>
        <v>31.905799999999999</v>
      </c>
      <c r="H28" s="61">
        <f t="shared" si="1"/>
        <v>1</v>
      </c>
      <c r="I28" t="str">
        <f>IF(FT!B28&lt;&gt;"",FT!E28,"")</f>
        <v>1 [10.528734]</v>
      </c>
      <c r="J28">
        <f>IF(FT!B28&lt;&gt;"",FT!C28,"")</f>
        <v>10.528700000000001</v>
      </c>
    </row>
    <row r="29" spans="1:19">
      <c r="A29" s="61">
        <f t="shared" si="2"/>
        <v>27</v>
      </c>
      <c r="B29" s="61">
        <f t="shared" si="0"/>
        <v>0.52101741176470595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4.6958699999999993</v>
      </c>
      <c r="G29" s="61">
        <f>IF(FT!B29&lt;&gt;"",FT!B29*100,"")</f>
        <v>31.418900000000001</v>
      </c>
      <c r="H29" s="61">
        <f t="shared" si="1"/>
        <v>1</v>
      </c>
      <c r="I29" t="str">
        <f>IF(FT!B29&lt;&gt;"",FT!E29,"")</f>
        <v>1 [10.938291]</v>
      </c>
      <c r="J29">
        <f>IF(FT!B29&lt;&gt;"",FT!C29,"")</f>
        <v>10.9383</v>
      </c>
    </row>
    <row r="30" spans="1:19">
      <c r="A30" s="61">
        <f t="shared" si="2"/>
        <v>28</v>
      </c>
      <c r="B30" s="61">
        <f t="shared" si="0"/>
        <v>0.54031435294117647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4.6988700000000003</v>
      </c>
      <c r="G30" s="61">
        <f>IF(FT!B30&lt;&gt;"",FT!B30*100,"")</f>
        <v>30.993600000000001</v>
      </c>
      <c r="H30" s="61">
        <f t="shared" si="1"/>
        <v>1</v>
      </c>
      <c r="I30" t="str">
        <f>IF(FT!B30&lt;&gt;"",FT!E30,"")</f>
        <v>1 [11.342981]</v>
      </c>
      <c r="J30">
        <f>IF(FT!B30&lt;&gt;"",FT!C30,"")</f>
        <v>11.343</v>
      </c>
    </row>
    <row r="31" spans="1:19">
      <c r="A31" s="61">
        <f t="shared" si="2"/>
        <v>29</v>
      </c>
      <c r="B31" s="61">
        <f t="shared" si="0"/>
        <v>0.5596112941176471</v>
      </c>
      <c r="C31" s="61">
        <f>FH!A31*1</f>
        <v>23302</v>
      </c>
      <c r="D31" s="61">
        <f>FH!B31*1</f>
        <v>23302</v>
      </c>
      <c r="E31">
        <f t="shared" si="3"/>
        <v>29</v>
      </c>
      <c r="F31" s="61">
        <f>IF(FT!A31&lt;&gt;"",FT!A31*10,"")</f>
        <v>4.6969099999999999</v>
      </c>
      <c r="G31" s="61">
        <f>IF(FT!B31&lt;&gt;"",FT!B31*100,"")</f>
        <v>30.650699999999997</v>
      </c>
      <c r="H31" s="61">
        <f t="shared" si="1"/>
        <v>1</v>
      </c>
      <c r="I31" t="str">
        <f>IF(FT!B31&lt;&gt;"",FT!E31,"")</f>
        <v>1 [11.749797]</v>
      </c>
      <c r="J31">
        <f>IF(FT!B31&lt;&gt;"",FT!C31,"")</f>
        <v>11.7498</v>
      </c>
    </row>
    <row r="32" spans="1:19">
      <c r="A32" s="61">
        <f t="shared" si="2"/>
        <v>30</v>
      </c>
      <c r="B32" s="61">
        <f t="shared" si="0"/>
        <v>0.57890823529411761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4.6943900000000003</v>
      </c>
      <c r="G32" s="61">
        <f>IF(FT!B32&lt;&gt;"",FT!B32*100,"")</f>
        <v>30.344100000000001</v>
      </c>
      <c r="H32" s="61">
        <f t="shared" si="1"/>
        <v>1</v>
      </c>
      <c r="I32" t="str">
        <f>IF(FT!B32&lt;&gt;"",FT!E32,"")</f>
        <v>1 [12.154574]</v>
      </c>
      <c r="J32">
        <f>IF(FT!B32&lt;&gt;"",FT!C32,"")</f>
        <v>12.1546</v>
      </c>
    </row>
    <row r="33" spans="1:10">
      <c r="A33" s="61">
        <f t="shared" si="2"/>
        <v>31</v>
      </c>
      <c r="B33" s="61">
        <f t="shared" si="0"/>
        <v>0.59820517647058824</v>
      </c>
      <c r="C33" s="61">
        <f>FH!A33*1</f>
        <v>30928</v>
      </c>
      <c r="D33" s="61">
        <f>FH!B33*1</f>
        <v>30928</v>
      </c>
      <c r="E33">
        <f t="shared" si="3"/>
        <v>31</v>
      </c>
      <c r="F33" s="61">
        <f>IF(FT!A33&lt;&gt;"",FT!A33*10,"")</f>
        <v>4.6893099999999999</v>
      </c>
      <c r="G33" s="61">
        <f>IF(FT!B33&lt;&gt;"",FT!B33*100,"")</f>
        <v>30.098700000000001</v>
      </c>
      <c r="H33" s="61">
        <f t="shared" si="1"/>
        <v>1</v>
      </c>
      <c r="I33" t="str">
        <f>IF(FT!B33&lt;&gt;"",FT!E33,"")</f>
        <v>1 [12.564794]</v>
      </c>
      <c r="J33">
        <f>IF(FT!B33&lt;&gt;"",FT!C33,"")</f>
        <v>12.5648</v>
      </c>
    </row>
    <row r="34" spans="1:10">
      <c r="A34" s="61">
        <f t="shared" si="2"/>
        <v>32</v>
      </c>
      <c r="B34" s="61">
        <f t="shared" si="0"/>
        <v>0.61750211764705887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4.6818900000000001</v>
      </c>
      <c r="G34" s="61">
        <f>IF(FT!B34&lt;&gt;"",FT!B34*100,"")</f>
        <v>29.897500000000001</v>
      </c>
      <c r="H34" s="61">
        <f t="shared" si="1"/>
        <v>1</v>
      </c>
      <c r="I34" t="str">
        <f>IF(FT!B34&lt;&gt;"",FT!E34,"")</f>
        <v>1 [12.967905]</v>
      </c>
      <c r="J34">
        <f>IF(FT!B34&lt;&gt;"",FT!C34,"")</f>
        <v>12.9679</v>
      </c>
    </row>
    <row r="35" spans="1:10">
      <c r="A35" s="61">
        <f t="shared" si="2"/>
        <v>33</v>
      </c>
      <c r="B35" s="61">
        <f t="shared" si="0"/>
        <v>0.6367990588235295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4.6676599999999997</v>
      </c>
      <c r="G35" s="61">
        <f>IF(FT!B35&lt;&gt;"",FT!B35*100,"")</f>
        <v>29.811900000000001</v>
      </c>
      <c r="H35" s="61">
        <f t="shared" si="1"/>
        <v>1</v>
      </c>
      <c r="I35" t="str">
        <f>IF(FT!B35&lt;&gt;"",FT!E35,"")</f>
        <v>1 [13.376684]</v>
      </c>
      <c r="J35">
        <f>IF(FT!B35&lt;&gt;"",FT!C35,"")</f>
        <v>13.3767</v>
      </c>
    </row>
    <row r="36" spans="1:10">
      <c r="A36" s="61">
        <f t="shared" si="2"/>
        <v>34</v>
      </c>
      <c r="B36" s="61">
        <f t="shared" si="0"/>
        <v>0.65609600000000001</v>
      </c>
      <c r="C36" s="61">
        <f>FH!A36*1</f>
        <v>40821</v>
      </c>
      <c r="D36" s="61">
        <f>FH!B36*1</f>
        <v>40821</v>
      </c>
      <c r="E36">
        <f t="shared" si="3"/>
        <v>34</v>
      </c>
      <c r="F36" s="61">
        <f>IF(FT!A36&lt;&gt;"",FT!A36*10,"")</f>
        <v>4.6468799999999995</v>
      </c>
      <c r="G36" s="61">
        <f>IF(FT!B36&lt;&gt;"",FT!B36*100,"")</f>
        <v>29.817599999999999</v>
      </c>
      <c r="H36" s="61">
        <f t="shared" si="1"/>
        <v>1</v>
      </c>
      <c r="I36" t="str">
        <f>IF(FT!B36&lt;&gt;"",FT!E36,"")</f>
        <v>1 [13.782196]</v>
      </c>
      <c r="J36">
        <f>IF(FT!B36&lt;&gt;"",FT!C36,"")</f>
        <v>13.7822</v>
      </c>
    </row>
    <row r="37" spans="1:10">
      <c r="A37" s="61">
        <f t="shared" si="2"/>
        <v>35</v>
      </c>
      <c r="B37" s="61">
        <f t="shared" si="0"/>
        <v>0.67539294117647064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4.6251499999999997</v>
      </c>
      <c r="G37" s="61">
        <f>IF(FT!B37&lt;&gt;"",FT!B37*100,"")</f>
        <v>29.852899999999998</v>
      </c>
      <c r="H37" s="61">
        <f t="shared" si="1"/>
        <v>1</v>
      </c>
      <c r="I37" t="str">
        <f>IF(FT!B37&lt;&gt;"",FT!E37,"")</f>
        <v>1 [14.186452]</v>
      </c>
      <c r="J37">
        <f>IF(FT!B37&lt;&gt;"",FT!C37,"")</f>
        <v>14.186500000000001</v>
      </c>
    </row>
    <row r="38" spans="1:10">
      <c r="A38" s="61">
        <f t="shared" si="2"/>
        <v>36</v>
      </c>
      <c r="B38" s="61">
        <f t="shared" si="0"/>
        <v>0.69468988235294116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4.6020699999999994</v>
      </c>
      <c r="G38" s="61">
        <f>IF(FT!B38&lt;&gt;"",FT!B38*100,"")</f>
        <v>29.877599999999997</v>
      </c>
      <c r="H38" s="61">
        <f t="shared" si="1"/>
        <v>1</v>
      </c>
      <c r="I38" t="str">
        <f>IF(FT!B38&lt;&gt;"",FT!E38,"")</f>
        <v>1 [14.592643]</v>
      </c>
      <c r="J38">
        <f>IF(FT!B38&lt;&gt;"",FT!C38,"")</f>
        <v>14.592599999999999</v>
      </c>
    </row>
    <row r="39" spans="1:10">
      <c r="A39" s="61">
        <f t="shared" si="2"/>
        <v>37</v>
      </c>
      <c r="B39" s="61">
        <f t="shared" si="0"/>
        <v>0.7139868235294119</v>
      </c>
      <c r="C39" s="61">
        <f>FH!A39*1</f>
        <v>52932</v>
      </c>
      <c r="D39" s="61">
        <f>FH!B39*1</f>
        <v>52932</v>
      </c>
      <c r="E39">
        <f t="shared" si="3"/>
        <v>37</v>
      </c>
      <c r="F39" s="61">
        <f>IF(FT!A39&lt;&gt;"",FT!A39*10,"")</f>
        <v>4.5811299999999999</v>
      </c>
      <c r="G39" s="61">
        <f>IF(FT!B39&lt;&gt;"",FT!B39*100,"")</f>
        <v>29.876300000000001</v>
      </c>
      <c r="H39" s="61">
        <f t="shared" si="1"/>
        <v>1</v>
      </c>
      <c r="I39" t="str">
        <f>IF(FT!B39&lt;&gt;"",FT!E39,"")</f>
        <v>1 [14.999270]</v>
      </c>
      <c r="J39">
        <f>IF(FT!B39&lt;&gt;"",FT!C39,"")</f>
        <v>14.9993</v>
      </c>
    </row>
    <row r="40" spans="1:10">
      <c r="A40" s="61">
        <f t="shared" si="2"/>
        <v>38</v>
      </c>
      <c r="B40" s="61">
        <f t="shared" si="0"/>
        <v>0.73328376470588241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4.5588699999999998</v>
      </c>
      <c r="G40" s="61">
        <f>IF(FT!B40&lt;&gt;"",FT!B40*100,"")</f>
        <v>29.9298</v>
      </c>
      <c r="H40" s="61">
        <f t="shared" si="1"/>
        <v>1</v>
      </c>
      <c r="I40" t="str">
        <f>IF(FT!B40&lt;&gt;"",FT!E40,"")</f>
        <v>1 [15.407977]</v>
      </c>
      <c r="J40">
        <f>IF(FT!B40&lt;&gt;"",FT!C40,"")</f>
        <v>15.407999999999999</v>
      </c>
    </row>
    <row r="41" spans="1:10">
      <c r="A41" s="61">
        <f t="shared" si="2"/>
        <v>39</v>
      </c>
      <c r="B41" s="61">
        <f t="shared" si="0"/>
        <v>0.75258070588235304</v>
      </c>
      <c r="C41" s="61">
        <f>FH!A41*1</f>
        <v>55914</v>
      </c>
      <c r="D41" s="61">
        <f>FH!B41*1</f>
        <v>55914</v>
      </c>
      <c r="E41">
        <f t="shared" si="3"/>
        <v>39</v>
      </c>
      <c r="F41" s="61">
        <f>IF(FT!A41&lt;&gt;"",FT!A41*10,"")</f>
        <v>4.5365899999999995</v>
      </c>
      <c r="G41" s="61">
        <f>IF(FT!B41&lt;&gt;"",FT!B41*100,"")</f>
        <v>29.974600000000002</v>
      </c>
      <c r="H41" s="61">
        <f t="shared" si="1"/>
        <v>1</v>
      </c>
      <c r="I41" t="str">
        <f>IF(FT!B41&lt;&gt;"",FT!E41,"")</f>
        <v>1 [15.811753]</v>
      </c>
      <c r="J41">
        <f>IF(FT!B41&lt;&gt;"",FT!C41,"")</f>
        <v>15.8118</v>
      </c>
    </row>
    <row r="42" spans="1:10">
      <c r="A42" s="61">
        <f t="shared" si="2"/>
        <v>40</v>
      </c>
      <c r="B42" s="61">
        <f t="shared" si="0"/>
        <v>0.77187764705882356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4.5131199999999998</v>
      </c>
      <c r="G42" s="61">
        <f>IF(FT!B42&lt;&gt;"",FT!B42*100,"")</f>
        <v>29.961600000000001</v>
      </c>
      <c r="H42" s="61">
        <f t="shared" si="1"/>
        <v>1</v>
      </c>
      <c r="I42" t="str">
        <f>IF(FT!B42&lt;&gt;"",FT!E42,"")</f>
        <v>1 [16.217330]</v>
      </c>
      <c r="J42">
        <f>IF(FT!B42&lt;&gt;"",FT!C42,"")</f>
        <v>16.217300000000002</v>
      </c>
    </row>
    <row r="43" spans="1:10">
      <c r="A43" s="61">
        <f t="shared" si="2"/>
        <v>41</v>
      </c>
      <c r="B43" s="61">
        <f t="shared" si="0"/>
        <v>0.79117458823529418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4.4871600000000003</v>
      </c>
      <c r="G43" s="61">
        <f>IF(FT!B43&lt;&gt;"",FT!B43*100,"")</f>
        <v>29.951499999999996</v>
      </c>
      <c r="H43" s="61">
        <f t="shared" si="1"/>
        <v>1</v>
      </c>
      <c r="I43" t="str">
        <f>IF(FT!B43&lt;&gt;"",FT!E43,"")</f>
        <v>1 [16.622517]</v>
      </c>
      <c r="J43">
        <f>IF(FT!B43&lt;&gt;"",FT!C43,"")</f>
        <v>16.622499999999999</v>
      </c>
    </row>
    <row r="44" spans="1:10">
      <c r="A44" s="61">
        <f t="shared" si="2"/>
        <v>42</v>
      </c>
      <c r="B44" s="61">
        <f t="shared" si="0"/>
        <v>0.8104715294117647</v>
      </c>
      <c r="C44" s="61">
        <f>FH!A44*1</f>
        <v>71470</v>
      </c>
      <c r="D44" s="61">
        <f>FH!B44*1</f>
        <v>71470</v>
      </c>
      <c r="E44">
        <f t="shared" si="3"/>
        <v>42</v>
      </c>
      <c r="F44" s="61">
        <f>IF(FT!A44&lt;&gt;"",FT!A44*10,"")</f>
        <v>4.4586199999999998</v>
      </c>
      <c r="G44" s="61">
        <f>IF(FT!B44&lt;&gt;"",FT!B44*100,"")</f>
        <v>29.9786</v>
      </c>
      <c r="H44" s="61">
        <f t="shared" si="1"/>
        <v>1</v>
      </c>
      <c r="I44" t="str">
        <f>IF(FT!B44&lt;&gt;"",FT!E44,"")</f>
        <v>1 [17.031128]</v>
      </c>
      <c r="J44">
        <f>IF(FT!B44&lt;&gt;"",FT!C44,"")</f>
        <v>17.031099999999999</v>
      </c>
    </row>
    <row r="45" spans="1:10">
      <c r="A45" s="61">
        <f t="shared" si="2"/>
        <v>43</v>
      </c>
      <c r="B45" s="61">
        <f t="shared" si="0"/>
        <v>0.82976847058823544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4.4276900000000001</v>
      </c>
      <c r="G45" s="61">
        <f>IF(FT!B45&lt;&gt;"",FT!B45*100,"")</f>
        <v>29.965599999999998</v>
      </c>
      <c r="H45" s="61">
        <f t="shared" si="1"/>
        <v>1</v>
      </c>
      <c r="I45" t="str">
        <f>IF(FT!B45&lt;&gt;"",FT!E45,"")</f>
        <v>1 [17.437897]</v>
      </c>
      <c r="J45">
        <f>IF(FT!B45&lt;&gt;"",FT!C45,"")</f>
        <v>17.437899999999999</v>
      </c>
    </row>
    <row r="46" spans="1:10">
      <c r="A46" s="61">
        <f t="shared" si="2"/>
        <v>44</v>
      </c>
      <c r="B46" s="61">
        <f t="shared" si="0"/>
        <v>0.84906541176470596</v>
      </c>
      <c r="C46" s="61">
        <f>FH!A46*1</f>
        <v>86610</v>
      </c>
      <c r="D46" s="61">
        <f>FH!B46*1</f>
        <v>86610</v>
      </c>
      <c r="E46">
        <f t="shared" si="3"/>
        <v>44</v>
      </c>
      <c r="F46" s="61">
        <f>IF(FT!A46&lt;&gt;"",FT!A46*10,"")</f>
        <v>4.3978200000000003</v>
      </c>
      <c r="G46" s="61">
        <f>IF(FT!B46&lt;&gt;"",FT!B46*100,"")</f>
        <v>29.963299999999997</v>
      </c>
      <c r="H46" s="61">
        <f t="shared" si="1"/>
        <v>1</v>
      </c>
      <c r="I46" t="str">
        <f>IF(FT!B46&lt;&gt;"",FT!E46,"")</f>
        <v>1 [17.847019]</v>
      </c>
      <c r="J46">
        <f>IF(FT!B46&lt;&gt;"",FT!C46,"")</f>
        <v>17.847000000000001</v>
      </c>
    </row>
    <row r="47" spans="1:10">
      <c r="A47" s="61">
        <f t="shared" si="2"/>
        <v>45</v>
      </c>
      <c r="B47" s="61">
        <f t="shared" si="0"/>
        <v>0.86836235294117659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4.3669900000000004</v>
      </c>
      <c r="G47" s="61">
        <f>IF(FT!B47&lt;&gt;"",FT!B47*100,"")</f>
        <v>30.023199999999999</v>
      </c>
      <c r="H47" s="61">
        <f t="shared" si="1"/>
        <v>1</v>
      </c>
      <c r="I47" t="str">
        <f>IF(FT!B47&lt;&gt;"",FT!E47,"")</f>
        <v>1 [18.248899]</v>
      </c>
      <c r="J47">
        <f>IF(FT!B47&lt;&gt;"",FT!C47,"")</f>
        <v>18.248899999999999</v>
      </c>
    </row>
    <row r="48" spans="1:10">
      <c r="A48" s="61">
        <f t="shared" si="2"/>
        <v>46</v>
      </c>
      <c r="B48" s="61">
        <f t="shared" si="0"/>
        <v>0.8876592941176471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4.3380400000000003</v>
      </c>
      <c r="G48" s="61">
        <f>IF(FT!B48&lt;&gt;"",FT!B48*100,"")</f>
        <v>30.051200000000001</v>
      </c>
      <c r="H48" s="61">
        <f t="shared" si="1"/>
        <v>1</v>
      </c>
      <c r="I48" t="str">
        <f>IF(FT!B48&lt;&gt;"",FT!E48,"")</f>
        <v>1 [18.654652]</v>
      </c>
      <c r="J48">
        <f>IF(FT!B48&lt;&gt;"",FT!C48,"")</f>
        <v>18.654699999999998</v>
      </c>
    </row>
    <row r="49" spans="1:10">
      <c r="A49" s="61">
        <f t="shared" si="2"/>
        <v>47</v>
      </c>
      <c r="B49" s="61">
        <f t="shared" si="0"/>
        <v>0.90695623529411773</v>
      </c>
      <c r="C49" s="61">
        <f>FH!A49*1</f>
        <v>91346</v>
      </c>
      <c r="D49" s="61">
        <f>FH!B49*1</f>
        <v>91346</v>
      </c>
      <c r="E49">
        <f t="shared" si="3"/>
        <v>47</v>
      </c>
      <c r="F49" s="61">
        <f>IF(FT!A49&lt;&gt;"",FT!A49*10,"")</f>
        <v>4.3078799999999999</v>
      </c>
      <c r="G49" s="61">
        <f>IF(FT!B49&lt;&gt;"",FT!B49*100,"")</f>
        <v>30.090899999999998</v>
      </c>
      <c r="H49" s="61">
        <f t="shared" si="1"/>
        <v>1</v>
      </c>
      <c r="I49" t="str">
        <f>IF(FT!B49&lt;&gt;"",FT!E49,"")</f>
        <v>1 [19.063277]</v>
      </c>
      <c r="J49">
        <f>IF(FT!B49&lt;&gt;"",FT!C49,"")</f>
        <v>19.063300000000002</v>
      </c>
    </row>
    <row r="50" spans="1:10">
      <c r="A50" s="61">
        <f t="shared" si="2"/>
        <v>48</v>
      </c>
      <c r="B50" s="61">
        <f t="shared" si="0"/>
        <v>0.92625317647058825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4.2767600000000003</v>
      </c>
      <c r="G50" s="61">
        <f>IF(FT!B50&lt;&gt;"",FT!B50*100,"")</f>
        <v>30.088199999999997</v>
      </c>
      <c r="H50" s="61">
        <f t="shared" si="1"/>
        <v>1</v>
      </c>
      <c r="I50" t="str">
        <f>IF(FT!B50&lt;&gt;"",FT!E50,"")</f>
        <v>1 [19.467599]</v>
      </c>
      <c r="J50">
        <f>IF(FT!B50&lt;&gt;"",FT!C50,"")</f>
        <v>19.467600000000001</v>
      </c>
    </row>
    <row r="51" spans="1:10">
      <c r="A51" s="61">
        <f t="shared" si="2"/>
        <v>49</v>
      </c>
      <c r="B51" s="61">
        <f t="shared" si="0"/>
        <v>0.94555011764705887</v>
      </c>
      <c r="C51" s="61">
        <f>FH!A51*1</f>
        <v>107871</v>
      </c>
      <c r="D51" s="61">
        <f>FH!B51*1</f>
        <v>107871</v>
      </c>
      <c r="E51">
        <f t="shared" si="3"/>
        <v>49</v>
      </c>
      <c r="F51" s="61">
        <f>IF(FT!A51&lt;&gt;"",FT!A51*10,"")</f>
        <v>4.2455999999999996</v>
      </c>
      <c r="G51" s="61">
        <f>IF(FT!B51&lt;&gt;"",FT!B51*100,"")</f>
        <v>30.144100000000002</v>
      </c>
      <c r="H51" s="61">
        <f t="shared" si="1"/>
        <v>1</v>
      </c>
      <c r="I51" t="str">
        <f>IF(FT!B51&lt;&gt;"",FT!E51,"")</f>
        <v>1 [19.876091]</v>
      </c>
      <c r="J51">
        <f>IF(FT!B51&lt;&gt;"",FT!C51,"")</f>
        <v>19.876100000000001</v>
      </c>
    </row>
    <row r="52" spans="1:10">
      <c r="A52" s="61">
        <f t="shared" si="2"/>
        <v>50</v>
      </c>
      <c r="B52" s="61">
        <f t="shared" si="0"/>
        <v>0.96484705882352939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4.2218299999999997</v>
      </c>
      <c r="G52" s="61">
        <f>IF(FT!B52&lt;&gt;"",FT!B52*100,"")</f>
        <v>30.271999999999998</v>
      </c>
      <c r="H52" s="61">
        <f t="shared" si="1"/>
        <v>1</v>
      </c>
      <c r="I52" t="str">
        <f>IF(FT!B52&lt;&gt;"",FT!E52,"")</f>
        <v>1 [20.280103]</v>
      </c>
      <c r="J52">
        <f>IF(FT!B52&lt;&gt;"",FT!C52,"")</f>
        <v>20.280100000000001</v>
      </c>
    </row>
    <row r="53" spans="1:10">
      <c r="A53" s="61">
        <f t="shared" si="2"/>
        <v>51</v>
      </c>
      <c r="B53" s="61">
        <f t="shared" si="0"/>
        <v>0.98414400000000013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4.1903699999999997</v>
      </c>
      <c r="G53" s="61">
        <f>IF(FT!B53&lt;&gt;"",FT!B53*100,"")</f>
        <v>30.333500000000001</v>
      </c>
      <c r="H53" s="61">
        <f t="shared" si="1"/>
        <v>1</v>
      </c>
      <c r="I53" t="str">
        <f>IF(FT!B53&lt;&gt;"",FT!E53,"")</f>
        <v>1 [20.685792]</v>
      </c>
      <c r="J53">
        <f>IF(FT!B53&lt;&gt;"",FT!C53,"")</f>
        <v>20.6858</v>
      </c>
    </row>
    <row r="54" spans="1:10">
      <c r="A54" s="61">
        <f t="shared" si="2"/>
        <v>52</v>
      </c>
      <c r="B54" s="61">
        <f t="shared" si="0"/>
        <v>1.0034409411764706</v>
      </c>
      <c r="C54" s="61">
        <f>FH!A54*1</f>
        <v>112190</v>
      </c>
      <c r="D54" s="61">
        <f>FH!B54*1</f>
        <v>112190</v>
      </c>
      <c r="E54">
        <f t="shared" si="3"/>
        <v>52</v>
      </c>
      <c r="F54" s="61">
        <f>IF(FT!A54&lt;&gt;"",FT!A54*10,"")</f>
        <v>4.1608800000000006</v>
      </c>
      <c r="G54" s="61">
        <f>IF(FT!B54&lt;&gt;"",FT!B54*100,"")</f>
        <v>30.377300000000002</v>
      </c>
      <c r="H54" s="61">
        <f t="shared" si="1"/>
        <v>1</v>
      </c>
      <c r="I54" t="str">
        <f>IF(FT!B54&lt;&gt;"",FT!E54,"")</f>
        <v>1 [21.091119]</v>
      </c>
      <c r="J54">
        <f>IF(FT!B54&lt;&gt;"",FT!C54,"")</f>
        <v>21.091100000000001</v>
      </c>
    </row>
    <row r="55" spans="1:10">
      <c r="A55" s="61">
        <f t="shared" si="2"/>
        <v>53</v>
      </c>
      <c r="B55" s="61">
        <f t="shared" si="0"/>
        <v>1.0227378823529412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4.1305500000000004</v>
      </c>
      <c r="G55" s="61">
        <f>IF(FT!B55&lt;&gt;"",FT!B55*100,"")</f>
        <v>30.402899999999999</v>
      </c>
      <c r="H55" s="61">
        <f t="shared" si="1"/>
        <v>1</v>
      </c>
      <c r="I55" t="str">
        <f>IF(FT!B55&lt;&gt;"",FT!E55,"")</f>
        <v>1 [21.498650]</v>
      </c>
      <c r="J55">
        <f>IF(FT!B55&lt;&gt;"",FT!C55,"")</f>
        <v>21.498699999999999</v>
      </c>
    </row>
    <row r="56" spans="1:10">
      <c r="A56" s="61">
        <f t="shared" si="2"/>
        <v>54</v>
      </c>
      <c r="B56" s="61">
        <f t="shared" si="0"/>
        <v>1.0420348235294119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4.0998099999999997</v>
      </c>
      <c r="G56" s="61">
        <f>IF(FT!B56&lt;&gt;"",FT!B56*100,"")</f>
        <v>30.361500000000003</v>
      </c>
      <c r="H56" s="61">
        <f t="shared" si="1"/>
        <v>1</v>
      </c>
      <c r="I56" t="str">
        <f>IF(FT!B56&lt;&gt;"",FT!E56,"")</f>
        <v>1 [21.905028]</v>
      </c>
      <c r="J56">
        <f>IF(FT!B56&lt;&gt;"",FT!C56,"")</f>
        <v>21.905000000000001</v>
      </c>
    </row>
    <row r="57" spans="1:10">
      <c r="A57" s="61">
        <f t="shared" si="2"/>
        <v>55</v>
      </c>
      <c r="B57" s="61">
        <f t="shared" si="0"/>
        <v>1.0613317647058824</v>
      </c>
      <c r="C57" s="61">
        <f>FH!A57*1</f>
        <v>124446</v>
      </c>
      <c r="D57" s="61">
        <f>FH!B57*1</f>
        <v>124446</v>
      </c>
      <c r="E57">
        <f t="shared" si="3"/>
        <v>55</v>
      </c>
      <c r="F57" s="61">
        <f>IF(FT!A57&lt;&gt;"",FT!A57*10,"")</f>
        <v>4.0655200000000002</v>
      </c>
      <c r="G57" s="61">
        <f>IF(FT!B57&lt;&gt;"",FT!B57*100,"")</f>
        <v>30.358600000000003</v>
      </c>
      <c r="H57" s="61">
        <f t="shared" si="1"/>
        <v>1</v>
      </c>
      <c r="I57" t="str">
        <f>IF(FT!B57&lt;&gt;"",FT!E57,"")</f>
        <v>1 [22.312518]</v>
      </c>
      <c r="J57">
        <f>IF(FT!B57&lt;&gt;"",FT!C57,"")</f>
        <v>22.3125</v>
      </c>
    </row>
    <row r="58" spans="1:10">
      <c r="A58" s="61">
        <f t="shared" si="2"/>
        <v>56</v>
      </c>
      <c r="B58" s="61">
        <f t="shared" si="0"/>
        <v>1.0806287058823529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4.0281099999999999</v>
      </c>
      <c r="G58" s="61">
        <f>IF(FT!B58&lt;&gt;"",FT!B58*100,"")</f>
        <v>30.430900000000001</v>
      </c>
      <c r="H58" s="61">
        <f t="shared" si="1"/>
        <v>1</v>
      </c>
      <c r="I58" t="str">
        <f>IF(FT!B58&lt;&gt;"",FT!E58,"")</f>
        <v>1 [22.720183]</v>
      </c>
      <c r="J58">
        <f>IF(FT!B58&lt;&gt;"",FT!C58,"")</f>
        <v>22.720199999999998</v>
      </c>
    </row>
    <row r="59" spans="1:10">
      <c r="A59" s="61">
        <f t="shared" si="2"/>
        <v>57</v>
      </c>
      <c r="B59" s="61">
        <f t="shared" si="0"/>
        <v>1.0999256470588237</v>
      </c>
      <c r="C59" s="61">
        <f>FH!A59*1</f>
        <v>132773</v>
      </c>
      <c r="D59" s="61">
        <f>FH!B59*1</f>
        <v>132773</v>
      </c>
      <c r="E59">
        <f t="shared" si="3"/>
        <v>57</v>
      </c>
      <c r="F59" s="61">
        <f>IF(FT!A59&lt;&gt;"",FT!A59*10,"")</f>
        <v>3.9918100000000001</v>
      </c>
      <c r="G59" s="61">
        <f>IF(FT!B59&lt;&gt;"",FT!B59*100,"")</f>
        <v>30.497600000000002</v>
      </c>
      <c r="H59" s="61">
        <f t="shared" si="1"/>
        <v>1</v>
      </c>
      <c r="I59" t="str">
        <f>IF(FT!B59&lt;&gt;"",FT!E59,"")</f>
        <v>1 [23.126913]</v>
      </c>
      <c r="J59">
        <f>IF(FT!B59&lt;&gt;"",FT!C59,"")</f>
        <v>23.126899999999999</v>
      </c>
    </row>
    <row r="60" spans="1:10">
      <c r="A60" s="61">
        <f t="shared" si="2"/>
        <v>58</v>
      </c>
      <c r="B60" s="61">
        <f t="shared" si="0"/>
        <v>1.1192225882352942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3.9545300000000001</v>
      </c>
      <c r="G60" s="61">
        <f>IF(FT!B60&lt;&gt;"",FT!B60*100,"")</f>
        <v>30.529800000000002</v>
      </c>
      <c r="H60" s="61">
        <f t="shared" si="1"/>
        <v>1</v>
      </c>
      <c r="I60" t="str">
        <f>IF(FT!B60&lt;&gt;"",FT!E60,"")</f>
        <v>1 [23.528671]</v>
      </c>
      <c r="J60">
        <f>IF(FT!B60&lt;&gt;"",FT!C60,"")</f>
        <v>23.528700000000001</v>
      </c>
    </row>
    <row r="61" spans="1:10">
      <c r="A61" s="61">
        <f t="shared" si="2"/>
        <v>59</v>
      </c>
      <c r="B61" s="61">
        <f t="shared" si="0"/>
        <v>1.1385195294117647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3.9200900000000001</v>
      </c>
      <c r="G61" s="61">
        <f>IF(FT!B61&lt;&gt;"",FT!B61*100,"")</f>
        <v>30.496499999999997</v>
      </c>
      <c r="H61" s="61">
        <f t="shared" si="1"/>
        <v>1</v>
      </c>
      <c r="I61" t="str">
        <f>IF(FT!B61&lt;&gt;"",FT!E61,"")</f>
        <v>1 [23.936903]</v>
      </c>
      <c r="J61">
        <f>IF(FT!B61&lt;&gt;"",FT!C61,"")</f>
        <v>23.936900000000001</v>
      </c>
    </row>
    <row r="62" spans="1:10">
      <c r="A62" s="61">
        <f t="shared" si="2"/>
        <v>60</v>
      </c>
      <c r="B62" s="61">
        <f t="shared" si="0"/>
        <v>1.1578164705882352</v>
      </c>
      <c r="C62" s="61">
        <f>FH!A62*1</f>
        <v>140149</v>
      </c>
      <c r="D62" s="61">
        <f>FH!B62*1</f>
        <v>140149</v>
      </c>
      <c r="E62">
        <f t="shared" si="3"/>
        <v>60</v>
      </c>
      <c r="F62" s="61">
        <f>IF(FT!A62&lt;&gt;"",FT!A62*10,"")</f>
        <v>3.8832</v>
      </c>
      <c r="G62" s="61">
        <f>IF(FT!B62&lt;&gt;"",FT!B62*100,"")</f>
        <v>30.471299999999999</v>
      </c>
      <c r="H62" s="61">
        <f t="shared" si="1"/>
        <v>1</v>
      </c>
      <c r="I62" t="str">
        <f>IF(FT!B62&lt;&gt;"",FT!E62,"")</f>
        <v>1 [24.340562]</v>
      </c>
      <c r="J62">
        <f>IF(FT!B62&lt;&gt;"",FT!C62,"")</f>
        <v>24.340599999999998</v>
      </c>
    </row>
    <row r="63" spans="1:10">
      <c r="A63" s="61">
        <f t="shared" si="2"/>
        <v>61</v>
      </c>
      <c r="B63" s="61">
        <f t="shared" si="0"/>
        <v>1.177113411764706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3.8488800000000003</v>
      </c>
      <c r="G63" s="61">
        <f>IF(FT!B63&lt;&gt;"",FT!B63*100,"")</f>
        <v>30.470399999999998</v>
      </c>
      <c r="H63" s="61">
        <f t="shared" si="1"/>
        <v>1</v>
      </c>
      <c r="I63" t="str">
        <f>IF(FT!B63&lt;&gt;"",FT!E63,"")</f>
        <v>1 [24.751430]</v>
      </c>
      <c r="J63">
        <f>IF(FT!B63&lt;&gt;"",FT!C63,"")</f>
        <v>24.7514</v>
      </c>
    </row>
    <row r="64" spans="1:10">
      <c r="A64" s="61">
        <f t="shared" si="2"/>
        <v>62</v>
      </c>
      <c r="B64" s="61">
        <f t="shared" si="0"/>
        <v>1.1964103529411765</v>
      </c>
      <c r="C64" s="61">
        <f>FH!A64*1</f>
        <v>146761</v>
      </c>
      <c r="D64" s="61">
        <f>FH!B64*1</f>
        <v>146761</v>
      </c>
      <c r="E64">
        <f t="shared" si="3"/>
        <v>62</v>
      </c>
      <c r="F64" s="61">
        <f>IF(FT!A64&lt;&gt;"",FT!A64*10,"")</f>
        <v>3.8170100000000002</v>
      </c>
      <c r="G64" s="61">
        <f>IF(FT!B64&lt;&gt;"",FT!B64*100,"")</f>
        <v>30.576599999999999</v>
      </c>
      <c r="H64" s="61">
        <f t="shared" si="1"/>
        <v>1</v>
      </c>
      <c r="I64" t="str">
        <f>IF(FT!B64&lt;&gt;"",FT!E64,"")</f>
        <v>1 [25.157029]</v>
      </c>
      <c r="J64">
        <f>IF(FT!B64&lt;&gt;"",FT!C64,"")</f>
        <v>25.157</v>
      </c>
    </row>
    <row r="65" spans="1:10">
      <c r="A65" s="61">
        <f t="shared" si="2"/>
        <v>63</v>
      </c>
      <c r="B65" s="61">
        <f t="shared" si="0"/>
        <v>1.2157072941176472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3.7868900000000001</v>
      </c>
      <c r="G65" s="61">
        <f>IF(FT!B65&lt;&gt;"",FT!B65*100,"")</f>
        <v>30.6739</v>
      </c>
      <c r="H65" s="61">
        <f t="shared" si="1"/>
        <v>1</v>
      </c>
      <c r="I65" t="str">
        <f>IF(FT!B65&lt;&gt;"",FT!E65,"")</f>
        <v>1 [25.560856]</v>
      </c>
      <c r="J65">
        <f>IF(FT!B65&lt;&gt;"",FT!C65,"")</f>
        <v>25.5609</v>
      </c>
    </row>
    <row r="66" spans="1:10">
      <c r="A66" s="61">
        <f t="shared" si="2"/>
        <v>64</v>
      </c>
      <c r="B66" s="61">
        <f t="shared" si="0"/>
        <v>1.2350042352941177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3.7588100000000004</v>
      </c>
      <c r="G66" s="61">
        <f>IF(FT!B66&lt;&gt;"",FT!B66*100,"")</f>
        <v>30.863400000000002</v>
      </c>
      <c r="H66" s="61">
        <f t="shared" si="1"/>
        <v>1</v>
      </c>
      <c r="I66" t="str">
        <f>IF(FT!B66&lt;&gt;"",FT!E66,"")</f>
        <v>1 [25.970208]</v>
      </c>
      <c r="J66">
        <f>IF(FT!B66&lt;&gt;"",FT!C66,"")</f>
        <v>25.970199999999998</v>
      </c>
    </row>
    <row r="67" spans="1:10">
      <c r="A67" s="61">
        <f t="shared" si="2"/>
        <v>65</v>
      </c>
      <c r="B67" s="61">
        <f t="shared" ref="B67:B130" si="8">A67/255*$L$2</f>
        <v>1.2543011764705883</v>
      </c>
      <c r="C67" s="61">
        <f>FH!A67*1</f>
        <v>154926</v>
      </c>
      <c r="D67" s="61">
        <f>FH!B67*1</f>
        <v>154926</v>
      </c>
      <c r="E67">
        <f t="shared" si="3"/>
        <v>65</v>
      </c>
      <c r="F67" s="61">
        <f>IF(FT!A67&lt;&gt;"",FT!A67*10,"")</f>
        <v>3.7368600000000001</v>
      </c>
      <c r="G67" s="61">
        <f>IF(FT!B67&lt;&gt;"",FT!B67*100,"")</f>
        <v>31.018600000000003</v>
      </c>
      <c r="H67" s="61">
        <f t="shared" ref="H67:H130" si="9">(IF(F67&lt;&gt;"",1,""))</f>
        <v>1</v>
      </c>
      <c r="I67" t="str">
        <f>IF(FT!B67&lt;&gt;"",FT!E67,"")</f>
        <v>1 [26.374891]</v>
      </c>
      <c r="J67">
        <f>IF(FT!B67&lt;&gt;"",FT!C67,"")</f>
        <v>26.3749</v>
      </c>
    </row>
    <row r="68" spans="1:10">
      <c r="A68" s="61">
        <f t="shared" ref="A68:A131" si="10">A67+1</f>
        <v>66</v>
      </c>
      <c r="B68" s="61">
        <f t="shared" si="8"/>
        <v>1.273598117647059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3.7201200000000001</v>
      </c>
      <c r="G68" s="61">
        <f>IF(FT!B68&lt;&gt;"",FT!B68*100,"")</f>
        <v>31.110500000000002</v>
      </c>
      <c r="H68" s="61">
        <f t="shared" si="9"/>
        <v>1</v>
      </c>
      <c r="I68" t="str">
        <f>IF(FT!B68&lt;&gt;"",FT!E68,"")</f>
        <v>1 [26.783694]</v>
      </c>
      <c r="J68">
        <f>IF(FT!B68&lt;&gt;"",FT!C68,"")</f>
        <v>26.7837</v>
      </c>
    </row>
    <row r="69" spans="1:10">
      <c r="A69" s="61">
        <f t="shared" si="10"/>
        <v>67</v>
      </c>
      <c r="B69" s="61">
        <f t="shared" si="8"/>
        <v>1.2928950588235295</v>
      </c>
      <c r="C69" s="61">
        <f>FH!A69*1</f>
        <v>158556</v>
      </c>
      <c r="D69" s="61">
        <f>FH!B69*1</f>
        <v>158556</v>
      </c>
      <c r="E69">
        <f t="shared" si="11"/>
        <v>67</v>
      </c>
      <c r="F69" s="61">
        <f>IF(FT!A69&lt;&gt;"",FT!A69*10,"")</f>
        <v>3.7073700000000001</v>
      </c>
      <c r="G69" s="61">
        <f>IF(FT!B69&lt;&gt;"",FT!B69*100,"")</f>
        <v>31.124499999999998</v>
      </c>
      <c r="H69" s="61">
        <f t="shared" si="9"/>
        <v>1</v>
      </c>
      <c r="I69" t="str">
        <f>IF(FT!B69&lt;&gt;"",FT!E69,"")</f>
        <v>1 [27.188149]</v>
      </c>
      <c r="J69">
        <f>IF(FT!B69&lt;&gt;"",FT!C69,"")</f>
        <v>27.188099999999999</v>
      </c>
    </row>
    <row r="70" spans="1:10">
      <c r="A70" s="61">
        <f t="shared" si="10"/>
        <v>68</v>
      </c>
      <c r="B70" s="61">
        <f t="shared" si="8"/>
        <v>1.312192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3.69983</v>
      </c>
      <c r="G70" s="61">
        <f>IF(FT!B70&lt;&gt;"",FT!B70*100,"")</f>
        <v>31.119200000000003</v>
      </c>
      <c r="H70" s="61">
        <f t="shared" si="9"/>
        <v>1</v>
      </c>
      <c r="I70" t="str">
        <f>IF(FT!B70&lt;&gt;"",FT!E70,"")</f>
        <v>1 [27.591968]</v>
      </c>
      <c r="J70">
        <f>IF(FT!B70&lt;&gt;"",FT!C70,"")</f>
        <v>27.591999999999999</v>
      </c>
    </row>
    <row r="71" spans="1:10">
      <c r="A71" s="61">
        <f t="shared" si="10"/>
        <v>69</v>
      </c>
      <c r="B71" s="61">
        <f t="shared" si="8"/>
        <v>1.3314889411764705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3.6949800000000002</v>
      </c>
      <c r="G71" s="61">
        <f>IF(FT!B71&lt;&gt;"",FT!B71*100,"")</f>
        <v>31.044599999999999</v>
      </c>
      <c r="H71" s="61">
        <f t="shared" si="9"/>
        <v>1</v>
      </c>
      <c r="I71" t="str">
        <f>IF(FT!B71&lt;&gt;"",FT!E71,"")</f>
        <v>1 [27.998106]</v>
      </c>
      <c r="J71">
        <f>IF(FT!B71&lt;&gt;"",FT!C71,"")</f>
        <v>27.998100000000001</v>
      </c>
    </row>
    <row r="72" spans="1:10">
      <c r="A72" s="61">
        <f t="shared" si="10"/>
        <v>70</v>
      </c>
      <c r="B72" s="61">
        <f t="shared" si="8"/>
        <v>1.3507858823529413</v>
      </c>
      <c r="C72" s="61">
        <f>FH!A72*1</f>
        <v>164848</v>
      </c>
      <c r="D72" s="61">
        <f>FH!B72*1</f>
        <v>164848</v>
      </c>
      <c r="E72">
        <f t="shared" si="11"/>
        <v>70</v>
      </c>
      <c r="F72" s="61">
        <f>IF(FT!A72&lt;&gt;"",FT!A72*10,"")</f>
        <v>3.69068</v>
      </c>
      <c r="G72" s="61">
        <f>IF(FT!B72&lt;&gt;"",FT!B72*100,"")</f>
        <v>30.992399999999996</v>
      </c>
      <c r="H72" s="61">
        <f t="shared" si="9"/>
        <v>1</v>
      </c>
      <c r="I72" t="str">
        <f>IF(FT!B72&lt;&gt;"",FT!E72,"")</f>
        <v>1 [28.404678]</v>
      </c>
      <c r="J72">
        <f>IF(FT!B72&lt;&gt;"",FT!C72,"")</f>
        <v>28.404699999999998</v>
      </c>
    </row>
    <row r="73" spans="1:10">
      <c r="A73" s="61">
        <f t="shared" si="10"/>
        <v>71</v>
      </c>
      <c r="B73" s="61">
        <f t="shared" si="8"/>
        <v>1.3700828235294118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3.6920500000000001</v>
      </c>
      <c r="G73" s="61">
        <f>IF(FT!B73&lt;&gt;"",FT!B73*100,"")</f>
        <v>30.819999999999997</v>
      </c>
      <c r="H73" s="61">
        <f t="shared" si="9"/>
        <v>1</v>
      </c>
      <c r="I73" t="str">
        <f>IF(FT!B73&lt;&gt;"",FT!E73,"")</f>
        <v>1 [28.813163]</v>
      </c>
      <c r="J73">
        <f>IF(FT!B73&lt;&gt;"",FT!C73,"")</f>
        <v>28.813199999999998</v>
      </c>
    </row>
    <row r="74" spans="1:10">
      <c r="A74" s="61">
        <f t="shared" si="10"/>
        <v>72</v>
      </c>
      <c r="B74" s="61">
        <f t="shared" si="8"/>
        <v>1.3893797647058823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3.6980499999999998</v>
      </c>
      <c r="G74" s="61">
        <f>IF(FT!B74&lt;&gt;"",FT!B74*100,"")</f>
        <v>30.5913</v>
      </c>
      <c r="H74" s="61">
        <f t="shared" si="9"/>
        <v>1</v>
      </c>
      <c r="I74" t="str">
        <f>IF(FT!B74&lt;&gt;"",FT!E74,"")</f>
        <v>1 [29.219874]</v>
      </c>
      <c r="J74">
        <f>IF(FT!B74&lt;&gt;"",FT!C74,"")</f>
        <v>29.219899999999999</v>
      </c>
    </row>
    <row r="75" spans="1:10">
      <c r="A75" s="61">
        <f t="shared" si="10"/>
        <v>73</v>
      </c>
      <c r="B75" s="61">
        <f t="shared" si="8"/>
        <v>1.4086767058823528</v>
      </c>
      <c r="C75" s="61">
        <f>FH!A75*1</f>
        <v>172483</v>
      </c>
      <c r="D75" s="61">
        <f>FH!B75*1</f>
        <v>172483</v>
      </c>
      <c r="E75">
        <f t="shared" si="11"/>
        <v>73</v>
      </c>
      <c r="F75" s="61">
        <f>IF(FT!A75&lt;&gt;"",FT!A75*10,"")</f>
        <v>3.7037999999999998</v>
      </c>
      <c r="G75" s="61">
        <f>IF(FT!B75&lt;&gt;"",FT!B75*100,"")</f>
        <v>30.395100000000003</v>
      </c>
      <c r="H75" s="61">
        <f t="shared" si="9"/>
        <v>1</v>
      </c>
      <c r="I75" t="str">
        <f>IF(FT!B75&lt;&gt;"",FT!E75,"")</f>
        <v>1 [29.622677]</v>
      </c>
      <c r="J75">
        <f>IF(FT!B75&lt;&gt;"",FT!C75,"")</f>
        <v>29.622699999999998</v>
      </c>
    </row>
    <row r="76" spans="1:10">
      <c r="A76" s="61">
        <f t="shared" si="10"/>
        <v>74</v>
      </c>
      <c r="B76" s="61">
        <f t="shared" si="8"/>
        <v>1.4279736470588238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3.7087199999999996</v>
      </c>
      <c r="G76" s="61">
        <f>IF(FT!B76&lt;&gt;"",FT!B76*100,"")</f>
        <v>30.1327</v>
      </c>
      <c r="H76" s="61">
        <f t="shared" si="9"/>
        <v>1</v>
      </c>
      <c r="I76" t="str">
        <f>IF(FT!B76&lt;&gt;"",FT!E76,"")</f>
        <v>1 [30.031571]</v>
      </c>
      <c r="J76">
        <f>IF(FT!B76&lt;&gt;"",FT!C76,"")</f>
        <v>30.031600000000001</v>
      </c>
    </row>
    <row r="77" spans="1:10">
      <c r="A77" s="61">
        <f t="shared" si="10"/>
        <v>75</v>
      </c>
      <c r="B77" s="61">
        <f t="shared" si="8"/>
        <v>1.4472705882352943</v>
      </c>
      <c r="C77" s="61">
        <f>FH!A77*1</f>
        <v>163481</v>
      </c>
      <c r="D77" s="61">
        <f>FH!B77*1</f>
        <v>163481</v>
      </c>
      <c r="E77">
        <f t="shared" si="11"/>
        <v>75</v>
      </c>
      <c r="F77" s="61">
        <f>IF(FT!A77&lt;&gt;"",FT!A77*10,"")</f>
        <v>3.7143900000000003</v>
      </c>
      <c r="G77" s="61">
        <f>IF(FT!B77&lt;&gt;"",FT!B77*100,"")</f>
        <v>29.795400000000001</v>
      </c>
      <c r="H77" s="61">
        <f t="shared" si="9"/>
        <v>1</v>
      </c>
      <c r="I77" t="str">
        <f>IF(FT!B77&lt;&gt;"",FT!E77,"")</f>
        <v>2 [30.623342]</v>
      </c>
      <c r="J77">
        <f>IF(FT!B77&lt;&gt;"",FT!C77,"")</f>
        <v>30.6233</v>
      </c>
    </row>
    <row r="78" spans="1:10">
      <c r="A78" s="61">
        <f t="shared" si="10"/>
        <v>76</v>
      </c>
      <c r="B78" s="61">
        <f t="shared" si="8"/>
        <v>1.4665675294117648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3.7178800000000001</v>
      </c>
      <c r="G78" s="61">
        <f>IF(FT!B78&lt;&gt;"",FT!B78*100,"")</f>
        <v>29.549300000000002</v>
      </c>
      <c r="H78" s="61">
        <f t="shared" si="9"/>
        <v>1</v>
      </c>
      <c r="I78" t="str">
        <f>IF(FT!B78&lt;&gt;"",FT!E78,"")</f>
        <v>2 [30.997853]</v>
      </c>
      <c r="J78">
        <f>IF(FT!B78&lt;&gt;"",FT!C78,"")</f>
        <v>30.997900000000001</v>
      </c>
    </row>
    <row r="79" spans="1:10">
      <c r="A79" s="61">
        <f t="shared" si="10"/>
        <v>77</v>
      </c>
      <c r="B79" s="61">
        <f t="shared" si="8"/>
        <v>1.4858644705882353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3.7219799999999998</v>
      </c>
      <c r="G79" s="61">
        <f>IF(FT!B79&lt;&gt;"",FT!B79*100,"")</f>
        <v>29.247899999999998</v>
      </c>
      <c r="H79" s="61">
        <f t="shared" si="9"/>
        <v>1</v>
      </c>
      <c r="I79" t="str">
        <f>IF(FT!B79&lt;&gt;"",FT!E79,"")</f>
        <v>2 [31.373565]</v>
      </c>
      <c r="J79">
        <f>IF(FT!B79&lt;&gt;"",FT!C79,"")</f>
        <v>31.3736</v>
      </c>
    </row>
    <row r="80" spans="1:10">
      <c r="A80" s="61">
        <f t="shared" si="10"/>
        <v>78</v>
      </c>
      <c r="B80" s="61">
        <f t="shared" si="8"/>
        <v>1.5051614117647061</v>
      </c>
      <c r="C80" s="61">
        <f>FH!A80*1</f>
        <v>163719</v>
      </c>
      <c r="D80" s="61">
        <f>FH!B80*1</f>
        <v>163719</v>
      </c>
      <c r="E80">
        <f t="shared" si="11"/>
        <v>78</v>
      </c>
      <c r="F80" s="61">
        <f>IF(FT!A80&lt;&gt;"",FT!A80*10,"")</f>
        <v>3.7257400000000001</v>
      </c>
      <c r="G80" s="61">
        <f>IF(FT!B80&lt;&gt;"",FT!B80*100,"")</f>
        <v>28.934500000000003</v>
      </c>
      <c r="H80" s="61">
        <f t="shared" si="9"/>
        <v>1</v>
      </c>
      <c r="I80" t="str">
        <f>IF(FT!B80&lt;&gt;"",FT!E80,"")</f>
        <v>2 [31.748751]</v>
      </c>
      <c r="J80">
        <f>IF(FT!B80&lt;&gt;"",FT!C80,"")</f>
        <v>31.748799999999999</v>
      </c>
    </row>
    <row r="81" spans="1:10">
      <c r="A81" s="61">
        <f t="shared" si="10"/>
        <v>79</v>
      </c>
      <c r="B81" s="61">
        <f t="shared" si="8"/>
        <v>1.5244583529411766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3.7274099999999999</v>
      </c>
      <c r="G81" s="61">
        <f>IF(FT!B81&lt;&gt;"",FT!B81*100,"")</f>
        <v>28.64</v>
      </c>
      <c r="H81" s="61">
        <f t="shared" si="9"/>
        <v>1</v>
      </c>
      <c r="I81" t="str">
        <f>IF(FT!B81&lt;&gt;"",FT!E81,"")</f>
        <v>2 [32.124759]</v>
      </c>
      <c r="J81">
        <f>IF(FT!B81&lt;&gt;"",FT!C81,"")</f>
        <v>32.1248</v>
      </c>
    </row>
    <row r="82" spans="1:10">
      <c r="A82" s="61">
        <f t="shared" si="10"/>
        <v>80</v>
      </c>
      <c r="B82" s="61">
        <f t="shared" si="8"/>
        <v>1.5437552941176471</v>
      </c>
      <c r="C82" s="61">
        <f>FH!A82*1</f>
        <v>162348</v>
      </c>
      <c r="D82" s="61">
        <f>FH!B82*1</f>
        <v>162348</v>
      </c>
      <c r="E82">
        <f t="shared" si="11"/>
        <v>80</v>
      </c>
      <c r="F82" s="61">
        <f>IF(FT!A82&lt;&gt;"",FT!A82*10,"")</f>
        <v>3.7290899999999998</v>
      </c>
      <c r="G82" s="61">
        <f>IF(FT!B82&lt;&gt;"",FT!B82*100,"")</f>
        <v>28.301900000000003</v>
      </c>
      <c r="H82" s="61">
        <f t="shared" si="9"/>
        <v>1</v>
      </c>
      <c r="I82" t="str">
        <f>IF(FT!B82&lt;&gt;"",FT!E82,"")</f>
        <v>2 [32.530711]</v>
      </c>
      <c r="J82">
        <f>IF(FT!B82&lt;&gt;"",FT!C82,"")</f>
        <v>32.530700000000003</v>
      </c>
    </row>
    <row r="83" spans="1:10">
      <c r="A83" s="61">
        <f t="shared" si="10"/>
        <v>81</v>
      </c>
      <c r="B83" s="61">
        <f t="shared" si="8"/>
        <v>1.5630522352941176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3.7286399999999995</v>
      </c>
      <c r="G83" s="61">
        <f>IF(FT!B83&lt;&gt;"",FT!B83*100,"")</f>
        <v>27.9453</v>
      </c>
      <c r="H83" s="61">
        <f t="shared" si="9"/>
        <v>1</v>
      </c>
      <c r="I83" t="str">
        <f>IF(FT!B83&lt;&gt;"",FT!E83,"")</f>
        <v>2 [32.938114]</v>
      </c>
      <c r="J83">
        <f>IF(FT!B83&lt;&gt;"",FT!C83,"")</f>
        <v>32.938099999999999</v>
      </c>
    </row>
    <row r="84" spans="1:10">
      <c r="A84" s="61">
        <f t="shared" si="10"/>
        <v>82</v>
      </c>
      <c r="B84" s="61">
        <f t="shared" si="8"/>
        <v>1.5823491764705884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3.7281900000000001</v>
      </c>
      <c r="G84" s="61">
        <f>IF(FT!B84&lt;&gt;"",FT!B84*100,"")</f>
        <v>27.566200000000002</v>
      </c>
      <c r="H84" s="61">
        <f t="shared" si="9"/>
        <v>1</v>
      </c>
      <c r="I84" t="str">
        <f>IF(FT!B84&lt;&gt;"",FT!E84,"")</f>
        <v>2 [33.345107]</v>
      </c>
      <c r="J84">
        <f>IF(FT!B84&lt;&gt;"",FT!C84,"")</f>
        <v>33.345100000000002</v>
      </c>
    </row>
    <row r="85" spans="1:10">
      <c r="A85" s="61">
        <f t="shared" si="10"/>
        <v>83</v>
      </c>
      <c r="B85" s="61">
        <f t="shared" si="8"/>
        <v>1.6016461176470589</v>
      </c>
      <c r="C85" s="61">
        <f>FH!A85*1</f>
        <v>169671</v>
      </c>
      <c r="D85" s="61">
        <f>FH!B85*1</f>
        <v>169671</v>
      </c>
      <c r="E85">
        <f t="shared" si="11"/>
        <v>83</v>
      </c>
      <c r="F85" s="61">
        <f>IF(FT!A85&lt;&gt;"",FT!A85*10,"")</f>
        <v>3.7291000000000003</v>
      </c>
      <c r="G85" s="61">
        <f>IF(FT!B85&lt;&gt;"",FT!B85*100,"")</f>
        <v>27.204499999999999</v>
      </c>
      <c r="H85" s="61">
        <f t="shared" si="9"/>
        <v>1</v>
      </c>
      <c r="I85" t="str">
        <f>IF(FT!B85&lt;&gt;"",FT!E85,"")</f>
        <v>2 [33.749849]</v>
      </c>
      <c r="J85">
        <f>IF(FT!B85&lt;&gt;"",FT!C85,"")</f>
        <v>33.7498</v>
      </c>
    </row>
    <row r="86" spans="1:10">
      <c r="A86" s="61">
        <f t="shared" si="10"/>
        <v>84</v>
      </c>
      <c r="B86" s="61">
        <f t="shared" si="8"/>
        <v>1.6209430588235294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3.7330700000000001</v>
      </c>
      <c r="G86" s="61">
        <f>IF(FT!B86&lt;&gt;"",FT!B86*100,"")</f>
        <v>26.817400000000003</v>
      </c>
      <c r="H86" s="61">
        <f t="shared" si="9"/>
        <v>1</v>
      </c>
      <c r="I86" t="str">
        <f>IF(FT!B86&lt;&gt;"",FT!E86,"")</f>
        <v>2 [34.154907]</v>
      </c>
      <c r="J86">
        <f>IF(FT!B86&lt;&gt;"",FT!C86,"")</f>
        <v>34.154899999999998</v>
      </c>
    </row>
    <row r="87" spans="1:10">
      <c r="A87" s="61">
        <f t="shared" si="10"/>
        <v>85</v>
      </c>
      <c r="B87" s="61">
        <f t="shared" si="8"/>
        <v>1.6402399999999999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3.7345000000000002</v>
      </c>
      <c r="G87" s="61">
        <f>IF(FT!B87&lt;&gt;"",FT!B87*100,"")</f>
        <v>26.469700000000003</v>
      </c>
      <c r="H87" s="61">
        <f t="shared" si="9"/>
        <v>1</v>
      </c>
      <c r="I87" t="str">
        <f>IF(FT!B87&lt;&gt;"",FT!E87,"")</f>
        <v>2 [34.561676]</v>
      </c>
      <c r="J87">
        <f>IF(FT!B87&lt;&gt;"",FT!C87,"")</f>
        <v>34.561700000000002</v>
      </c>
    </row>
    <row r="88" spans="1:10">
      <c r="A88" s="61">
        <f t="shared" si="10"/>
        <v>86</v>
      </c>
      <c r="B88" s="61">
        <f t="shared" si="8"/>
        <v>1.6595369411764709</v>
      </c>
      <c r="C88" s="61">
        <f>FH!A88*1</f>
        <v>179215</v>
      </c>
      <c r="D88" s="61">
        <f>FH!B88*1</f>
        <v>179215</v>
      </c>
      <c r="E88">
        <f t="shared" si="11"/>
        <v>86</v>
      </c>
      <c r="F88" s="61">
        <f>IF(FT!A88&lt;&gt;"",FT!A88*10,"")</f>
        <v>3.7326799999999998</v>
      </c>
      <c r="G88" s="61">
        <f>IF(FT!B88&lt;&gt;"",FT!B88*100,"")</f>
        <v>26.1191</v>
      </c>
      <c r="H88" s="61">
        <f t="shared" si="9"/>
        <v>1</v>
      </c>
      <c r="I88" t="str">
        <f>IF(FT!B88&lt;&gt;"",FT!E88,"")</f>
        <v>2 [34.968814]</v>
      </c>
      <c r="J88">
        <f>IF(FT!B88&lt;&gt;"",FT!C88,"")</f>
        <v>34.968800000000002</v>
      </c>
    </row>
    <row r="89" spans="1:10">
      <c r="A89" s="61">
        <f t="shared" si="10"/>
        <v>87</v>
      </c>
      <c r="B89" s="61">
        <f t="shared" si="8"/>
        <v>1.6788338823529414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3.72818</v>
      </c>
      <c r="G89" s="61">
        <f>IF(FT!B89&lt;&gt;"",FT!B89*100,"")</f>
        <v>25.795200000000001</v>
      </c>
      <c r="H89" s="61">
        <f t="shared" si="9"/>
        <v>1</v>
      </c>
      <c r="I89" t="str">
        <f>IF(FT!B89&lt;&gt;"",FT!E89,"")</f>
        <v>2 [35.376798]</v>
      </c>
      <c r="J89">
        <f>IF(FT!B89&lt;&gt;"",FT!C89,"")</f>
        <v>35.376800000000003</v>
      </c>
    </row>
    <row r="90" spans="1:10">
      <c r="A90" s="61">
        <f t="shared" si="10"/>
        <v>88</v>
      </c>
      <c r="B90" s="61">
        <f t="shared" si="8"/>
        <v>1.6981308235294119</v>
      </c>
      <c r="C90" s="61">
        <f>FH!A90*1</f>
        <v>180285</v>
      </c>
      <c r="D90" s="61">
        <f>FH!B90*1</f>
        <v>180285</v>
      </c>
      <c r="E90">
        <f t="shared" si="11"/>
        <v>88</v>
      </c>
      <c r="F90" s="61">
        <f>IF(FT!A90&lt;&gt;"",FT!A90*10,"")</f>
        <v>3.7199999999999998</v>
      </c>
      <c r="G90" s="61">
        <f>IF(FT!B90&lt;&gt;"",FT!B90*100,"")</f>
        <v>25.4739</v>
      </c>
      <c r="H90" s="61">
        <f t="shared" si="9"/>
        <v>1</v>
      </c>
      <c r="I90" t="str">
        <f>IF(FT!B90&lt;&gt;"",FT!E90,"")</f>
        <v>2 [35.781633]</v>
      </c>
      <c r="J90">
        <f>IF(FT!B90&lt;&gt;"",FT!C90,"")</f>
        <v>35.781599999999997</v>
      </c>
    </row>
    <row r="91" spans="1:10">
      <c r="A91" s="61">
        <f t="shared" si="10"/>
        <v>89</v>
      </c>
      <c r="B91" s="61">
        <f t="shared" si="8"/>
        <v>1.7174277647058824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3.7072500000000002</v>
      </c>
      <c r="G91" s="61">
        <f>IF(FT!B91&lt;&gt;"",FT!B91*100,"")</f>
        <v>25.145499999999998</v>
      </c>
      <c r="H91" s="61">
        <f t="shared" si="9"/>
        <v>1</v>
      </c>
      <c r="I91" t="str">
        <f>IF(FT!B91&lt;&gt;"",FT!E91,"")</f>
        <v>2 [36.186192]</v>
      </c>
      <c r="J91">
        <f>IF(FT!B91&lt;&gt;"",FT!C91,"")</f>
        <v>36.186199999999999</v>
      </c>
    </row>
    <row r="92" spans="1:10">
      <c r="A92" s="61">
        <f t="shared" si="10"/>
        <v>90</v>
      </c>
      <c r="B92" s="61">
        <f t="shared" si="8"/>
        <v>1.7367247058823532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3.69184</v>
      </c>
      <c r="G92" s="61">
        <f>IF(FT!B92&lt;&gt;"",FT!B92*100,"")</f>
        <v>24.883199999999999</v>
      </c>
      <c r="H92" s="61">
        <f t="shared" si="9"/>
        <v>1</v>
      </c>
      <c r="I92" t="str">
        <f>IF(FT!B92&lt;&gt;"",FT!E92,"")</f>
        <v>2 [36.595571]</v>
      </c>
      <c r="J92">
        <f>IF(FT!B92&lt;&gt;"",FT!C92,"")</f>
        <v>36.595599999999997</v>
      </c>
    </row>
    <row r="93" spans="1:10">
      <c r="A93" s="61">
        <f t="shared" si="10"/>
        <v>91</v>
      </c>
      <c r="B93" s="61">
        <f t="shared" si="8"/>
        <v>1.7560216470588237</v>
      </c>
      <c r="C93" s="61">
        <f>FH!A93*1</f>
        <v>192382</v>
      </c>
      <c r="D93" s="61">
        <f>FH!B93*1</f>
        <v>192382</v>
      </c>
      <c r="E93">
        <f t="shared" si="11"/>
        <v>91</v>
      </c>
      <c r="F93" s="61">
        <f>IF(FT!A93&lt;&gt;"",FT!A93*10,"")</f>
        <v>3.6773600000000002</v>
      </c>
      <c r="G93" s="61">
        <f>IF(FT!B93&lt;&gt;"",FT!B93*100,"")</f>
        <v>24.680800000000001</v>
      </c>
      <c r="H93" s="61">
        <f t="shared" si="9"/>
        <v>1</v>
      </c>
      <c r="I93" t="str">
        <f>IF(FT!B93&lt;&gt;"",FT!E93,"")</f>
        <v>2 [37.000751]</v>
      </c>
      <c r="J93">
        <f>IF(FT!B93&lt;&gt;"",FT!C93,"")</f>
        <v>37.000799999999998</v>
      </c>
    </row>
    <row r="94" spans="1:10">
      <c r="A94" s="61">
        <f t="shared" si="10"/>
        <v>92</v>
      </c>
      <c r="B94" s="61">
        <f t="shared" si="8"/>
        <v>1.7753185882352942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3.6623600000000001</v>
      </c>
      <c r="G94" s="61">
        <f>IF(FT!B94&lt;&gt;"",FT!B94*100,"")</f>
        <v>24.489900000000002</v>
      </c>
      <c r="H94" s="61">
        <f t="shared" si="9"/>
        <v>1</v>
      </c>
      <c r="I94" t="str">
        <f>IF(FT!B94&lt;&gt;"",FT!E94,"")</f>
        <v>2 [37.407652]</v>
      </c>
      <c r="J94">
        <f>IF(FT!B94&lt;&gt;"",FT!C94,"")</f>
        <v>37.407699999999998</v>
      </c>
    </row>
    <row r="95" spans="1:10">
      <c r="A95" s="61">
        <f t="shared" si="10"/>
        <v>93</v>
      </c>
      <c r="B95" s="61">
        <f t="shared" si="8"/>
        <v>1.7946155294117647</v>
      </c>
      <c r="C95" s="61">
        <f>FH!A95*1</f>
        <v>200089</v>
      </c>
      <c r="D95" s="61">
        <f>FH!B95*1</f>
        <v>200089</v>
      </c>
      <c r="E95">
        <f t="shared" si="11"/>
        <v>93</v>
      </c>
      <c r="F95" s="61">
        <f>IF(FT!A95&lt;&gt;"",FT!A95*10,"")</f>
        <v>3.6453200000000003</v>
      </c>
      <c r="G95" s="61">
        <f>IF(FT!B95&lt;&gt;"",FT!B95*100,"")</f>
        <v>24.366599999999998</v>
      </c>
      <c r="H95" s="61">
        <f t="shared" si="9"/>
        <v>1</v>
      </c>
      <c r="I95" t="str">
        <f>IF(FT!B95&lt;&gt;"",FT!E95,"")</f>
        <v>2 [37.813223]</v>
      </c>
      <c r="J95">
        <f>IF(FT!B95&lt;&gt;"",FT!C95,"")</f>
        <v>37.813200000000002</v>
      </c>
    </row>
    <row r="96" spans="1:10">
      <c r="A96" s="61">
        <f t="shared" si="10"/>
        <v>94</v>
      </c>
      <c r="B96" s="61">
        <f t="shared" si="8"/>
        <v>1.8139124705882355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3.6301000000000001</v>
      </c>
      <c r="G96" s="61">
        <f>IF(FT!B96&lt;&gt;"",FT!B96*100,"")</f>
        <v>24.284600000000001</v>
      </c>
      <c r="H96" s="61">
        <f t="shared" si="9"/>
        <v>1</v>
      </c>
      <c r="I96" t="str">
        <f>IF(FT!B96&lt;&gt;"",FT!E96,"")</f>
        <v>2 [38.216518]</v>
      </c>
      <c r="J96">
        <f>IF(FT!B96&lt;&gt;"",FT!C96,"")</f>
        <v>38.216500000000003</v>
      </c>
    </row>
    <row r="97" spans="1:10">
      <c r="A97" s="61">
        <f t="shared" si="10"/>
        <v>95</v>
      </c>
      <c r="B97" s="61">
        <f t="shared" si="8"/>
        <v>1.833209411764706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3.6170299999999997</v>
      </c>
      <c r="G97" s="61">
        <f>IF(FT!B97&lt;&gt;"",FT!B97*100,"")</f>
        <v>24.286899999999999</v>
      </c>
      <c r="H97" s="61">
        <f t="shared" si="9"/>
        <v>1</v>
      </c>
      <c r="I97" t="str">
        <f>IF(FT!B97&lt;&gt;"",FT!E97,"")</f>
        <v>2 [38.622859]</v>
      </c>
      <c r="J97">
        <f>IF(FT!B97&lt;&gt;"",FT!C97,"")</f>
        <v>38.622900000000001</v>
      </c>
    </row>
    <row r="98" spans="1:10">
      <c r="A98" s="61">
        <f t="shared" si="10"/>
        <v>96</v>
      </c>
      <c r="B98" s="61">
        <f t="shared" si="8"/>
        <v>1.8525063529411765</v>
      </c>
      <c r="C98" s="61">
        <f>FH!A98*1</f>
        <v>198196</v>
      </c>
      <c r="D98" s="61">
        <f>FH!B98*1</f>
        <v>198196</v>
      </c>
      <c r="E98">
        <f t="shared" si="11"/>
        <v>96</v>
      </c>
      <c r="F98" s="61">
        <f>IF(FT!A98&lt;&gt;"",FT!A98*10,"")</f>
        <v>3.6019299999999999</v>
      </c>
      <c r="G98" s="61">
        <f>IF(FT!B98&lt;&gt;"",FT!B98*100,"")</f>
        <v>24.397300000000001</v>
      </c>
      <c r="H98" s="61">
        <f t="shared" si="9"/>
        <v>1</v>
      </c>
      <c r="I98" t="str">
        <f>IF(FT!B98&lt;&gt;"",FT!E98,"")</f>
        <v>2 [39.031600]</v>
      </c>
      <c r="J98">
        <f>IF(FT!B98&lt;&gt;"",FT!C98,"")</f>
        <v>39.031599999999997</v>
      </c>
    </row>
    <row r="99" spans="1:10">
      <c r="A99" s="61">
        <f t="shared" si="10"/>
        <v>97</v>
      </c>
      <c r="B99" s="61">
        <f t="shared" si="8"/>
        <v>1.871803294117647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3.5902099999999999</v>
      </c>
      <c r="G99" s="61">
        <f>IF(FT!B99&lt;&gt;"",FT!B99*100,"")</f>
        <v>24.5093</v>
      </c>
      <c r="H99" s="61">
        <f t="shared" si="9"/>
        <v>1</v>
      </c>
      <c r="I99" t="str">
        <f>IF(FT!B99&lt;&gt;"",FT!E99,"")</f>
        <v>2 [39.437287]</v>
      </c>
      <c r="J99">
        <f>IF(FT!B99&lt;&gt;"",FT!C99,"")</f>
        <v>39.4373</v>
      </c>
    </row>
    <row r="100" spans="1:10">
      <c r="A100" s="61">
        <f t="shared" si="10"/>
        <v>98</v>
      </c>
      <c r="B100" s="61">
        <f t="shared" si="8"/>
        <v>1.8911002352941177</v>
      </c>
      <c r="C100" s="61">
        <f>FH!A100*1</f>
        <v>205072</v>
      </c>
      <c r="D100" s="61">
        <f>FH!B100*1</f>
        <v>205072</v>
      </c>
      <c r="E100">
        <f t="shared" si="11"/>
        <v>98</v>
      </c>
      <c r="F100" s="61">
        <f>IF(FT!A100&lt;&gt;"",FT!A100*10,"")</f>
        <v>3.5813000000000001</v>
      </c>
      <c r="G100" s="61">
        <f>IF(FT!B100&lt;&gt;"",FT!B100*100,"")</f>
        <v>24.6553</v>
      </c>
      <c r="H100" s="61">
        <f t="shared" si="9"/>
        <v>1</v>
      </c>
      <c r="I100" t="str">
        <f>IF(FT!B100&lt;&gt;"",FT!E100,"")</f>
        <v>2 [39.842734]</v>
      </c>
      <c r="J100">
        <f>IF(FT!B100&lt;&gt;"",FT!C100,"")</f>
        <v>39.842700000000001</v>
      </c>
    </row>
    <row r="101" spans="1:10">
      <c r="A101" s="61">
        <f t="shared" si="10"/>
        <v>99</v>
      </c>
      <c r="B101" s="61">
        <f t="shared" si="8"/>
        <v>1.9103971764705883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3.5753400000000002</v>
      </c>
      <c r="G101" s="61">
        <f>IF(FT!B101&lt;&gt;"",FT!B101*100,"")</f>
        <v>24.834199999999999</v>
      </c>
      <c r="H101" s="61">
        <f t="shared" si="9"/>
        <v>1</v>
      </c>
      <c r="I101" t="str">
        <f>IF(FT!B101&lt;&gt;"",FT!E101,"")</f>
        <v>2 [40.249206]</v>
      </c>
      <c r="J101">
        <f>IF(FT!B101&lt;&gt;"",FT!C101,"")</f>
        <v>40.249200000000002</v>
      </c>
    </row>
    <row r="102" spans="1:10">
      <c r="A102" s="61">
        <f t="shared" si="10"/>
        <v>100</v>
      </c>
      <c r="B102" s="61">
        <f t="shared" si="8"/>
        <v>1.9296941176470588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3.5718199999999998</v>
      </c>
      <c r="G102" s="61">
        <f>IF(FT!B102&lt;&gt;"",FT!B102*100,"")</f>
        <v>24.970400000000001</v>
      </c>
      <c r="H102" s="61">
        <f t="shared" si="9"/>
        <v>1</v>
      </c>
      <c r="I102" t="str">
        <f>IF(FT!B102&lt;&gt;"",FT!E102,"")</f>
        <v>2 [40.655705]</v>
      </c>
      <c r="J102">
        <f>IF(FT!B102&lt;&gt;"",FT!C102,"")</f>
        <v>40.655700000000003</v>
      </c>
    </row>
    <row r="103" spans="1:10">
      <c r="A103" s="61">
        <f t="shared" si="10"/>
        <v>101</v>
      </c>
      <c r="B103" s="61">
        <f t="shared" si="8"/>
        <v>1.9489910588235293</v>
      </c>
      <c r="C103" s="61">
        <f>FH!A103*1</f>
        <v>187015</v>
      </c>
      <c r="D103" s="61">
        <f>FH!B103*1</f>
        <v>187015</v>
      </c>
      <c r="E103">
        <f t="shared" si="11"/>
        <v>101</v>
      </c>
      <c r="F103" s="61">
        <f>IF(FT!A103&lt;&gt;"",FT!A103*10,"")</f>
        <v>3.5694300000000001</v>
      </c>
      <c r="G103" s="61">
        <f>IF(FT!B103&lt;&gt;"",FT!B103*100,"")</f>
        <v>25.114999999999998</v>
      </c>
      <c r="H103" s="61">
        <f t="shared" si="9"/>
        <v>1</v>
      </c>
      <c r="I103" t="str">
        <f>IF(FT!B103&lt;&gt;"",FT!E103,"")</f>
        <v>2 [41.060788]</v>
      </c>
      <c r="J103">
        <f>IF(FT!B103&lt;&gt;"",FT!C103,"")</f>
        <v>41.0608</v>
      </c>
    </row>
    <row r="104" spans="1:10">
      <c r="A104" s="61">
        <f t="shared" si="10"/>
        <v>102</v>
      </c>
      <c r="B104" s="61">
        <f t="shared" si="8"/>
        <v>1.9682880000000003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3.5676700000000001</v>
      </c>
      <c r="G104" s="61">
        <f>IF(FT!B104&lt;&gt;"",FT!B104*100,"")</f>
        <v>25.248799999999999</v>
      </c>
      <c r="H104" s="61">
        <f t="shared" si="9"/>
        <v>1</v>
      </c>
      <c r="I104" t="str">
        <f>IF(FT!B104&lt;&gt;"",FT!E104,"")</f>
        <v>2 [41.470797]</v>
      </c>
      <c r="J104">
        <f>IF(FT!B104&lt;&gt;"",FT!C104,"")</f>
        <v>41.470799999999997</v>
      </c>
    </row>
    <row r="105" spans="1:10">
      <c r="A105" s="61">
        <f t="shared" si="10"/>
        <v>103</v>
      </c>
      <c r="B105" s="61">
        <f t="shared" si="8"/>
        <v>1.9875849411764708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3.5652200000000001</v>
      </c>
      <c r="G105" s="61">
        <f>IF(FT!B105&lt;&gt;"",FT!B105*100,"")</f>
        <v>25.458199999999998</v>
      </c>
      <c r="H105" s="61">
        <f t="shared" si="9"/>
        <v>1</v>
      </c>
      <c r="I105" t="str">
        <f>IF(FT!B105&lt;&gt;"",FT!E105,"")</f>
        <v>2 [41.875478]</v>
      </c>
      <c r="J105">
        <f>IF(FT!B105&lt;&gt;"",FT!C105,"")</f>
        <v>41.875500000000002</v>
      </c>
    </row>
    <row r="106" spans="1:10">
      <c r="A106" s="61">
        <f t="shared" si="10"/>
        <v>104</v>
      </c>
      <c r="B106" s="61">
        <f t="shared" si="8"/>
        <v>2.0068818823529413</v>
      </c>
      <c r="C106" s="61">
        <f>FH!A106*1</f>
        <v>184214</v>
      </c>
      <c r="D106" s="61">
        <f>FH!B106*1</f>
        <v>184214</v>
      </c>
      <c r="E106">
        <f t="shared" si="11"/>
        <v>104</v>
      </c>
      <c r="F106" s="61">
        <f>IF(FT!A106&lt;&gt;"",FT!A106*10,"")</f>
        <v>3.5665799999999996</v>
      </c>
      <c r="G106" s="61">
        <f>IF(FT!B106&lt;&gt;"",FT!B106*100,"")</f>
        <v>25.658999999999999</v>
      </c>
      <c r="H106" s="61">
        <f t="shared" si="9"/>
        <v>1</v>
      </c>
      <c r="I106" t="str">
        <f>IF(FT!B106&lt;&gt;"",FT!E106,"")</f>
        <v>2 [42.281158]</v>
      </c>
      <c r="J106">
        <f>IF(FT!B106&lt;&gt;"",FT!C106,"")</f>
        <v>42.281199999999998</v>
      </c>
    </row>
    <row r="107" spans="1:10">
      <c r="A107" s="61">
        <f t="shared" si="10"/>
        <v>105</v>
      </c>
      <c r="B107" s="61">
        <f t="shared" si="8"/>
        <v>2.0261788235294116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3.5709800000000005</v>
      </c>
      <c r="G107" s="61">
        <f>IF(FT!B107&lt;&gt;"",FT!B107*100,"")</f>
        <v>25.821100000000001</v>
      </c>
      <c r="H107" s="61">
        <f t="shared" si="9"/>
        <v>1</v>
      </c>
      <c r="I107" t="str">
        <f>IF(FT!B107&lt;&gt;"",FT!E107,"")</f>
        <v>2 [42.685659]</v>
      </c>
      <c r="J107">
        <f>IF(FT!B107&lt;&gt;"",FT!C107,"")</f>
        <v>42.685699999999997</v>
      </c>
    </row>
    <row r="108" spans="1:10">
      <c r="A108" s="61">
        <f t="shared" si="10"/>
        <v>106</v>
      </c>
      <c r="B108" s="61">
        <f t="shared" si="8"/>
        <v>2.0454757647058823</v>
      </c>
      <c r="C108" s="61">
        <f>FH!A108*1</f>
        <v>172168</v>
      </c>
      <c r="D108" s="61">
        <f>FH!B108*1</f>
        <v>172168</v>
      </c>
      <c r="E108">
        <f t="shared" si="11"/>
        <v>106</v>
      </c>
      <c r="F108" s="61">
        <f>IF(FT!A108&lt;&gt;"",FT!A108*10,"")</f>
        <v>3.5792800000000002</v>
      </c>
      <c r="G108" s="61">
        <f>IF(FT!B108&lt;&gt;"",FT!B108*100,"")</f>
        <v>25.995200000000001</v>
      </c>
      <c r="H108" s="61">
        <f t="shared" si="9"/>
        <v>1</v>
      </c>
      <c r="I108" t="str">
        <f>IF(FT!B108&lt;&gt;"",FT!E108,"")</f>
        <v>2 [43.090928]</v>
      </c>
      <c r="J108">
        <f>IF(FT!B108&lt;&gt;"",FT!C108,"")</f>
        <v>43.090899999999998</v>
      </c>
    </row>
    <row r="109" spans="1:10">
      <c r="A109" s="61">
        <f t="shared" si="10"/>
        <v>107</v>
      </c>
      <c r="B109" s="61">
        <f t="shared" si="8"/>
        <v>2.0647727058823531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3.5882900000000002</v>
      </c>
      <c r="G109" s="61">
        <f>IF(FT!B109&lt;&gt;"",FT!B109*100,"")</f>
        <v>26.200200000000002</v>
      </c>
      <c r="H109" s="61">
        <f t="shared" si="9"/>
        <v>1</v>
      </c>
      <c r="I109" t="str">
        <f>IF(FT!B109&lt;&gt;"",FT!E109,"")</f>
        <v>2 [43.499644]</v>
      </c>
      <c r="J109">
        <f>IF(FT!B109&lt;&gt;"",FT!C109,"")</f>
        <v>43.499600000000001</v>
      </c>
    </row>
    <row r="110" spans="1:10">
      <c r="A110" s="61">
        <f t="shared" si="10"/>
        <v>108</v>
      </c>
      <c r="B110" s="61">
        <f t="shared" si="8"/>
        <v>2.0840696470588238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3.5962899999999998</v>
      </c>
      <c r="G110" s="61">
        <f>IF(FT!B110&lt;&gt;"",FT!B110*100,"")</f>
        <v>26.413199999999996</v>
      </c>
      <c r="H110" s="61">
        <f t="shared" si="9"/>
        <v>1</v>
      </c>
      <c r="I110" t="str">
        <f>IF(FT!B110&lt;&gt;"",FT!E110,"")</f>
        <v>2 [43.906973]</v>
      </c>
      <c r="J110">
        <f>IF(FT!B110&lt;&gt;"",FT!C110,"")</f>
        <v>43.906999999999996</v>
      </c>
    </row>
    <row r="111" spans="1:10">
      <c r="A111" s="61">
        <f t="shared" si="10"/>
        <v>109</v>
      </c>
      <c r="B111" s="61">
        <f t="shared" si="8"/>
        <v>2.1033665882352941</v>
      </c>
      <c r="C111" s="61">
        <f>FH!A111*1</f>
        <v>168738</v>
      </c>
      <c r="D111" s="61">
        <f>FH!B111*1</f>
        <v>168738</v>
      </c>
      <c r="E111">
        <f t="shared" si="11"/>
        <v>109</v>
      </c>
      <c r="F111" s="61">
        <f>IF(FT!A111&lt;&gt;"",FT!A111*10,"")</f>
        <v>3.6048</v>
      </c>
      <c r="G111" s="61">
        <f>IF(FT!B111&lt;&gt;"",FT!B111*100,"")</f>
        <v>26.630700000000001</v>
      </c>
      <c r="H111" s="61">
        <f t="shared" si="9"/>
        <v>1</v>
      </c>
      <c r="I111" t="str">
        <f>IF(FT!B111&lt;&gt;"",FT!E111,"")</f>
        <v>2 [44.314088]</v>
      </c>
      <c r="J111">
        <f>IF(FT!B111&lt;&gt;"",FT!C111,"")</f>
        <v>44.314100000000003</v>
      </c>
    </row>
    <row r="112" spans="1:10">
      <c r="A112" s="61">
        <f t="shared" si="10"/>
        <v>110</v>
      </c>
      <c r="B112" s="61">
        <f t="shared" si="8"/>
        <v>2.1226635294117648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3.6123699999999999</v>
      </c>
      <c r="G112" s="61">
        <f>IF(FT!B112&lt;&gt;"",FT!B112*100,"")</f>
        <v>26.877299999999998</v>
      </c>
      <c r="H112" s="61">
        <f t="shared" si="9"/>
        <v>1</v>
      </c>
      <c r="I112" t="str">
        <f>IF(FT!B112&lt;&gt;"",FT!E112,"")</f>
        <v>2 [44.716329]</v>
      </c>
      <c r="J112">
        <f>IF(FT!B112&lt;&gt;"",FT!C112,"")</f>
        <v>44.716299999999997</v>
      </c>
    </row>
    <row r="113" spans="1:10">
      <c r="A113" s="61">
        <f t="shared" si="10"/>
        <v>111</v>
      </c>
      <c r="B113" s="61">
        <f t="shared" si="8"/>
        <v>2.1419604705882356</v>
      </c>
      <c r="C113" s="61">
        <f>FH!A113*1</f>
        <v>157027</v>
      </c>
      <c r="D113" s="61">
        <f>FH!B113*1</f>
        <v>157027</v>
      </c>
      <c r="E113">
        <f t="shared" si="11"/>
        <v>111</v>
      </c>
      <c r="F113" s="61">
        <f>IF(FT!A113&lt;&gt;"",FT!A113*10,"")</f>
        <v>3.6166999999999998</v>
      </c>
      <c r="G113" s="61">
        <f>IF(FT!B113&lt;&gt;"",FT!B113*100,"")</f>
        <v>27.110400000000002</v>
      </c>
      <c r="H113" s="61">
        <f t="shared" si="9"/>
        <v>1</v>
      </c>
      <c r="I113" t="str">
        <f>IF(FT!B113&lt;&gt;"",FT!E113,"")</f>
        <v>2 [45.128447]</v>
      </c>
      <c r="J113">
        <f>IF(FT!B113&lt;&gt;"",FT!C113,"")</f>
        <v>45.128399999999999</v>
      </c>
    </row>
    <row r="114" spans="1:10">
      <c r="A114" s="61">
        <f t="shared" si="10"/>
        <v>112</v>
      </c>
      <c r="B114" s="61">
        <f t="shared" si="8"/>
        <v>2.1612574117647059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3.6204499999999999</v>
      </c>
      <c r="G114" s="61">
        <f>IF(FT!B114&lt;&gt;"",FT!B114*100,"")</f>
        <v>27.256799999999998</v>
      </c>
      <c r="H114" s="61">
        <f t="shared" si="9"/>
        <v>1</v>
      </c>
      <c r="I114" t="str">
        <f>IF(FT!B114&lt;&gt;"",FT!E114,"")</f>
        <v>2 [45.529811]</v>
      </c>
      <c r="J114">
        <f>IF(FT!B114&lt;&gt;"",FT!C114,"")</f>
        <v>45.529800000000002</v>
      </c>
    </row>
    <row r="115" spans="1:10">
      <c r="A115" s="61">
        <f t="shared" si="10"/>
        <v>113</v>
      </c>
      <c r="B115" s="61">
        <f t="shared" si="8"/>
        <v>2.1805543529411766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3.62216</v>
      </c>
      <c r="G115" s="61">
        <f>IF(FT!B115&lt;&gt;"",FT!B115*100,"")</f>
        <v>27.312999999999999</v>
      </c>
      <c r="H115" s="61">
        <f t="shared" si="9"/>
        <v>1</v>
      </c>
      <c r="I115" t="str">
        <f>IF(FT!B115&lt;&gt;"",FT!E115,"")</f>
        <v>2 [45.939141]</v>
      </c>
      <c r="J115">
        <f>IF(FT!B115&lt;&gt;"",FT!C115,"")</f>
        <v>45.939100000000003</v>
      </c>
    </row>
    <row r="116" spans="1:10">
      <c r="A116" s="61">
        <f t="shared" si="10"/>
        <v>114</v>
      </c>
      <c r="B116" s="61">
        <f t="shared" si="8"/>
        <v>2.1998512941176473</v>
      </c>
      <c r="C116" s="61">
        <f>FH!A116*1</f>
        <v>155317</v>
      </c>
      <c r="D116" s="61">
        <f>FH!B116*1</f>
        <v>155317</v>
      </c>
      <c r="E116">
        <f t="shared" si="11"/>
        <v>114</v>
      </c>
      <c r="F116" s="61">
        <f>IF(FT!A116&lt;&gt;"",FT!A116*10,"")</f>
        <v>3.6255199999999999</v>
      </c>
      <c r="G116" s="61">
        <f>IF(FT!B116&lt;&gt;"",FT!B116*100,"")</f>
        <v>27.387299999999996</v>
      </c>
      <c r="H116" s="61">
        <f t="shared" si="9"/>
        <v>1</v>
      </c>
      <c r="I116" t="str">
        <f>IF(FT!B116&lt;&gt;"",FT!E116,"")</f>
        <v>2 [46.344092]</v>
      </c>
      <c r="J116">
        <f>IF(FT!B116&lt;&gt;"",FT!C116,"")</f>
        <v>46.344099999999997</v>
      </c>
    </row>
    <row r="117" spans="1:10">
      <c r="A117" s="61">
        <f t="shared" si="10"/>
        <v>115</v>
      </c>
      <c r="B117" s="61">
        <f t="shared" si="8"/>
        <v>2.2191482352941176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3.6295100000000002</v>
      </c>
      <c r="G117" s="61">
        <f>IF(FT!B117&lt;&gt;"",FT!B117*100,"")</f>
        <v>27.456000000000003</v>
      </c>
      <c r="H117" s="61">
        <f t="shared" si="9"/>
        <v>1</v>
      </c>
      <c r="I117" t="str">
        <f>IF(FT!B117&lt;&gt;"",FT!E117,"")</f>
        <v>2 [46.751893]</v>
      </c>
      <c r="J117">
        <f>IF(FT!B117&lt;&gt;"",FT!C117,"")</f>
        <v>46.751899999999999</v>
      </c>
    </row>
    <row r="118" spans="1:10">
      <c r="A118" s="61">
        <f t="shared" si="10"/>
        <v>116</v>
      </c>
      <c r="B118" s="61">
        <f t="shared" si="8"/>
        <v>2.2384451764705884</v>
      </c>
      <c r="C118" s="61">
        <f>FH!A118*1</f>
        <v>151303</v>
      </c>
      <c r="D118" s="61">
        <f>FH!B118*1</f>
        <v>151303</v>
      </c>
      <c r="E118">
        <f t="shared" si="11"/>
        <v>116</v>
      </c>
      <c r="F118" s="61">
        <f>IF(FT!A118&lt;&gt;"",FT!A118*10,"")</f>
        <v>3.6337199999999998</v>
      </c>
      <c r="G118" s="61">
        <f>IF(FT!B118&lt;&gt;"",FT!B118*100,"")</f>
        <v>27.5777</v>
      </c>
      <c r="H118" s="61">
        <f t="shared" si="9"/>
        <v>1</v>
      </c>
      <c r="I118" t="str">
        <f>IF(FT!B118&lt;&gt;"",FT!E118,"")</f>
        <v>2 [47.157062]</v>
      </c>
      <c r="J118">
        <f>IF(FT!B118&lt;&gt;"",FT!C118,"")</f>
        <v>47.1571</v>
      </c>
    </row>
    <row r="119" spans="1:10">
      <c r="A119" s="61">
        <f t="shared" si="10"/>
        <v>117</v>
      </c>
      <c r="B119" s="61">
        <f t="shared" si="8"/>
        <v>2.2577421176470587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3.6369600000000002</v>
      </c>
      <c r="G119" s="61">
        <f>IF(FT!B119&lt;&gt;"",FT!B119*100,"")</f>
        <v>27.767599999999998</v>
      </c>
      <c r="H119" s="61">
        <f t="shared" si="9"/>
        <v>1</v>
      </c>
      <c r="I119" t="str">
        <f>IF(FT!B119&lt;&gt;"",FT!E119,"")</f>
        <v>2 [47.560413]</v>
      </c>
      <c r="J119">
        <f>IF(FT!B119&lt;&gt;"",FT!C119,"")</f>
        <v>47.560400000000001</v>
      </c>
    </row>
    <row r="120" spans="1:10">
      <c r="A120" s="61">
        <f t="shared" si="10"/>
        <v>118</v>
      </c>
      <c r="B120" s="61">
        <f t="shared" si="8"/>
        <v>2.2770390588235294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3.64439</v>
      </c>
      <c r="G120" s="61">
        <f>IF(FT!B120&lt;&gt;"",FT!B120*100,"")</f>
        <v>27.954600000000003</v>
      </c>
      <c r="H120" s="61">
        <f t="shared" si="9"/>
        <v>1</v>
      </c>
      <c r="I120" t="str">
        <f>IF(FT!B120&lt;&gt;"",FT!E120,"")</f>
        <v>2 [47.967895]</v>
      </c>
      <c r="J120">
        <f>IF(FT!B120&lt;&gt;"",FT!C120,"")</f>
        <v>47.9679</v>
      </c>
    </row>
    <row r="121" spans="1:10">
      <c r="A121" s="61">
        <f t="shared" si="10"/>
        <v>119</v>
      </c>
      <c r="B121" s="61">
        <f t="shared" si="8"/>
        <v>2.2963360000000002</v>
      </c>
      <c r="C121" s="61">
        <f>FH!A121*1</f>
        <v>144356</v>
      </c>
      <c r="D121" s="61">
        <f>FH!B121*1</f>
        <v>144356</v>
      </c>
      <c r="E121">
        <f t="shared" si="11"/>
        <v>119</v>
      </c>
      <c r="F121" s="61">
        <f>IF(FT!A121&lt;&gt;"",FT!A121*10,"")</f>
        <v>3.6547099999999997</v>
      </c>
      <c r="G121" s="61">
        <f>IF(FT!B121&lt;&gt;"",FT!B121*100,"")</f>
        <v>28.067599999999999</v>
      </c>
      <c r="H121" s="61">
        <f t="shared" si="9"/>
        <v>1</v>
      </c>
      <c r="I121" t="str">
        <f>IF(FT!B121&lt;&gt;"",FT!E121,"")</f>
        <v>2 [48.375269]</v>
      </c>
      <c r="J121">
        <f>IF(FT!B121&lt;&gt;"",FT!C121,"")</f>
        <v>48.375300000000003</v>
      </c>
    </row>
    <row r="122" spans="1:10">
      <c r="A122" s="61">
        <f t="shared" si="10"/>
        <v>120</v>
      </c>
      <c r="B122" s="61">
        <f t="shared" si="8"/>
        <v>2.3156329411764704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3.6644500000000004</v>
      </c>
      <c r="G122" s="61">
        <f>IF(FT!B122&lt;&gt;"",FT!B122*100,"")</f>
        <v>28.209</v>
      </c>
      <c r="H122" s="61">
        <f t="shared" si="9"/>
        <v>1</v>
      </c>
      <c r="I122" t="str">
        <f>IF(FT!B122&lt;&gt;"",FT!E122,"")</f>
        <v>2 [48.781926]</v>
      </c>
      <c r="J122">
        <f>IF(FT!B122&lt;&gt;"",FT!C122,"")</f>
        <v>48.7819</v>
      </c>
    </row>
    <row r="123" spans="1:10">
      <c r="A123" s="61">
        <f t="shared" si="10"/>
        <v>121</v>
      </c>
      <c r="B123" s="61">
        <f t="shared" si="8"/>
        <v>2.3349298823529412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3.6737599999999997</v>
      </c>
      <c r="G123" s="61">
        <f>IF(FT!B123&lt;&gt;"",FT!B123*100,"")</f>
        <v>28.324999999999999</v>
      </c>
      <c r="H123" s="61">
        <f t="shared" si="9"/>
        <v>1</v>
      </c>
      <c r="I123" t="str">
        <f>IF(FT!B123&lt;&gt;"",FT!E123,"")</f>
        <v>2 [49.188753]</v>
      </c>
      <c r="J123">
        <f>IF(FT!B123&lt;&gt;"",FT!C123,"")</f>
        <v>49.188800000000001</v>
      </c>
    </row>
    <row r="124" spans="1:10">
      <c r="A124" s="61">
        <f t="shared" si="10"/>
        <v>122</v>
      </c>
      <c r="B124" s="61">
        <f t="shared" si="8"/>
        <v>2.3542268235294119</v>
      </c>
      <c r="C124" s="61">
        <f>FH!A124*1</f>
        <v>139796</v>
      </c>
      <c r="D124" s="61">
        <f>FH!B124*1</f>
        <v>139796</v>
      </c>
      <c r="E124">
        <f t="shared" si="11"/>
        <v>122</v>
      </c>
      <c r="F124" s="61">
        <f>IF(FT!A124&lt;&gt;"",FT!A124*10,"")</f>
        <v>3.6863200000000003</v>
      </c>
      <c r="G124" s="61">
        <f>IF(FT!B124&lt;&gt;"",FT!B124*100,"")</f>
        <v>28.360999999999997</v>
      </c>
      <c r="H124" s="61">
        <f t="shared" si="9"/>
        <v>1</v>
      </c>
      <c r="I124" t="str">
        <f>IF(FT!B124&lt;&gt;"",FT!E124,"")</f>
        <v>2 [49.594864]</v>
      </c>
      <c r="J124">
        <f>IF(FT!B124&lt;&gt;"",FT!C124,"")</f>
        <v>49.594900000000003</v>
      </c>
    </row>
    <row r="125" spans="1:10">
      <c r="A125" s="61">
        <f t="shared" si="10"/>
        <v>123</v>
      </c>
      <c r="B125" s="61">
        <f t="shared" si="8"/>
        <v>2.3735237647058827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3.7011500000000002</v>
      </c>
      <c r="G125" s="61">
        <f>IF(FT!B125&lt;&gt;"",FT!B125*100,"")</f>
        <v>28.351199999999999</v>
      </c>
      <c r="H125" s="61">
        <f t="shared" si="9"/>
        <v>1</v>
      </c>
      <c r="I125" t="str">
        <f>IF(FT!B125&lt;&gt;"",FT!E125,"")</f>
        <v>2 [49.997220]</v>
      </c>
      <c r="J125">
        <f>IF(FT!B125&lt;&gt;"",FT!C125,"")</f>
        <v>49.997199999999999</v>
      </c>
    </row>
    <row r="126" spans="1:10">
      <c r="A126" s="61">
        <f t="shared" si="10"/>
        <v>124</v>
      </c>
      <c r="B126" s="61">
        <f t="shared" si="8"/>
        <v>2.392820705882353</v>
      </c>
      <c r="C126" s="61">
        <f>FH!A126*1</f>
        <v>139777</v>
      </c>
      <c r="D126" s="61">
        <f>FH!B126*1</f>
        <v>139777</v>
      </c>
      <c r="E126">
        <f t="shared" si="11"/>
        <v>124</v>
      </c>
      <c r="F126" s="61">
        <f>IF(FT!A126&lt;&gt;"",FT!A126*10,"")</f>
        <v>3.7107800000000002</v>
      </c>
      <c r="G126" s="61">
        <f>IF(FT!B126&lt;&gt;"",FT!B126*100,"")</f>
        <v>28.324700000000004</v>
      </c>
      <c r="H126" s="61">
        <f t="shared" si="9"/>
        <v>1</v>
      </c>
      <c r="I126" t="str">
        <f>IF(FT!B126&lt;&gt;"",FT!E126,"")</f>
        <v>2 [50.405395]</v>
      </c>
      <c r="J126">
        <f>IF(FT!B126&lt;&gt;"",FT!C126,"")</f>
        <v>50.4054</v>
      </c>
    </row>
    <row r="127" spans="1:10">
      <c r="A127" s="61">
        <f t="shared" si="10"/>
        <v>125</v>
      </c>
      <c r="B127" s="61">
        <f t="shared" si="8"/>
        <v>2.4121176470588237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3.7124800000000002</v>
      </c>
      <c r="G127" s="61">
        <f>IF(FT!B127&lt;&gt;"",FT!B127*100,"")</f>
        <v>28.317500000000003</v>
      </c>
      <c r="H127" s="61">
        <f t="shared" si="9"/>
        <v>1</v>
      </c>
      <c r="I127" t="str">
        <f>IF(FT!B127&lt;&gt;"",FT!E127,"")</f>
        <v>2 [50.813149]</v>
      </c>
      <c r="J127">
        <f>IF(FT!B127&lt;&gt;"",FT!C127,"")</f>
        <v>50.813099999999999</v>
      </c>
    </row>
    <row r="128" spans="1:10">
      <c r="A128" s="61">
        <f t="shared" si="10"/>
        <v>126</v>
      </c>
      <c r="B128" s="61">
        <f t="shared" si="8"/>
        <v>2.4314145882352944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3.7143100000000002</v>
      </c>
      <c r="G128" s="61">
        <f>IF(FT!B128&lt;&gt;"",FT!B128*100,"")</f>
        <v>28.310999999999996</v>
      </c>
      <c r="H128" s="61">
        <f t="shared" si="9"/>
        <v>1</v>
      </c>
      <c r="I128" t="str">
        <f>IF(FT!B128&lt;&gt;"",FT!E128,"")</f>
        <v>2 [51.218766]</v>
      </c>
      <c r="J128">
        <f>IF(FT!B128&lt;&gt;"",FT!C128,"")</f>
        <v>51.218800000000002</v>
      </c>
    </row>
    <row r="129" spans="1:10">
      <c r="A129" s="61">
        <f t="shared" si="10"/>
        <v>127</v>
      </c>
      <c r="B129" s="61">
        <f t="shared" si="8"/>
        <v>2.4507115294117647</v>
      </c>
      <c r="C129" s="61">
        <f>FH!A129*1</f>
        <v>134175</v>
      </c>
      <c r="D129" s="61">
        <f>FH!B129*1</f>
        <v>134175</v>
      </c>
      <c r="E129">
        <f t="shared" si="11"/>
        <v>127</v>
      </c>
      <c r="F129" s="61">
        <f>IF(FT!A129&lt;&gt;"",FT!A129*10,"")</f>
        <v>3.7158000000000002</v>
      </c>
      <c r="G129" s="61">
        <f>IF(FT!B129&lt;&gt;"",FT!B129*100,"")</f>
        <v>28.341899999999999</v>
      </c>
      <c r="H129" s="61">
        <f t="shared" si="9"/>
        <v>1</v>
      </c>
      <c r="I129" t="str">
        <f>IF(FT!B129&lt;&gt;"",FT!E129,"")</f>
        <v>2 [51.625170]</v>
      </c>
      <c r="J129">
        <f>IF(FT!B129&lt;&gt;"",FT!C129,"")</f>
        <v>51.6252</v>
      </c>
    </row>
    <row r="130" spans="1:10">
      <c r="A130" s="61">
        <f t="shared" si="10"/>
        <v>128</v>
      </c>
      <c r="B130" s="61">
        <f t="shared" si="8"/>
        <v>2.4700084705882355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3.71929</v>
      </c>
      <c r="G130" s="61">
        <f>IF(FT!B130&lt;&gt;"",FT!B130*100,"")</f>
        <v>28.310800000000004</v>
      </c>
      <c r="H130" s="61">
        <f t="shared" si="9"/>
        <v>1</v>
      </c>
      <c r="I130" t="str">
        <f>IF(FT!B130&lt;&gt;"",FT!E130,"")</f>
        <v>2 [52.027365]</v>
      </c>
      <c r="J130">
        <f>IF(FT!B130&lt;&gt;"",FT!C130,"")</f>
        <v>52.0274</v>
      </c>
    </row>
    <row r="131" spans="1:10">
      <c r="A131" s="61">
        <f t="shared" si="10"/>
        <v>129</v>
      </c>
      <c r="B131" s="61">
        <f t="shared" ref="B131:B194" si="12">A131/255*$L$2</f>
        <v>2.4893054117647058</v>
      </c>
      <c r="C131" s="61">
        <f>FH!A131*1</f>
        <v>127911</v>
      </c>
      <c r="D131" s="61">
        <f>FH!B131*1</f>
        <v>127911</v>
      </c>
      <c r="E131">
        <f t="shared" si="11"/>
        <v>129</v>
      </c>
      <c r="F131" s="61">
        <f>IF(FT!A131&lt;&gt;"",FT!A131*10,"")</f>
        <v>3.7225399999999995</v>
      </c>
      <c r="G131" s="61">
        <f>IF(FT!B131&lt;&gt;"",FT!B131*100,"")</f>
        <v>28.2957</v>
      </c>
      <c r="H131" s="61">
        <f t="shared" ref="H131:H194" si="13">(IF(F131&lt;&gt;"",1,""))</f>
        <v>1</v>
      </c>
      <c r="I131" t="str">
        <f>IF(FT!B131&lt;&gt;"",FT!E131,"")</f>
        <v>2 [52.436222]</v>
      </c>
      <c r="J131">
        <f>IF(FT!B131&lt;&gt;"",FT!C131,"")</f>
        <v>52.436199999999999</v>
      </c>
    </row>
    <row r="132" spans="1:10">
      <c r="A132" s="61">
        <f t="shared" ref="A132:A195" si="14">A131+1</f>
        <v>130</v>
      </c>
      <c r="B132" s="61">
        <f t="shared" si="12"/>
        <v>2.5086023529411765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3.7244100000000002</v>
      </c>
      <c r="G132" s="61">
        <f>IF(FT!B132&lt;&gt;"",FT!B132*100,"")</f>
        <v>28.3354</v>
      </c>
      <c r="H132" s="61">
        <f t="shared" si="13"/>
        <v>1</v>
      </c>
      <c r="I132" t="str">
        <f>IF(FT!B132&lt;&gt;"",FT!E132,"")</f>
        <v>2 [52.845177]</v>
      </c>
      <c r="J132">
        <f>IF(FT!B132&lt;&gt;"",FT!C132,"")</f>
        <v>52.845199999999998</v>
      </c>
    </row>
    <row r="133" spans="1:10">
      <c r="A133" s="61">
        <f t="shared" si="14"/>
        <v>131</v>
      </c>
      <c r="B133" s="61">
        <f t="shared" si="12"/>
        <v>2.5278992941176468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3.7241400000000002</v>
      </c>
      <c r="G133" s="61">
        <f>IF(FT!B133&lt;&gt;"",FT!B133*100,"")</f>
        <v>28.377500000000001</v>
      </c>
      <c r="H133" s="61">
        <f t="shared" si="13"/>
        <v>1</v>
      </c>
      <c r="I133" t="str">
        <f>IF(FT!B133&lt;&gt;"",FT!E133,"")</f>
        <v>2 [53.248269]</v>
      </c>
      <c r="J133">
        <f>IF(FT!B133&lt;&gt;"",FT!C133,"")</f>
        <v>53.2483</v>
      </c>
    </row>
    <row r="134" spans="1:10">
      <c r="A134" s="61">
        <f t="shared" si="14"/>
        <v>132</v>
      </c>
      <c r="B134" s="61">
        <f t="shared" si="12"/>
        <v>2.547196235294118</v>
      </c>
      <c r="C134" s="61">
        <f>FH!A134*1</f>
        <v>124257</v>
      </c>
      <c r="D134" s="61">
        <f>FH!B134*1</f>
        <v>124257</v>
      </c>
      <c r="E134">
        <f t="shared" si="15"/>
        <v>132</v>
      </c>
      <c r="F134" s="61">
        <f>IF(FT!A134&lt;&gt;"",FT!A134*10,"")</f>
        <v>3.7233300000000003</v>
      </c>
      <c r="G134" s="61">
        <f>IF(FT!B134&lt;&gt;"",FT!B134*100,"")</f>
        <v>28.428599999999999</v>
      </c>
      <c r="H134" s="61">
        <f t="shared" si="13"/>
        <v>1</v>
      </c>
      <c r="I134" t="str">
        <f>IF(FT!B134&lt;&gt;"",FT!E134,"")</f>
        <v>2 [53.653784]</v>
      </c>
      <c r="J134">
        <f>IF(FT!B134&lt;&gt;"",FT!C134,"")</f>
        <v>53.653799999999997</v>
      </c>
    </row>
    <row r="135" spans="1:10">
      <c r="A135" s="61">
        <f t="shared" si="14"/>
        <v>133</v>
      </c>
      <c r="B135" s="61">
        <f t="shared" si="12"/>
        <v>2.5664931764705887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3.7225999999999999</v>
      </c>
      <c r="G135" s="61">
        <f>IF(FT!B135&lt;&gt;"",FT!B135*100,"")</f>
        <v>28.475899999999999</v>
      </c>
      <c r="H135" s="61">
        <f t="shared" si="13"/>
        <v>1</v>
      </c>
      <c r="I135" t="str">
        <f>IF(FT!B135&lt;&gt;"",FT!E135,"")</f>
        <v>2 [54.060177]</v>
      </c>
      <c r="J135">
        <f>IF(FT!B135&lt;&gt;"",FT!C135,"")</f>
        <v>54.060200000000002</v>
      </c>
    </row>
    <row r="136" spans="1:10">
      <c r="A136" s="61">
        <f t="shared" si="14"/>
        <v>134</v>
      </c>
      <c r="B136" s="61">
        <f t="shared" si="12"/>
        <v>2.585790117647059</v>
      </c>
      <c r="C136" s="61">
        <f>FH!A136*1</f>
        <v>109907</v>
      </c>
      <c r="D136" s="61">
        <f>FH!B136*1</f>
        <v>109907</v>
      </c>
      <c r="E136">
        <f t="shared" si="15"/>
        <v>134</v>
      </c>
      <c r="F136" s="61">
        <f>IF(FT!A136&lt;&gt;"",FT!A136*10,"")</f>
        <v>3.7192500000000002</v>
      </c>
      <c r="G136" s="61">
        <f>IF(FT!B136&lt;&gt;"",FT!B136*100,"")</f>
        <v>28.548000000000002</v>
      </c>
      <c r="H136" s="61">
        <f t="shared" si="13"/>
        <v>1</v>
      </c>
      <c r="I136" t="str">
        <f>IF(FT!B136&lt;&gt;"",FT!E136,"")</f>
        <v>2 [54.467266]</v>
      </c>
      <c r="J136">
        <f>IF(FT!B136&lt;&gt;"",FT!C136,"")</f>
        <v>54.467300000000002</v>
      </c>
    </row>
    <row r="137" spans="1:10">
      <c r="A137" s="61">
        <f t="shared" si="14"/>
        <v>135</v>
      </c>
      <c r="B137" s="61">
        <f t="shared" si="12"/>
        <v>2.6050870588235298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3.7193300000000002</v>
      </c>
      <c r="G137" s="61">
        <f>IF(FT!B137&lt;&gt;"",FT!B137*100,"")</f>
        <v>28.559800000000003</v>
      </c>
      <c r="H137" s="61">
        <f t="shared" si="13"/>
        <v>1</v>
      </c>
      <c r="I137" t="str">
        <f>IF(FT!B137&lt;&gt;"",FT!E137,"")</f>
        <v>2 [54.874925]</v>
      </c>
      <c r="J137">
        <f>IF(FT!B137&lt;&gt;"",FT!C137,"")</f>
        <v>54.874899999999997</v>
      </c>
    </row>
    <row r="138" spans="1:10">
      <c r="A138" s="61">
        <f t="shared" si="14"/>
        <v>136</v>
      </c>
      <c r="B138" s="61">
        <f t="shared" si="12"/>
        <v>2.6243840000000001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3.7271199999999998</v>
      </c>
      <c r="G138" s="61">
        <f>IF(FT!B138&lt;&gt;"",FT!B138*100,"")</f>
        <v>28.569299999999998</v>
      </c>
      <c r="H138" s="61">
        <f t="shared" si="13"/>
        <v>1</v>
      </c>
      <c r="I138" t="str">
        <f>IF(FT!B138&lt;&gt;"",FT!E138,"")</f>
        <v>2 [55.281238]</v>
      </c>
      <c r="J138">
        <f>IF(FT!B138&lt;&gt;"",FT!C138,"")</f>
        <v>55.281199999999998</v>
      </c>
    </row>
    <row r="139" spans="1:10">
      <c r="A139" s="61">
        <f t="shared" si="14"/>
        <v>137</v>
      </c>
      <c r="B139" s="61">
        <f t="shared" si="12"/>
        <v>2.6436809411764708</v>
      </c>
      <c r="C139" s="61">
        <f>FH!A139*1</f>
        <v>101712</v>
      </c>
      <c r="D139" s="61">
        <f>FH!B139*1</f>
        <v>101712</v>
      </c>
      <c r="E139">
        <f t="shared" si="15"/>
        <v>137</v>
      </c>
      <c r="F139" s="61">
        <f>IF(FT!A139&lt;&gt;"",FT!A139*10,"")</f>
        <v>3.73821</v>
      </c>
      <c r="G139" s="61">
        <f>IF(FT!B139&lt;&gt;"",FT!B139*100,"")</f>
        <v>28.674100000000003</v>
      </c>
      <c r="H139" s="61">
        <f t="shared" si="13"/>
        <v>1</v>
      </c>
      <c r="I139" t="str">
        <f>IF(FT!B139&lt;&gt;"",FT!E139,"")</f>
        <v>2 [55.690035]</v>
      </c>
      <c r="J139">
        <f>IF(FT!B139&lt;&gt;"",FT!C139,"")</f>
        <v>55.69</v>
      </c>
    </row>
    <row r="140" spans="1:10">
      <c r="A140" s="61">
        <f t="shared" si="14"/>
        <v>138</v>
      </c>
      <c r="B140" s="61">
        <f t="shared" si="12"/>
        <v>2.6629778823529411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3.7579200000000004</v>
      </c>
      <c r="G140" s="61">
        <f>IF(FT!B140&lt;&gt;"",FT!B140*100,"")</f>
        <v>28.9589</v>
      </c>
      <c r="H140" s="61">
        <f t="shared" si="13"/>
        <v>1</v>
      </c>
      <c r="I140" t="str">
        <f>IF(FT!B140&lt;&gt;"",FT!E140,"")</f>
        <v>2 [56.092552]</v>
      </c>
      <c r="J140">
        <f>IF(FT!B140&lt;&gt;"",FT!C140,"")</f>
        <v>56.092599999999997</v>
      </c>
    </row>
    <row r="141" spans="1:10">
      <c r="A141" s="61">
        <f t="shared" si="14"/>
        <v>139</v>
      </c>
      <c r="B141" s="61">
        <f t="shared" si="12"/>
        <v>2.6822748235294118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3.7791700000000001</v>
      </c>
      <c r="G141" s="61">
        <f>IF(FT!B141&lt;&gt;"",FT!B141*100,"")</f>
        <v>29.2456</v>
      </c>
      <c r="H141" s="61">
        <f t="shared" si="13"/>
        <v>1</v>
      </c>
      <c r="I141" t="str">
        <f>IF(FT!B141&lt;&gt;"",FT!E141,"")</f>
        <v>2 [56.499351]</v>
      </c>
      <c r="J141">
        <f>IF(FT!B141&lt;&gt;"",FT!C141,"")</f>
        <v>56.499400000000001</v>
      </c>
    </row>
    <row r="142" spans="1:10">
      <c r="A142" s="61">
        <f t="shared" si="14"/>
        <v>140</v>
      </c>
      <c r="B142" s="61">
        <f t="shared" si="12"/>
        <v>2.7015717647058826</v>
      </c>
      <c r="C142" s="61">
        <f>FH!A142*1</f>
        <v>92978</v>
      </c>
      <c r="D142" s="61">
        <f>FH!B142*1</f>
        <v>92978</v>
      </c>
      <c r="E142">
        <f t="shared" si="15"/>
        <v>140</v>
      </c>
      <c r="F142" s="61">
        <f>IF(FT!A142&lt;&gt;"",FT!A142*10,"")</f>
        <v>3.80247</v>
      </c>
      <c r="G142" s="61">
        <f>IF(FT!B142&lt;&gt;"",FT!B142*100,"")</f>
        <v>29.5091</v>
      </c>
      <c r="H142" s="61">
        <f t="shared" si="13"/>
        <v>1</v>
      </c>
      <c r="I142" t="str">
        <f>IF(FT!B142&lt;&gt;"",FT!E142,"")</f>
        <v>2 [56.908536]</v>
      </c>
      <c r="J142">
        <f>IF(FT!B142&lt;&gt;"",FT!C142,"")</f>
        <v>56.908499999999997</v>
      </c>
    </row>
    <row r="143" spans="1:10">
      <c r="A143" s="61">
        <f t="shared" si="14"/>
        <v>141</v>
      </c>
      <c r="B143" s="61">
        <f t="shared" si="12"/>
        <v>2.7208687058823533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3.8247799999999996</v>
      </c>
      <c r="G143" s="61">
        <f>IF(FT!B143&lt;&gt;"",FT!B143*100,"")</f>
        <v>29.666500000000003</v>
      </c>
      <c r="H143" s="61">
        <f t="shared" si="13"/>
        <v>1</v>
      </c>
      <c r="I143" t="str">
        <f>IF(FT!B143&lt;&gt;"",FT!E143,"")</f>
        <v>2 [57.310073]</v>
      </c>
      <c r="J143">
        <f>IF(FT!B143&lt;&gt;"",FT!C143,"")</f>
        <v>57.310099999999998</v>
      </c>
    </row>
    <row r="144" spans="1:10">
      <c r="A144" s="61">
        <f t="shared" si="14"/>
        <v>142</v>
      </c>
      <c r="B144" s="61">
        <f t="shared" si="12"/>
        <v>2.7401656470588236</v>
      </c>
      <c r="C144" s="61">
        <f>FH!A144*1</f>
        <v>93051</v>
      </c>
      <c r="D144" s="61">
        <f>FH!B144*1</f>
        <v>93051</v>
      </c>
      <c r="E144">
        <f t="shared" si="15"/>
        <v>142</v>
      </c>
      <c r="F144" s="61">
        <f>IF(FT!A144&lt;&gt;"",FT!A144*10,"")</f>
        <v>3.85283</v>
      </c>
      <c r="G144" s="61">
        <f>IF(FT!B144&lt;&gt;"",FT!B144*100,"")</f>
        <v>29.762799999999999</v>
      </c>
      <c r="H144" s="61">
        <f t="shared" si="13"/>
        <v>1</v>
      </c>
      <c r="I144" t="str">
        <f>IF(FT!B144&lt;&gt;"",FT!E144,"")</f>
        <v>2 [57.721678]</v>
      </c>
      <c r="J144">
        <f>IF(FT!B144&lt;&gt;"",FT!C144,"")</f>
        <v>57.721699999999998</v>
      </c>
    </row>
    <row r="145" spans="1:10">
      <c r="A145" s="61">
        <f t="shared" si="14"/>
        <v>143</v>
      </c>
      <c r="B145" s="61">
        <f t="shared" si="12"/>
        <v>2.7594625882352943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3.8804400000000001</v>
      </c>
      <c r="G145" s="61">
        <f>IF(FT!B145&lt;&gt;"",FT!B145*100,"")</f>
        <v>29.779299999999999</v>
      </c>
      <c r="H145" s="61">
        <f t="shared" si="13"/>
        <v>1</v>
      </c>
      <c r="I145" t="str">
        <f>IF(FT!B145&lt;&gt;"",FT!E145,"")</f>
        <v>2 [58.124401]</v>
      </c>
      <c r="J145">
        <f>IF(FT!B145&lt;&gt;"",FT!C145,"")</f>
        <v>58.124400000000001</v>
      </c>
    </row>
    <row r="146" spans="1:10">
      <c r="A146" s="61">
        <f t="shared" si="14"/>
        <v>144</v>
      </c>
      <c r="B146" s="61">
        <f t="shared" si="12"/>
        <v>2.7787595294117646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3.9036999999999997</v>
      </c>
      <c r="G146" s="61">
        <f>IF(FT!B146&lt;&gt;"",FT!B146*100,"")</f>
        <v>29.876799999999999</v>
      </c>
      <c r="H146" s="61">
        <f t="shared" si="13"/>
        <v>1</v>
      </c>
      <c r="I146" t="str">
        <f>IF(FT!B146&lt;&gt;"",FT!E146,"")</f>
        <v>2 [58.529782]</v>
      </c>
      <c r="J146">
        <f>IF(FT!B146&lt;&gt;"",FT!C146,"")</f>
        <v>58.529800000000002</v>
      </c>
    </row>
    <row r="147" spans="1:10">
      <c r="A147" s="61">
        <f t="shared" si="14"/>
        <v>145</v>
      </c>
      <c r="B147" s="61">
        <f t="shared" si="12"/>
        <v>2.7980564705882354</v>
      </c>
      <c r="C147" s="61">
        <f>FH!A147*1</f>
        <v>85738</v>
      </c>
      <c r="D147" s="61">
        <f>FH!B147*1</f>
        <v>85738</v>
      </c>
      <c r="E147">
        <f t="shared" si="15"/>
        <v>145</v>
      </c>
      <c r="F147" s="61">
        <f>IF(FT!A147&lt;&gt;"",FT!A147*10,"")</f>
        <v>3.92788</v>
      </c>
      <c r="G147" s="61">
        <f>IF(FT!B147&lt;&gt;"",FT!B147*100,"")</f>
        <v>29.705300000000001</v>
      </c>
      <c r="H147" s="61">
        <f t="shared" si="13"/>
        <v>1</v>
      </c>
      <c r="I147" t="str">
        <f>IF(FT!B147&lt;&gt;"",FT!E147,"")</f>
        <v>2 [58.939296]</v>
      </c>
      <c r="J147">
        <f>IF(FT!B147&lt;&gt;"",FT!C147,"")</f>
        <v>58.939300000000003</v>
      </c>
    </row>
    <row r="148" spans="1:10">
      <c r="A148" s="61">
        <f t="shared" si="14"/>
        <v>146</v>
      </c>
      <c r="B148" s="61">
        <f t="shared" si="12"/>
        <v>2.8173534117647057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3.9644400000000002</v>
      </c>
      <c r="G148" s="61">
        <f>IF(FT!B148&lt;&gt;"",FT!B148*100,"")</f>
        <v>29.450199999999999</v>
      </c>
      <c r="H148" s="61">
        <f t="shared" si="13"/>
        <v>1</v>
      </c>
      <c r="I148" t="str">
        <f>IF(FT!B148&lt;&gt;"",FT!E148,"")</f>
        <v>2 [59.345178]</v>
      </c>
      <c r="J148">
        <f>IF(FT!B148&lt;&gt;"",FT!C148,"")</f>
        <v>59.345199999999998</v>
      </c>
    </row>
    <row r="149" spans="1:10">
      <c r="A149" s="61">
        <f t="shared" si="14"/>
        <v>147</v>
      </c>
      <c r="B149" s="61">
        <f t="shared" si="12"/>
        <v>2.8366503529411764</v>
      </c>
      <c r="C149" s="61">
        <f>FH!A149*1</f>
        <v>86210</v>
      </c>
      <c r="D149" s="61">
        <f>FH!B149*1</f>
        <v>86210</v>
      </c>
      <c r="E149">
        <f t="shared" si="15"/>
        <v>147</v>
      </c>
      <c r="F149" s="61">
        <f>IF(FT!A149&lt;&gt;"",FT!A149*10,"")</f>
        <v>3.99735</v>
      </c>
      <c r="G149" s="61">
        <f>IF(FT!B149&lt;&gt;"",FT!B149*100,"")</f>
        <v>29.384700000000002</v>
      </c>
      <c r="H149" s="61">
        <f t="shared" si="13"/>
        <v>1</v>
      </c>
      <c r="I149" t="str">
        <f>IF(FT!B149&lt;&gt;"",FT!E149,"")</f>
        <v>2 [59.750329]</v>
      </c>
      <c r="J149">
        <f>IF(FT!B149&lt;&gt;"",FT!C149,"")</f>
        <v>59.750300000000003</v>
      </c>
    </row>
    <row r="150" spans="1:10">
      <c r="A150" s="61">
        <f t="shared" si="14"/>
        <v>148</v>
      </c>
      <c r="B150" s="61">
        <f t="shared" si="12"/>
        <v>2.8559472941176476</v>
      </c>
      <c r="C150" s="61">
        <f>FH!A150*1</f>
        <v>0</v>
      </c>
      <c r="D150" s="61">
        <f>FH!B150*1</f>
        <v>0</v>
      </c>
      <c r="E150">
        <f t="shared" si="15"/>
        <v>148</v>
      </c>
      <c r="F150" s="61">
        <f>IF(FT!A150&lt;&gt;"",FT!A150*10,"")</f>
        <v>4.0456900000000005</v>
      </c>
      <c r="G150" s="61">
        <f>IF(FT!B150&lt;&gt;"",FT!B150*100,"")</f>
        <v>29.2165</v>
      </c>
      <c r="H150" s="61">
        <f t="shared" si="13"/>
        <v>1</v>
      </c>
      <c r="I150" t="str">
        <f>IF(FT!B150&lt;&gt;"",FT!E150,"")</f>
        <v>2 [60.154048]</v>
      </c>
      <c r="J150">
        <f>IF(FT!B150&lt;&gt;"",FT!C150,"")</f>
        <v>60.154000000000003</v>
      </c>
    </row>
    <row r="151" spans="1:10">
      <c r="A151" s="61">
        <f t="shared" si="14"/>
        <v>149</v>
      </c>
      <c r="B151" s="61">
        <f t="shared" si="12"/>
        <v>2.8752442352941179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2.8945411764705886</v>
      </c>
      <c r="C152" s="61">
        <f>FH!A152*1</f>
        <v>74698</v>
      </c>
      <c r="D152" s="61">
        <f>FH!B152*1</f>
        <v>74698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2.9138381176470589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2.9331350588235297</v>
      </c>
      <c r="C154" s="61">
        <f>FH!A154*1</f>
        <v>74096</v>
      </c>
      <c r="D154" s="61">
        <f>FH!B154*1</f>
        <v>74096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2.9524319999999999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2.9717289411764707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2.991025882352941</v>
      </c>
      <c r="C157" s="61">
        <f>FH!A157*1</f>
        <v>73069</v>
      </c>
      <c r="D157" s="61">
        <f>FH!B157*1</f>
        <v>73069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3.0103228235294122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3.0296197647058825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3.0489167058823532</v>
      </c>
      <c r="C160" s="61">
        <f>FH!A160*1</f>
        <v>70786</v>
      </c>
      <c r="D160" s="61">
        <f>FH!B160*1</f>
        <v>70786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3.0682136470588235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3.0875105882352942</v>
      </c>
      <c r="C162" s="61">
        <f>FH!A162*1</f>
        <v>71861</v>
      </c>
      <c r="D162" s="61">
        <f>FH!B162*1</f>
        <v>71861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3.1068075294117645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3.1261044705882353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3.1454014117647056</v>
      </c>
      <c r="C165" s="61">
        <f>FH!A165*1</f>
        <v>63641</v>
      </c>
      <c r="D165" s="61">
        <f>FH!B165*1</f>
        <v>63641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3.1646983529411767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3.1839952941176475</v>
      </c>
      <c r="C167" s="61">
        <f>FH!A167*1</f>
        <v>59500</v>
      </c>
      <c r="D167" s="61">
        <f>FH!B167*1</f>
        <v>59500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3.2032922352941178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3.2225891764705885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3.2418861176470588</v>
      </c>
      <c r="C170" s="61">
        <f>FH!A170*1</f>
        <v>51693</v>
      </c>
      <c r="D170" s="61">
        <f>FH!B170*1</f>
        <v>51693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3.2611830588235295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3.2804799999999998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3.2997769411764706</v>
      </c>
      <c r="C173" s="61">
        <f>FH!A173*1</f>
        <v>45755</v>
      </c>
      <c r="D173" s="61">
        <f>FH!B173*1</f>
        <v>45755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3.3190738823529418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3.3383708235294121</v>
      </c>
      <c r="C175" s="61">
        <f>FH!A175*1</f>
        <v>38150</v>
      </c>
      <c r="D175" s="61">
        <f>FH!B175*1</f>
        <v>38150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3.3576677647058828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3.3769647058823531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3.3962616470588238</v>
      </c>
      <c r="C178" s="61">
        <f>FH!A178*1</f>
        <v>32952</v>
      </c>
      <c r="D178" s="61">
        <f>FH!B178*1</f>
        <v>32952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3.4155585882352941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3.4348555294117649</v>
      </c>
      <c r="C180" s="61">
        <f>FH!A180*1</f>
        <v>27336</v>
      </c>
      <c r="D180" s="61">
        <f>FH!B180*1</f>
        <v>27336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3.4541524705882352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3.4734494117647063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3.4927463529411766</v>
      </c>
      <c r="C183" s="61">
        <f>FH!A183*1</f>
        <v>22547</v>
      </c>
      <c r="D183" s="61">
        <f>FH!B183*1</f>
        <v>22547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3.5120432941176474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3.5313402352941177</v>
      </c>
      <c r="C185" s="61">
        <f>FH!A185*1</f>
        <v>19233</v>
      </c>
      <c r="D185" s="61">
        <f>FH!B185*1</f>
        <v>19233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3.5506371764705884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3.5699341176470587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3.5892310588235294</v>
      </c>
      <c r="C188" s="61">
        <f>FH!A188*1</f>
        <v>15652</v>
      </c>
      <c r="D188" s="61">
        <f>FH!B188*1</f>
        <v>15652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3.6085279999999997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3.6278249411764709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3.6471218823529417</v>
      </c>
      <c r="C191" s="61">
        <f>FH!A191*1</f>
        <v>11873</v>
      </c>
      <c r="D191" s="61">
        <f>FH!B191*1</f>
        <v>11873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3.666418823529412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3.6857157647058827</v>
      </c>
      <c r="C193" s="61">
        <f>FH!A193*1</f>
        <v>11059</v>
      </c>
      <c r="D193" s="61">
        <f>FH!B193*1</f>
        <v>11059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3.705012705882353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3.7243096470588237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3.743606588235294</v>
      </c>
      <c r="C196" s="61">
        <f>FH!A196*1</f>
        <v>7900</v>
      </c>
      <c r="D196" s="61">
        <f>FH!B196*1</f>
        <v>7900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3.7629035294117648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3.7822004705882355</v>
      </c>
      <c r="C198" s="61">
        <f>FH!A198*1</f>
        <v>5208</v>
      </c>
      <c r="D198" s="61">
        <f>FH!B198*1</f>
        <v>5208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3.8014974117647062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3.8207943529411765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3.8400912941176473</v>
      </c>
      <c r="C201" s="61">
        <f>FH!A201*1</f>
        <v>4107</v>
      </c>
      <c r="D201" s="61">
        <f>FH!B201*1</f>
        <v>4107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3.8593882352941176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3.8786851764705883</v>
      </c>
      <c r="C203" s="61">
        <f>FH!A203*1</f>
        <v>3957</v>
      </c>
      <c r="D203" s="61">
        <f>FH!B203*1</f>
        <v>3957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3.8979821176470586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3.9172790588235293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3.9365760000000005</v>
      </c>
      <c r="C206" s="61">
        <f>FH!A206*1</f>
        <v>2890</v>
      </c>
      <c r="D206" s="61">
        <f>FH!B206*1</f>
        <v>2890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3.9558729411764708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3.9751698823529416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3.9944668235294118</v>
      </c>
      <c r="C209" s="61">
        <f>FH!A209*1</f>
        <v>1468</v>
      </c>
      <c r="D209" s="61">
        <f>FH!B209*1</f>
        <v>1468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4.0137637647058826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4.0330607058823533</v>
      </c>
      <c r="C211" s="61">
        <f>FH!A211*1</f>
        <v>1455</v>
      </c>
      <c r="D211" s="61">
        <f>FH!B211*1</f>
        <v>1455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4.0523576470588232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4.0716545882352939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4.0909515294117647</v>
      </c>
      <c r="C214" s="61">
        <f>FH!A214*1</f>
        <v>2723</v>
      </c>
      <c r="D214" s="61">
        <f>FH!B214*1</f>
        <v>2723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4.1102484705882354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4.1295454117647061</v>
      </c>
      <c r="C216" s="61">
        <f>FH!A216*1</f>
        <v>901</v>
      </c>
      <c r="D216" s="61">
        <f>FH!B216*1</f>
        <v>901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4.1488423529411769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4.1681392941176476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4.1874362352941175</v>
      </c>
      <c r="C219" s="61">
        <f>FH!A219*1</f>
        <v>971</v>
      </c>
      <c r="D219" s="61">
        <f>FH!B219*1</f>
        <v>971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4.2067331764705882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4.2260301176470589</v>
      </c>
      <c r="C221" s="61">
        <f>FH!A221*1</f>
        <v>450</v>
      </c>
      <c r="D221" s="61">
        <f>FH!B221*1</f>
        <v>450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4.2453270588235297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4.2646240000000004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4.2839209411764712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4.303217882352941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4.3225148235294117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4.3418117647058825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4.3611087058823532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4.3804056470588231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4.3997025882352947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4.4189995294117654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4.4382964705882353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4.457593411764706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4.4768903529411768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4.4961872941176475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4.5154842352941174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4.5347811764705881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4.5540781176470588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4.5733750588235296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4.5926720000000003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4.611968941176471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4.6312658823529409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4.6505628235294116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4.6698597647058824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4.6891567058823531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4.7084536470588239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4.7277505882352946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4.7470475294117653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4.7663444705882352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4.7856414117647059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4.8049383529411767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4.8242352941176474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4.8435322352941172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4.8628291764705889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4.8821261176470587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4.9014230588235295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4.9207200000000002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48.042700000000004</v>
      </c>
      <c r="C5" s="66">
        <v>8.6665200000000002</v>
      </c>
      <c r="D5" s="66">
        <v>18.039200000000001</v>
      </c>
      <c r="E5" s="66">
        <v>20</v>
      </c>
      <c r="F5" s="66">
        <v>18.065100000000001</v>
      </c>
      <c r="G5" s="66">
        <v>50</v>
      </c>
      <c r="H5" s="66">
        <v>61.0563</v>
      </c>
    </row>
    <row r="6" spans="1:8">
      <c r="A6" s="58" t="s">
        <v>303</v>
      </c>
      <c r="B6" s="66">
        <v>28.767099999999999</v>
      </c>
      <c r="C6" s="66">
        <v>4.7371299999999996</v>
      </c>
      <c r="D6" s="66">
        <v>16.467199999999998</v>
      </c>
      <c r="E6" s="66">
        <v>20</v>
      </c>
      <c r="F6" s="66">
        <v>17.4894</v>
      </c>
      <c r="G6" s="66">
        <v>40</v>
      </c>
      <c r="H6" s="66">
        <v>40.742400000000004</v>
      </c>
    </row>
    <row r="7" spans="1:8">
      <c r="A7" s="58" t="s">
        <v>304</v>
      </c>
      <c r="B7" s="66">
        <v>19.6753</v>
      </c>
      <c r="C7" s="66">
        <v>7.5658399999999997</v>
      </c>
      <c r="D7" s="66">
        <v>38.453600000000002</v>
      </c>
      <c r="E7" s="66">
        <v>15</v>
      </c>
      <c r="F7" s="66">
        <v>5.1019500000000004</v>
      </c>
      <c r="G7" s="66">
        <v>40</v>
      </c>
      <c r="H7" s="66">
        <v>35.036499999999997</v>
      </c>
    </row>
    <row r="8" spans="1:8">
      <c r="A8" s="58" t="s">
        <v>305</v>
      </c>
      <c r="B8" s="66">
        <v>33.427999999999997</v>
      </c>
      <c r="C8" s="66">
        <v>5.7636700000000003</v>
      </c>
      <c r="D8" s="66">
        <v>17.242000000000001</v>
      </c>
      <c r="E8" s="66">
        <v>20</v>
      </c>
      <c r="F8" s="66">
        <v>14.600199999999999</v>
      </c>
      <c r="G8" s="66">
        <v>50</v>
      </c>
      <c r="H8" s="66">
        <v>40.050899999999999</v>
      </c>
    </row>
    <row r="9" spans="1:8">
      <c r="A9" s="58" t="s">
        <v>306</v>
      </c>
      <c r="B9" s="66">
        <v>69.041499999999999</v>
      </c>
      <c r="C9" s="66">
        <v>4.6861100000000002</v>
      </c>
      <c r="D9" s="66">
        <v>6.7873700000000001</v>
      </c>
      <c r="E9" s="66">
        <v>50</v>
      </c>
      <c r="F9" s="66">
        <v>59.247199999999999</v>
      </c>
      <c r="G9" s="66">
        <v>100</v>
      </c>
      <c r="H9" s="66">
        <v>83.915599999999998</v>
      </c>
    </row>
    <row r="10" spans="1:8">
      <c r="A10" s="58" t="s">
        <v>307</v>
      </c>
      <c r="B10" s="66">
        <v>77.505399999999995</v>
      </c>
      <c r="C10" s="66">
        <v>2.8917199999999998</v>
      </c>
      <c r="D10" s="66">
        <v>3.7309899999999998</v>
      </c>
      <c r="E10" s="66">
        <v>40</v>
      </c>
      <c r="F10" s="66">
        <v>72.427499999999995</v>
      </c>
      <c r="G10" s="66">
        <v>100</v>
      </c>
      <c r="H10" s="66">
        <v>86.052999999999997</v>
      </c>
    </row>
    <row r="11" spans="1:8">
      <c r="A11" s="58" t="s">
        <v>308</v>
      </c>
      <c r="B11" s="66">
        <v>23.648499999999999</v>
      </c>
      <c r="C11" s="66">
        <v>4.9223499999999998</v>
      </c>
      <c r="D11" s="66">
        <v>20.814599999999999</v>
      </c>
      <c r="E11" s="66">
        <v>10</v>
      </c>
      <c r="F11" s="66">
        <v>16.365300000000001</v>
      </c>
      <c r="G11" s="66">
        <v>50</v>
      </c>
      <c r="H11" s="66">
        <v>35.283299999999997</v>
      </c>
    </row>
    <row r="12" spans="1:8">
      <c r="A12" s="58" t="s">
        <v>309</v>
      </c>
      <c r="B12" s="66">
        <v>73.406800000000004</v>
      </c>
      <c r="C12" s="66">
        <v>3.36747</v>
      </c>
      <c r="D12" s="66">
        <v>4.5874199999999998</v>
      </c>
      <c r="E12" s="66">
        <v>50</v>
      </c>
      <c r="F12" s="66">
        <v>66.580100000000002</v>
      </c>
      <c r="G12" s="66">
        <v>100</v>
      </c>
      <c r="H12" s="66">
        <v>84.951700000000002</v>
      </c>
    </row>
    <row r="13" spans="1:8">
      <c r="A13" s="58" t="s">
        <v>310</v>
      </c>
      <c r="B13" s="66">
        <v>27.793900000000001</v>
      </c>
      <c r="C13" s="66">
        <v>5.8267899999999999</v>
      </c>
      <c r="D13" s="66">
        <v>20.964300000000001</v>
      </c>
      <c r="E13" s="66">
        <v>10</v>
      </c>
      <c r="F13" s="66">
        <v>20.4697</v>
      </c>
      <c r="G13" s="66">
        <v>25</v>
      </c>
      <c r="H13" s="66">
        <v>55.889699999999998</v>
      </c>
    </row>
    <row r="14" spans="1:8">
      <c r="A14" s="58" t="s">
        <v>311</v>
      </c>
      <c r="B14" s="66">
        <v>58.267899999999997</v>
      </c>
      <c r="C14" s="66">
        <v>20.933199999999999</v>
      </c>
      <c r="D14" s="66">
        <v>35.925699999999999</v>
      </c>
      <c r="E14" s="66">
        <v>10</v>
      </c>
      <c r="F14" s="66">
        <v>3.7773500000000002</v>
      </c>
      <c r="G14" s="66">
        <v>50</v>
      </c>
      <c r="H14" s="66">
        <v>90.355400000000003</v>
      </c>
    </row>
    <row r="15" spans="1:8">
      <c r="A15" s="58" t="s">
        <v>312</v>
      </c>
      <c r="B15" s="66">
        <v>2.7603099999999998E-2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1.17313E-2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18.301200000000001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0.393849</v>
      </c>
      <c r="C18" s="66">
        <v>2.4440900000000002E-2</v>
      </c>
      <c r="D18" s="66">
        <v>6.2056500000000001E-2</v>
      </c>
      <c r="E18" s="66">
        <v>0</v>
      </c>
      <c r="F18" s="66">
        <v>0.36940800000000001</v>
      </c>
      <c r="G18" s="66">
        <v>0</v>
      </c>
      <c r="H18" s="66">
        <v>0.41829</v>
      </c>
    </row>
    <row r="19" spans="1:8">
      <c r="A19" s="58" t="s">
        <v>316</v>
      </c>
      <c r="B19" s="66">
        <v>0.49602600000000002</v>
      </c>
      <c r="C19" s="66">
        <v>2.3582200000000001E-2</v>
      </c>
      <c r="D19" s="66">
        <v>4.7542399999999999E-2</v>
      </c>
      <c r="E19" s="66">
        <v>0</v>
      </c>
      <c r="F19" s="66">
        <v>0.472443</v>
      </c>
      <c r="G19" s="66">
        <v>0</v>
      </c>
      <c r="H19" s="66">
        <v>0.51960799999999996</v>
      </c>
    </row>
    <row r="20" spans="1:8">
      <c r="A20" s="58" t="s">
        <v>317</v>
      </c>
      <c r="B20" s="66">
        <v>1.26161E-3</v>
      </c>
      <c r="C20" s="66">
        <v>5.4079700000000001E-2</v>
      </c>
      <c r="D20" s="66">
        <v>42.865600000000001</v>
      </c>
      <c r="E20" s="66">
        <v>0</v>
      </c>
      <c r="F20" s="66">
        <v>0</v>
      </c>
      <c r="G20" s="66">
        <v>0</v>
      </c>
      <c r="H20" s="66">
        <v>0.55118</v>
      </c>
    </row>
    <row r="21" spans="1:8">
      <c r="A21" s="58" t="s">
        <v>318</v>
      </c>
      <c r="B21" s="66">
        <v>0.17754500000000001</v>
      </c>
      <c r="C21" s="66">
        <v>0.74923499999999998</v>
      </c>
      <c r="D21" s="66">
        <v>4.2199799999999996</v>
      </c>
      <c r="E21" s="66">
        <v>0</v>
      </c>
      <c r="F21" s="66">
        <v>1.5159099999999999E-4</v>
      </c>
      <c r="G21" s="66">
        <v>0</v>
      </c>
      <c r="H21" s="66">
        <v>5.1655199999999999</v>
      </c>
    </row>
    <row r="22" spans="1:8">
      <c r="A22" s="58" t="s">
        <v>319</v>
      </c>
      <c r="B22" s="66">
        <v>55.526899999999998</v>
      </c>
      <c r="C22" s="66">
        <v>25.548200000000001</v>
      </c>
      <c r="D22" s="66">
        <v>0.46010600000000001</v>
      </c>
      <c r="E22" s="66">
        <v>0</v>
      </c>
      <c r="F22" s="66">
        <v>27.450700000000001</v>
      </c>
      <c r="G22" s="66">
        <v>0</v>
      </c>
      <c r="H22" s="66">
        <v>187.548</v>
      </c>
    </row>
    <row r="23" spans="1:8">
      <c r="A23" s="58" t="s">
        <v>320</v>
      </c>
      <c r="B23" s="66">
        <v>22.133800000000001</v>
      </c>
      <c r="C23" s="66">
        <v>4.7205300000000001</v>
      </c>
      <c r="D23" s="66">
        <v>0.21327199999999999</v>
      </c>
      <c r="E23" s="66">
        <v>0</v>
      </c>
      <c r="F23" s="66">
        <v>15.447900000000001</v>
      </c>
      <c r="G23" s="66">
        <v>0</v>
      </c>
      <c r="H23" s="66">
        <v>32.295000000000002</v>
      </c>
    </row>
    <row r="24" spans="1:8">
      <c r="A24" s="58" t="s">
        <v>321</v>
      </c>
      <c r="B24" s="66">
        <v>7.2379699999999998E-3</v>
      </c>
      <c r="C24" s="66">
        <v>4.4438400000000003E-2</v>
      </c>
      <c r="D24" s="66">
        <v>6.1396199999999999</v>
      </c>
      <c r="E24" s="66">
        <v>0</v>
      </c>
      <c r="F24" s="196">
        <v>4.5902900000000001E-6</v>
      </c>
      <c r="G24" s="66">
        <v>0</v>
      </c>
      <c r="H24" s="66">
        <v>0.45116699999999998</v>
      </c>
    </row>
    <row r="25" spans="1:8">
      <c r="A25" s="58" t="s">
        <v>322</v>
      </c>
      <c r="B25" s="66">
        <v>0.215251</v>
      </c>
      <c r="C25" s="66">
        <v>0.53637299999999999</v>
      </c>
      <c r="D25" s="66">
        <v>2.4918499999999999</v>
      </c>
      <c r="E25" s="66">
        <v>0</v>
      </c>
      <c r="F25" s="66">
        <v>2.5249899999999999E-2</v>
      </c>
      <c r="G25" s="66">
        <v>0</v>
      </c>
      <c r="H25" s="66">
        <v>2.3268599999999999</v>
      </c>
    </row>
    <row r="26" spans="1:8">
      <c r="A26" s="58" t="s">
        <v>323</v>
      </c>
      <c r="B26" s="66">
        <v>3.7421200000000001E-4</v>
      </c>
      <c r="C26" s="66">
        <v>5.97913E-3</v>
      </c>
      <c r="D26" s="66">
        <v>15.9779</v>
      </c>
      <c r="E26" s="66">
        <v>0</v>
      </c>
      <c r="F26" s="66">
        <v>0</v>
      </c>
      <c r="G26" s="66">
        <v>0</v>
      </c>
      <c r="H26" s="66">
        <v>5.8180099999999998E-2</v>
      </c>
    </row>
    <row r="27" spans="1:8">
      <c r="A27" s="58" t="s">
        <v>324</v>
      </c>
      <c r="B27" s="196">
        <v>-3.2825599999999999E-6</v>
      </c>
      <c r="C27" s="66">
        <v>1.4838200000000001E-3</v>
      </c>
      <c r="D27" s="66">
        <v>-452.03199999999998</v>
      </c>
      <c r="E27" s="66">
        <v>0</v>
      </c>
      <c r="F27" s="66">
        <v>-8.55764E-3</v>
      </c>
      <c r="G27" s="66">
        <v>0</v>
      </c>
      <c r="H27" s="66">
        <v>1.0038099999999999E-2</v>
      </c>
    </row>
    <row r="28" spans="1:8">
      <c r="A28" s="58" t="s">
        <v>325</v>
      </c>
      <c r="B28" s="66">
        <v>1.6884799999999998E-2</v>
      </c>
      <c r="C28" s="66">
        <v>4.9102399999999997E-2</v>
      </c>
      <c r="D28" s="66">
        <v>2.9080900000000001</v>
      </c>
      <c r="E28" s="66">
        <v>0</v>
      </c>
      <c r="F28" s="196">
        <v>5.5338499999999999E-5</v>
      </c>
      <c r="G28" s="66">
        <v>0</v>
      </c>
      <c r="H28" s="66">
        <v>0.277891</v>
      </c>
    </row>
    <row r="29" spans="1:8">
      <c r="A29" s="58" t="s">
        <v>326</v>
      </c>
      <c r="B29" s="66">
        <v>76.766099999999994</v>
      </c>
      <c r="C29" s="66">
        <v>12.902100000000001</v>
      </c>
      <c r="D29" s="66">
        <v>0.168071</v>
      </c>
      <c r="E29" s="66">
        <v>0</v>
      </c>
      <c r="F29" s="66">
        <v>42.176299999999998</v>
      </c>
      <c r="G29" s="66">
        <v>0</v>
      </c>
      <c r="H29" s="66">
        <v>110.381</v>
      </c>
    </row>
    <row r="30" spans="1:8">
      <c r="A30" s="58" t="s">
        <v>327</v>
      </c>
      <c r="B30" s="66">
        <v>25.739100000000001</v>
      </c>
      <c r="C30" s="66">
        <v>4.9068100000000001</v>
      </c>
      <c r="D30" s="66">
        <v>0.190636</v>
      </c>
      <c r="E30" s="66">
        <v>0</v>
      </c>
      <c r="F30" s="66">
        <v>17.457000000000001</v>
      </c>
      <c r="G30" s="66">
        <v>0</v>
      </c>
      <c r="H30" s="66">
        <v>37.769199999999998</v>
      </c>
    </row>
    <row r="31" spans="1:8">
      <c r="A31" s="58" t="s">
        <v>328</v>
      </c>
      <c r="B31" s="66">
        <v>272.85700000000003</v>
      </c>
      <c r="C31" s="66">
        <v>67.3279</v>
      </c>
      <c r="D31" s="66">
        <v>0.246751</v>
      </c>
      <c r="E31" s="66">
        <v>0</v>
      </c>
      <c r="F31" s="66">
        <v>159.22300000000001</v>
      </c>
      <c r="G31" s="66">
        <v>0</v>
      </c>
      <c r="H31" s="66">
        <v>456.97699999999998</v>
      </c>
    </row>
    <row r="32" spans="1:8">
      <c r="A32" s="58" t="s">
        <v>329</v>
      </c>
      <c r="B32" s="66">
        <v>0.19675300000000001</v>
      </c>
      <c r="C32" s="66">
        <v>7.5658400000000001E-2</v>
      </c>
      <c r="D32" s="66">
        <v>0.38453599999999999</v>
      </c>
      <c r="E32" s="66">
        <v>0.15</v>
      </c>
      <c r="F32" s="66">
        <v>5.1019500000000002E-2</v>
      </c>
      <c r="G32" s="66">
        <v>0.4</v>
      </c>
      <c r="H32" s="66">
        <v>0.35036499999999998</v>
      </c>
    </row>
    <row r="33" spans="1:8">
      <c r="A33" s="58" t="s">
        <v>330</v>
      </c>
      <c r="B33" s="66">
        <v>0.335011</v>
      </c>
      <c r="C33" s="66">
        <v>3.5629099999999997E-2</v>
      </c>
      <c r="D33" s="66">
        <v>0.106352</v>
      </c>
      <c r="E33" s="66">
        <v>0</v>
      </c>
      <c r="F33" s="66">
        <v>0.227461</v>
      </c>
      <c r="G33" s="66">
        <v>0</v>
      </c>
      <c r="H33" s="66">
        <v>0.41423199999999999</v>
      </c>
    </row>
    <row r="34" spans="1:8">
      <c r="A34" s="58" t="s">
        <v>331</v>
      </c>
      <c r="B34" s="66">
        <v>0.27793899999999999</v>
      </c>
      <c r="C34" s="66">
        <v>5.8267899999999997E-2</v>
      </c>
      <c r="D34" s="66">
        <v>0.209643</v>
      </c>
      <c r="E34" s="66">
        <v>0.1</v>
      </c>
      <c r="F34" s="66">
        <v>0.20469699999999999</v>
      </c>
      <c r="G34" s="66">
        <v>0.25</v>
      </c>
      <c r="H34" s="66">
        <v>0.55889699999999998</v>
      </c>
    </row>
    <row r="35" spans="1:8">
      <c r="A35" s="58" t="s">
        <v>332</v>
      </c>
      <c r="B35" s="66">
        <v>0.120888</v>
      </c>
      <c r="C35" s="66">
        <v>4.6832499999999999E-2</v>
      </c>
      <c r="D35" s="66">
        <v>0.38740400000000003</v>
      </c>
      <c r="E35" s="66">
        <v>0</v>
      </c>
      <c r="F35" s="66">
        <v>3.9229199999999999E-2</v>
      </c>
      <c r="G35" s="66">
        <v>0</v>
      </c>
      <c r="H35" s="66">
        <v>0.304091</v>
      </c>
    </row>
    <row r="36" spans="1:8">
      <c r="A36" s="58" t="s">
        <v>333</v>
      </c>
      <c r="B36" s="66">
        <v>0.24467800000000001</v>
      </c>
      <c r="C36" s="66">
        <v>0.149005</v>
      </c>
      <c r="D36" s="66">
        <v>0.60898600000000003</v>
      </c>
      <c r="E36" s="66">
        <v>0</v>
      </c>
      <c r="F36" s="66">
        <v>3.3106099999999999E-2</v>
      </c>
      <c r="G36" s="66">
        <v>0</v>
      </c>
      <c r="H36" s="66">
        <v>0.89978199999999997</v>
      </c>
    </row>
    <row r="37" spans="1:8">
      <c r="A37" s="58" t="s">
        <v>334</v>
      </c>
      <c r="B37" s="66">
        <v>0.58267899999999995</v>
      </c>
      <c r="C37" s="66">
        <v>0.20933199999999999</v>
      </c>
      <c r="D37" s="66">
        <v>0.35925699999999999</v>
      </c>
      <c r="E37" s="66">
        <v>0.1</v>
      </c>
      <c r="F37" s="66">
        <v>3.7773500000000002E-2</v>
      </c>
      <c r="G37" s="66">
        <v>0.5</v>
      </c>
      <c r="H37" s="66">
        <v>0.90355399999999997</v>
      </c>
    </row>
    <row r="38" spans="1:8">
      <c r="A38" s="58" t="s">
        <v>335</v>
      </c>
      <c r="B38" s="66">
        <v>-16.390499999999999</v>
      </c>
      <c r="C38" s="66">
        <v>49.430300000000003</v>
      </c>
      <c r="D38" s="66">
        <v>-3.01579</v>
      </c>
      <c r="E38" s="66">
        <v>0</v>
      </c>
      <c r="F38" s="66">
        <v>-151.672</v>
      </c>
      <c r="G38" s="66">
        <v>0</v>
      </c>
      <c r="H38" s="66">
        <v>371.80500000000001</v>
      </c>
    </row>
    <row r="39" spans="1:8">
      <c r="A39" s="58" t="s">
        <v>336</v>
      </c>
      <c r="B39" s="66">
        <v>-5.71136</v>
      </c>
      <c r="C39" s="66">
        <v>6.6478200000000003</v>
      </c>
      <c r="D39" s="66">
        <v>-1.1639600000000001</v>
      </c>
      <c r="E39" s="66">
        <v>0</v>
      </c>
      <c r="F39" s="66">
        <v>-17.523199999999999</v>
      </c>
      <c r="G39" s="66">
        <v>0</v>
      </c>
      <c r="H39" s="66">
        <v>25.042899999999999</v>
      </c>
    </row>
    <row r="40" spans="1:8">
      <c r="A40" s="58" t="s">
        <v>337</v>
      </c>
      <c r="B40" s="66">
        <v>0.100103</v>
      </c>
      <c r="C40" s="66">
        <v>1.25858</v>
      </c>
      <c r="D40" s="66">
        <v>12.572800000000001</v>
      </c>
      <c r="E40" s="66">
        <v>0</v>
      </c>
      <c r="F40" s="66">
        <v>-2.3892600000000002</v>
      </c>
      <c r="G40" s="66">
        <v>0</v>
      </c>
      <c r="H40" s="66">
        <v>1.91188</v>
      </c>
    </row>
    <row r="41" spans="1:8">
      <c r="A41" s="58" t="s">
        <v>338</v>
      </c>
      <c r="B41" s="66">
        <v>-8.9285699999999996E-2</v>
      </c>
      <c r="C41" s="66">
        <v>0.32802799999999999</v>
      </c>
      <c r="D41" s="66">
        <v>-3.6739099999999998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-7.5876100000000002E-2</v>
      </c>
      <c r="C42" s="66">
        <v>0.12173299999999999</v>
      </c>
      <c r="D42" s="66">
        <v>-1.60436</v>
      </c>
      <c r="E42" s="66">
        <v>0</v>
      </c>
      <c r="F42" s="66">
        <v>-0.311859</v>
      </c>
      <c r="G42" s="66">
        <v>0</v>
      </c>
      <c r="H42" s="66">
        <v>0.25812600000000002</v>
      </c>
    </row>
    <row r="43" spans="1:8">
      <c r="A43" s="58" t="s">
        <v>340</v>
      </c>
      <c r="B43" s="66">
        <v>0.10667699999999999</v>
      </c>
      <c r="C43" s="66">
        <v>4.2037999999999999E-2</v>
      </c>
      <c r="D43" s="66">
        <v>0.394069</v>
      </c>
      <c r="E43" s="66">
        <v>0</v>
      </c>
      <c r="F43" s="66">
        <v>8.6591099999999994E-3</v>
      </c>
      <c r="G43" s="66">
        <v>0</v>
      </c>
      <c r="H43" s="66">
        <v>0.14743200000000001</v>
      </c>
    </row>
    <row r="44" spans="1:8">
      <c r="A44" s="58" t="s">
        <v>341</v>
      </c>
      <c r="B44" s="66">
        <v>-19.121400000000001</v>
      </c>
      <c r="C44" s="66">
        <v>23.4192</v>
      </c>
      <c r="D44" s="66">
        <v>-1.2247699999999999</v>
      </c>
      <c r="E44" s="66">
        <v>0</v>
      </c>
      <c r="F44" s="66">
        <v>-81.065299999999993</v>
      </c>
      <c r="G44" s="66">
        <v>0</v>
      </c>
      <c r="H44" s="66">
        <v>8.1505399999999995</v>
      </c>
    </row>
    <row r="45" spans="1:8">
      <c r="A45" s="58" t="s">
        <v>342</v>
      </c>
      <c r="B45" s="66">
        <v>49.965600000000002</v>
      </c>
      <c r="C45" s="66">
        <v>9.6310500000000001</v>
      </c>
      <c r="D45" s="66">
        <v>0.19275400000000001</v>
      </c>
      <c r="E45" s="66">
        <v>0</v>
      </c>
      <c r="F45" s="66">
        <v>31.3202</v>
      </c>
      <c r="G45" s="66">
        <v>0</v>
      </c>
      <c r="H45" s="66">
        <v>78.690600000000003</v>
      </c>
    </row>
    <row r="46" spans="1:8">
      <c r="A46" s="58" t="s">
        <v>343</v>
      </c>
      <c r="B46" s="66">
        <v>33.461799999999997</v>
      </c>
      <c r="C46" s="66">
        <v>5.8418299999999999</v>
      </c>
      <c r="D46" s="66">
        <v>0.17458199999999999</v>
      </c>
      <c r="E46" s="66">
        <v>0</v>
      </c>
      <c r="F46" s="66">
        <v>10.9611</v>
      </c>
      <c r="G46" s="66">
        <v>0</v>
      </c>
      <c r="H46" s="66">
        <v>37.506500000000003</v>
      </c>
    </row>
    <row r="47" spans="1:8">
      <c r="A47" s="58" t="s">
        <v>344</v>
      </c>
      <c r="B47" s="66">
        <v>1.1054900000000001</v>
      </c>
      <c r="C47" s="66">
        <v>1.1592199999999999</v>
      </c>
      <c r="D47" s="66">
        <v>1.04861</v>
      </c>
      <c r="E47" s="66">
        <v>0</v>
      </c>
      <c r="F47" s="66">
        <v>0.21101400000000001</v>
      </c>
      <c r="G47" s="66">
        <v>0</v>
      </c>
      <c r="H47" s="66">
        <v>6.4753299999999996</v>
      </c>
    </row>
    <row r="48" spans="1:8">
      <c r="A48" s="58" t="s">
        <v>345</v>
      </c>
      <c r="B48" s="66">
        <v>0.87682800000000005</v>
      </c>
      <c r="C48" s="66">
        <v>0.344582</v>
      </c>
      <c r="D48" s="66">
        <v>0.39298699999999998</v>
      </c>
      <c r="E48" s="66">
        <v>0</v>
      </c>
      <c r="F48" s="66">
        <v>0.54749999999999999</v>
      </c>
      <c r="G48" s="66">
        <v>0</v>
      </c>
      <c r="H48" s="66">
        <v>1.83056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-3.1289000000000016</v>
      </c>
      <c r="C5" s="66">
        <f>'M2'!C5-'M1'!C5</f>
        <v>-9.4278300000000002</v>
      </c>
      <c r="D5" s="66">
        <f>'M2'!D5-'M1'!D5</f>
        <v>-18.331940000000003</v>
      </c>
      <c r="E5" s="66">
        <f>'M2'!E5-'M1'!E5</f>
        <v>0</v>
      </c>
      <c r="F5" s="66">
        <f>'M2'!F5-'M1'!F5</f>
        <v>22.020499999999998</v>
      </c>
      <c r="G5" s="66">
        <f>'M2'!G5-'M1'!G5</f>
        <v>0</v>
      </c>
      <c r="H5" s="66">
        <f>'M2'!H5-'M1'!H5</f>
        <v>-7.7903999999999982</v>
      </c>
    </row>
    <row r="6" spans="1:8">
      <c r="A6" s="66" t="s">
        <v>244</v>
      </c>
      <c r="B6" s="66">
        <f>'M2'!B6-'M1'!B6</f>
        <v>3.3608999999999973</v>
      </c>
      <c r="C6" s="66">
        <f>'M2'!C6-'M1'!C6</f>
        <v>-0.65343000000000018</v>
      </c>
      <c r="D6" s="66">
        <f>'M2'!D6-'M1'!D6</f>
        <v>-3.9940999999999995</v>
      </c>
      <c r="E6" s="66">
        <f>'M2'!E6-'M1'!E6</f>
        <v>0</v>
      </c>
      <c r="F6" s="66">
        <f>'M2'!F6-'M1'!F6</f>
        <v>6.7772000000000006</v>
      </c>
      <c r="G6" s="66">
        <f>'M2'!G6-'M1'!G6</f>
        <v>0</v>
      </c>
      <c r="H6" s="66">
        <f>'M2'!H6-'M1'!H6</f>
        <v>7.7188000000000017</v>
      </c>
    </row>
    <row r="7" spans="1:8">
      <c r="A7" s="66" t="s">
        <v>245</v>
      </c>
      <c r="B7" s="66">
        <f>'M2'!B7-'M1'!B7</f>
        <v>1.3699000000000012</v>
      </c>
      <c r="C7" s="66">
        <f>'M2'!C7-'M1'!C7</f>
        <v>4.2014300000000002</v>
      </c>
      <c r="D7" s="66">
        <f>'M2'!D7-'M1'!D7</f>
        <v>18.3398</v>
      </c>
      <c r="E7" s="66">
        <f>'M2'!E7-'M1'!E7</f>
        <v>0</v>
      </c>
      <c r="F7" s="66">
        <f>'M2'!F7-'M1'!F7</f>
        <v>-2.7139899999999999</v>
      </c>
      <c r="G7" s="66">
        <f>'M2'!G7-'M1'!G7</f>
        <v>0</v>
      </c>
      <c r="H7" s="66">
        <f>'M2'!H7-'M1'!H7</f>
        <v>2.8856999999999999</v>
      </c>
    </row>
    <row r="8" spans="1:8">
      <c r="A8" s="66" t="s">
        <v>246</v>
      </c>
      <c r="B8" s="66">
        <f>'M2'!B8-'M1'!B8</f>
        <v>-0.43419999999999703</v>
      </c>
      <c r="C8" s="66">
        <f>'M2'!C8-'M1'!C8</f>
        <v>-3.1059899999999998</v>
      </c>
      <c r="D8" s="66">
        <f>'M2'!D8-'M1'!D8</f>
        <v>-9.0989000000000022</v>
      </c>
      <c r="E8" s="66">
        <f>'M2'!E8-'M1'!E8</f>
        <v>0</v>
      </c>
      <c r="F8" s="66">
        <f>'M2'!F8-'M1'!F8</f>
        <v>11.546100000000001</v>
      </c>
      <c r="G8" s="66">
        <f>'M2'!G8-'M1'!G8</f>
        <v>0</v>
      </c>
      <c r="H8" s="66">
        <f>'M2'!H8-'M1'!H8</f>
        <v>2.8994</v>
      </c>
    </row>
    <row r="9" spans="1:8">
      <c r="A9" s="66" t="s">
        <v>247</v>
      </c>
      <c r="B9" s="66">
        <f>'M2'!B9-'M1'!B9</f>
        <v>1.4125999999999976</v>
      </c>
      <c r="C9" s="66">
        <f>'M2'!C9-'M1'!C9</f>
        <v>-1.8363499999999999</v>
      </c>
      <c r="D9" s="66">
        <f>'M2'!D9-'M1'!D9</f>
        <v>-2.7981199999999999</v>
      </c>
      <c r="E9" s="66">
        <f>'M2'!E9-'M1'!E9</f>
        <v>0</v>
      </c>
      <c r="F9" s="66">
        <f>'M2'!F9-'M1'!F9</f>
        <v>3.6253000000000029</v>
      </c>
      <c r="G9" s="66">
        <f>'M2'!G9-'M1'!G9</f>
        <v>0</v>
      </c>
      <c r="H9" s="66">
        <f>'M2'!H9-'M1'!H9</f>
        <v>-7.3623000000000047</v>
      </c>
    </row>
    <row r="10" spans="1:8">
      <c r="A10" s="66" t="s">
        <v>248</v>
      </c>
      <c r="B10" s="66">
        <f>'M2'!B10-'M1'!B10</f>
        <v>0.71840000000000259</v>
      </c>
      <c r="C10" s="66">
        <f>'M2'!C10-'M1'!C10</f>
        <v>-1.9713400000000001</v>
      </c>
      <c r="D10" s="66">
        <f>'M2'!D10-'M1'!D10</f>
        <v>-2.5804299999999998</v>
      </c>
      <c r="E10" s="66">
        <f>'M2'!E10-'M1'!E10</f>
        <v>0</v>
      </c>
      <c r="F10" s="66">
        <f>'M2'!F10-'M1'!F10</f>
        <v>1.7338000000000022</v>
      </c>
      <c r="G10" s="66">
        <f>'M2'!G10-'M1'!G10</f>
        <v>0</v>
      </c>
      <c r="H10" s="66">
        <f>'M2'!H10-'M1'!H10</f>
        <v>-5.9528999999999996</v>
      </c>
    </row>
    <row r="11" spans="1:8">
      <c r="A11" s="66" t="s">
        <v>249</v>
      </c>
      <c r="B11" s="66">
        <f>'M2'!B11-'M1'!B11</f>
        <v>-7.9245000000000019</v>
      </c>
      <c r="C11" s="66">
        <f>'M2'!C11-'M1'!C11</f>
        <v>-3.3403900000000002</v>
      </c>
      <c r="D11" s="66">
        <f>'M2'!D11-'M1'!D11</f>
        <v>-9.1138100000000009</v>
      </c>
      <c r="E11" s="66">
        <f>'M2'!E11-'M1'!E11</f>
        <v>0</v>
      </c>
      <c r="F11" s="66">
        <f>'M2'!F11-'M1'!F11</f>
        <v>2.3039999999999985</v>
      </c>
      <c r="G11" s="66">
        <f>'M2'!G11-'M1'!G11</f>
        <v>0</v>
      </c>
      <c r="H11" s="66">
        <f>'M2'!H11-'M1'!H11</f>
        <v>-9.752799999999997</v>
      </c>
    </row>
    <row r="12" spans="1:8">
      <c r="A12" s="66" t="s">
        <v>250</v>
      </c>
      <c r="B12" s="66">
        <f>'M2'!B12-'M1'!B12</f>
        <v>0.93569999999999709</v>
      </c>
      <c r="C12" s="66">
        <f>'M2'!C12-'M1'!C12</f>
        <v>-2.7780199999999997</v>
      </c>
      <c r="D12" s="66">
        <f>'M2'!D12-'M1'!D12</f>
        <v>-3.8487800000000001</v>
      </c>
      <c r="E12" s="66">
        <f>'M2'!E12-'M1'!E12</f>
        <v>0</v>
      </c>
      <c r="F12" s="66">
        <f>'M2'!F12-'M1'!F12</f>
        <v>3.3684999999999974</v>
      </c>
      <c r="G12" s="66">
        <f>'M2'!G12-'M1'!G12</f>
        <v>0</v>
      </c>
      <c r="H12" s="66">
        <f>'M2'!H12-'M1'!H12</f>
        <v>-7.9625000000000057</v>
      </c>
    </row>
    <row r="13" spans="1:8">
      <c r="A13" s="66" t="s">
        <v>251</v>
      </c>
      <c r="B13" s="66">
        <f>'M2'!B13-'M1'!B13</f>
        <v>-1.8614999999999995</v>
      </c>
      <c r="C13" s="66">
        <f>'M2'!C13-'M1'!C13</f>
        <v>2.2776100000000001</v>
      </c>
      <c r="D13" s="66">
        <f>'M2'!D13-'M1'!D13</f>
        <v>9.5632999999999999</v>
      </c>
      <c r="E13" s="66">
        <f>'M2'!E13-'M1'!E13</f>
        <v>0</v>
      </c>
      <c r="F13" s="66">
        <f>'M2'!F13-'M1'!F13</f>
        <v>-1.2051000000000016</v>
      </c>
      <c r="G13" s="66">
        <f>'M2'!G13-'M1'!G13</f>
        <v>0</v>
      </c>
      <c r="H13" s="66">
        <f>'M2'!H13-'M1'!H13</f>
        <v>13.041999999999994</v>
      </c>
    </row>
    <row r="14" spans="1:8">
      <c r="A14" s="66" t="s">
        <v>252</v>
      </c>
      <c r="B14" s="66">
        <f>'M2'!B14-'M1'!B14</f>
        <v>22.7761</v>
      </c>
      <c r="C14" s="66">
        <f>'M2'!C14-'M1'!C14</f>
        <v>5.4232000000000014</v>
      </c>
      <c r="D14" s="66">
        <f>'M2'!D14-'M1'!D14</f>
        <v>-4.8241000000000014</v>
      </c>
      <c r="E14" s="66">
        <f>'M2'!E14-'M1'!E14</f>
        <v>0</v>
      </c>
      <c r="F14" s="66">
        <f>'M2'!F14-'M1'!F14</f>
        <v>0.99737999999999971</v>
      </c>
      <c r="G14" s="66">
        <f>'M2'!G14-'M1'!G14</f>
        <v>0</v>
      </c>
      <c r="H14" s="66">
        <f>'M2'!H14-'M1'!H14</f>
        <v>25.769500000000008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5.0105000000000011E-2</v>
      </c>
      <c r="C18" s="66">
        <f>'M2'!C18-'M1'!C18</f>
        <v>2.4440900000000002E-2</v>
      </c>
      <c r="D18" s="66">
        <f>'M2'!D18-'M1'!D18</f>
        <v>6.2056500000000001E-2</v>
      </c>
      <c r="E18" s="66">
        <f>'M2'!E18-'M1'!E18</f>
        <v>0</v>
      </c>
      <c r="F18" s="66">
        <f>'M2'!F18-'M1'!F18</f>
        <v>0.36940800000000001</v>
      </c>
      <c r="G18" s="66">
        <f>'M2'!G18-'M1'!G18</f>
        <v>0</v>
      </c>
      <c r="H18" s="66">
        <f>'M2'!H18-'M1'!H18</f>
        <v>0.41829</v>
      </c>
    </row>
    <row r="19" spans="1:8">
      <c r="A19" s="66" t="s">
        <v>256</v>
      </c>
      <c r="B19" s="66">
        <f>'M2'!B19-'M1'!B19</f>
        <v>-4.1482999999999992E-2</v>
      </c>
      <c r="C19" s="66">
        <f>'M2'!C19-'M1'!C19</f>
        <v>2.3582200000000001E-2</v>
      </c>
      <c r="D19" s="66">
        <f>'M2'!D19-'M1'!D19</f>
        <v>4.7542399999999999E-2</v>
      </c>
      <c r="E19" s="66">
        <f>'M2'!E19-'M1'!E19</f>
        <v>0</v>
      </c>
      <c r="F19" s="66">
        <f>'M2'!F19-'M1'!F19</f>
        <v>0.472443</v>
      </c>
      <c r="G19" s="66">
        <f>'M2'!G19-'M1'!G19</f>
        <v>0</v>
      </c>
      <c r="H19" s="66">
        <f>'M2'!H19-'M1'!H19</f>
        <v>0.51960799999999996</v>
      </c>
    </row>
    <row r="20" spans="1:8">
      <c r="A20" s="66" t="s">
        <v>63</v>
      </c>
      <c r="B20" s="66">
        <f>'M2'!B20-'M1'!B20</f>
        <v>2.4449980000000003E-3</v>
      </c>
      <c r="C20" s="66">
        <f>'M2'!C20-'M1'!C20</f>
        <v>3.4505500000000008E-2</v>
      </c>
      <c r="D20" s="66">
        <f>'M2'!D20-'M1'!D20</f>
        <v>-22.353900000000003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0.22881899999999999</v>
      </c>
    </row>
    <row r="21" spans="1:8">
      <c r="A21" s="66" t="s">
        <v>64</v>
      </c>
      <c r="B21" s="66">
        <f>'M2'!B21-'M1'!B21</f>
        <v>9.7200000000000064E-3</v>
      </c>
      <c r="C21" s="66">
        <f>'M2'!C21-'M1'!C21</f>
        <v>0.41586499999999993</v>
      </c>
      <c r="D21" s="66">
        <f>'M2'!D21-'M1'!D21</f>
        <v>2.1274400000000004</v>
      </c>
      <c r="E21" s="66">
        <f>'M2'!E21-'M1'!E21</f>
        <v>0</v>
      </c>
      <c r="F21" s="66">
        <f>'M2'!F21-'M1'!F21</f>
        <v>2.4637000000000015E-5</v>
      </c>
      <c r="G21" s="66">
        <f>'M2'!G21-'M1'!G21</f>
        <v>0</v>
      </c>
      <c r="H21" s="66">
        <f>'M2'!H21-'M1'!H21</f>
        <v>1.9323299999999999</v>
      </c>
    </row>
    <row r="22" spans="1:8">
      <c r="A22" s="66" t="s">
        <v>65</v>
      </c>
      <c r="B22" s="66">
        <f>'M2'!B22-'M1'!B22</f>
        <v>16.963299999999997</v>
      </c>
      <c r="C22" s="66">
        <f>'M2'!C22-'M1'!C22</f>
        <v>16.8598</v>
      </c>
      <c r="D22" s="66">
        <f>'M2'!D22-'M1'!D22</f>
        <v>0.185581</v>
      </c>
      <c r="E22" s="66">
        <f>'M2'!E22-'M1'!E22</f>
        <v>0</v>
      </c>
      <c r="F22" s="66">
        <f>'M2'!F22-'M1'!F22</f>
        <v>-0.25999999999999801</v>
      </c>
      <c r="G22" s="66">
        <f>'M2'!G22-'M1'!G22</f>
        <v>0</v>
      </c>
      <c r="H22" s="66">
        <f>'M2'!H22-'M1'!H22</f>
        <v>85.988</v>
      </c>
    </row>
    <row r="23" spans="1:8">
      <c r="A23" s="66" t="s">
        <v>66</v>
      </c>
      <c r="B23" s="66">
        <f>'M2'!B23-'M1'!B23</f>
        <v>-3.7128999999999976</v>
      </c>
      <c r="C23" s="66">
        <f>'M2'!C23-'M1'!C23</f>
        <v>-0.8895000000000004</v>
      </c>
      <c r="D23" s="66">
        <f>'M2'!D23-'M1'!D23</f>
        <v>-8.650999999999992E-3</v>
      </c>
      <c r="E23" s="66">
        <f>'M2'!E23-'M1'!E23</f>
        <v>0</v>
      </c>
      <c r="F23" s="66">
        <f>'M2'!F23-'M1'!F23</f>
        <v>-2.3031000000000006</v>
      </c>
      <c r="G23" s="66">
        <f>'M2'!G23-'M1'!G23</f>
        <v>0</v>
      </c>
      <c r="H23" s="66">
        <f>'M2'!H23-'M1'!H23</f>
        <v>-2.4683000000000028</v>
      </c>
    </row>
    <row r="24" spans="1:8">
      <c r="A24" s="66" t="s">
        <v>67</v>
      </c>
      <c r="B24" s="66">
        <f>'M2'!B24-'M1'!B24</f>
        <v>1.296023E-2</v>
      </c>
      <c r="C24" s="66">
        <f>'M2'!C24-'M1'!C24</f>
        <v>3.2999700000000007E-2</v>
      </c>
      <c r="D24" s="66">
        <f>'M2'!D24-'M1'!D24</f>
        <v>-4.0727099999999998</v>
      </c>
      <c r="E24" s="66">
        <f>'M2'!E24-'M1'!E24</f>
        <v>0</v>
      </c>
      <c r="F24" s="66">
        <f>'M2'!F24-'M1'!F24</f>
        <v>-1.6356500000000002E-6</v>
      </c>
      <c r="G24" s="66">
        <f>'M2'!G24-'M1'!G24</f>
        <v>0</v>
      </c>
      <c r="H24" s="66">
        <f>'M2'!H24-'M1'!H24</f>
        <v>0.26740299999999995</v>
      </c>
    </row>
    <row r="25" spans="1:8">
      <c r="A25" s="66" t="s">
        <v>68</v>
      </c>
      <c r="B25" s="66">
        <f>'M2'!B25-'M1'!B25</f>
        <v>-7.6511999999999997E-2</v>
      </c>
      <c r="C25" s="66">
        <f>'M2'!C25-'M1'!C25</f>
        <v>0.27974100000000002</v>
      </c>
      <c r="D25" s="66">
        <f>'M2'!D25-'M1'!D25</f>
        <v>2.69713</v>
      </c>
      <c r="E25" s="66">
        <f>'M2'!E25-'M1'!E25</f>
        <v>0</v>
      </c>
      <c r="F25" s="66">
        <f>'M2'!F25-'M1'!F25</f>
        <v>-1.87482E-2</v>
      </c>
      <c r="G25" s="66">
        <f>'M2'!G25-'M1'!G25</f>
        <v>0</v>
      </c>
      <c r="H25" s="66">
        <f>'M2'!H25-'M1'!H25</f>
        <v>0.51706999999999992</v>
      </c>
    </row>
    <row r="26" spans="1:8">
      <c r="A26" s="66" t="s">
        <v>69</v>
      </c>
      <c r="B26" s="66">
        <f>'M2'!B26-'M1'!B26</f>
        <v>4.43146E-4</v>
      </c>
      <c r="C26" s="66">
        <f>'M2'!C26-'M1'!C26</f>
        <v>4.0674800000000001E-3</v>
      </c>
      <c r="D26" s="66">
        <f>'M2'!D26-'M1'!D26</f>
        <v>-2.6447000000000003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2.7980499999999998E-2</v>
      </c>
    </row>
    <row r="27" spans="1:8">
      <c r="A27" s="66" t="s">
        <v>70</v>
      </c>
      <c r="B27" s="66">
        <f>'M2'!B27-'M1'!B27</f>
        <v>-3.2825699999999997E-6</v>
      </c>
      <c r="C27" s="66">
        <f>'M2'!C27-'M1'!C27</f>
        <v>6.7016999999999988E-4</v>
      </c>
      <c r="D27" s="66">
        <f>'M2'!D27-'M1'!D27</f>
        <v>67.45599999999996</v>
      </c>
      <c r="E27" s="66">
        <f>'M2'!E27-'M1'!E27</f>
        <v>0</v>
      </c>
      <c r="F27" s="66">
        <f>'M2'!F27-'M1'!F27</f>
        <v>-3.6830300000000003E-3</v>
      </c>
      <c r="G27" s="66">
        <f>'M2'!G27-'M1'!G27</f>
        <v>0</v>
      </c>
      <c r="H27" s="66">
        <f>'M2'!H27-'M1'!H27</f>
        <v>2.9149399999999995E-3</v>
      </c>
    </row>
    <row r="28" spans="1:8">
      <c r="A28" s="66" t="s">
        <v>71</v>
      </c>
      <c r="B28" s="66">
        <f>'M2'!B28-'M1'!B28</f>
        <v>-4.5687000000000002E-3</v>
      </c>
      <c r="C28" s="66">
        <f>'M2'!C28-'M1'!C28</f>
        <v>2.18765E-2</v>
      </c>
      <c r="D28" s="66">
        <f>'M2'!D28-'M1'!D28</f>
        <v>2.2606899999999999</v>
      </c>
      <c r="E28" s="66">
        <f>'M2'!E28-'M1'!E28</f>
        <v>0</v>
      </c>
      <c r="F28" s="66">
        <f>'M2'!F28-'M1'!F28</f>
        <v>-1.6276099999999998E-5</v>
      </c>
      <c r="G28" s="66">
        <f>'M2'!G28-'M1'!G28</f>
        <v>0</v>
      </c>
      <c r="H28" s="66">
        <f>'M2'!H28-'M1'!H28</f>
        <v>7.6868999999999993E-2</v>
      </c>
    </row>
    <row r="29" spans="1:8">
      <c r="A29" s="66" t="s">
        <v>72</v>
      </c>
      <c r="B29" s="66">
        <f>'M2'!B29-'M1'!B29</f>
        <v>2.3351000000000113</v>
      </c>
      <c r="C29" s="66">
        <f>'M2'!C29-'M1'!C29</f>
        <v>4.4838000000000005</v>
      </c>
      <c r="D29" s="66">
        <f>'M2'!D29-'M1'!D29</f>
        <v>5.3398000000000001E-2</v>
      </c>
      <c r="E29" s="66">
        <f>'M2'!E29-'M1'!E29</f>
        <v>0</v>
      </c>
      <c r="F29" s="66">
        <f>'M2'!F29-'M1'!F29</f>
        <v>-7.5820000000000007</v>
      </c>
      <c r="G29" s="66">
        <f>'M2'!G29-'M1'!G29</f>
        <v>0</v>
      </c>
      <c r="H29" s="66">
        <f>'M2'!H29-'M1'!H29</f>
        <v>3.2909999999999968</v>
      </c>
    </row>
    <row r="30" spans="1:8">
      <c r="A30" s="66" t="s">
        <v>73</v>
      </c>
      <c r="B30" s="66">
        <f>'M2'!B30-'M1'!B30</f>
        <v>-5.1211999999999982</v>
      </c>
      <c r="C30" s="66">
        <f>'M2'!C30-'M1'!C30</f>
        <v>-1.5961700000000003</v>
      </c>
      <c r="D30" s="66">
        <f>'M2'!D30-'M1'!D30</f>
        <v>-3.2850000000000018E-2</v>
      </c>
      <c r="E30" s="66">
        <f>'M2'!E30-'M1'!E30</f>
        <v>0</v>
      </c>
      <c r="F30" s="66">
        <f>'M2'!F30-'M1'!F30</f>
        <v>-3.3226999999999975</v>
      </c>
      <c r="G30" s="66">
        <f>'M2'!G30-'M1'!G30</f>
        <v>0</v>
      </c>
      <c r="H30" s="66">
        <f>'M2'!H30-'M1'!H30</f>
        <v>-5.7035999999999945</v>
      </c>
    </row>
    <row r="31" spans="1:8">
      <c r="A31" s="66" t="s">
        <v>74</v>
      </c>
      <c r="B31" s="66">
        <f>'M2'!B31-'M1'!B31</f>
        <v>76.189000000000021</v>
      </c>
      <c r="C31" s="66">
        <f>'M2'!C31-'M1'!C31</f>
        <v>24.942500000000003</v>
      </c>
      <c r="D31" s="66">
        <f>'M2'!D31-'M1'!D31</f>
        <v>4.2441000000000006E-2</v>
      </c>
      <c r="E31" s="66">
        <f>'M2'!E31-'M1'!E31</f>
        <v>0</v>
      </c>
      <c r="F31" s="66">
        <f>'M2'!F31-'M1'!F31</f>
        <v>78.401999999999987</v>
      </c>
      <c r="G31" s="66">
        <f>'M2'!G31-'M1'!G31</f>
        <v>0</v>
      </c>
      <c r="H31" s="66">
        <f>'M2'!H31-'M1'!H31</f>
        <v>147.46099999999996</v>
      </c>
    </row>
    <row r="32" spans="1:8">
      <c r="A32" s="66" t="s">
        <v>75</v>
      </c>
      <c r="B32" s="66">
        <f>'M2'!B32-'M1'!B32</f>
        <v>1.3699000000000017E-2</v>
      </c>
      <c r="C32" s="66">
        <f>'M2'!C32-'M1'!C32</f>
        <v>4.2014299999999997E-2</v>
      </c>
      <c r="D32" s="66">
        <f>'M2'!D32-'M1'!D32</f>
        <v>0.18339800000000001</v>
      </c>
      <c r="E32" s="66">
        <f>'M2'!E32-'M1'!E32</f>
        <v>0</v>
      </c>
      <c r="F32" s="66">
        <f>'M2'!F32-'M1'!F32</f>
        <v>-2.7139900000000002E-2</v>
      </c>
      <c r="G32" s="66">
        <f>'M2'!G32-'M1'!G32</f>
        <v>0</v>
      </c>
      <c r="H32" s="66">
        <f>'M2'!H32-'M1'!H32</f>
        <v>2.8856999999999966E-2</v>
      </c>
    </row>
    <row r="33" spans="1:8">
      <c r="A33" s="66" t="s">
        <v>76</v>
      </c>
      <c r="B33" s="66">
        <f>'M2'!B33-'M1'!B33</f>
        <v>-6.068800000000002E-2</v>
      </c>
      <c r="C33" s="66">
        <f>'M2'!C33-'M1'!C33</f>
        <v>1.7591799999999998E-2</v>
      </c>
      <c r="D33" s="66">
        <f>'M2'!D33-'M1'!D33</f>
        <v>6.6825799999999991E-2</v>
      </c>
      <c r="E33" s="66">
        <f>'M2'!E33-'M1'!E33</f>
        <v>0</v>
      </c>
      <c r="F33" s="66">
        <f>'M2'!F33-'M1'!F33</f>
        <v>-9.0358000000000022E-2</v>
      </c>
      <c r="G33" s="66">
        <f>'M2'!G33-'M1'!G33</f>
        <v>0</v>
      </c>
      <c r="H33" s="66">
        <f>'M2'!H33-'M1'!H33</f>
        <v>3.6904999999999966E-2</v>
      </c>
    </row>
    <row r="34" spans="1:8">
      <c r="A34" s="66" t="s">
        <v>77</v>
      </c>
      <c r="B34" s="66">
        <f>'M2'!B34-'M1'!B34</f>
        <v>-1.8614999999999993E-2</v>
      </c>
      <c r="C34" s="66">
        <f>'M2'!C34-'M1'!C34</f>
        <v>2.2776100000000001E-2</v>
      </c>
      <c r="D34" s="66">
        <f>'M2'!D34-'M1'!D34</f>
        <v>9.5633000000000024E-2</v>
      </c>
      <c r="E34" s="66">
        <f>'M2'!E34-'M1'!E34</f>
        <v>0</v>
      </c>
      <c r="F34" s="66">
        <f>'M2'!F34-'M1'!F34</f>
        <v>-1.2051000000000006E-2</v>
      </c>
      <c r="G34" s="66">
        <f>'M2'!G34-'M1'!G34</f>
        <v>0</v>
      </c>
      <c r="H34" s="66">
        <f>'M2'!H34-'M1'!H34</f>
        <v>0.13041999999999998</v>
      </c>
    </row>
    <row r="35" spans="1:8">
      <c r="A35" s="66" t="s">
        <v>78</v>
      </c>
      <c r="B35" s="66">
        <f>'M2'!B35-'M1'!B35</f>
        <v>1.8237000000000017E-2</v>
      </c>
      <c r="C35" s="66">
        <f>'M2'!C35-'M1'!C35</f>
        <v>1.5331600000000001E-2</v>
      </c>
      <c r="D35" s="66">
        <f>'M2'!D35-'M1'!D35</f>
        <v>7.1168999999999982E-2</v>
      </c>
      <c r="E35" s="66">
        <f>'M2'!E35-'M1'!E35</f>
        <v>0</v>
      </c>
      <c r="F35" s="66">
        <f>'M2'!F35-'M1'!F35</f>
        <v>-2.0795500000000001E-2</v>
      </c>
      <c r="G35" s="66">
        <f>'M2'!G35-'M1'!G35</f>
        <v>0</v>
      </c>
      <c r="H35" s="66">
        <f>'M2'!H35-'M1'!H35</f>
        <v>8.9071000000000011E-2</v>
      </c>
    </row>
    <row r="36" spans="1:8">
      <c r="A36" s="66" t="s">
        <v>79</v>
      </c>
      <c r="B36" s="66">
        <f>'M2'!B36-'M1'!B36</f>
        <v>-2.2886999999999991E-2</v>
      </c>
      <c r="C36" s="66">
        <f>'M2'!C36-'M1'!C36</f>
        <v>2.4195000000000022E-2</v>
      </c>
      <c r="D36" s="66">
        <f>'M2'!D36-'M1'!D36</f>
        <v>0.15700199999999997</v>
      </c>
      <c r="E36" s="66">
        <f>'M2'!E36-'M1'!E36</f>
        <v>0</v>
      </c>
      <c r="F36" s="66">
        <f>'M2'!F36-'M1'!F36</f>
        <v>-2.5043200000000002E-2</v>
      </c>
      <c r="G36" s="66">
        <f>'M2'!G36-'M1'!G36</f>
        <v>0</v>
      </c>
      <c r="H36" s="66">
        <f>'M2'!H36-'M1'!H36</f>
        <v>0.20231100000000002</v>
      </c>
    </row>
    <row r="37" spans="1:8">
      <c r="A37" s="66" t="s">
        <v>80</v>
      </c>
      <c r="B37" s="66">
        <f>'M2'!B37-'M1'!B37</f>
        <v>0.22776100000000005</v>
      </c>
      <c r="C37" s="66">
        <f>'M2'!C37-'M1'!C37</f>
        <v>5.4232000000000002E-2</v>
      </c>
      <c r="D37" s="66">
        <f>'M2'!D37-'M1'!D37</f>
        <v>-4.8241000000000034E-2</v>
      </c>
      <c r="E37" s="66">
        <f>'M2'!E37-'M1'!E37</f>
        <v>0</v>
      </c>
      <c r="F37" s="66">
        <f>'M2'!F37-'M1'!F37</f>
        <v>9.9737999999999979E-3</v>
      </c>
      <c r="G37" s="66">
        <f>'M2'!G37-'M1'!G37</f>
        <v>0</v>
      </c>
      <c r="H37" s="66">
        <f>'M2'!H37-'M1'!H37</f>
        <v>0.25769500000000001</v>
      </c>
    </row>
    <row r="38" spans="1:8">
      <c r="A38" s="66" t="s">
        <v>81</v>
      </c>
      <c r="B38" s="66">
        <f>'M2'!B38-'M1'!B38</f>
        <v>2.8506</v>
      </c>
      <c r="C38" s="66">
        <f>'M2'!C38-'M1'!C38</f>
        <v>27.807599999999994</v>
      </c>
      <c r="D38" s="66">
        <f>'M2'!D38-'M1'!D38</f>
        <v>-2.3542700000000005</v>
      </c>
      <c r="E38" s="66">
        <f>'M2'!E38-'M1'!E38</f>
        <v>0</v>
      </c>
      <c r="F38" s="66">
        <f>'M2'!F38-'M1'!F38</f>
        <v>-47.682999999999993</v>
      </c>
      <c r="G38" s="66">
        <f>'M2'!G38-'M1'!G38</f>
        <v>0</v>
      </c>
      <c r="H38" s="66">
        <f>'M2'!H38-'M1'!H38</f>
        <v>295.27679999999998</v>
      </c>
    </row>
    <row r="39" spans="1:8">
      <c r="A39" s="66" t="s">
        <v>82</v>
      </c>
      <c r="B39" s="66">
        <f>'M2'!B39-'M1'!B39</f>
        <v>0.29474</v>
      </c>
      <c r="C39" s="66">
        <f>'M2'!C39-'M1'!C39</f>
        <v>1.9890999999999996</v>
      </c>
      <c r="D39" s="66">
        <f>'M2'!D39-'M1'!D39</f>
        <v>-0.41180300000000003</v>
      </c>
      <c r="E39" s="66">
        <f>'M2'!E39-'M1'!E39</f>
        <v>0</v>
      </c>
      <c r="F39" s="66">
        <f>'M2'!F39-'M1'!F39</f>
        <v>-3.4627999999999997</v>
      </c>
      <c r="G39" s="66">
        <f>'M2'!G39-'M1'!G39</f>
        <v>0</v>
      </c>
      <c r="H39" s="66">
        <f>'M2'!H39-'M1'!H39</f>
        <v>8.4723000000000006</v>
      </c>
    </row>
    <row r="40" spans="1:8">
      <c r="A40" s="66" t="s">
        <v>83</v>
      </c>
      <c r="B40" s="66">
        <f>'M2'!B40-'M1'!B40</f>
        <v>2.2319940000000003</v>
      </c>
      <c r="C40" s="66">
        <f>'M2'!C40-'M1'!C40</f>
        <v>-5.2460000000000062E-2</v>
      </c>
      <c r="D40" s="66">
        <f>'M2'!D40-'M1'!D40</f>
        <v>1.7248079999999999</v>
      </c>
      <c r="E40" s="66">
        <f>'M2'!E40-'M1'!E40</f>
        <v>0</v>
      </c>
      <c r="F40" s="66">
        <f>'M2'!F40-'M1'!F40</f>
        <v>0.89430000000000009</v>
      </c>
      <c r="G40" s="66">
        <f>'M2'!G40-'M1'!G40</f>
        <v>0</v>
      </c>
      <c r="H40" s="66">
        <f>'M2'!H40-'M1'!H40</f>
        <v>1.3169469999999999</v>
      </c>
    </row>
    <row r="41" spans="1:8">
      <c r="A41" s="66" t="s">
        <v>84</v>
      </c>
      <c r="B41" s="66">
        <f>'M2'!B41-'M1'!B41</f>
        <v>7.77312E-2</v>
      </c>
      <c r="C41" s="66">
        <f>'M2'!C41-'M1'!C41</f>
        <v>7.3091000000000017E-2</v>
      </c>
      <c r="D41" s="66">
        <f>'M2'!D41-'M1'!D41</f>
        <v>-4.9207599999999996</v>
      </c>
      <c r="E41" s="66">
        <f>'M2'!E41-'M1'!E41</f>
        <v>0</v>
      </c>
      <c r="F41" s="66">
        <f>'M2'!F41-'M1'!F41</f>
        <v>-0.15625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2.3048700000000005E-2</v>
      </c>
      <c r="C42" s="66">
        <f>'M2'!C42-'M1'!C42</f>
        <v>2.0354000000000011E-2</v>
      </c>
      <c r="D42" s="66">
        <f>'M2'!D42-'M1'!D42</f>
        <v>-0.75584000000000007</v>
      </c>
      <c r="E42" s="66">
        <f>'M2'!E42-'M1'!E42</f>
        <v>0</v>
      </c>
      <c r="F42" s="66">
        <f>'M2'!F42-'M1'!F42</f>
        <v>-6.6886000000000001E-2</v>
      </c>
      <c r="G42" s="66">
        <f>'M2'!G42-'M1'!G42</f>
        <v>0</v>
      </c>
      <c r="H42" s="66">
        <f>'M2'!H42-'M1'!H42</f>
        <v>-4.6502000000000016E-2</v>
      </c>
    </row>
    <row r="43" spans="1:8">
      <c r="A43" s="66" t="s">
        <v>86</v>
      </c>
      <c r="B43" s="66">
        <f>'M2'!B43-'M1'!B43</f>
        <v>7.5080000000000008E-2</v>
      </c>
      <c r="C43" s="66">
        <f>'M2'!C43-'M1'!C43</f>
        <v>-7.9646000000000022E-3</v>
      </c>
      <c r="D43" s="66">
        <f>'M2'!D43-'M1'!D43</f>
        <v>-0.42804399999999998</v>
      </c>
      <c r="E43" s="66">
        <f>'M2'!E43-'M1'!E43</f>
        <v>0</v>
      </c>
      <c r="F43" s="66">
        <f>'M2'!F43-'M1'!F43</f>
        <v>2.6251590000000005E-2</v>
      </c>
      <c r="G43" s="66">
        <f>'M2'!G43-'M1'!G43</f>
        <v>0</v>
      </c>
      <c r="H43" s="66">
        <f>'M2'!H43-'M1'!H43</f>
        <v>1.4473000000000014E-2</v>
      </c>
    </row>
    <row r="44" spans="1:8">
      <c r="A44" s="66" t="s">
        <v>87</v>
      </c>
      <c r="B44" s="66">
        <f>'M2'!B44-'M1'!B44</f>
        <v>-31.430229999999998</v>
      </c>
      <c r="C44" s="66">
        <f>'M2'!C44-'M1'!C44</f>
        <v>11.66719</v>
      </c>
      <c r="D44" s="66">
        <f>'M2'!D44-'M1'!D44</f>
        <v>1.41364</v>
      </c>
      <c r="E44" s="66">
        <f>'M2'!E44-'M1'!E44</f>
        <v>0</v>
      </c>
      <c r="F44" s="66">
        <f>'M2'!F44-'M1'!F44</f>
        <v>-49.209199999999996</v>
      </c>
      <c r="G44" s="66">
        <f>'M2'!G44-'M1'!G44</f>
        <v>0</v>
      </c>
      <c r="H44" s="66">
        <f>'M2'!H44-'M1'!H44</f>
        <v>-14.932079999999999</v>
      </c>
    </row>
    <row r="45" spans="1:8">
      <c r="A45" s="66" t="s">
        <v>88</v>
      </c>
      <c r="B45" s="66">
        <f>'M2'!B45-'M1'!B45</f>
        <v>-1.8478999999999957</v>
      </c>
      <c r="C45" s="66">
        <f>'M2'!C45-'M1'!C45</f>
        <v>2.4354899999999997</v>
      </c>
      <c r="D45" s="66">
        <f>'M2'!D45-'M1'!D45</f>
        <v>5.5886999999999992E-2</v>
      </c>
      <c r="E45" s="66">
        <f>'M2'!E45-'M1'!E45</f>
        <v>0</v>
      </c>
      <c r="F45" s="66">
        <f>'M2'!F45-'M1'!F45</f>
        <v>-1.9451999999999998</v>
      </c>
      <c r="G45" s="66">
        <f>'M2'!G45-'M1'!G45</f>
        <v>0</v>
      </c>
      <c r="H45" s="66">
        <f>'M2'!H45-'M1'!H45</f>
        <v>4.9301999999999992</v>
      </c>
    </row>
    <row r="46" spans="1:8">
      <c r="A46" s="66" t="s">
        <v>89</v>
      </c>
      <c r="B46" s="66">
        <f>'M2'!B46-'M1'!B46</f>
        <v>-1.0090999999999966</v>
      </c>
      <c r="C46" s="66">
        <f>'M2'!C46-'M1'!C46</f>
        <v>-5.9623600000000003</v>
      </c>
      <c r="D46" s="66">
        <f>'M2'!D46-'M1'!D46</f>
        <v>-0.1724358</v>
      </c>
      <c r="E46" s="66">
        <f>'M2'!E46-'M1'!E46</f>
        <v>0</v>
      </c>
      <c r="F46" s="66">
        <f>'M2'!F46-'M1'!F46</f>
        <v>19.9208</v>
      </c>
      <c r="G46" s="66">
        <f>'M2'!G46-'M1'!G46</f>
        <v>0</v>
      </c>
      <c r="H46" s="66">
        <f>'M2'!H46-'M1'!H46</f>
        <v>-0.55300000000000438</v>
      </c>
    </row>
    <row r="47" spans="1:8">
      <c r="A47" s="66" t="s">
        <v>90</v>
      </c>
      <c r="B47" s="66">
        <f>'M2'!B47-'M1'!B47</f>
        <v>-0.59428999999999998</v>
      </c>
      <c r="C47" s="66">
        <f>'M2'!C47-'M1'!C47</f>
        <v>0.62785999999999997</v>
      </c>
      <c r="D47" s="66">
        <f>'M2'!D47-'M1'!D47</f>
        <v>1.2322950000000001</v>
      </c>
      <c r="E47" s="66">
        <f>'M2'!E47-'M1'!E47</f>
        <v>0</v>
      </c>
      <c r="F47" s="66">
        <f>'M2'!F47-'M1'!F47</f>
        <v>-6.4785999999999982E-2</v>
      </c>
      <c r="G47" s="66">
        <f>'M2'!G47-'M1'!G47</f>
        <v>0</v>
      </c>
      <c r="H47" s="66">
        <f>'M2'!H47-'M1'!H47</f>
        <v>1.7675899999999993</v>
      </c>
    </row>
    <row r="48" spans="1:8">
      <c r="A48" s="66" t="s">
        <v>91</v>
      </c>
      <c r="B48" s="66">
        <f>'M2'!B48-'M1'!B48</f>
        <v>-0.49482499999999996</v>
      </c>
      <c r="C48" s="66">
        <f>'M2'!C48-'M1'!C48</f>
        <v>-0.170679</v>
      </c>
      <c r="D48" s="66">
        <f>'M2'!D48-'M1'!D48</f>
        <v>-8.0241000000000007E-2</v>
      </c>
      <c r="E48" s="66">
        <f>'M2'!E48-'M1'!E48</f>
        <v>0</v>
      </c>
      <c r="F48" s="66">
        <f>'M2'!F48-'M1'!F48</f>
        <v>-0.28146800000000005</v>
      </c>
      <c r="G48" s="66">
        <f>'M2'!G48-'M1'!G48</f>
        <v>0</v>
      </c>
      <c r="H48" s="66">
        <f>'M2'!H48-'M1'!H48</f>
        <v>-0.899142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50.517600000000002</v>
      </c>
      <c r="C5" s="66">
        <v>11.956899999999999</v>
      </c>
      <c r="D5" s="66">
        <v>23.668800000000001</v>
      </c>
      <c r="E5" s="66">
        <v>20</v>
      </c>
      <c r="F5" s="66">
        <v>18.065100000000001</v>
      </c>
      <c r="G5" s="66">
        <v>50</v>
      </c>
      <c r="H5" s="66">
        <v>61.0563</v>
      </c>
    </row>
    <row r="6" spans="1:8">
      <c r="A6" s="66" t="s">
        <v>358</v>
      </c>
      <c r="B6" s="66">
        <v>27.194600000000001</v>
      </c>
      <c r="C6" s="66">
        <v>4.5878100000000002</v>
      </c>
      <c r="D6" s="66">
        <v>16.8703</v>
      </c>
      <c r="E6" s="66">
        <v>20</v>
      </c>
      <c r="F6" s="66">
        <v>17.4894</v>
      </c>
      <c r="G6" s="66">
        <v>40</v>
      </c>
      <c r="H6" s="66">
        <v>33.023600000000002</v>
      </c>
    </row>
    <row r="7" spans="1:8">
      <c r="A7" s="66" t="s">
        <v>359</v>
      </c>
      <c r="B7" s="66">
        <v>19.590299999999999</v>
      </c>
      <c r="C7" s="66">
        <v>5.1103500000000004</v>
      </c>
      <c r="D7" s="66">
        <v>26.086099999999998</v>
      </c>
      <c r="E7" s="66">
        <v>15</v>
      </c>
      <c r="F7" s="66">
        <v>7.8159400000000003</v>
      </c>
      <c r="G7" s="66">
        <v>40</v>
      </c>
      <c r="H7" s="66">
        <v>32.150799999999997</v>
      </c>
    </row>
    <row r="8" spans="1:8">
      <c r="A8" s="66" t="s">
        <v>360</v>
      </c>
      <c r="B8" s="66">
        <v>33.594799999999999</v>
      </c>
      <c r="C8" s="66">
        <v>6.8667199999999999</v>
      </c>
      <c r="D8" s="66">
        <v>20.439900000000002</v>
      </c>
      <c r="E8" s="66">
        <v>20</v>
      </c>
      <c r="F8" s="66">
        <v>14.600199999999999</v>
      </c>
      <c r="G8" s="66">
        <v>50</v>
      </c>
      <c r="H8" s="66">
        <v>37.151499999999999</v>
      </c>
    </row>
    <row r="9" spans="1:8">
      <c r="A9" s="66" t="s">
        <v>361</v>
      </c>
      <c r="B9" s="66">
        <v>68.291300000000007</v>
      </c>
      <c r="C9" s="66">
        <v>5.5135800000000001</v>
      </c>
      <c r="D9" s="66">
        <v>8.07362</v>
      </c>
      <c r="E9" s="66">
        <v>50</v>
      </c>
      <c r="F9" s="66">
        <v>59.247199999999999</v>
      </c>
      <c r="G9" s="66">
        <v>100</v>
      </c>
      <c r="H9" s="66">
        <v>83.915599999999998</v>
      </c>
    </row>
    <row r="10" spans="1:8">
      <c r="A10" s="66" t="s">
        <v>362</v>
      </c>
      <c r="B10" s="66">
        <v>76.996099999999998</v>
      </c>
      <c r="C10" s="66">
        <v>3.64764</v>
      </c>
      <c r="D10" s="66">
        <v>4.7374299999999998</v>
      </c>
      <c r="E10" s="66">
        <v>40</v>
      </c>
      <c r="F10" s="66">
        <v>72.427499999999995</v>
      </c>
      <c r="G10" s="66">
        <v>100</v>
      </c>
      <c r="H10" s="66">
        <v>86.052999999999997</v>
      </c>
    </row>
    <row r="11" spans="1:8">
      <c r="A11" s="66" t="s">
        <v>363</v>
      </c>
      <c r="B11" s="66">
        <v>30.12</v>
      </c>
      <c r="C11" s="66">
        <v>5.0077800000000003</v>
      </c>
      <c r="D11" s="66">
        <v>16.626100000000001</v>
      </c>
      <c r="E11" s="66">
        <v>10</v>
      </c>
      <c r="F11" s="66">
        <v>16.365300000000001</v>
      </c>
      <c r="G11" s="66">
        <v>50</v>
      </c>
      <c r="H11" s="66">
        <v>35.283299999999997</v>
      </c>
    </row>
    <row r="12" spans="1:8">
      <c r="A12" s="66" t="s">
        <v>364</v>
      </c>
      <c r="B12" s="66">
        <v>72.733800000000002</v>
      </c>
      <c r="C12" s="66">
        <v>4.45824</v>
      </c>
      <c r="D12" s="66">
        <v>6.1295299999999999</v>
      </c>
      <c r="E12" s="66">
        <v>50</v>
      </c>
      <c r="F12" s="66">
        <v>66.580100000000002</v>
      </c>
      <c r="G12" s="66">
        <v>100</v>
      </c>
      <c r="H12" s="66">
        <v>84.951700000000002</v>
      </c>
    </row>
    <row r="13" spans="1:8">
      <c r="A13" s="66" t="s">
        <v>365</v>
      </c>
      <c r="B13" s="66">
        <v>28.762499999999999</v>
      </c>
      <c r="C13" s="66">
        <v>4.5584800000000003</v>
      </c>
      <c r="D13" s="66">
        <v>15.848699999999999</v>
      </c>
      <c r="E13" s="66">
        <v>10</v>
      </c>
      <c r="F13" s="66">
        <v>21.674800000000001</v>
      </c>
      <c r="G13" s="66">
        <v>25</v>
      </c>
      <c r="H13" s="66">
        <v>42.847700000000003</v>
      </c>
    </row>
    <row r="14" spans="1:8">
      <c r="A14" s="66" t="s">
        <v>366</v>
      </c>
      <c r="B14" s="66">
        <v>45.584800000000001</v>
      </c>
      <c r="C14" s="66">
        <v>17.4544</v>
      </c>
      <c r="D14" s="66">
        <v>38.29</v>
      </c>
      <c r="E14" s="66">
        <v>10</v>
      </c>
      <c r="F14" s="66">
        <v>3.7773500000000002</v>
      </c>
      <c r="G14" s="66">
        <v>50</v>
      </c>
      <c r="H14" s="66">
        <v>64.585899999999995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0.34374399999999999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0.53750900000000001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7.6683199999999995E-4</v>
      </c>
      <c r="C20" s="66">
        <v>3.3340099999999998E-2</v>
      </c>
      <c r="D20" s="66">
        <v>43.477600000000002</v>
      </c>
      <c r="E20" s="66">
        <v>0</v>
      </c>
      <c r="F20" s="66">
        <v>0</v>
      </c>
      <c r="G20" s="66">
        <v>0</v>
      </c>
      <c r="H20" s="66">
        <v>0.32236100000000001</v>
      </c>
    </row>
    <row r="21" spans="1:8">
      <c r="A21" s="66" t="s">
        <v>373</v>
      </c>
      <c r="B21" s="66">
        <v>0.17239299999999999</v>
      </c>
      <c r="C21" s="66">
        <v>0.50427200000000005</v>
      </c>
      <c r="D21" s="66">
        <v>2.9251299999999998</v>
      </c>
      <c r="E21" s="66">
        <v>0</v>
      </c>
      <c r="F21" s="66">
        <v>1.5159099999999999E-4</v>
      </c>
      <c r="G21" s="66">
        <v>0</v>
      </c>
      <c r="H21" s="66">
        <v>3.23319</v>
      </c>
    </row>
    <row r="22" spans="1:8">
      <c r="A22" s="66" t="s">
        <v>374</v>
      </c>
      <c r="B22" s="66">
        <v>48.645800000000001</v>
      </c>
      <c r="C22" s="66">
        <v>13.432</v>
      </c>
      <c r="D22" s="66">
        <v>0.276119</v>
      </c>
      <c r="E22" s="66">
        <v>0</v>
      </c>
      <c r="F22" s="66">
        <v>27.710699999999999</v>
      </c>
      <c r="G22" s="66">
        <v>0</v>
      </c>
      <c r="H22" s="66">
        <v>101.56</v>
      </c>
    </row>
    <row r="23" spans="1:8">
      <c r="A23" s="66" t="s">
        <v>375</v>
      </c>
      <c r="B23" s="66">
        <v>23.038799999999998</v>
      </c>
      <c r="C23" s="66">
        <v>4.4819500000000003</v>
      </c>
      <c r="D23" s="66">
        <v>0.19453899999999999</v>
      </c>
      <c r="E23" s="66">
        <v>0</v>
      </c>
      <c r="F23" s="66">
        <v>17.751000000000001</v>
      </c>
      <c r="G23" s="66">
        <v>0</v>
      </c>
      <c r="H23" s="66">
        <v>32.295000000000002</v>
      </c>
    </row>
    <row r="24" spans="1:8">
      <c r="A24" s="66" t="s">
        <v>376</v>
      </c>
      <c r="B24" s="66">
        <v>3.1374699999999998E-3</v>
      </c>
      <c r="C24" s="66">
        <v>2.3860099999999999E-2</v>
      </c>
      <c r="D24" s="66">
        <v>7.60487</v>
      </c>
      <c r="E24" s="66">
        <v>0</v>
      </c>
      <c r="F24" s="196">
        <v>6.2259400000000002E-6</v>
      </c>
      <c r="G24" s="66">
        <v>0</v>
      </c>
      <c r="H24" s="66">
        <v>0.18376400000000001</v>
      </c>
    </row>
    <row r="25" spans="1:8">
      <c r="A25" s="66" t="s">
        <v>377</v>
      </c>
      <c r="B25" s="66">
        <v>0.226879</v>
      </c>
      <c r="C25" s="66">
        <v>0.37307800000000002</v>
      </c>
      <c r="D25" s="66">
        <v>1.64439</v>
      </c>
      <c r="E25" s="66">
        <v>0</v>
      </c>
      <c r="F25" s="66">
        <v>4.3998099999999998E-2</v>
      </c>
      <c r="G25" s="66">
        <v>0</v>
      </c>
      <c r="H25" s="66">
        <v>1.80979</v>
      </c>
    </row>
    <row r="26" spans="1:8">
      <c r="A26" s="66" t="s">
        <v>378</v>
      </c>
      <c r="B26" s="66">
        <v>2.6260500000000001E-4</v>
      </c>
      <c r="C26" s="66">
        <v>3.5164100000000002E-3</v>
      </c>
      <c r="D26" s="66">
        <v>13.390499999999999</v>
      </c>
      <c r="E26" s="66">
        <v>0</v>
      </c>
      <c r="F26" s="66">
        <v>0</v>
      </c>
      <c r="G26" s="66">
        <v>0</v>
      </c>
      <c r="H26" s="66">
        <v>3.01996E-2</v>
      </c>
    </row>
    <row r="27" spans="1:8">
      <c r="A27" s="66" t="s">
        <v>379</v>
      </c>
      <c r="B27" s="196">
        <v>-3.2825599999999999E-6</v>
      </c>
      <c r="C27" s="66">
        <v>1.1130300000000001E-3</v>
      </c>
      <c r="D27" s="66">
        <v>-339.07299999999998</v>
      </c>
      <c r="E27" s="66">
        <v>0</v>
      </c>
      <c r="F27" s="66">
        <v>-4.8746099999999997E-3</v>
      </c>
      <c r="G27" s="66">
        <v>0</v>
      </c>
      <c r="H27" s="66">
        <v>7.1231599999999999E-3</v>
      </c>
    </row>
    <row r="28" spans="1:8">
      <c r="A28" s="66" t="s">
        <v>380</v>
      </c>
      <c r="B28" s="66">
        <v>1.82959E-2</v>
      </c>
      <c r="C28" s="66">
        <v>3.6668199999999998E-2</v>
      </c>
      <c r="D28" s="66">
        <v>2.0041699999999998</v>
      </c>
      <c r="E28" s="66">
        <v>0</v>
      </c>
      <c r="F28" s="196">
        <v>7.1614599999999997E-5</v>
      </c>
      <c r="G28" s="66">
        <v>0</v>
      </c>
      <c r="H28" s="66">
        <v>0.20102200000000001</v>
      </c>
    </row>
    <row r="29" spans="1:8">
      <c r="A29" s="66" t="s">
        <v>381</v>
      </c>
      <c r="B29" s="66">
        <v>75.603399999999993</v>
      </c>
      <c r="C29" s="66">
        <v>10.4259</v>
      </c>
      <c r="D29" s="66">
        <v>0.137903</v>
      </c>
      <c r="E29" s="66">
        <v>0</v>
      </c>
      <c r="F29" s="66">
        <v>49.758299999999998</v>
      </c>
      <c r="G29" s="66">
        <v>0</v>
      </c>
      <c r="H29" s="66">
        <v>107.09</v>
      </c>
    </row>
    <row r="30" spans="1:8">
      <c r="A30" s="66" t="s">
        <v>382</v>
      </c>
      <c r="B30" s="66">
        <v>28.953099999999999</v>
      </c>
      <c r="C30" s="66">
        <v>4.5980800000000004</v>
      </c>
      <c r="D30" s="66">
        <v>0.15881200000000001</v>
      </c>
      <c r="E30" s="66">
        <v>0</v>
      </c>
      <c r="F30" s="66">
        <v>20.779699999999998</v>
      </c>
      <c r="G30" s="66">
        <v>0</v>
      </c>
      <c r="H30" s="66">
        <v>37.769199999999998</v>
      </c>
    </row>
    <row r="31" spans="1:8">
      <c r="A31" s="66" t="s">
        <v>383</v>
      </c>
      <c r="B31" s="66">
        <v>256.536</v>
      </c>
      <c r="C31" s="66">
        <v>36.436199999999999</v>
      </c>
      <c r="D31" s="66">
        <v>0.14203199999999999</v>
      </c>
      <c r="E31" s="66">
        <v>0</v>
      </c>
      <c r="F31" s="66">
        <v>159.22300000000001</v>
      </c>
      <c r="G31" s="66">
        <v>0</v>
      </c>
      <c r="H31" s="66">
        <v>309.51600000000002</v>
      </c>
    </row>
    <row r="32" spans="1:8">
      <c r="A32" s="66" t="s">
        <v>384</v>
      </c>
      <c r="B32" s="66">
        <v>0.19590299999999999</v>
      </c>
      <c r="C32" s="66">
        <v>5.1103500000000003E-2</v>
      </c>
      <c r="D32" s="66">
        <v>0.26086100000000001</v>
      </c>
      <c r="E32" s="66">
        <v>0.15</v>
      </c>
      <c r="F32" s="66">
        <v>7.8159400000000004E-2</v>
      </c>
      <c r="G32" s="66">
        <v>0.4</v>
      </c>
      <c r="H32" s="66">
        <v>0.32150800000000002</v>
      </c>
    </row>
    <row r="33" spans="1:8">
      <c r="A33" s="66" t="s">
        <v>385</v>
      </c>
      <c r="B33" s="66">
        <v>0.35550700000000002</v>
      </c>
      <c r="C33" s="66">
        <v>1.2359200000000001E-2</v>
      </c>
      <c r="D33" s="66">
        <v>3.4765200000000003E-2</v>
      </c>
      <c r="E33" s="66">
        <v>0</v>
      </c>
      <c r="F33" s="66">
        <v>0.31781900000000002</v>
      </c>
      <c r="G33" s="66">
        <v>0</v>
      </c>
      <c r="H33" s="66">
        <v>0.37732700000000002</v>
      </c>
    </row>
    <row r="34" spans="1:8">
      <c r="A34" s="66" t="s">
        <v>386</v>
      </c>
      <c r="B34" s="66">
        <v>0.28762500000000002</v>
      </c>
      <c r="C34" s="66">
        <v>4.5584800000000002E-2</v>
      </c>
      <c r="D34" s="66">
        <v>0.15848699999999999</v>
      </c>
      <c r="E34" s="66">
        <v>0.1</v>
      </c>
      <c r="F34" s="66">
        <v>0.216748</v>
      </c>
      <c r="G34" s="66">
        <v>0.25</v>
      </c>
      <c r="H34" s="66">
        <v>0.428477</v>
      </c>
    </row>
    <row r="35" spans="1:8">
      <c r="A35" s="66" t="s">
        <v>387</v>
      </c>
      <c r="B35" s="66">
        <v>0.107858</v>
      </c>
      <c r="C35" s="66">
        <v>3.7599500000000001E-2</v>
      </c>
      <c r="D35" s="66">
        <v>0.34860200000000002</v>
      </c>
      <c r="E35" s="66">
        <v>0</v>
      </c>
      <c r="F35" s="66">
        <v>6.00247E-2</v>
      </c>
      <c r="G35" s="66">
        <v>0</v>
      </c>
      <c r="H35" s="66">
        <v>0.21501999999999999</v>
      </c>
    </row>
    <row r="36" spans="1:8">
      <c r="A36" s="66" t="s">
        <v>388</v>
      </c>
      <c r="B36" s="66">
        <v>0.254888</v>
      </c>
      <c r="C36" s="66">
        <v>0.13620099999999999</v>
      </c>
      <c r="D36" s="66">
        <v>0.53435699999999997</v>
      </c>
      <c r="E36" s="66">
        <v>0</v>
      </c>
      <c r="F36" s="66">
        <v>5.8149300000000001E-2</v>
      </c>
      <c r="G36" s="66">
        <v>0</v>
      </c>
      <c r="H36" s="66">
        <v>0.69747099999999995</v>
      </c>
    </row>
    <row r="37" spans="1:8">
      <c r="A37" s="66" t="s">
        <v>389</v>
      </c>
      <c r="B37" s="66">
        <v>0.45584799999999998</v>
      </c>
      <c r="C37" s="66">
        <v>0.174544</v>
      </c>
      <c r="D37" s="66">
        <v>0.38290000000000002</v>
      </c>
      <c r="E37" s="66">
        <v>0.1</v>
      </c>
      <c r="F37" s="66">
        <v>3.7773500000000002E-2</v>
      </c>
      <c r="G37" s="66">
        <v>0.5</v>
      </c>
      <c r="H37" s="66">
        <v>0.64585899999999996</v>
      </c>
    </row>
    <row r="38" spans="1:8">
      <c r="A38" s="66" t="s">
        <v>390</v>
      </c>
      <c r="B38" s="66">
        <v>-17.033300000000001</v>
      </c>
      <c r="C38" s="66">
        <v>33.356900000000003</v>
      </c>
      <c r="D38" s="66">
        <v>-1.95834</v>
      </c>
      <c r="E38" s="66">
        <v>0</v>
      </c>
      <c r="F38" s="66">
        <v>-103.989</v>
      </c>
      <c r="G38" s="66">
        <v>0</v>
      </c>
      <c r="H38" s="66">
        <v>76.528199999999998</v>
      </c>
    </row>
    <row r="39" spans="1:8">
      <c r="A39" s="66" t="s">
        <v>391</v>
      </c>
      <c r="B39" s="66">
        <v>-5.8099100000000004</v>
      </c>
      <c r="C39" s="66">
        <v>5.5594900000000003</v>
      </c>
      <c r="D39" s="66">
        <v>-0.956897</v>
      </c>
      <c r="E39" s="66">
        <v>0</v>
      </c>
      <c r="F39" s="66">
        <v>-14.0604</v>
      </c>
      <c r="G39" s="66">
        <v>0</v>
      </c>
      <c r="H39" s="66">
        <v>16.570599999999999</v>
      </c>
    </row>
    <row r="40" spans="1:8">
      <c r="A40" s="66" t="s">
        <v>392</v>
      </c>
      <c r="B40" s="66">
        <v>-1.4886200000000001</v>
      </c>
      <c r="C40" s="66">
        <v>0.89013200000000003</v>
      </c>
      <c r="D40" s="66">
        <v>-0.59795799999999999</v>
      </c>
      <c r="E40" s="66">
        <v>0</v>
      </c>
      <c r="F40" s="66">
        <v>-2.3892600000000002</v>
      </c>
      <c r="G40" s="66">
        <v>0</v>
      </c>
      <c r="H40" s="66">
        <v>0.59493300000000005</v>
      </c>
    </row>
    <row r="41" spans="1:8">
      <c r="A41" s="66" t="s">
        <v>393</v>
      </c>
      <c r="B41" s="66">
        <v>-0.12798999999999999</v>
      </c>
      <c r="C41" s="66">
        <v>0.28686600000000001</v>
      </c>
      <c r="D41" s="66">
        <v>-2.2413099999999999</v>
      </c>
      <c r="E41" s="66">
        <v>0</v>
      </c>
      <c r="F41" s="66">
        <v>-0.84375</v>
      </c>
      <c r="G41" s="66">
        <v>0</v>
      </c>
      <c r="H41" s="66">
        <v>1</v>
      </c>
    </row>
    <row r="42" spans="1:8">
      <c r="A42" s="66" t="s">
        <v>394</v>
      </c>
      <c r="B42" s="66">
        <v>-8.8370299999999999E-2</v>
      </c>
      <c r="C42" s="66">
        <v>0.111261</v>
      </c>
      <c r="D42" s="66">
        <v>-1.2590300000000001</v>
      </c>
      <c r="E42" s="66">
        <v>0</v>
      </c>
      <c r="F42" s="66">
        <v>-0.244973</v>
      </c>
      <c r="G42" s="66">
        <v>0</v>
      </c>
      <c r="H42" s="66">
        <v>0.25812600000000002</v>
      </c>
    </row>
    <row r="43" spans="1:8">
      <c r="A43" s="66" t="s">
        <v>395</v>
      </c>
      <c r="B43" s="66">
        <v>5.1178000000000001E-2</v>
      </c>
      <c r="C43" s="66">
        <v>3.1409800000000002E-2</v>
      </c>
      <c r="D43" s="66">
        <v>0.61373699999999998</v>
      </c>
      <c r="E43" s="66">
        <v>0</v>
      </c>
      <c r="F43" s="66">
        <v>8.6591099999999994E-3</v>
      </c>
      <c r="G43" s="66">
        <v>0</v>
      </c>
      <c r="H43" s="66">
        <v>0.13295899999999999</v>
      </c>
    </row>
    <row r="44" spans="1:8">
      <c r="A44" s="66" t="s">
        <v>396</v>
      </c>
      <c r="B44" s="66">
        <v>-4.5876700000000001</v>
      </c>
      <c r="C44" s="66">
        <v>9.1349099999999996</v>
      </c>
      <c r="D44" s="66">
        <v>-1.99119</v>
      </c>
      <c r="E44" s="66">
        <v>0</v>
      </c>
      <c r="F44" s="66">
        <v>-31.856100000000001</v>
      </c>
      <c r="G44" s="66">
        <v>0</v>
      </c>
      <c r="H44" s="66">
        <v>8.1505399999999995</v>
      </c>
    </row>
    <row r="45" spans="1:8">
      <c r="A45" s="66" t="s">
        <v>397</v>
      </c>
      <c r="B45" s="66">
        <v>50.846499999999999</v>
      </c>
      <c r="C45" s="66">
        <v>8.3346099999999996</v>
      </c>
      <c r="D45" s="66">
        <v>0.16391700000000001</v>
      </c>
      <c r="E45" s="66">
        <v>0</v>
      </c>
      <c r="F45" s="66">
        <v>33.2654</v>
      </c>
      <c r="G45" s="66">
        <v>0</v>
      </c>
      <c r="H45" s="66">
        <v>73.760400000000004</v>
      </c>
    </row>
    <row r="46" spans="1:8">
      <c r="A46" s="66" t="s">
        <v>398</v>
      </c>
      <c r="B46" s="66">
        <v>34.2746</v>
      </c>
      <c r="C46" s="66">
        <v>7.68309</v>
      </c>
      <c r="D46" s="66">
        <v>0.224163</v>
      </c>
      <c r="E46" s="66">
        <v>0</v>
      </c>
      <c r="F46" s="66">
        <v>10.9611</v>
      </c>
      <c r="G46" s="66">
        <v>0</v>
      </c>
      <c r="H46" s="66">
        <v>37.506500000000003</v>
      </c>
    </row>
    <row r="47" spans="1:8">
      <c r="A47" s="66" t="s">
        <v>399</v>
      </c>
      <c r="B47" s="66">
        <v>1.38327</v>
      </c>
      <c r="C47" s="66">
        <v>0.80161000000000004</v>
      </c>
      <c r="D47" s="66">
        <v>0.57950500000000005</v>
      </c>
      <c r="E47" s="66">
        <v>0</v>
      </c>
      <c r="F47" s="66">
        <v>0.27579999999999999</v>
      </c>
      <c r="G47" s="66">
        <v>0</v>
      </c>
      <c r="H47" s="66">
        <v>4.7077400000000003</v>
      </c>
    </row>
    <row r="48" spans="1:8">
      <c r="A48" s="66" t="s">
        <v>400</v>
      </c>
      <c r="B48" s="66">
        <v>1.1530899999999999</v>
      </c>
      <c r="C48" s="66">
        <v>0.274646</v>
      </c>
      <c r="D48" s="66">
        <v>0.238182</v>
      </c>
      <c r="E48" s="66">
        <v>0</v>
      </c>
      <c r="F48" s="66">
        <v>0.82896800000000004</v>
      </c>
      <c r="G48" s="66">
        <v>0</v>
      </c>
      <c r="H48" s="66">
        <v>1.83056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401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47.3887</v>
      </c>
      <c r="C5" s="66">
        <v>2.5290699999999999</v>
      </c>
      <c r="D5" s="66">
        <v>5.3368599999999997</v>
      </c>
      <c r="E5" s="66">
        <v>20</v>
      </c>
      <c r="F5" s="66">
        <v>40.085599999999999</v>
      </c>
      <c r="G5" s="66">
        <v>50</v>
      </c>
      <c r="H5" s="66">
        <v>53.265900000000002</v>
      </c>
    </row>
    <row r="6" spans="1:8">
      <c r="A6" s="66" t="s">
        <v>358</v>
      </c>
      <c r="B6" s="66">
        <v>30.555499999999999</v>
      </c>
      <c r="C6" s="66">
        <v>3.93438</v>
      </c>
      <c r="D6" s="66">
        <v>12.876200000000001</v>
      </c>
      <c r="E6" s="66">
        <v>20</v>
      </c>
      <c r="F6" s="66">
        <v>24.2666</v>
      </c>
      <c r="G6" s="66">
        <v>40</v>
      </c>
      <c r="H6" s="66">
        <v>40.742400000000004</v>
      </c>
    </row>
    <row r="7" spans="1:8">
      <c r="A7" s="66" t="s">
        <v>359</v>
      </c>
      <c r="B7" s="66">
        <v>20.9602</v>
      </c>
      <c r="C7" s="66">
        <v>9.3117800000000006</v>
      </c>
      <c r="D7" s="66">
        <v>44.425899999999999</v>
      </c>
      <c r="E7" s="66">
        <v>15</v>
      </c>
      <c r="F7" s="66">
        <v>5.1019500000000004</v>
      </c>
      <c r="G7" s="66">
        <v>40</v>
      </c>
      <c r="H7" s="66">
        <v>35.036499999999997</v>
      </c>
    </row>
    <row r="8" spans="1:8">
      <c r="A8" s="66" t="s">
        <v>360</v>
      </c>
      <c r="B8" s="66">
        <v>33.160600000000002</v>
      </c>
      <c r="C8" s="66">
        <v>3.7607300000000001</v>
      </c>
      <c r="D8" s="66">
        <v>11.340999999999999</v>
      </c>
      <c r="E8" s="66">
        <v>20</v>
      </c>
      <c r="F8" s="66">
        <v>26.1463</v>
      </c>
      <c r="G8" s="66">
        <v>50</v>
      </c>
      <c r="H8" s="66">
        <v>40.050899999999999</v>
      </c>
    </row>
    <row r="9" spans="1:8">
      <c r="A9" s="66" t="s">
        <v>361</v>
      </c>
      <c r="B9" s="66">
        <v>69.703900000000004</v>
      </c>
      <c r="C9" s="66">
        <v>3.6772300000000002</v>
      </c>
      <c r="D9" s="66">
        <v>5.2755000000000001</v>
      </c>
      <c r="E9" s="66">
        <v>50</v>
      </c>
      <c r="F9" s="66">
        <v>62.872500000000002</v>
      </c>
      <c r="G9" s="66">
        <v>100</v>
      </c>
      <c r="H9" s="66">
        <v>76.553299999999993</v>
      </c>
    </row>
    <row r="10" spans="1:8">
      <c r="A10" s="66" t="s">
        <v>362</v>
      </c>
      <c r="B10" s="66">
        <v>77.714500000000001</v>
      </c>
      <c r="C10" s="66">
        <v>1.6762999999999999</v>
      </c>
      <c r="D10" s="66">
        <v>2.157</v>
      </c>
      <c r="E10" s="66">
        <v>40</v>
      </c>
      <c r="F10" s="66">
        <v>74.161299999999997</v>
      </c>
      <c r="G10" s="66">
        <v>100</v>
      </c>
      <c r="H10" s="66">
        <v>80.100099999999998</v>
      </c>
    </row>
    <row r="11" spans="1:8">
      <c r="A11" s="66" t="s">
        <v>363</v>
      </c>
      <c r="B11" s="66">
        <v>22.195499999999999</v>
      </c>
      <c r="C11" s="66">
        <v>1.6673899999999999</v>
      </c>
      <c r="D11" s="66">
        <v>7.5122900000000001</v>
      </c>
      <c r="E11" s="66">
        <v>10</v>
      </c>
      <c r="F11" s="66">
        <v>18.6693</v>
      </c>
      <c r="G11" s="66">
        <v>50</v>
      </c>
      <c r="H11" s="66">
        <v>25.5305</v>
      </c>
    </row>
    <row r="12" spans="1:8">
      <c r="A12" s="66" t="s">
        <v>364</v>
      </c>
      <c r="B12" s="66">
        <v>73.669499999999999</v>
      </c>
      <c r="C12" s="66">
        <v>1.68022</v>
      </c>
      <c r="D12" s="66">
        <v>2.2807499999999998</v>
      </c>
      <c r="E12" s="66">
        <v>50</v>
      </c>
      <c r="F12" s="66">
        <v>69.948599999999999</v>
      </c>
      <c r="G12" s="66">
        <v>100</v>
      </c>
      <c r="H12" s="66">
        <v>76.989199999999997</v>
      </c>
    </row>
    <row r="13" spans="1:8">
      <c r="A13" s="66" t="s">
        <v>365</v>
      </c>
      <c r="B13" s="66">
        <v>26.901</v>
      </c>
      <c r="C13" s="66">
        <v>6.8360900000000004</v>
      </c>
      <c r="D13" s="66">
        <v>25.411999999999999</v>
      </c>
      <c r="E13" s="66">
        <v>10</v>
      </c>
      <c r="F13" s="66">
        <v>20.4697</v>
      </c>
      <c r="G13" s="66">
        <v>25</v>
      </c>
      <c r="H13" s="66">
        <v>55.889699999999998</v>
      </c>
    </row>
    <row r="14" spans="1:8">
      <c r="A14" s="66" t="s">
        <v>366</v>
      </c>
      <c r="B14" s="66">
        <v>68.360900000000001</v>
      </c>
      <c r="C14" s="66">
        <v>22.877600000000001</v>
      </c>
      <c r="D14" s="66">
        <v>33.465899999999998</v>
      </c>
      <c r="E14" s="66">
        <v>10</v>
      </c>
      <c r="F14" s="66">
        <v>4.7747299999999999</v>
      </c>
      <c r="G14" s="66">
        <v>50</v>
      </c>
      <c r="H14" s="66">
        <v>90.355400000000003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0.393849</v>
      </c>
      <c r="C18" s="66">
        <v>2.4440900000000002E-2</v>
      </c>
      <c r="D18" s="66">
        <v>6.2056500000000001E-2</v>
      </c>
      <c r="E18" s="66">
        <v>0</v>
      </c>
      <c r="F18" s="66">
        <v>0.36940800000000001</v>
      </c>
      <c r="G18" s="66">
        <v>0</v>
      </c>
      <c r="H18" s="66">
        <v>0.41829</v>
      </c>
    </row>
    <row r="19" spans="1:8">
      <c r="A19" s="66" t="s">
        <v>371</v>
      </c>
      <c r="B19" s="66">
        <v>0.49602600000000002</v>
      </c>
      <c r="C19" s="66">
        <v>2.3582200000000001E-2</v>
      </c>
      <c r="D19" s="66">
        <v>4.7542399999999999E-2</v>
      </c>
      <c r="E19" s="66">
        <v>0</v>
      </c>
      <c r="F19" s="66">
        <v>0.472443</v>
      </c>
      <c r="G19" s="66">
        <v>0</v>
      </c>
      <c r="H19" s="66">
        <v>0.51960799999999996</v>
      </c>
    </row>
    <row r="20" spans="1:8">
      <c r="A20" s="66" t="s">
        <v>372</v>
      </c>
      <c r="B20" s="66">
        <v>3.2118300000000002E-3</v>
      </c>
      <c r="C20" s="66">
        <v>6.7845600000000006E-2</v>
      </c>
      <c r="D20" s="66">
        <v>21.123699999999999</v>
      </c>
      <c r="E20" s="66">
        <v>0</v>
      </c>
      <c r="F20" s="66">
        <v>0</v>
      </c>
      <c r="G20" s="66">
        <v>0</v>
      </c>
      <c r="H20" s="66">
        <v>0.55118</v>
      </c>
    </row>
    <row r="21" spans="1:8">
      <c r="A21" s="66" t="s">
        <v>373</v>
      </c>
      <c r="B21" s="66">
        <v>0.182113</v>
      </c>
      <c r="C21" s="66">
        <v>0.92013699999999998</v>
      </c>
      <c r="D21" s="66">
        <v>5.0525700000000002</v>
      </c>
      <c r="E21" s="66">
        <v>0</v>
      </c>
      <c r="F21" s="66">
        <v>1.7622800000000001E-4</v>
      </c>
      <c r="G21" s="66">
        <v>0</v>
      </c>
      <c r="H21" s="66">
        <v>5.1655199999999999</v>
      </c>
    </row>
    <row r="22" spans="1:8">
      <c r="A22" s="66" t="s">
        <v>374</v>
      </c>
      <c r="B22" s="66">
        <v>65.609099999999998</v>
      </c>
      <c r="C22" s="66">
        <v>30.291799999999999</v>
      </c>
      <c r="D22" s="66">
        <v>0.4617</v>
      </c>
      <c r="E22" s="66">
        <v>0</v>
      </c>
      <c r="F22" s="66">
        <v>27.450700000000001</v>
      </c>
      <c r="G22" s="66">
        <v>0</v>
      </c>
      <c r="H22" s="66">
        <v>187.548</v>
      </c>
    </row>
    <row r="23" spans="1:8">
      <c r="A23" s="66" t="s">
        <v>375</v>
      </c>
      <c r="B23" s="66">
        <v>19.325900000000001</v>
      </c>
      <c r="C23" s="66">
        <v>3.5924499999999999</v>
      </c>
      <c r="D23" s="66">
        <v>0.185888</v>
      </c>
      <c r="E23" s="66">
        <v>0</v>
      </c>
      <c r="F23" s="66">
        <v>15.447900000000001</v>
      </c>
      <c r="G23" s="66">
        <v>0</v>
      </c>
      <c r="H23" s="66">
        <v>29.826699999999999</v>
      </c>
    </row>
    <row r="24" spans="1:8">
      <c r="A24" s="66" t="s">
        <v>376</v>
      </c>
      <c r="B24" s="66">
        <v>1.60977E-2</v>
      </c>
      <c r="C24" s="66">
        <v>5.6859800000000002E-2</v>
      </c>
      <c r="D24" s="66">
        <v>3.5321600000000002</v>
      </c>
      <c r="E24" s="66">
        <v>0</v>
      </c>
      <c r="F24" s="196">
        <v>4.5902900000000001E-6</v>
      </c>
      <c r="G24" s="66">
        <v>0</v>
      </c>
      <c r="H24" s="66">
        <v>0.45116699999999998</v>
      </c>
    </row>
    <row r="25" spans="1:8">
      <c r="A25" s="66" t="s">
        <v>377</v>
      </c>
      <c r="B25" s="66">
        <v>0.150367</v>
      </c>
      <c r="C25" s="66">
        <v>0.65281900000000004</v>
      </c>
      <c r="D25" s="66">
        <v>4.34152</v>
      </c>
      <c r="E25" s="66">
        <v>0</v>
      </c>
      <c r="F25" s="66">
        <v>2.5249899999999999E-2</v>
      </c>
      <c r="G25" s="66">
        <v>0</v>
      </c>
      <c r="H25" s="66">
        <v>2.3268599999999999</v>
      </c>
    </row>
    <row r="26" spans="1:8">
      <c r="A26" s="66" t="s">
        <v>378</v>
      </c>
      <c r="B26" s="66">
        <v>7.0575100000000001E-4</v>
      </c>
      <c r="C26" s="66">
        <v>7.5838900000000002E-3</v>
      </c>
      <c r="D26" s="66">
        <v>10.745799999999999</v>
      </c>
      <c r="E26" s="66">
        <v>0</v>
      </c>
      <c r="F26" s="66">
        <v>0</v>
      </c>
      <c r="G26" s="66">
        <v>0</v>
      </c>
      <c r="H26" s="66">
        <v>5.8180099999999998E-2</v>
      </c>
    </row>
    <row r="27" spans="1:8">
      <c r="A27" s="66" t="s">
        <v>379</v>
      </c>
      <c r="B27" s="196">
        <v>-6.5651299999999996E-6</v>
      </c>
      <c r="C27" s="66">
        <v>1.7832E-3</v>
      </c>
      <c r="D27" s="66">
        <v>-271.61700000000002</v>
      </c>
      <c r="E27" s="66">
        <v>0</v>
      </c>
      <c r="F27" s="66">
        <v>-8.55764E-3</v>
      </c>
      <c r="G27" s="66">
        <v>0</v>
      </c>
      <c r="H27" s="66">
        <v>1.0038099999999999E-2</v>
      </c>
    </row>
    <row r="28" spans="1:8">
      <c r="A28" s="66" t="s">
        <v>380</v>
      </c>
      <c r="B28" s="66">
        <v>1.37272E-2</v>
      </c>
      <c r="C28" s="66">
        <v>5.8544699999999998E-2</v>
      </c>
      <c r="D28" s="66">
        <v>4.2648599999999997</v>
      </c>
      <c r="E28" s="66">
        <v>0</v>
      </c>
      <c r="F28" s="196">
        <v>5.5338499999999999E-5</v>
      </c>
      <c r="G28" s="66">
        <v>0</v>
      </c>
      <c r="H28" s="66">
        <v>0.277891</v>
      </c>
    </row>
    <row r="29" spans="1:8">
      <c r="A29" s="66" t="s">
        <v>381</v>
      </c>
      <c r="B29" s="66">
        <v>77.938500000000005</v>
      </c>
      <c r="C29" s="66">
        <v>14.909700000000001</v>
      </c>
      <c r="D29" s="66">
        <v>0.191301</v>
      </c>
      <c r="E29" s="66">
        <v>0</v>
      </c>
      <c r="F29" s="66">
        <v>42.176299999999998</v>
      </c>
      <c r="G29" s="66">
        <v>0</v>
      </c>
      <c r="H29" s="66">
        <v>110.381</v>
      </c>
    </row>
    <row r="30" spans="1:8">
      <c r="A30" s="66" t="s">
        <v>382</v>
      </c>
      <c r="B30" s="66">
        <v>23.831900000000001</v>
      </c>
      <c r="C30" s="66">
        <v>3.0019100000000001</v>
      </c>
      <c r="D30" s="66">
        <v>0.12596199999999999</v>
      </c>
      <c r="E30" s="66">
        <v>0</v>
      </c>
      <c r="F30" s="66">
        <v>17.457000000000001</v>
      </c>
      <c r="G30" s="66">
        <v>0</v>
      </c>
      <c r="H30" s="66">
        <v>32.065600000000003</v>
      </c>
    </row>
    <row r="31" spans="1:8">
      <c r="A31" s="66" t="s">
        <v>383</v>
      </c>
      <c r="B31" s="66">
        <v>332.72500000000002</v>
      </c>
      <c r="C31" s="66">
        <v>61.378700000000002</v>
      </c>
      <c r="D31" s="66">
        <v>0.184473</v>
      </c>
      <c r="E31" s="66">
        <v>0</v>
      </c>
      <c r="F31" s="66">
        <v>237.625</v>
      </c>
      <c r="G31" s="66">
        <v>0</v>
      </c>
      <c r="H31" s="66">
        <v>456.97699999999998</v>
      </c>
    </row>
    <row r="32" spans="1:8">
      <c r="A32" s="66" t="s">
        <v>384</v>
      </c>
      <c r="B32" s="66">
        <v>0.20960200000000001</v>
      </c>
      <c r="C32" s="66">
        <v>9.3117800000000001E-2</v>
      </c>
      <c r="D32" s="66">
        <v>0.44425900000000001</v>
      </c>
      <c r="E32" s="66">
        <v>0.15</v>
      </c>
      <c r="F32" s="66">
        <v>5.1019500000000002E-2</v>
      </c>
      <c r="G32" s="66">
        <v>0.4</v>
      </c>
      <c r="H32" s="66">
        <v>0.35036499999999998</v>
      </c>
    </row>
    <row r="33" spans="1:8">
      <c r="A33" s="66" t="s">
        <v>385</v>
      </c>
      <c r="B33" s="66">
        <v>0.294819</v>
      </c>
      <c r="C33" s="66">
        <v>2.9950999999999998E-2</v>
      </c>
      <c r="D33" s="66">
        <v>0.101591</v>
      </c>
      <c r="E33" s="66">
        <v>0</v>
      </c>
      <c r="F33" s="66">
        <v>0.227461</v>
      </c>
      <c r="G33" s="66">
        <v>0</v>
      </c>
      <c r="H33" s="66">
        <v>0.41423199999999999</v>
      </c>
    </row>
    <row r="34" spans="1:8">
      <c r="A34" s="66" t="s">
        <v>386</v>
      </c>
      <c r="B34" s="66">
        <v>0.26901000000000003</v>
      </c>
      <c r="C34" s="66">
        <v>6.8360900000000002E-2</v>
      </c>
      <c r="D34" s="66">
        <v>0.25412000000000001</v>
      </c>
      <c r="E34" s="66">
        <v>0.1</v>
      </c>
      <c r="F34" s="66">
        <v>0.20469699999999999</v>
      </c>
      <c r="G34" s="66">
        <v>0.25</v>
      </c>
      <c r="H34" s="66">
        <v>0.55889699999999998</v>
      </c>
    </row>
    <row r="35" spans="1:8">
      <c r="A35" s="66" t="s">
        <v>387</v>
      </c>
      <c r="B35" s="66">
        <v>0.12609500000000001</v>
      </c>
      <c r="C35" s="66">
        <v>5.2931100000000002E-2</v>
      </c>
      <c r="D35" s="66">
        <v>0.41977100000000001</v>
      </c>
      <c r="E35" s="66">
        <v>0</v>
      </c>
      <c r="F35" s="66">
        <v>3.9229199999999999E-2</v>
      </c>
      <c r="G35" s="66">
        <v>0</v>
      </c>
      <c r="H35" s="66">
        <v>0.304091</v>
      </c>
    </row>
    <row r="36" spans="1:8">
      <c r="A36" s="66" t="s">
        <v>388</v>
      </c>
      <c r="B36" s="66">
        <v>0.23200100000000001</v>
      </c>
      <c r="C36" s="66">
        <v>0.16039600000000001</v>
      </c>
      <c r="D36" s="66">
        <v>0.69135899999999995</v>
      </c>
      <c r="E36" s="66">
        <v>0</v>
      </c>
      <c r="F36" s="66">
        <v>3.3106099999999999E-2</v>
      </c>
      <c r="G36" s="66">
        <v>0</v>
      </c>
      <c r="H36" s="66">
        <v>0.89978199999999997</v>
      </c>
    </row>
    <row r="37" spans="1:8">
      <c r="A37" s="66" t="s">
        <v>389</v>
      </c>
      <c r="B37" s="66">
        <v>0.68360900000000002</v>
      </c>
      <c r="C37" s="66">
        <v>0.22877600000000001</v>
      </c>
      <c r="D37" s="66">
        <v>0.33465899999999998</v>
      </c>
      <c r="E37" s="66">
        <v>0.1</v>
      </c>
      <c r="F37" s="66">
        <v>4.7747299999999999E-2</v>
      </c>
      <c r="G37" s="66">
        <v>0.5</v>
      </c>
      <c r="H37" s="66">
        <v>0.90355399999999997</v>
      </c>
    </row>
    <row r="38" spans="1:8">
      <c r="A38" s="66" t="s">
        <v>390</v>
      </c>
      <c r="B38" s="66">
        <v>-14.182700000000001</v>
      </c>
      <c r="C38" s="66">
        <v>61.164499999999997</v>
      </c>
      <c r="D38" s="66">
        <v>-4.3126100000000003</v>
      </c>
      <c r="E38" s="66">
        <v>0</v>
      </c>
      <c r="F38" s="66">
        <v>-151.672</v>
      </c>
      <c r="G38" s="66">
        <v>0</v>
      </c>
      <c r="H38" s="66">
        <v>371.80500000000001</v>
      </c>
    </row>
    <row r="39" spans="1:8">
      <c r="A39" s="66" t="s">
        <v>391</v>
      </c>
      <c r="B39" s="66">
        <v>-5.5151700000000003</v>
      </c>
      <c r="C39" s="66">
        <v>7.5485899999999999</v>
      </c>
      <c r="D39" s="66">
        <v>-1.3687</v>
      </c>
      <c r="E39" s="66">
        <v>0</v>
      </c>
      <c r="F39" s="66">
        <v>-17.523199999999999</v>
      </c>
      <c r="G39" s="66">
        <v>0</v>
      </c>
      <c r="H39" s="66">
        <v>25.042899999999999</v>
      </c>
    </row>
    <row r="40" spans="1:8">
      <c r="A40" s="66" t="s">
        <v>392</v>
      </c>
      <c r="B40" s="66">
        <v>0.74337399999999998</v>
      </c>
      <c r="C40" s="66">
        <v>0.83767199999999997</v>
      </c>
      <c r="D40" s="66">
        <v>1.1268499999999999</v>
      </c>
      <c r="E40" s="66">
        <v>0</v>
      </c>
      <c r="F40" s="66">
        <v>-1.4949600000000001</v>
      </c>
      <c r="G40" s="66">
        <v>0</v>
      </c>
      <c r="H40" s="66">
        <v>1.91188</v>
      </c>
    </row>
    <row r="41" spans="1:8">
      <c r="A41" s="66" t="s">
        <v>393</v>
      </c>
      <c r="B41" s="66">
        <v>-5.0258799999999999E-2</v>
      </c>
      <c r="C41" s="66">
        <v>0.35995700000000003</v>
      </c>
      <c r="D41" s="66">
        <v>-7.1620699999999999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-6.5321599999999994E-2</v>
      </c>
      <c r="C42" s="66">
        <v>0.13161500000000001</v>
      </c>
      <c r="D42" s="66">
        <v>-2.0148700000000002</v>
      </c>
      <c r="E42" s="66">
        <v>0</v>
      </c>
      <c r="F42" s="66">
        <v>-0.311859</v>
      </c>
      <c r="G42" s="66">
        <v>0</v>
      </c>
      <c r="H42" s="66">
        <v>0.21162400000000001</v>
      </c>
    </row>
    <row r="43" spans="1:8">
      <c r="A43" s="66" t="s">
        <v>395</v>
      </c>
      <c r="B43" s="66">
        <v>0.12625800000000001</v>
      </c>
      <c r="C43" s="66">
        <v>2.3445199999999999E-2</v>
      </c>
      <c r="D43" s="66">
        <v>0.185693</v>
      </c>
      <c r="E43" s="66">
        <v>0</v>
      </c>
      <c r="F43" s="66">
        <v>3.4910700000000003E-2</v>
      </c>
      <c r="G43" s="66">
        <v>0</v>
      </c>
      <c r="H43" s="66">
        <v>0.14743200000000001</v>
      </c>
    </row>
    <row r="44" spans="1:8">
      <c r="A44" s="66" t="s">
        <v>396</v>
      </c>
      <c r="B44" s="66">
        <v>-36.017899999999997</v>
      </c>
      <c r="C44" s="66">
        <v>20.802099999999999</v>
      </c>
      <c r="D44" s="66">
        <v>-0.57755000000000001</v>
      </c>
      <c r="E44" s="66">
        <v>0</v>
      </c>
      <c r="F44" s="66">
        <v>-81.065299999999993</v>
      </c>
      <c r="G44" s="66">
        <v>0</v>
      </c>
      <c r="H44" s="66">
        <v>-6.7815399999999997</v>
      </c>
    </row>
    <row r="45" spans="1:8">
      <c r="A45" s="66" t="s">
        <v>397</v>
      </c>
      <c r="B45" s="66">
        <v>48.998600000000003</v>
      </c>
      <c r="C45" s="66">
        <v>10.770099999999999</v>
      </c>
      <c r="D45" s="66">
        <v>0.219804</v>
      </c>
      <c r="E45" s="66">
        <v>0</v>
      </c>
      <c r="F45" s="66">
        <v>31.3202</v>
      </c>
      <c r="G45" s="66">
        <v>0</v>
      </c>
      <c r="H45" s="66">
        <v>78.690600000000003</v>
      </c>
    </row>
    <row r="46" spans="1:8">
      <c r="A46" s="66" t="s">
        <v>398</v>
      </c>
      <c r="B46" s="66">
        <v>33.265500000000003</v>
      </c>
      <c r="C46" s="66">
        <v>1.7207300000000001</v>
      </c>
      <c r="D46" s="66">
        <v>5.1727200000000001E-2</v>
      </c>
      <c r="E46" s="66">
        <v>0</v>
      </c>
      <c r="F46" s="66">
        <v>30.881900000000002</v>
      </c>
      <c r="G46" s="66">
        <v>0</v>
      </c>
      <c r="H46" s="66">
        <v>36.953499999999998</v>
      </c>
    </row>
    <row r="47" spans="1:8">
      <c r="A47" s="66" t="s">
        <v>399</v>
      </c>
      <c r="B47" s="66">
        <v>0.78898000000000001</v>
      </c>
      <c r="C47" s="66">
        <v>1.42947</v>
      </c>
      <c r="D47" s="66">
        <v>1.8118000000000001</v>
      </c>
      <c r="E47" s="66">
        <v>0</v>
      </c>
      <c r="F47" s="66">
        <v>0.21101400000000001</v>
      </c>
      <c r="G47" s="66">
        <v>0</v>
      </c>
      <c r="H47" s="66">
        <v>6.4753299999999996</v>
      </c>
    </row>
    <row r="48" spans="1:8">
      <c r="A48" s="66" t="s">
        <v>400</v>
      </c>
      <c r="B48" s="66">
        <v>0.65826499999999999</v>
      </c>
      <c r="C48" s="66">
        <v>0.103967</v>
      </c>
      <c r="D48" s="66">
        <v>0.157941</v>
      </c>
      <c r="E48" s="66">
        <v>0</v>
      </c>
      <c r="F48" s="66">
        <v>0.54749999999999999</v>
      </c>
      <c r="G48" s="66">
        <v>0</v>
      </c>
      <c r="H48" s="66">
        <v>0.93141799999999997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402</v>
      </c>
      <c r="B1" s="60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99.733925876274697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1.9245597009329507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0.70894945654764274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228</v>
      </c>
      <c r="B8" s="66">
        <v>228</v>
      </c>
      <c r="D8">
        <f t="shared" si="0"/>
        <v>1.1118046344698448E-3</v>
      </c>
      <c r="E8">
        <f t="shared" si="0"/>
        <v>1.1118046344698448E-3</v>
      </c>
      <c r="G8">
        <f t="shared" ca="1" si="1"/>
        <v>6</v>
      </c>
      <c r="H8">
        <f t="shared" ca="1" si="2"/>
        <v>6.6708278068190689E-3</v>
      </c>
      <c r="I8">
        <f t="shared" ca="1" si="3"/>
        <v>9.7683698414254643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1179</v>
      </c>
      <c r="B10" s="66">
        <v>1179</v>
      </c>
      <c r="D10">
        <f t="shared" si="0"/>
        <v>5.74920028087696E-3</v>
      </c>
      <c r="E10">
        <f t="shared" si="0"/>
        <v>5.74920028087696E-3</v>
      </c>
      <c r="G10">
        <f t="shared" ca="1" si="1"/>
        <v>8</v>
      </c>
      <c r="H10">
        <f t="shared" ca="1" si="2"/>
        <v>4.599360224701568E-2</v>
      </c>
      <c r="I10">
        <f t="shared" ca="1" si="3"/>
        <v>48.380170923960762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1893</v>
      </c>
      <c r="B13" s="66">
        <v>1893</v>
      </c>
      <c r="D13">
        <f t="shared" si="0"/>
        <v>9.230904267769369E-3</v>
      </c>
      <c r="E13">
        <f t="shared" si="0"/>
        <v>9.230904267769369E-3</v>
      </c>
      <c r="G13">
        <f t="shared" ca="1" si="1"/>
        <v>11</v>
      </c>
      <c r="H13">
        <f t="shared" ca="1" si="2"/>
        <v>0.10153994694546306</v>
      </c>
      <c r="I13">
        <f t="shared" ca="1" si="3"/>
        <v>72.681459562889572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1946</v>
      </c>
      <c r="B15" s="66">
        <v>1946</v>
      </c>
      <c r="D15">
        <f t="shared" si="0"/>
        <v>9.4893500819224468E-3</v>
      </c>
      <c r="E15">
        <f t="shared" si="0"/>
        <v>9.4893500819224468E-3</v>
      </c>
      <c r="G15">
        <f t="shared" ca="1" si="1"/>
        <v>13</v>
      </c>
      <c r="H15">
        <f t="shared" ca="1" si="2"/>
        <v>0.1233615510649918</v>
      </c>
      <c r="I15">
        <f t="shared" ca="1" si="3"/>
        <v>71.386235104426873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3482</v>
      </c>
      <c r="B18" s="66">
        <v>3482</v>
      </c>
      <c r="D18">
        <f t="shared" si="0"/>
        <v>1.697940235624561E-2</v>
      </c>
      <c r="E18">
        <f t="shared" si="0"/>
        <v>1.697940235624561E-2</v>
      </c>
      <c r="G18">
        <f t="shared" ca="1" si="1"/>
        <v>16</v>
      </c>
      <c r="H18">
        <f t="shared" ca="1" si="2"/>
        <v>0.27167043769992977</v>
      </c>
      <c r="I18">
        <f t="shared" ca="1" si="3"/>
        <v>119.04887811656083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3481</v>
      </c>
      <c r="B21" s="66">
        <v>3481</v>
      </c>
      <c r="D21">
        <f t="shared" si="0"/>
        <v>1.6974526020129516E-2</v>
      </c>
      <c r="E21">
        <f t="shared" si="0"/>
        <v>1.6974526020129516E-2</v>
      </c>
      <c r="G21">
        <f t="shared" ca="1" si="1"/>
        <v>19</v>
      </c>
      <c r="H21">
        <f t="shared" ca="1" si="2"/>
        <v>0.32251599438246081</v>
      </c>
      <c r="I21">
        <f t="shared" ca="1" si="3"/>
        <v>110.63939683099028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6984</v>
      </c>
      <c r="B23" s="66">
        <v>6984</v>
      </c>
      <c r="D23">
        <f t="shared" si="0"/>
        <v>3.4056331434813139E-2</v>
      </c>
      <c r="E23">
        <f t="shared" si="0"/>
        <v>3.4056331434813139E-2</v>
      </c>
      <c r="G23">
        <f t="shared" ca="1" si="1"/>
        <v>21</v>
      </c>
      <c r="H23">
        <f t="shared" ca="1" si="2"/>
        <v>0.71518296013107596</v>
      </c>
      <c r="I23">
        <f t="shared" ca="1" si="3"/>
        <v>211.11625716769123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11369</v>
      </c>
      <c r="B26" s="66">
        <v>11369</v>
      </c>
      <c r="D26">
        <f t="shared" si="0"/>
        <v>5.5439065303893267E-2</v>
      </c>
      <c r="E26">
        <f t="shared" si="0"/>
        <v>5.5439065303893267E-2</v>
      </c>
      <c r="G26">
        <f t="shared" ca="1" si="1"/>
        <v>24</v>
      </c>
      <c r="H26">
        <f t="shared" ca="1" si="2"/>
        <v>1.3305375672934385</v>
      </c>
      <c r="I26">
        <f t="shared" ca="1" si="3"/>
        <v>317.97782911869672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18554</v>
      </c>
      <c r="B28" s="66">
        <v>18554</v>
      </c>
      <c r="D28">
        <f t="shared" si="0"/>
        <v>9.0475540298041668E-2</v>
      </c>
      <c r="E28">
        <f t="shared" si="0"/>
        <v>9.0475540298041668E-2</v>
      </c>
      <c r="G28">
        <f t="shared" ca="1" si="1"/>
        <v>26</v>
      </c>
      <c r="H28">
        <f t="shared" ca="1" si="2"/>
        <v>2.3523640477490835</v>
      </c>
      <c r="I28">
        <f t="shared" ca="1" si="3"/>
        <v>491.88763031239949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23302</v>
      </c>
      <c r="B31" s="66">
        <v>23302</v>
      </c>
      <c r="D31">
        <f t="shared" si="0"/>
        <v>0.11362838417726458</v>
      </c>
      <c r="E31">
        <f t="shared" si="0"/>
        <v>0.11362838417726458</v>
      </c>
      <c r="G31">
        <f t="shared" ca="1" si="1"/>
        <v>29</v>
      </c>
      <c r="H31">
        <f t="shared" ca="1" si="2"/>
        <v>3.2952231411406729</v>
      </c>
      <c r="I31">
        <f t="shared" ca="1" si="3"/>
        <v>568.51556167842648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30928</v>
      </c>
      <c r="B33" s="66">
        <v>30928</v>
      </c>
      <c r="D33">
        <f t="shared" si="0"/>
        <v>0.15081532339861123</v>
      </c>
      <c r="E33">
        <f t="shared" si="0"/>
        <v>0.15081532339861123</v>
      </c>
      <c r="G33">
        <f t="shared" ca="1" si="1"/>
        <v>31</v>
      </c>
      <c r="H33">
        <f t="shared" ca="1" si="2"/>
        <v>4.6752750253569477</v>
      </c>
      <c r="I33">
        <f t="shared" ca="1" si="3"/>
        <v>712.50476014543028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40821</v>
      </c>
      <c r="B36" s="66">
        <v>40821</v>
      </c>
      <c r="D36">
        <f t="shared" si="0"/>
        <v>0.19905691659514707</v>
      </c>
      <c r="E36">
        <f t="shared" si="0"/>
        <v>0.19905691659514707</v>
      </c>
      <c r="G36">
        <f t="shared" ca="1" si="1"/>
        <v>34</v>
      </c>
      <c r="H36">
        <f t="shared" ca="1" si="2"/>
        <v>6.7679351642350003</v>
      </c>
      <c r="I36">
        <f t="shared" ca="1" si="3"/>
        <v>860.11478691592413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52932</v>
      </c>
      <c r="B39" s="66">
        <v>52932</v>
      </c>
      <c r="D39">
        <f t="shared" si="0"/>
        <v>0.25811422329718342</v>
      </c>
      <c r="E39">
        <f t="shared" si="0"/>
        <v>0.25811422329718342</v>
      </c>
      <c r="G39">
        <f t="shared" ca="1" si="1"/>
        <v>37</v>
      </c>
      <c r="H39">
        <f t="shared" ca="1" si="2"/>
        <v>9.5502262619957872</v>
      </c>
      <c r="I39">
        <f t="shared" ca="1" si="3"/>
        <v>1015.8202585874637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55914</v>
      </c>
      <c r="B41" s="66">
        <v>55914</v>
      </c>
      <c r="D41">
        <f t="shared" si="0"/>
        <v>0.27265545759538112</v>
      </c>
      <c r="E41">
        <f t="shared" si="0"/>
        <v>0.27265545759538112</v>
      </c>
      <c r="G41">
        <f t="shared" ca="1" si="1"/>
        <v>39</v>
      </c>
      <c r="H41">
        <f t="shared" ca="1" si="2"/>
        <v>10.633562846219863</v>
      </c>
      <c r="I41">
        <f t="shared" ca="1" si="3"/>
        <v>1005.7195799163649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71470</v>
      </c>
      <c r="B44" s="66">
        <v>71470</v>
      </c>
      <c r="D44">
        <f t="shared" si="0"/>
        <v>0.34851174221736758</v>
      </c>
      <c r="E44">
        <f t="shared" si="0"/>
        <v>0.34851174221736758</v>
      </c>
      <c r="G44">
        <f t="shared" ca="1" si="1"/>
        <v>42</v>
      </c>
      <c r="H44">
        <f t="shared" ca="1" si="2"/>
        <v>14.637493173129439</v>
      </c>
      <c r="I44">
        <f t="shared" ca="1" si="3"/>
        <v>1161.6614989165798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86610</v>
      </c>
      <c r="B46" s="66">
        <v>86610</v>
      </c>
      <c r="D46">
        <f t="shared" si="0"/>
        <v>0.42233947101505814</v>
      </c>
      <c r="E46">
        <f t="shared" si="0"/>
        <v>0.42233947101505814</v>
      </c>
      <c r="G46">
        <f t="shared" ca="1" si="1"/>
        <v>44</v>
      </c>
      <c r="H46">
        <f t="shared" ca="1" si="2"/>
        <v>18.582936724662559</v>
      </c>
      <c r="I46">
        <f t="shared" ca="1" si="3"/>
        <v>1311.90063708914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91346</v>
      </c>
      <c r="B49" s="66">
        <v>91346</v>
      </c>
      <c r="D49">
        <f t="shared" si="0"/>
        <v>0.44543379886088791</v>
      </c>
      <c r="E49">
        <f t="shared" si="0"/>
        <v>0.44543379886088791</v>
      </c>
      <c r="G49">
        <f t="shared" ca="1" si="1"/>
        <v>47</v>
      </c>
      <c r="H49">
        <f t="shared" ca="1" si="2"/>
        <v>20.935388546461731</v>
      </c>
      <c r="I49">
        <f t="shared" ca="1" si="3"/>
        <v>1238.6921244644991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107871</v>
      </c>
      <c r="B51" s="66">
        <v>107871</v>
      </c>
      <c r="D51">
        <f t="shared" si="0"/>
        <v>0.52601525317937115</v>
      </c>
      <c r="E51">
        <f t="shared" si="0"/>
        <v>0.52601525317937115</v>
      </c>
      <c r="G51">
        <f t="shared" ca="1" si="1"/>
        <v>49</v>
      </c>
      <c r="H51">
        <f t="shared" ca="1" si="2"/>
        <v>25.774747405789185</v>
      </c>
      <c r="I51">
        <f t="shared" ca="1" si="3"/>
        <v>1353.9270901497841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112190</v>
      </c>
      <c r="B54" s="66">
        <v>112190</v>
      </c>
      <c r="D54">
        <f t="shared" si="0"/>
        <v>0.54707614886478895</v>
      </c>
      <c r="E54">
        <f t="shared" si="0"/>
        <v>0.54707614886478895</v>
      </c>
      <c r="G54">
        <f t="shared" ca="1" si="1"/>
        <v>52</v>
      </c>
      <c r="H54">
        <f t="shared" ca="1" si="2"/>
        <v>28.447959740969026</v>
      </c>
      <c r="I54">
        <f t="shared" ca="1" si="3"/>
        <v>1246.5281480164315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124446</v>
      </c>
      <c r="B57" s="66">
        <v>124446</v>
      </c>
      <c r="D57">
        <f t="shared" si="0"/>
        <v>0.6068405243036592</v>
      </c>
      <c r="E57">
        <f t="shared" si="0"/>
        <v>0.6068405243036592</v>
      </c>
      <c r="G57">
        <f t="shared" ca="1" si="1"/>
        <v>55</v>
      </c>
      <c r="H57">
        <f t="shared" ca="1" si="2"/>
        <v>33.376228836701259</v>
      </c>
      <c r="I57">
        <f t="shared" ca="1" si="3"/>
        <v>1214.3632127893638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132773</v>
      </c>
      <c r="B59" s="66">
        <v>132773</v>
      </c>
      <c r="D59">
        <f t="shared" si="0"/>
        <v>0.64744577514238899</v>
      </c>
      <c r="E59">
        <f t="shared" si="0"/>
        <v>0.64744577514238899</v>
      </c>
      <c r="G59">
        <f t="shared" ca="1" si="1"/>
        <v>57</v>
      </c>
      <c r="H59">
        <f t="shared" ca="1" si="2"/>
        <v>36.904409183116172</v>
      </c>
      <c r="I59">
        <f t="shared" ca="1" si="3"/>
        <v>1182.3579776602251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140149</v>
      </c>
      <c r="B62" s="66">
        <v>140149</v>
      </c>
      <c r="D62">
        <f t="shared" si="0"/>
        <v>0.6834136303347117</v>
      </c>
      <c r="E62">
        <f t="shared" si="0"/>
        <v>0.6834136303347117</v>
      </c>
      <c r="G62">
        <f t="shared" ca="1" si="1"/>
        <v>60</v>
      </c>
      <c r="H62">
        <f t="shared" ca="1" si="2"/>
        <v>41.0048178200827</v>
      </c>
      <c r="I62">
        <f t="shared" ca="1" si="3"/>
        <v>1078.963096477074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146761</v>
      </c>
      <c r="B64" s="66">
        <v>146761</v>
      </c>
      <c r="D64">
        <f t="shared" si="0"/>
        <v>0.71565596473433724</v>
      </c>
      <c r="E64">
        <f t="shared" si="0"/>
        <v>0.71565596473433724</v>
      </c>
      <c r="G64">
        <f t="shared" ca="1" si="1"/>
        <v>62</v>
      </c>
      <c r="H64">
        <f t="shared" ca="1" si="2"/>
        <v>44.370669813528906</v>
      </c>
      <c r="I64">
        <f t="shared" ca="1" si="3"/>
        <v>1018.9861456931894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154926</v>
      </c>
      <c r="B67" s="66">
        <v>154926</v>
      </c>
      <c r="D67">
        <f t="shared" ref="D67:E130" si="4">IFERROR( A67/MAX(A$2:A$257), 0 )</f>
        <v>0.75547124912225949</v>
      </c>
      <c r="E67">
        <f t="shared" si="4"/>
        <v>0.75547124912225949</v>
      </c>
      <c r="G67">
        <f t="shared" ref="G67:G130" ca="1" si="5">CELL("row",D67)-2</f>
        <v>65</v>
      </c>
      <c r="H67">
        <f t="shared" ref="H67:H130" ca="1" si="6">D67*G67</f>
        <v>49.105631192946866</v>
      </c>
      <c r="I67">
        <f t="shared" ref="I67:I130" ca="1" si="7">D67*((G67-$L$1)^2)</f>
        <v>911.43496955104968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158556</v>
      </c>
      <c r="B69" s="66">
        <v>158556</v>
      </c>
      <c r="D69">
        <f t="shared" si="4"/>
        <v>0.77317234922368727</v>
      </c>
      <c r="E69">
        <f t="shared" si="4"/>
        <v>0.77317234922368727</v>
      </c>
      <c r="G69">
        <f t="shared" ca="1" si="5"/>
        <v>67</v>
      </c>
      <c r="H69">
        <f t="shared" ca="1" si="6"/>
        <v>51.802547397987048</v>
      </c>
      <c r="I69">
        <f t="shared" ca="1" si="7"/>
        <v>828.46182913037626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164848</v>
      </c>
      <c r="B72" s="66">
        <v>164848</v>
      </c>
      <c r="D72">
        <f t="shared" si="4"/>
        <v>0.80385425606616212</v>
      </c>
      <c r="E72">
        <f t="shared" si="4"/>
        <v>0.80385425606616212</v>
      </c>
      <c r="G72">
        <f t="shared" ca="1" si="5"/>
        <v>70</v>
      </c>
      <c r="H72">
        <f t="shared" ca="1" si="6"/>
        <v>56.269797924631348</v>
      </c>
      <c r="I72">
        <f t="shared" ca="1" si="7"/>
        <v>710.69265066761068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172483</v>
      </c>
      <c r="B75" s="66">
        <v>172483</v>
      </c>
      <c r="D75">
        <f t="shared" si="4"/>
        <v>0.84108508231255363</v>
      </c>
      <c r="E75">
        <f t="shared" si="4"/>
        <v>0.84108508231255363</v>
      </c>
      <c r="G75">
        <f t="shared" ca="1" si="5"/>
        <v>73</v>
      </c>
      <c r="H75">
        <f t="shared" ca="1" si="6"/>
        <v>61.399211008816415</v>
      </c>
      <c r="I75">
        <f t="shared" ca="1" si="7"/>
        <v>601.12585727600037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163481</v>
      </c>
      <c r="B77" s="66">
        <v>163481</v>
      </c>
      <c r="D77">
        <f t="shared" si="4"/>
        <v>0.7971883045954592</v>
      </c>
      <c r="E77">
        <f t="shared" si="4"/>
        <v>0.7971883045954592</v>
      </c>
      <c r="G77">
        <f t="shared" ca="1" si="5"/>
        <v>75</v>
      </c>
      <c r="H77">
        <f t="shared" ca="1" si="6"/>
        <v>59.789122844659438</v>
      </c>
      <c r="I77">
        <f t="shared" ca="1" si="7"/>
        <v>487.69356868893874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163719</v>
      </c>
      <c r="B80" s="66">
        <v>163719</v>
      </c>
      <c r="D80">
        <f t="shared" si="4"/>
        <v>0.79834887259109</v>
      </c>
      <c r="E80">
        <f t="shared" si="4"/>
        <v>0.79834887259109</v>
      </c>
      <c r="G80">
        <f t="shared" ca="1" si="5"/>
        <v>78</v>
      </c>
      <c r="H80">
        <f t="shared" ca="1" si="6"/>
        <v>62.271212062105022</v>
      </c>
      <c r="I80">
        <f t="shared" ca="1" si="7"/>
        <v>377.11089481837291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162348</v>
      </c>
      <c r="B82" s="66">
        <v>162348</v>
      </c>
      <c r="D82">
        <f t="shared" si="4"/>
        <v>0.79166341577592259</v>
      </c>
      <c r="E82">
        <f t="shared" si="4"/>
        <v>0.79166341577592259</v>
      </c>
      <c r="G82">
        <f t="shared" ca="1" si="5"/>
        <v>80</v>
      </c>
      <c r="H82">
        <f t="shared" ca="1" si="6"/>
        <v>63.33307326207381</v>
      </c>
      <c r="I82">
        <f t="shared" ca="1" si="7"/>
        <v>308.29576648416111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169671</v>
      </c>
      <c r="B85" s="66">
        <v>169671</v>
      </c>
      <c r="D85">
        <f t="shared" si="4"/>
        <v>0.82737282515409227</v>
      </c>
      <c r="E85">
        <f t="shared" si="4"/>
        <v>0.82737282515409227</v>
      </c>
      <c r="G85">
        <f t="shared" ca="1" si="5"/>
        <v>83</v>
      </c>
      <c r="H85">
        <f t="shared" ca="1" si="6"/>
        <v>68.671944487789659</v>
      </c>
      <c r="I85">
        <f t="shared" ca="1" si="7"/>
        <v>231.68447571096962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179215</v>
      </c>
      <c r="B88" s="66">
        <v>179215</v>
      </c>
      <c r="D88">
        <f t="shared" si="4"/>
        <v>0.87391257704611058</v>
      </c>
      <c r="E88">
        <f t="shared" si="4"/>
        <v>0.87391257704611058</v>
      </c>
      <c r="G88">
        <f t="shared" ca="1" si="5"/>
        <v>86</v>
      </c>
      <c r="H88">
        <f t="shared" ca="1" si="6"/>
        <v>75.156481625965512</v>
      </c>
      <c r="I88">
        <f t="shared" ca="1" si="7"/>
        <v>164.83801947765176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180285</v>
      </c>
      <c r="B90" s="66">
        <v>180285</v>
      </c>
      <c r="D90">
        <f t="shared" si="4"/>
        <v>0.87913025669033318</v>
      </c>
      <c r="E90">
        <f t="shared" si="4"/>
        <v>0.87913025669033318</v>
      </c>
      <c r="G90">
        <f t="shared" ca="1" si="5"/>
        <v>88</v>
      </c>
      <c r="H90">
        <f t="shared" ca="1" si="6"/>
        <v>77.363462588749314</v>
      </c>
      <c r="I90">
        <f t="shared" ca="1" si="7"/>
        <v>121.04306387160376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192382</v>
      </c>
      <c r="B93" s="66">
        <v>192382</v>
      </c>
      <c r="D93">
        <f t="shared" si="4"/>
        <v>0.93811929468674415</v>
      </c>
      <c r="E93">
        <f t="shared" si="4"/>
        <v>0.93811929468674415</v>
      </c>
      <c r="G93">
        <f t="shared" ca="1" si="5"/>
        <v>91</v>
      </c>
      <c r="H93">
        <f t="shared" ca="1" si="6"/>
        <v>85.368855816493721</v>
      </c>
      <c r="I93">
        <f t="shared" ca="1" si="7"/>
        <v>71.561110590120265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200089</v>
      </c>
      <c r="B95" s="66">
        <v>200089</v>
      </c>
      <c r="D95">
        <f t="shared" si="4"/>
        <v>0.97570121713349456</v>
      </c>
      <c r="E95">
        <f t="shared" si="4"/>
        <v>0.97570121713349456</v>
      </c>
      <c r="G95">
        <f t="shared" ca="1" si="5"/>
        <v>93</v>
      </c>
      <c r="H95">
        <f t="shared" ca="1" si="6"/>
        <v>90.740213193414988</v>
      </c>
      <c r="I95">
        <f t="shared" ca="1" si="7"/>
        <v>44.24391098671844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198196</v>
      </c>
      <c r="B98" s="66">
        <v>198196</v>
      </c>
      <c r="D98">
        <f t="shared" si="4"/>
        <v>0.96647031286572516</v>
      </c>
      <c r="E98">
        <f t="shared" si="4"/>
        <v>0.96647031286572516</v>
      </c>
      <c r="G98">
        <f t="shared" ca="1" si="5"/>
        <v>96</v>
      </c>
      <c r="H98">
        <f t="shared" ca="1" si="6"/>
        <v>92.781150035109619</v>
      </c>
      <c r="I98">
        <f t="shared" ca="1" si="7"/>
        <v>13.474724763418843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205072</v>
      </c>
      <c r="B100" s="66">
        <v>205072</v>
      </c>
      <c r="D100">
        <f t="shared" si="4"/>
        <v>1</v>
      </c>
      <c r="E100">
        <f t="shared" si="4"/>
        <v>1</v>
      </c>
      <c r="G100">
        <f t="shared" ca="1" si="5"/>
        <v>98</v>
      </c>
      <c r="H100">
        <f t="shared" ca="1" si="6"/>
        <v>98</v>
      </c>
      <c r="I100">
        <f t="shared" ca="1" si="7"/>
        <v>3.0064989444149743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187015</v>
      </c>
      <c r="B103" s="66">
        <v>187015</v>
      </c>
      <c r="D103">
        <f t="shared" si="4"/>
        <v>0.911947998751658</v>
      </c>
      <c r="E103">
        <f t="shared" si="4"/>
        <v>0.911947998751658</v>
      </c>
      <c r="G103">
        <f t="shared" ca="1" si="5"/>
        <v>101</v>
      </c>
      <c r="H103">
        <f t="shared" ca="1" si="6"/>
        <v>92.106747873917456</v>
      </c>
      <c r="I103">
        <f t="shared" ca="1" si="7"/>
        <v>1.4618012872585833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184214</v>
      </c>
      <c r="B106" s="66">
        <v>184214</v>
      </c>
      <c r="D106">
        <f t="shared" si="4"/>
        <v>0.89828938129047364</v>
      </c>
      <c r="E106">
        <f t="shared" si="4"/>
        <v>0.89828938129047364</v>
      </c>
      <c r="G106">
        <f t="shared" ca="1" si="5"/>
        <v>104</v>
      </c>
      <c r="H106">
        <f t="shared" ca="1" si="6"/>
        <v>93.422095654209258</v>
      </c>
      <c r="I106">
        <f t="shared" ca="1" si="7"/>
        <v>16.348317371857966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172168</v>
      </c>
      <c r="B108" s="66">
        <v>172168</v>
      </c>
      <c r="D108">
        <f t="shared" si="4"/>
        <v>0.83954903643598344</v>
      </c>
      <c r="E108">
        <f t="shared" si="4"/>
        <v>0.83954903643598344</v>
      </c>
      <c r="G108">
        <f t="shared" ca="1" si="5"/>
        <v>106</v>
      </c>
      <c r="H108">
        <f t="shared" ca="1" si="6"/>
        <v>88.99219786221424</v>
      </c>
      <c r="I108">
        <f t="shared" ca="1" si="7"/>
        <v>32.963788844886899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168738</v>
      </c>
      <c r="B111" s="66">
        <v>168738</v>
      </c>
      <c r="D111">
        <f t="shared" si="4"/>
        <v>0.82282320355777483</v>
      </c>
      <c r="E111">
        <f t="shared" si="4"/>
        <v>0.82282320355777483</v>
      </c>
      <c r="G111">
        <f t="shared" ca="1" si="5"/>
        <v>109</v>
      </c>
      <c r="H111">
        <f t="shared" ca="1" si="6"/>
        <v>89.687729187797459</v>
      </c>
      <c r="I111">
        <f t="shared" ca="1" si="7"/>
        <v>70.647706949969859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157027</v>
      </c>
      <c r="B113" s="66">
        <v>157027</v>
      </c>
      <c r="D113">
        <f t="shared" si="4"/>
        <v>0.76571643130217681</v>
      </c>
      <c r="E113">
        <f t="shared" si="4"/>
        <v>0.76571643130217681</v>
      </c>
      <c r="G113">
        <f t="shared" ca="1" si="5"/>
        <v>111</v>
      </c>
      <c r="H113">
        <f t="shared" ca="1" si="6"/>
        <v>84.994523874541628</v>
      </c>
      <c r="I113">
        <f t="shared" ca="1" si="7"/>
        <v>97.188118645286508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155317</v>
      </c>
      <c r="B116" s="66">
        <v>155317</v>
      </c>
      <c r="D116">
        <f t="shared" si="4"/>
        <v>0.75737789654365295</v>
      </c>
      <c r="E116">
        <f t="shared" si="4"/>
        <v>0.75737789654365295</v>
      </c>
      <c r="G116">
        <f t="shared" ca="1" si="5"/>
        <v>114</v>
      </c>
      <c r="H116">
        <f t="shared" ca="1" si="6"/>
        <v>86.341080205976439</v>
      </c>
      <c r="I116">
        <f t="shared" ca="1" si="7"/>
        <v>154.14220910771959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151303</v>
      </c>
      <c r="B118" s="66">
        <v>151303</v>
      </c>
      <c r="D118">
        <f t="shared" si="4"/>
        <v>0.73780428337364434</v>
      </c>
      <c r="E118">
        <f t="shared" si="4"/>
        <v>0.73780428337364434</v>
      </c>
      <c r="G118">
        <f t="shared" ca="1" si="5"/>
        <v>116</v>
      </c>
      <c r="H118">
        <f t="shared" ca="1" si="6"/>
        <v>85.585296871342749</v>
      </c>
      <c r="I118">
        <f t="shared" ca="1" si="7"/>
        <v>195.21206982376515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144356</v>
      </c>
      <c r="B121" s="66">
        <v>144356</v>
      </c>
      <c r="D121">
        <f t="shared" si="4"/>
        <v>0.70392837637512673</v>
      </c>
      <c r="E121">
        <f t="shared" si="4"/>
        <v>0.70392837637512673</v>
      </c>
      <c r="G121">
        <f t="shared" ca="1" si="5"/>
        <v>119</v>
      </c>
      <c r="H121">
        <f t="shared" ca="1" si="6"/>
        <v>83.767476788640082</v>
      </c>
      <c r="I121">
        <f t="shared" ca="1" si="7"/>
        <v>261.28526957463009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139796</v>
      </c>
      <c r="B124" s="66">
        <v>139796</v>
      </c>
      <c r="D124">
        <f t="shared" si="4"/>
        <v>0.68169228368572987</v>
      </c>
      <c r="E124">
        <f t="shared" si="4"/>
        <v>0.68169228368572987</v>
      </c>
      <c r="G124">
        <f t="shared" ca="1" si="5"/>
        <v>122</v>
      </c>
      <c r="H124">
        <f t="shared" ca="1" si="6"/>
        <v>83.166458609659045</v>
      </c>
      <c r="I124">
        <f t="shared" ca="1" si="7"/>
        <v>337.96807579800247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139777</v>
      </c>
      <c r="B126" s="66">
        <v>139777</v>
      </c>
      <c r="D126">
        <f t="shared" si="4"/>
        <v>0.68159963329952411</v>
      </c>
      <c r="E126">
        <f t="shared" si="4"/>
        <v>0.68159963329952411</v>
      </c>
      <c r="G126">
        <f t="shared" ca="1" si="5"/>
        <v>124</v>
      </c>
      <c r="H126">
        <f t="shared" ca="1" si="6"/>
        <v>84.518354529140993</v>
      </c>
      <c r="I126">
        <f t="shared" ca="1" si="7"/>
        <v>401.3547321337627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134175</v>
      </c>
      <c r="B129" s="66">
        <v>134175</v>
      </c>
      <c r="D129">
        <f t="shared" si="4"/>
        <v>0.65428239837715529</v>
      </c>
      <c r="E129">
        <f t="shared" si="4"/>
        <v>0.65428239837715529</v>
      </c>
      <c r="G129">
        <f t="shared" ca="1" si="5"/>
        <v>127</v>
      </c>
      <c r="H129">
        <f t="shared" ca="1" si="6"/>
        <v>83.093864593898729</v>
      </c>
      <c r="I129">
        <f t="shared" ca="1" si="7"/>
        <v>486.41891988089913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127911</v>
      </c>
      <c r="B131" s="66">
        <v>127911</v>
      </c>
      <c r="D131">
        <f t="shared" ref="D131:E194" si="8">IFERROR( A131/MAX(A$2:A$257), 0 )</f>
        <v>0.62373702894593119</v>
      </c>
      <c r="E131">
        <f t="shared" si="8"/>
        <v>0.62373702894593119</v>
      </c>
      <c r="G131">
        <f t="shared" ref="G131:G194" ca="1" si="9">CELL("row",D131)-2</f>
        <v>129</v>
      </c>
      <c r="H131">
        <f t="shared" ref="H131:H194" ca="1" si="10">D131*G131</f>
        <v>80.462076734025118</v>
      </c>
      <c r="I131">
        <f t="shared" ref="I131:I194" ca="1" si="11">D131*((G131-$L$1)^2)</f>
        <v>534.2326955183953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124257</v>
      </c>
      <c r="B134" s="66">
        <v>124257</v>
      </c>
      <c r="D134">
        <f t="shared" si="8"/>
        <v>0.60591889677771704</v>
      </c>
      <c r="E134">
        <f t="shared" si="8"/>
        <v>0.60591889677771704</v>
      </c>
      <c r="G134">
        <f t="shared" ca="1" si="9"/>
        <v>132</v>
      </c>
      <c r="H134">
        <f t="shared" ca="1" si="10"/>
        <v>79.981294374658646</v>
      </c>
      <c r="I134">
        <f t="shared" ca="1" si="11"/>
        <v>630.82188432342866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109907</v>
      </c>
      <c r="B136" s="66">
        <v>109907</v>
      </c>
      <c r="D136">
        <f t="shared" si="8"/>
        <v>0.53594347351174221</v>
      </c>
      <c r="E136">
        <f t="shared" si="8"/>
        <v>0.53594347351174221</v>
      </c>
      <c r="G136">
        <f t="shared" ca="1" si="9"/>
        <v>134</v>
      </c>
      <c r="H136">
        <f t="shared" ca="1" si="10"/>
        <v>71.816425450573462</v>
      </c>
      <c r="I136">
        <f t="shared" ca="1" si="11"/>
        <v>629.28544465873324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101712</v>
      </c>
      <c r="B139" s="66">
        <v>101712</v>
      </c>
      <c r="D139">
        <f t="shared" si="8"/>
        <v>0.49598189904033707</v>
      </c>
      <c r="E139">
        <f t="shared" si="8"/>
        <v>0.49598189904033707</v>
      </c>
      <c r="G139">
        <f t="shared" ca="1" si="9"/>
        <v>137</v>
      </c>
      <c r="H139">
        <f t="shared" ca="1" si="10"/>
        <v>67.949520168526178</v>
      </c>
      <c r="I139">
        <f t="shared" ca="1" si="11"/>
        <v>688.7999612812938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92978</v>
      </c>
      <c r="B142" s="66">
        <v>92978</v>
      </c>
      <c r="D142">
        <f t="shared" si="8"/>
        <v>0.45339197940235626</v>
      </c>
      <c r="E142">
        <f t="shared" si="8"/>
        <v>0.45339197940235626</v>
      </c>
      <c r="G142">
        <f t="shared" ca="1" si="9"/>
        <v>140</v>
      </c>
      <c r="H142">
        <f t="shared" ca="1" si="10"/>
        <v>63.474877116329878</v>
      </c>
      <c r="I142">
        <f t="shared" ca="1" si="11"/>
        <v>735.11013501801926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93051</v>
      </c>
      <c r="B144" s="66">
        <v>93051</v>
      </c>
      <c r="D144">
        <f t="shared" si="8"/>
        <v>0.45374795193883122</v>
      </c>
      <c r="E144">
        <f t="shared" si="8"/>
        <v>0.45374795193883122</v>
      </c>
      <c r="G144">
        <f t="shared" ca="1" si="9"/>
        <v>142</v>
      </c>
      <c r="H144">
        <f t="shared" ca="1" si="10"/>
        <v>64.432209175314028</v>
      </c>
      <c r="I144">
        <f t="shared" ca="1" si="11"/>
        <v>810.58487995685368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85738</v>
      </c>
      <c r="B147" s="66">
        <v>85738</v>
      </c>
      <c r="D147">
        <f t="shared" si="8"/>
        <v>0.41808730592182258</v>
      </c>
      <c r="E147">
        <f t="shared" si="8"/>
        <v>0.41808730592182258</v>
      </c>
      <c r="G147">
        <f t="shared" ca="1" si="9"/>
        <v>145</v>
      </c>
      <c r="H147">
        <f t="shared" ca="1" si="10"/>
        <v>60.622659358664272</v>
      </c>
      <c r="I147">
        <f t="shared" ca="1" si="11"/>
        <v>856.66819238692995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86210</v>
      </c>
      <c r="B149" s="66">
        <v>86210</v>
      </c>
      <c r="D149">
        <f t="shared" si="8"/>
        <v>0.42038893656861981</v>
      </c>
      <c r="E149">
        <f t="shared" si="8"/>
        <v>0.42038893656861981</v>
      </c>
      <c r="G149">
        <f t="shared" ca="1" si="9"/>
        <v>147</v>
      </c>
      <c r="H149">
        <f t="shared" ca="1" si="10"/>
        <v>61.797173675587111</v>
      </c>
      <c r="I149">
        <f t="shared" ca="1" si="11"/>
        <v>939.1832565841321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74698</v>
      </c>
      <c r="B152" s="66">
        <v>74698</v>
      </c>
      <c r="D152">
        <f t="shared" si="8"/>
        <v>0.36425255520012484</v>
      </c>
      <c r="E152">
        <f t="shared" si="8"/>
        <v>0.36425255520012484</v>
      </c>
      <c r="G152">
        <f t="shared" ca="1" si="9"/>
        <v>150</v>
      </c>
      <c r="H152">
        <f t="shared" ca="1" si="10"/>
        <v>54.637883280018727</v>
      </c>
      <c r="I152">
        <f t="shared" ca="1" si="11"/>
        <v>920.34899336393721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74096</v>
      </c>
      <c r="B154" s="66">
        <v>74096</v>
      </c>
      <c r="D154">
        <f t="shared" si="8"/>
        <v>0.36131700085823515</v>
      </c>
      <c r="E154">
        <f t="shared" si="8"/>
        <v>0.36131700085823515</v>
      </c>
      <c r="G154">
        <f t="shared" ca="1" si="9"/>
        <v>152</v>
      </c>
      <c r="H154">
        <f t="shared" ca="1" si="10"/>
        <v>54.920184130451744</v>
      </c>
      <c r="I154">
        <f t="shared" ca="1" si="11"/>
        <v>987.02500877307864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73069</v>
      </c>
      <c r="B157" s="66">
        <v>73069</v>
      </c>
      <c r="D157">
        <f t="shared" si="8"/>
        <v>0.35630900366700474</v>
      </c>
      <c r="E157">
        <f t="shared" si="8"/>
        <v>0.35630900366700474</v>
      </c>
      <c r="G157">
        <f t="shared" ca="1" si="9"/>
        <v>155</v>
      </c>
      <c r="H157">
        <f t="shared" ca="1" si="10"/>
        <v>55.227895568385733</v>
      </c>
      <c r="I157">
        <f t="shared" ca="1" si="11"/>
        <v>1088.288467797011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70786</v>
      </c>
      <c r="B160" s="66">
        <v>70786</v>
      </c>
      <c r="D160">
        <f t="shared" si="8"/>
        <v>0.345176328313958</v>
      </c>
      <c r="E160">
        <f t="shared" si="8"/>
        <v>0.345176328313958</v>
      </c>
      <c r="G160">
        <f t="shared" ca="1" si="9"/>
        <v>158</v>
      </c>
      <c r="H160">
        <f t="shared" ca="1" si="10"/>
        <v>54.537859873605363</v>
      </c>
      <c r="I160">
        <f t="shared" ca="1" si="11"/>
        <v>1171.8513340920344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71861</v>
      </c>
      <c r="B162" s="66">
        <v>71861</v>
      </c>
      <c r="D162">
        <f t="shared" si="8"/>
        <v>0.35041838963876104</v>
      </c>
      <c r="E162">
        <f t="shared" si="8"/>
        <v>0.35041838963876104</v>
      </c>
      <c r="G162">
        <f t="shared" ca="1" si="9"/>
        <v>160</v>
      </c>
      <c r="H162">
        <f t="shared" ca="1" si="10"/>
        <v>56.06694234220177</v>
      </c>
      <c r="I162">
        <f t="shared" ca="1" si="11"/>
        <v>1272.7194826386226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63641</v>
      </c>
      <c r="B165" s="66">
        <v>63641</v>
      </c>
      <c r="D165">
        <f t="shared" si="8"/>
        <v>0.31033490676445347</v>
      </c>
      <c r="E165">
        <f t="shared" si="8"/>
        <v>0.31033490676445347</v>
      </c>
      <c r="G165">
        <f t="shared" ca="1" si="9"/>
        <v>163</v>
      </c>
      <c r="H165">
        <f t="shared" ca="1" si="10"/>
        <v>50.584589802605912</v>
      </c>
      <c r="I165">
        <f t="shared" ca="1" si="11"/>
        <v>1242.1452983798947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59500</v>
      </c>
      <c r="B167" s="66">
        <v>59500</v>
      </c>
      <c r="D167">
        <f t="shared" si="8"/>
        <v>0.2901419989077007</v>
      </c>
      <c r="E167">
        <f t="shared" si="8"/>
        <v>0.2901419989077007</v>
      </c>
      <c r="G167">
        <f t="shared" ca="1" si="9"/>
        <v>165</v>
      </c>
      <c r="H167">
        <f t="shared" ca="1" si="10"/>
        <v>47.873429819770614</v>
      </c>
      <c r="I167">
        <f t="shared" ca="1" si="11"/>
        <v>1235.9063922702978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51693</v>
      </c>
      <c r="B170" s="66">
        <v>51693</v>
      </c>
      <c r="D170">
        <f t="shared" si="8"/>
        <v>0.25207244284934072</v>
      </c>
      <c r="E170">
        <f t="shared" si="8"/>
        <v>0.25207244284934072</v>
      </c>
      <c r="G170">
        <f t="shared" ca="1" si="9"/>
        <v>168</v>
      </c>
      <c r="H170">
        <f t="shared" ca="1" si="10"/>
        <v>42.348170398689241</v>
      </c>
      <c r="I170">
        <f t="shared" ca="1" si="11"/>
        <v>1174.7223351057976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45755</v>
      </c>
      <c r="B173" s="66">
        <v>45755</v>
      </c>
      <c r="D173">
        <f t="shared" si="8"/>
        <v>0.22311675899196379</v>
      </c>
      <c r="E173">
        <f t="shared" si="8"/>
        <v>0.22311675899196379</v>
      </c>
      <c r="G173">
        <f t="shared" ca="1" si="9"/>
        <v>171</v>
      </c>
      <c r="H173">
        <f t="shared" ca="1" si="10"/>
        <v>38.15296578762581</v>
      </c>
      <c r="I173">
        <f t="shared" ca="1" si="11"/>
        <v>1133.1772923789458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38150</v>
      </c>
      <c r="B175" s="66">
        <v>38150</v>
      </c>
      <c r="D175">
        <f t="shared" si="8"/>
        <v>0.18603222282905515</v>
      </c>
      <c r="E175">
        <f t="shared" si="8"/>
        <v>0.18603222282905515</v>
      </c>
      <c r="G175">
        <f t="shared" ca="1" si="9"/>
        <v>173</v>
      </c>
      <c r="H175">
        <f t="shared" ca="1" si="10"/>
        <v>32.183574549426545</v>
      </c>
      <c r="I175">
        <f t="shared" ca="1" si="11"/>
        <v>998.60564634736818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32952</v>
      </c>
      <c r="B178" s="66">
        <v>32952</v>
      </c>
      <c r="D178">
        <f t="shared" si="8"/>
        <v>0.16068502769758913</v>
      </c>
      <c r="E178">
        <f t="shared" si="8"/>
        <v>0.16068502769758913</v>
      </c>
      <c r="G178">
        <f t="shared" ca="1" si="9"/>
        <v>176</v>
      </c>
      <c r="H178">
        <f t="shared" ca="1" si="10"/>
        <v>28.280564874775688</v>
      </c>
      <c r="I178">
        <f t="shared" ca="1" si="11"/>
        <v>934.62672319534477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27336</v>
      </c>
      <c r="B180" s="66">
        <v>27336</v>
      </c>
      <c r="D180">
        <f t="shared" si="8"/>
        <v>0.13329952406959508</v>
      </c>
      <c r="E180">
        <f t="shared" si="8"/>
        <v>0.13329952406959508</v>
      </c>
      <c r="G180">
        <f t="shared" ca="1" si="9"/>
        <v>178</v>
      </c>
      <c r="H180">
        <f t="shared" ca="1" si="10"/>
        <v>23.727315284387924</v>
      </c>
      <c r="I180">
        <f t="shared" ca="1" si="11"/>
        <v>816.53667987111521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22547</v>
      </c>
      <c r="B183" s="66">
        <v>22547</v>
      </c>
      <c r="D183">
        <f t="shared" si="8"/>
        <v>0.10994675040961223</v>
      </c>
      <c r="E183">
        <f t="shared" si="8"/>
        <v>0.10994675040961223</v>
      </c>
      <c r="G183">
        <f t="shared" ca="1" si="9"/>
        <v>181</v>
      </c>
      <c r="H183">
        <f t="shared" ca="1" si="10"/>
        <v>19.900361824139814</v>
      </c>
      <c r="I183">
        <f t="shared" ca="1" si="11"/>
        <v>726.10755877997497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19233</v>
      </c>
      <c r="B185" s="66">
        <v>19233</v>
      </c>
      <c r="D185">
        <f t="shared" si="8"/>
        <v>9.378657252087072E-2</v>
      </c>
      <c r="E185">
        <f t="shared" si="8"/>
        <v>9.378657252087072E-2</v>
      </c>
      <c r="G185">
        <f t="shared" ca="1" si="9"/>
        <v>183</v>
      </c>
      <c r="H185">
        <f t="shared" ca="1" si="10"/>
        <v>17.16294277131934</v>
      </c>
      <c r="I185">
        <f t="shared" ca="1" si="11"/>
        <v>650.24473165459654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15652</v>
      </c>
      <c r="B188" s="66">
        <v>15652</v>
      </c>
      <c r="D188">
        <f t="shared" si="8"/>
        <v>7.6324412889131624E-2</v>
      </c>
      <c r="E188">
        <f t="shared" si="8"/>
        <v>7.6324412889131624E-2</v>
      </c>
      <c r="G188">
        <f t="shared" ca="1" si="9"/>
        <v>186</v>
      </c>
      <c r="H188">
        <f t="shared" ca="1" si="10"/>
        <v>14.196340797378483</v>
      </c>
      <c r="I188">
        <f t="shared" ca="1" si="11"/>
        <v>567.9937287682302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11873</v>
      </c>
      <c r="B191" s="66">
        <v>11873</v>
      </c>
      <c r="D191">
        <f t="shared" si="8"/>
        <v>5.7896738706405555E-2</v>
      </c>
      <c r="E191">
        <f t="shared" si="8"/>
        <v>5.7896738706405555E-2</v>
      </c>
      <c r="G191">
        <f t="shared" ca="1" si="9"/>
        <v>189</v>
      </c>
      <c r="H191">
        <f t="shared" ca="1" si="10"/>
        <v>10.94248361551065</v>
      </c>
      <c r="I191">
        <f t="shared" ca="1" si="11"/>
        <v>461.34622479366914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11059</v>
      </c>
      <c r="B193" s="66">
        <v>11059</v>
      </c>
      <c r="D193">
        <f t="shared" si="8"/>
        <v>5.3927401107903568E-2</v>
      </c>
      <c r="E193">
        <f t="shared" si="8"/>
        <v>5.3927401107903568E-2</v>
      </c>
      <c r="G193">
        <f t="shared" ca="1" si="9"/>
        <v>191</v>
      </c>
      <c r="H193">
        <f t="shared" ca="1" si="10"/>
        <v>10.300133611609581</v>
      </c>
      <c r="I193">
        <f t="shared" ca="1" si="11"/>
        <v>449.18808723961348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7900</v>
      </c>
      <c r="B196" s="66">
        <v>7900</v>
      </c>
      <c r="D196">
        <f t="shared" si="12"/>
        <v>3.8523055317156898E-2</v>
      </c>
      <c r="E196">
        <f t="shared" si="12"/>
        <v>3.8523055317156898E-2</v>
      </c>
      <c r="G196">
        <f t="shared" ca="1" si="13"/>
        <v>194</v>
      </c>
      <c r="H196">
        <f t="shared" ca="1" si="14"/>
        <v>7.4734727315284379</v>
      </c>
      <c r="I196">
        <f t="shared" ca="1" si="15"/>
        <v>342.31944181812929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5208</v>
      </c>
      <c r="B198" s="66">
        <v>5208</v>
      </c>
      <c r="D198">
        <f t="shared" si="12"/>
        <v>2.5395958492626981E-2</v>
      </c>
      <c r="E198">
        <f t="shared" si="12"/>
        <v>2.5395958492626981E-2</v>
      </c>
      <c r="G198">
        <f t="shared" ca="1" si="13"/>
        <v>196</v>
      </c>
      <c r="H198">
        <f t="shared" ca="1" si="14"/>
        <v>4.977607864554888</v>
      </c>
      <c r="I198">
        <f t="shared" ca="1" si="15"/>
        <v>235.34833520728986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4107</v>
      </c>
      <c r="B201" s="66">
        <v>4107</v>
      </c>
      <c r="D201">
        <f t="shared" si="12"/>
        <v>2.0027112428805494E-2</v>
      </c>
      <c r="E201">
        <f t="shared" si="12"/>
        <v>2.0027112428805494E-2</v>
      </c>
      <c r="G201">
        <f t="shared" ca="1" si="13"/>
        <v>199</v>
      </c>
      <c r="H201">
        <f t="shared" ca="1" si="14"/>
        <v>3.9853953733322935</v>
      </c>
      <c r="I201">
        <f t="shared" ca="1" si="15"/>
        <v>197.34222862821332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3957</v>
      </c>
      <c r="B203" s="66">
        <v>3957</v>
      </c>
      <c r="D203">
        <f t="shared" si="12"/>
        <v>1.9295662011391122E-2</v>
      </c>
      <c r="E203">
        <f t="shared" si="12"/>
        <v>1.9295662011391122E-2</v>
      </c>
      <c r="G203">
        <f t="shared" ca="1" si="13"/>
        <v>201</v>
      </c>
      <c r="H203">
        <f t="shared" ca="1" si="14"/>
        <v>3.8784280642896154</v>
      </c>
      <c r="I203">
        <f t="shared" ca="1" si="15"/>
        <v>197.87349764806868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2890</v>
      </c>
      <c r="B206" s="66">
        <v>2890</v>
      </c>
      <c r="D206">
        <f t="shared" si="12"/>
        <v>1.4092611375516892E-2</v>
      </c>
      <c r="E206">
        <f t="shared" si="12"/>
        <v>1.4092611375516892E-2</v>
      </c>
      <c r="G206">
        <f t="shared" ca="1" si="13"/>
        <v>204</v>
      </c>
      <c r="H206">
        <f t="shared" ca="1" si="14"/>
        <v>2.874892720605446</v>
      </c>
      <c r="I206">
        <f t="shared" ca="1" si="15"/>
        <v>153.20661560853446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1468</v>
      </c>
      <c r="B209" s="66">
        <v>1468</v>
      </c>
      <c r="D209">
        <f t="shared" si="12"/>
        <v>7.1584614184286499E-3</v>
      </c>
      <c r="E209">
        <f t="shared" si="12"/>
        <v>7.1584614184286499E-3</v>
      </c>
      <c r="G209">
        <f t="shared" ca="1" si="13"/>
        <v>207</v>
      </c>
      <c r="H209">
        <f t="shared" ca="1" si="14"/>
        <v>1.4818015136147304</v>
      </c>
      <c r="I209">
        <f t="shared" ca="1" si="15"/>
        <v>82.365333374724329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1455</v>
      </c>
      <c r="B211" s="66">
        <v>1455</v>
      </c>
      <c r="D211">
        <f t="shared" si="12"/>
        <v>7.095069048919404E-3</v>
      </c>
      <c r="E211">
        <f t="shared" si="12"/>
        <v>7.095069048919404E-3</v>
      </c>
      <c r="G211">
        <f t="shared" ca="1" si="13"/>
        <v>209</v>
      </c>
      <c r="H211">
        <f t="shared" ca="1" si="14"/>
        <v>1.4828694312241555</v>
      </c>
      <c r="I211">
        <f t="shared" ca="1" si="15"/>
        <v>84.708561181773391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2723</v>
      </c>
      <c r="B214" s="66">
        <v>2723</v>
      </c>
      <c r="D214">
        <f t="shared" si="12"/>
        <v>1.3278263244128891E-2</v>
      </c>
      <c r="E214">
        <f t="shared" si="12"/>
        <v>1.3278263244128891E-2</v>
      </c>
      <c r="G214">
        <f t="shared" ca="1" si="13"/>
        <v>212</v>
      </c>
      <c r="H214">
        <f t="shared" ca="1" si="14"/>
        <v>2.8149918077553249</v>
      </c>
      <c r="I214">
        <f t="shared" ca="1" si="15"/>
        <v>167.35486668046224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901</v>
      </c>
      <c r="B216" s="66">
        <v>901</v>
      </c>
      <c r="D216">
        <f t="shared" si="12"/>
        <v>4.3935788406023251E-3</v>
      </c>
      <c r="E216">
        <f t="shared" si="12"/>
        <v>4.3935788406023251E-3</v>
      </c>
      <c r="G216">
        <f t="shared" ca="1" si="13"/>
        <v>214</v>
      </c>
      <c r="H216">
        <f t="shared" ca="1" si="14"/>
        <v>0.94022587188889761</v>
      </c>
      <c r="I216">
        <f t="shared" ca="1" si="15"/>
        <v>57.365797679739146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971</v>
      </c>
      <c r="B219" s="66">
        <v>971</v>
      </c>
      <c r="D219">
        <f t="shared" si="12"/>
        <v>4.7349223687290316E-3</v>
      </c>
      <c r="E219">
        <f t="shared" si="12"/>
        <v>4.7349223687290316E-3</v>
      </c>
      <c r="G219">
        <f t="shared" ca="1" si="13"/>
        <v>217</v>
      </c>
      <c r="H219">
        <f t="shared" ca="1" si="14"/>
        <v>1.0274781540142</v>
      </c>
      <c r="I219">
        <f t="shared" ca="1" si="15"/>
        <v>65.111490151360002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450</v>
      </c>
      <c r="B221" s="66">
        <v>450</v>
      </c>
      <c r="D221">
        <f t="shared" si="12"/>
        <v>2.1943512522431146E-3</v>
      </c>
      <c r="E221">
        <f t="shared" si="12"/>
        <v>2.1943512522431146E-3</v>
      </c>
      <c r="G221">
        <f t="shared" ca="1" si="13"/>
        <v>219</v>
      </c>
      <c r="H221">
        <f t="shared" ca="1" si="14"/>
        <v>0.48056292424124208</v>
      </c>
      <c r="I221">
        <f t="shared" ca="1" si="15"/>
        <v>31.213322133683157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404</v>
      </c>
      <c r="B1" s="66" t="s">
        <v>405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104.53785392009418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2.0172608178105329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0.69306779912308536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127</v>
      </c>
      <c r="B8" s="66">
        <v>127</v>
      </c>
      <c r="D8">
        <f t="shared" si="0"/>
        <v>0.11800013007888355</v>
      </c>
      <c r="E8">
        <f t="shared" si="1"/>
        <v>0.11800013007888355</v>
      </c>
      <c r="G8">
        <f t="shared" ca="1" si="2"/>
        <v>6</v>
      </c>
      <c r="H8">
        <f t="shared" ca="1" si="3"/>
        <v>0.70800078047330128</v>
      </c>
      <c r="I8">
        <f t="shared" ca="1" si="4"/>
        <v>1145.7468843390441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454</v>
      </c>
      <c r="B10" s="66">
        <v>454</v>
      </c>
      <c r="D10">
        <f t="shared" si="0"/>
        <v>0.42182723665994593</v>
      </c>
      <c r="E10">
        <f t="shared" si="1"/>
        <v>0.42182723665994593</v>
      </c>
      <c r="G10">
        <f t="shared" ca="1" si="2"/>
        <v>8</v>
      </c>
      <c r="H10">
        <f t="shared" ca="1" si="3"/>
        <v>3.3746178932795674</v>
      </c>
      <c r="I10">
        <f t="shared" ca="1" si="4"/>
        <v>3931.2430772314001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863</v>
      </c>
      <c r="B13" s="66">
        <v>863</v>
      </c>
      <c r="D13">
        <f t="shared" si="0"/>
        <v>0.80184340360690165</v>
      </c>
      <c r="E13">
        <f t="shared" si="1"/>
        <v>0.80184340360690165</v>
      </c>
      <c r="G13">
        <f t="shared" ca="1" si="2"/>
        <v>11</v>
      </c>
      <c r="H13">
        <f t="shared" ca="1" si="3"/>
        <v>8.8202774396759178</v>
      </c>
      <c r="I13">
        <f t="shared" ca="1" si="4"/>
        <v>7015.5926394752678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353</v>
      </c>
      <c r="B15" s="66">
        <v>353</v>
      </c>
      <c r="D15">
        <f t="shared" si="0"/>
        <v>0.32798461352634561</v>
      </c>
      <c r="E15">
        <f t="shared" si="1"/>
        <v>0.32798461352634561</v>
      </c>
      <c r="G15">
        <f t="shared" ca="1" si="2"/>
        <v>13</v>
      </c>
      <c r="H15">
        <f t="shared" ca="1" si="3"/>
        <v>4.2637999758424927</v>
      </c>
      <c r="I15">
        <f t="shared" ca="1" si="4"/>
        <v>2748.2416876849347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446</v>
      </c>
      <c r="B18" s="66">
        <v>446</v>
      </c>
      <c r="D18">
        <f t="shared" si="0"/>
        <v>0.41439415759985876</v>
      </c>
      <c r="E18">
        <f t="shared" si="1"/>
        <v>0.41439415759985876</v>
      </c>
      <c r="G18">
        <f t="shared" ca="1" si="2"/>
        <v>16</v>
      </c>
      <c r="H18">
        <f t="shared" ca="1" si="3"/>
        <v>6.6303065215977401</v>
      </c>
      <c r="I18">
        <f t="shared" ca="1" si="4"/>
        <v>3248.4157351241483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404</v>
      </c>
      <c r="B21" s="66">
        <v>404</v>
      </c>
      <c r="D21">
        <f t="shared" si="0"/>
        <v>0.37537049253440125</v>
      </c>
      <c r="E21">
        <f t="shared" si="1"/>
        <v>0.37537049253440125</v>
      </c>
      <c r="G21">
        <f t="shared" ca="1" si="2"/>
        <v>19</v>
      </c>
      <c r="H21">
        <f t="shared" ca="1" si="3"/>
        <v>7.1320393581536239</v>
      </c>
      <c r="I21">
        <f t="shared" ca="1" si="4"/>
        <v>2746.4824617569666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572</v>
      </c>
      <c r="B23" s="66">
        <v>572</v>
      </c>
      <c r="D23">
        <f t="shared" si="0"/>
        <v>0.53146515279623141</v>
      </c>
      <c r="E23">
        <f t="shared" si="1"/>
        <v>0.53146515279623141</v>
      </c>
      <c r="G23">
        <f t="shared" ca="1" si="2"/>
        <v>21</v>
      </c>
      <c r="H23">
        <f t="shared" ca="1" si="3"/>
        <v>11.16076820872086</v>
      </c>
      <c r="I23">
        <f t="shared" ca="1" si="4"/>
        <v>3708.8683857144551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1003</v>
      </c>
      <c r="B26" s="66">
        <v>1003</v>
      </c>
      <c r="D26">
        <f t="shared" si="0"/>
        <v>0.93192228715842684</v>
      </c>
      <c r="E26">
        <f t="shared" si="1"/>
        <v>0.93192228715842684</v>
      </c>
      <c r="G26">
        <f t="shared" ca="1" si="2"/>
        <v>24</v>
      </c>
      <c r="H26">
        <f t="shared" ca="1" si="3"/>
        <v>22.366134891802243</v>
      </c>
      <c r="I26">
        <f t="shared" ca="1" si="4"/>
        <v>6044.7703195263202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3513</v>
      </c>
      <c r="B28" s="66">
        <v>3513</v>
      </c>
      <c r="D28">
        <f t="shared" si="0"/>
        <v>3.264050842260771</v>
      </c>
      <c r="E28">
        <f t="shared" si="1"/>
        <v>3.264050842260771</v>
      </c>
      <c r="G28">
        <f t="shared" ca="1" si="2"/>
        <v>26</v>
      </c>
      <c r="H28">
        <f t="shared" ca="1" si="3"/>
        <v>84.865321898780053</v>
      </c>
      <c r="I28">
        <f t="shared" ca="1" si="4"/>
        <v>20133.300447646081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6621</v>
      </c>
      <c r="B31" s="66">
        <v>6621</v>
      </c>
      <c r="D31">
        <f t="shared" si="0"/>
        <v>6.1518020571046295</v>
      </c>
      <c r="E31">
        <f t="shared" si="1"/>
        <v>6.1518020571046295</v>
      </c>
      <c r="G31">
        <f t="shared" ca="1" si="2"/>
        <v>29</v>
      </c>
      <c r="H31">
        <f t="shared" ca="1" si="3"/>
        <v>178.40225965603426</v>
      </c>
      <c r="I31">
        <f t="shared" ca="1" si="4"/>
        <v>35101.981834395592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8213</v>
      </c>
      <c r="B33" s="66">
        <v>8213</v>
      </c>
      <c r="D33">
        <f t="shared" si="0"/>
        <v>7.6309847900619729</v>
      </c>
      <c r="E33">
        <f t="shared" si="1"/>
        <v>7.6309847900619729</v>
      </c>
      <c r="G33">
        <f t="shared" ca="1" si="2"/>
        <v>31</v>
      </c>
      <c r="H33">
        <f t="shared" ca="1" si="3"/>
        <v>236.56052849192116</v>
      </c>
      <c r="I33">
        <f t="shared" ca="1" si="4"/>
        <v>41266.961331904407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10936</v>
      </c>
      <c r="B36" s="66">
        <v>10936</v>
      </c>
      <c r="D36">
        <f t="shared" si="0"/>
        <v>10.161019075139137</v>
      </c>
      <c r="E36">
        <f t="shared" si="1"/>
        <v>10.161019075139137</v>
      </c>
      <c r="G36">
        <f t="shared" ca="1" si="2"/>
        <v>34</v>
      </c>
      <c r="H36">
        <f t="shared" ca="1" si="3"/>
        <v>345.47464855473066</v>
      </c>
      <c r="I36">
        <f t="shared" ca="1" si="4"/>
        <v>50557.053069114845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17009</v>
      </c>
      <c r="B39" s="66">
        <v>17009</v>
      </c>
      <c r="D39">
        <f t="shared" si="0"/>
        <v>15.803655216627797</v>
      </c>
      <c r="E39">
        <f t="shared" si="1"/>
        <v>15.803655216627797</v>
      </c>
      <c r="G39">
        <f t="shared" ca="1" si="2"/>
        <v>37</v>
      </c>
      <c r="H39">
        <f t="shared" ca="1" si="3"/>
        <v>584.73524301522855</v>
      </c>
      <c r="I39">
        <f t="shared" ca="1" si="4"/>
        <v>72086.187816860867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21137</v>
      </c>
      <c r="B41" s="66">
        <v>21137</v>
      </c>
      <c r="D41">
        <f t="shared" si="0"/>
        <v>19.63912401163277</v>
      </c>
      <c r="E41">
        <f t="shared" si="1"/>
        <v>19.63912401163277</v>
      </c>
      <c r="G41">
        <f t="shared" ca="1" si="2"/>
        <v>39</v>
      </c>
      <c r="H41">
        <f t="shared" ca="1" si="3"/>
        <v>765.92583645367802</v>
      </c>
      <c r="I41">
        <f t="shared" ca="1" si="4"/>
        <v>84354.167668055015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28074</v>
      </c>
      <c r="B44" s="66">
        <v>28074</v>
      </c>
      <c r="D44">
        <f t="shared" si="0"/>
        <v>26.084532691610843</v>
      </c>
      <c r="E44">
        <f t="shared" si="1"/>
        <v>26.084532691610843</v>
      </c>
      <c r="G44">
        <f t="shared" ca="1" si="2"/>
        <v>42</v>
      </c>
      <c r="H44">
        <f t="shared" ca="1" si="3"/>
        <v>1095.5503730476553</v>
      </c>
      <c r="I44">
        <f t="shared" ca="1" si="4"/>
        <v>102016.16843065959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39219</v>
      </c>
      <c r="B46" s="66">
        <v>39219</v>
      </c>
      <c r="D46">
        <f t="shared" si="0"/>
        <v>36.439740957194758</v>
      </c>
      <c r="E46">
        <f t="shared" si="1"/>
        <v>36.439740957194758</v>
      </c>
      <c r="G46">
        <f t="shared" ca="1" si="2"/>
        <v>44</v>
      </c>
      <c r="H46">
        <f t="shared" ca="1" si="3"/>
        <v>1603.3486021165693</v>
      </c>
      <c r="I46">
        <f t="shared" ca="1" si="4"/>
        <v>133545.51988591498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42729</v>
      </c>
      <c r="B49" s="66">
        <v>42729</v>
      </c>
      <c r="D49">
        <f t="shared" si="0"/>
        <v>39.701004394807995</v>
      </c>
      <c r="E49">
        <f t="shared" si="1"/>
        <v>39.701004394807995</v>
      </c>
      <c r="G49">
        <f t="shared" ca="1" si="2"/>
        <v>47</v>
      </c>
      <c r="H49">
        <f t="shared" ca="1" si="3"/>
        <v>1865.9472065559758</v>
      </c>
      <c r="I49">
        <f t="shared" ca="1" si="4"/>
        <v>131434.3291131903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56806</v>
      </c>
      <c r="B51" s="66">
        <v>56806</v>
      </c>
      <c r="D51">
        <f t="shared" si="0"/>
        <v>52.780436135913853</v>
      </c>
      <c r="E51">
        <f t="shared" si="1"/>
        <v>52.780436135913853</v>
      </c>
      <c r="G51">
        <f t="shared" ca="1" si="2"/>
        <v>49</v>
      </c>
      <c r="H51">
        <f t="shared" ca="1" si="3"/>
        <v>2586.2413706597786</v>
      </c>
      <c r="I51">
        <f t="shared" ca="1" si="4"/>
        <v>162798.78608948723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55479</v>
      </c>
      <c r="B54" s="66">
        <v>55479</v>
      </c>
      <c r="D54">
        <f t="shared" si="0"/>
        <v>51.547474146821891</v>
      </c>
      <c r="E54">
        <f t="shared" si="1"/>
        <v>51.547474146821891</v>
      </c>
      <c r="G54">
        <f t="shared" ca="1" si="2"/>
        <v>52</v>
      </c>
      <c r="H54">
        <f t="shared" ca="1" si="3"/>
        <v>2680.4686556347383</v>
      </c>
      <c r="I54">
        <f t="shared" ca="1" si="4"/>
        <v>142282.68324712481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56569</v>
      </c>
      <c r="B57" s="66">
        <v>56569</v>
      </c>
      <c r="D57">
        <f t="shared" si="0"/>
        <v>52.560231168758769</v>
      </c>
      <c r="E57">
        <f t="shared" si="1"/>
        <v>52.560231168758769</v>
      </c>
      <c r="G57">
        <f t="shared" ca="1" si="2"/>
        <v>55</v>
      </c>
      <c r="H57">
        <f t="shared" ca="1" si="3"/>
        <v>2890.8127142817325</v>
      </c>
      <c r="I57">
        <f t="shared" ca="1" si="4"/>
        <v>128982.75320410765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64849</v>
      </c>
      <c r="B59" s="66">
        <v>64849</v>
      </c>
      <c r="D59">
        <f t="shared" si="0"/>
        <v>60.253467995948974</v>
      </c>
      <c r="E59">
        <f t="shared" si="1"/>
        <v>60.253467995948974</v>
      </c>
      <c r="G59">
        <f t="shared" ca="1" si="2"/>
        <v>57</v>
      </c>
      <c r="H59">
        <f t="shared" ca="1" si="3"/>
        <v>3434.4476757690913</v>
      </c>
      <c r="I59">
        <f t="shared" ca="1" si="4"/>
        <v>136163.65235069202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70330</v>
      </c>
      <c r="B62" s="66">
        <v>70330</v>
      </c>
      <c r="D62">
        <f t="shared" si="0"/>
        <v>65.346056286991185</v>
      </c>
      <c r="E62">
        <f t="shared" si="1"/>
        <v>65.346056286991185</v>
      </c>
      <c r="G62">
        <f t="shared" ca="1" si="2"/>
        <v>60</v>
      </c>
      <c r="H62">
        <f t="shared" ca="1" si="3"/>
        <v>3920.7633772194713</v>
      </c>
      <c r="I62">
        <f t="shared" ca="1" si="4"/>
        <v>129621.77238892835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75579</v>
      </c>
      <c r="B64" s="66">
        <v>75579</v>
      </c>
      <c r="D64">
        <f t="shared" si="0"/>
        <v>70.223085285290864</v>
      </c>
      <c r="E64">
        <f t="shared" si="1"/>
        <v>70.223085285290864</v>
      </c>
      <c r="G64">
        <f t="shared" ca="1" si="2"/>
        <v>62</v>
      </c>
      <c r="H64">
        <f t="shared" ca="1" si="3"/>
        <v>4353.8312876880336</v>
      </c>
      <c r="I64">
        <f t="shared" ca="1" si="4"/>
        <v>127066.49704059675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79587</v>
      </c>
      <c r="B67" s="66">
        <v>79587</v>
      </c>
      <c r="D67">
        <f t="shared" ref="D67:D130" si="5">IFERROR( 100*A67/MAX(A$2:A$257), 0 )</f>
        <v>73.947057894394533</v>
      </c>
      <c r="E67">
        <f t="shared" ref="E67:E130" si="6">IFERROR( 100*B67/MAX(B$2:B$257), 0 )</f>
        <v>73.947057894394533</v>
      </c>
      <c r="G67">
        <f t="shared" ref="G67:G130" ca="1" si="7">CELL("row",D67)-2</f>
        <v>65</v>
      </c>
      <c r="H67">
        <f t="shared" ref="H67:H130" ca="1" si="8">D67*G67</f>
        <v>4806.5587631356448</v>
      </c>
      <c r="I67">
        <f t="shared" ref="I67:I130" ca="1" si="9">D67*((G67-$L$1)^2)</f>
        <v>115597.13873553101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84033</v>
      </c>
      <c r="B69" s="66">
        <v>84033</v>
      </c>
      <c r="D69">
        <f t="shared" si="5"/>
        <v>78.077991582037967</v>
      </c>
      <c r="E69">
        <f t="shared" si="6"/>
        <v>78.077991582037967</v>
      </c>
      <c r="G69">
        <f t="shared" ca="1" si="7"/>
        <v>67</v>
      </c>
      <c r="H69">
        <f t="shared" ca="1" si="8"/>
        <v>5231.2254359965436</v>
      </c>
      <c r="I69">
        <f t="shared" ca="1" si="9"/>
        <v>110018.95439578386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93745</v>
      </c>
      <c r="B72" s="66">
        <v>93745</v>
      </c>
      <c r="D72">
        <f t="shared" si="5"/>
        <v>87.101749560983762</v>
      </c>
      <c r="E72">
        <f t="shared" si="6"/>
        <v>87.101749560983762</v>
      </c>
      <c r="G72">
        <f t="shared" ca="1" si="7"/>
        <v>70</v>
      </c>
      <c r="H72">
        <f t="shared" ca="1" si="8"/>
        <v>6097.1224692688629</v>
      </c>
      <c r="I72">
        <f t="shared" ca="1" si="9"/>
        <v>103900.4850688242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91666</v>
      </c>
      <c r="B75" s="66">
        <v>91666</v>
      </c>
      <c r="D75">
        <f t="shared" si="5"/>
        <v>85.170078140243618</v>
      </c>
      <c r="E75">
        <f t="shared" si="6"/>
        <v>85.170078140243618</v>
      </c>
      <c r="G75">
        <f t="shared" ca="1" si="7"/>
        <v>73</v>
      </c>
      <c r="H75">
        <f t="shared" ca="1" si="8"/>
        <v>6217.4157042377838</v>
      </c>
      <c r="I75">
        <f t="shared" ca="1" si="9"/>
        <v>84713.24542043978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90462</v>
      </c>
      <c r="B77" s="66">
        <v>90462</v>
      </c>
      <c r="D77">
        <f t="shared" si="5"/>
        <v>84.051399741700507</v>
      </c>
      <c r="E77">
        <f t="shared" si="6"/>
        <v>84.051399741700507</v>
      </c>
      <c r="G77">
        <f t="shared" ca="1" si="7"/>
        <v>75</v>
      </c>
      <c r="H77">
        <f t="shared" ca="1" si="8"/>
        <v>6303.8549806275378</v>
      </c>
      <c r="I77">
        <f t="shared" ca="1" si="9"/>
        <v>73333.569887292877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91912</v>
      </c>
      <c r="B80" s="66">
        <v>91912</v>
      </c>
      <c r="D80">
        <f t="shared" si="5"/>
        <v>85.398645321341306</v>
      </c>
      <c r="E80">
        <f t="shared" si="6"/>
        <v>85.398645321341306</v>
      </c>
      <c r="G80">
        <f t="shared" ca="1" si="7"/>
        <v>78</v>
      </c>
      <c r="H80">
        <f t="shared" ca="1" si="8"/>
        <v>6661.0943350646221</v>
      </c>
      <c r="I80">
        <f t="shared" ca="1" si="9"/>
        <v>60142.652741571845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90490</v>
      </c>
      <c r="B82" s="66">
        <v>90490</v>
      </c>
      <c r="D82">
        <f t="shared" si="5"/>
        <v>84.077415518410803</v>
      </c>
      <c r="E82">
        <f t="shared" si="6"/>
        <v>84.077415518410803</v>
      </c>
      <c r="G82">
        <f t="shared" ca="1" si="7"/>
        <v>80</v>
      </c>
      <c r="H82">
        <f t="shared" ca="1" si="8"/>
        <v>6726.1932414728644</v>
      </c>
      <c r="I82">
        <f t="shared" ca="1" si="9"/>
        <v>50623.539469743846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91666</v>
      </c>
      <c r="B85" s="66">
        <v>91666</v>
      </c>
      <c r="D85">
        <f t="shared" si="5"/>
        <v>85.170078140243618</v>
      </c>
      <c r="E85">
        <f t="shared" si="6"/>
        <v>85.170078140243618</v>
      </c>
      <c r="G85">
        <f t="shared" ca="1" si="7"/>
        <v>83</v>
      </c>
      <c r="H85">
        <f t="shared" ca="1" si="8"/>
        <v>7069.1164856402202</v>
      </c>
      <c r="I85">
        <f t="shared" ca="1" si="9"/>
        <v>39508.623579463951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97731</v>
      </c>
      <c r="B88" s="66">
        <v>97731</v>
      </c>
      <c r="D88">
        <f t="shared" si="5"/>
        <v>90.805281202672191</v>
      </c>
      <c r="E88">
        <f t="shared" si="6"/>
        <v>90.805281202672191</v>
      </c>
      <c r="G88">
        <f t="shared" ca="1" si="7"/>
        <v>86</v>
      </c>
      <c r="H88">
        <f t="shared" ca="1" si="8"/>
        <v>7809.2541834298081</v>
      </c>
      <c r="I88">
        <f t="shared" ca="1" si="9"/>
        <v>31205.419035026182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96608</v>
      </c>
      <c r="B90" s="66">
        <v>96608</v>
      </c>
      <c r="D90">
        <f t="shared" si="5"/>
        <v>89.76186272961246</v>
      </c>
      <c r="E90">
        <f t="shared" si="6"/>
        <v>89.76186272961246</v>
      </c>
      <c r="G90">
        <f t="shared" ca="1" si="7"/>
        <v>88</v>
      </c>
      <c r="H90">
        <f t="shared" ca="1" si="8"/>
        <v>7899.0439202058969</v>
      </c>
      <c r="I90">
        <f t="shared" ca="1" si="9"/>
        <v>24549.924416155449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104650</v>
      </c>
      <c r="B93" s="66">
        <v>104650</v>
      </c>
      <c r="D93">
        <f t="shared" si="5"/>
        <v>97.23396545476507</v>
      </c>
      <c r="E93">
        <f t="shared" si="6"/>
        <v>97.23396545476507</v>
      </c>
      <c r="G93">
        <f t="shared" ca="1" si="7"/>
        <v>91</v>
      </c>
      <c r="H93">
        <f t="shared" ca="1" si="8"/>
        <v>8848.2908563836208</v>
      </c>
      <c r="I93">
        <f t="shared" ca="1" si="9"/>
        <v>17820.408075040043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107227</v>
      </c>
      <c r="B95" s="66">
        <v>107227</v>
      </c>
      <c r="D95">
        <f t="shared" si="5"/>
        <v>99.628346046995645</v>
      </c>
      <c r="E95">
        <f t="shared" si="6"/>
        <v>99.628346046995645</v>
      </c>
      <c r="G95">
        <f t="shared" ca="1" si="7"/>
        <v>93</v>
      </c>
      <c r="H95">
        <f t="shared" ca="1" si="8"/>
        <v>9265.4361823705949</v>
      </c>
      <c r="I95">
        <f t="shared" ca="1" si="9"/>
        <v>13262.731963450411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103372</v>
      </c>
      <c r="B98" s="66">
        <v>103372</v>
      </c>
      <c r="D98">
        <f t="shared" si="5"/>
        <v>96.046531074916146</v>
      </c>
      <c r="E98">
        <f t="shared" si="6"/>
        <v>96.046531074916146</v>
      </c>
      <c r="G98">
        <f t="shared" ca="1" si="7"/>
        <v>96</v>
      </c>
      <c r="H98">
        <f t="shared" ca="1" si="8"/>
        <v>9220.4669831919491</v>
      </c>
      <c r="I98">
        <f t="shared" ca="1" si="9"/>
        <v>7001.3070382023079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107627</v>
      </c>
      <c r="B100" s="66">
        <v>107627</v>
      </c>
      <c r="D100">
        <f t="shared" si="5"/>
        <v>100</v>
      </c>
      <c r="E100">
        <f t="shared" si="6"/>
        <v>100</v>
      </c>
      <c r="G100">
        <f t="shared" ca="1" si="7"/>
        <v>98</v>
      </c>
      <c r="H100">
        <f t="shared" ca="1" si="8"/>
        <v>9800</v>
      </c>
      <c r="I100">
        <f t="shared" ca="1" si="9"/>
        <v>4274.3533880490822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98507</v>
      </c>
      <c r="B103" s="66">
        <v>98507</v>
      </c>
      <c r="D103">
        <f t="shared" si="5"/>
        <v>91.526289871500651</v>
      </c>
      <c r="E103">
        <f t="shared" si="6"/>
        <v>91.526289871500651</v>
      </c>
      <c r="G103">
        <f t="shared" ca="1" si="7"/>
        <v>101</v>
      </c>
      <c r="H103">
        <f t="shared" ca="1" si="8"/>
        <v>9244.1552770215658</v>
      </c>
      <c r="I103">
        <f t="shared" ca="1" si="9"/>
        <v>1145.5806027532178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91826</v>
      </c>
      <c r="B106" s="66">
        <v>91826</v>
      </c>
      <c r="D106">
        <f t="shared" si="5"/>
        <v>85.318739721445368</v>
      </c>
      <c r="E106">
        <f t="shared" si="6"/>
        <v>85.318739721445368</v>
      </c>
      <c r="G106">
        <f t="shared" ca="1" si="7"/>
        <v>104</v>
      </c>
      <c r="H106">
        <f t="shared" ca="1" si="8"/>
        <v>8873.1489310303186</v>
      </c>
      <c r="I106">
        <f t="shared" ca="1" si="9"/>
        <v>24.681588552253029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90927</v>
      </c>
      <c r="B108" s="66">
        <v>90927</v>
      </c>
      <c r="D108">
        <f t="shared" si="5"/>
        <v>84.483447462068071</v>
      </c>
      <c r="E108">
        <f t="shared" si="6"/>
        <v>84.483447462068071</v>
      </c>
      <c r="G108">
        <f t="shared" ca="1" si="7"/>
        <v>106</v>
      </c>
      <c r="H108">
        <f t="shared" ca="1" si="8"/>
        <v>8955.2454309792156</v>
      </c>
      <c r="I108">
        <f t="shared" ca="1" si="9"/>
        <v>180.61472574069199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87317</v>
      </c>
      <c r="B111" s="66">
        <v>87317</v>
      </c>
      <c r="D111">
        <f t="shared" si="5"/>
        <v>81.129270536203734</v>
      </c>
      <c r="E111">
        <f t="shared" si="6"/>
        <v>81.129270536203734</v>
      </c>
      <c r="G111">
        <f t="shared" ca="1" si="7"/>
        <v>109</v>
      </c>
      <c r="H111">
        <f t="shared" ca="1" si="8"/>
        <v>8843.090488446207</v>
      </c>
      <c r="I111">
        <f t="shared" ca="1" si="9"/>
        <v>1615.3444317353653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80088</v>
      </c>
      <c r="B113" s="66">
        <v>80088</v>
      </c>
      <c r="D113">
        <f t="shared" si="5"/>
        <v>74.412554470532484</v>
      </c>
      <c r="E113">
        <f t="shared" si="6"/>
        <v>74.412554470532484</v>
      </c>
      <c r="G113">
        <f t="shared" ca="1" si="7"/>
        <v>111</v>
      </c>
      <c r="H113">
        <f t="shared" ca="1" si="8"/>
        <v>8259.7935462291061</v>
      </c>
      <c r="I113">
        <f t="shared" ca="1" si="9"/>
        <v>3107.4185639808611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87045</v>
      </c>
      <c r="B116" s="66">
        <v>87045</v>
      </c>
      <c r="D116">
        <f t="shared" si="5"/>
        <v>80.876545848160774</v>
      </c>
      <c r="E116">
        <f t="shared" si="6"/>
        <v>80.876545848160774</v>
      </c>
      <c r="G116">
        <f t="shared" ca="1" si="7"/>
        <v>114</v>
      </c>
      <c r="H116">
        <f t="shared" ca="1" si="8"/>
        <v>9219.9262266903279</v>
      </c>
      <c r="I116">
        <f t="shared" ca="1" si="9"/>
        <v>7241.0557605807035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82632</v>
      </c>
      <c r="B118" s="66">
        <v>82632</v>
      </c>
      <c r="D118">
        <f t="shared" si="5"/>
        <v>76.776273611640207</v>
      </c>
      <c r="E118">
        <f t="shared" si="6"/>
        <v>76.776273611640207</v>
      </c>
      <c r="G118">
        <f t="shared" ca="1" si="7"/>
        <v>116</v>
      </c>
      <c r="H118">
        <f t="shared" ca="1" si="8"/>
        <v>8906.0477389502648</v>
      </c>
      <c r="I118">
        <f t="shared" ca="1" si="9"/>
        <v>10086.927692033336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83955</v>
      </c>
      <c r="B121" s="66">
        <v>83955</v>
      </c>
      <c r="D121">
        <f t="shared" si="5"/>
        <v>78.005519061202108</v>
      </c>
      <c r="E121">
        <f t="shared" si="6"/>
        <v>78.005519061202108</v>
      </c>
      <c r="G121">
        <f t="shared" ca="1" si="7"/>
        <v>119</v>
      </c>
      <c r="H121">
        <f t="shared" ca="1" si="8"/>
        <v>9282.65676828305</v>
      </c>
      <c r="I121">
        <f t="shared" ca="1" si="9"/>
        <v>16315.140532350915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86587</v>
      </c>
      <c r="B124" s="66">
        <v>86587</v>
      </c>
      <c r="D124">
        <f t="shared" si="5"/>
        <v>80.451002071970791</v>
      </c>
      <c r="E124">
        <f t="shared" si="6"/>
        <v>80.451002071970791</v>
      </c>
      <c r="G124">
        <f t="shared" ca="1" si="7"/>
        <v>122</v>
      </c>
      <c r="H124">
        <f t="shared" ca="1" si="8"/>
        <v>9815.0222527804362</v>
      </c>
      <c r="I124">
        <f t="shared" ca="1" si="9"/>
        <v>24531.646161194418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87582</v>
      </c>
      <c r="B126" s="66">
        <v>87582</v>
      </c>
      <c r="D126">
        <f t="shared" si="5"/>
        <v>81.375491280069127</v>
      </c>
      <c r="E126">
        <f t="shared" si="6"/>
        <v>81.375491280069127</v>
      </c>
      <c r="G126">
        <f t="shared" ca="1" si="7"/>
        <v>124</v>
      </c>
      <c r="H126">
        <f t="shared" ca="1" si="8"/>
        <v>10090.560918728572</v>
      </c>
      <c r="I126">
        <f t="shared" ca="1" si="9"/>
        <v>30823.01229131849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87923</v>
      </c>
      <c r="B129" s="66">
        <v>87923</v>
      </c>
      <c r="D129">
        <f t="shared" si="5"/>
        <v>81.692326275005342</v>
      </c>
      <c r="E129">
        <f t="shared" si="6"/>
        <v>81.692326275005342</v>
      </c>
      <c r="G129">
        <f t="shared" ca="1" si="7"/>
        <v>127</v>
      </c>
      <c r="H129">
        <f t="shared" ca="1" si="8"/>
        <v>10374.925436925678</v>
      </c>
      <c r="I129">
        <f t="shared" ca="1" si="9"/>
        <v>41217.70036962923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87842</v>
      </c>
      <c r="B131" s="66">
        <v>87842</v>
      </c>
      <c r="D131">
        <f t="shared" ref="D131:D194" si="10">IFERROR( 100*A131/MAX(A$2:A$257), 0 )</f>
        <v>81.617066349521963</v>
      </c>
      <c r="E131">
        <f t="shared" ref="E131:E194" si="11">IFERROR( 100*B131/MAX(B$2:B$257), 0 )</f>
        <v>81.617066349521963</v>
      </c>
      <c r="G131">
        <f t="shared" ref="G131:G194" ca="1" si="12">CELL("row",D131)-2</f>
        <v>129</v>
      </c>
      <c r="H131">
        <f t="shared" ref="H131:H194" ca="1" si="13">D131*G131</f>
        <v>10528.601559088333</v>
      </c>
      <c r="I131">
        <f t="shared" ref="I131:I194" ca="1" si="14">D131*((G131-$L$1)^2)</f>
        <v>48839.374257479518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86369</v>
      </c>
      <c r="B134" s="66">
        <v>86369</v>
      </c>
      <c r="D134">
        <f t="shared" si="10"/>
        <v>80.248450667583413</v>
      </c>
      <c r="E134">
        <f t="shared" si="11"/>
        <v>80.248450667583413</v>
      </c>
      <c r="G134">
        <f t="shared" ca="1" si="12"/>
        <v>132</v>
      </c>
      <c r="H134">
        <f t="shared" ca="1" si="13"/>
        <v>10592.79548812101</v>
      </c>
      <c r="I134">
        <f t="shared" ca="1" si="14"/>
        <v>60520.931292752146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75082</v>
      </c>
      <c r="B136" s="66">
        <v>75082</v>
      </c>
      <c r="D136">
        <f t="shared" si="10"/>
        <v>69.761305248682945</v>
      </c>
      <c r="E136">
        <f t="shared" si="11"/>
        <v>69.761305248682945</v>
      </c>
      <c r="G136">
        <f t="shared" ca="1" si="12"/>
        <v>134</v>
      </c>
      <c r="H136">
        <f t="shared" ca="1" si="13"/>
        <v>9348.0149033235139</v>
      </c>
      <c r="I136">
        <f t="shared" ca="1" si="14"/>
        <v>60554.072261386274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72648</v>
      </c>
      <c r="B139" s="66">
        <v>72648</v>
      </c>
      <c r="D139">
        <f t="shared" si="10"/>
        <v>67.499790944651437</v>
      </c>
      <c r="E139">
        <f t="shared" si="11"/>
        <v>67.499790944651437</v>
      </c>
      <c r="G139">
        <f t="shared" ca="1" si="12"/>
        <v>137</v>
      </c>
      <c r="H139">
        <f t="shared" ca="1" si="13"/>
        <v>9247.4713594172463</v>
      </c>
      <c r="I139">
        <f t="shared" ca="1" si="14"/>
        <v>71130.667347007489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69949</v>
      </c>
      <c r="B142" s="66">
        <v>69949</v>
      </c>
      <c r="D142">
        <f t="shared" si="10"/>
        <v>64.992055896754536</v>
      </c>
      <c r="E142">
        <f t="shared" si="11"/>
        <v>64.992055896754536</v>
      </c>
      <c r="G142">
        <f t="shared" ca="1" si="12"/>
        <v>140</v>
      </c>
      <c r="H142">
        <f t="shared" ca="1" si="13"/>
        <v>9098.8878255456348</v>
      </c>
      <c r="I142">
        <f t="shared" ca="1" si="14"/>
        <v>81731.657081816244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69540</v>
      </c>
      <c r="B144" s="66">
        <v>69540</v>
      </c>
      <c r="D144">
        <f t="shared" si="10"/>
        <v>64.612039729807577</v>
      </c>
      <c r="E144">
        <f t="shared" si="11"/>
        <v>64.612039729807577</v>
      </c>
      <c r="G144">
        <f t="shared" ca="1" si="12"/>
        <v>142</v>
      </c>
      <c r="H144">
        <f t="shared" ca="1" si="13"/>
        <v>9174.9096416326756</v>
      </c>
      <c r="I144">
        <f t="shared" ca="1" si="14"/>
        <v>90677.337029699425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66073</v>
      </c>
      <c r="B147" s="66">
        <v>66073</v>
      </c>
      <c r="D147">
        <f t="shared" si="10"/>
        <v>61.390729092142308</v>
      </c>
      <c r="E147">
        <f t="shared" si="11"/>
        <v>61.390729092142308</v>
      </c>
      <c r="G147">
        <f t="shared" ca="1" si="12"/>
        <v>145</v>
      </c>
      <c r="H147">
        <f t="shared" ca="1" si="13"/>
        <v>8901.6557183606346</v>
      </c>
      <c r="I147">
        <f t="shared" ca="1" si="14"/>
        <v>100507.99710130515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65345</v>
      </c>
      <c r="B149" s="66">
        <v>65345</v>
      </c>
      <c r="D149">
        <f t="shared" si="10"/>
        <v>60.714318897674374</v>
      </c>
      <c r="E149">
        <f t="shared" si="11"/>
        <v>60.714318897674374</v>
      </c>
      <c r="G149">
        <f t="shared" ca="1" si="12"/>
        <v>147</v>
      </c>
      <c r="H149">
        <f t="shared" ca="1" si="13"/>
        <v>8925.0048779581339</v>
      </c>
      <c r="I149">
        <f t="shared" ca="1" si="14"/>
        <v>109469.97213467101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56692</v>
      </c>
      <c r="B152" s="66">
        <v>56692</v>
      </c>
      <c r="D152">
        <f t="shared" si="10"/>
        <v>52.674514759307606</v>
      </c>
      <c r="E152">
        <f t="shared" si="11"/>
        <v>52.674514759307606</v>
      </c>
      <c r="G152">
        <f t="shared" ca="1" si="12"/>
        <v>150</v>
      </c>
      <c r="H152">
        <f t="shared" ca="1" si="13"/>
        <v>7901.1772138961405</v>
      </c>
      <c r="I152">
        <f t="shared" ca="1" si="14"/>
        <v>108868.04140336806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56911</v>
      </c>
      <c r="B154" s="66">
        <v>56911</v>
      </c>
      <c r="D154">
        <f t="shared" si="10"/>
        <v>52.877995298577495</v>
      </c>
      <c r="E154">
        <f t="shared" si="11"/>
        <v>52.877995298577495</v>
      </c>
      <c r="G154">
        <f t="shared" ca="1" si="12"/>
        <v>152</v>
      </c>
      <c r="H154">
        <f t="shared" ca="1" si="13"/>
        <v>8037.4552853837795</v>
      </c>
      <c r="I154">
        <f t="shared" ca="1" si="14"/>
        <v>119115.8969184803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55826</v>
      </c>
      <c r="B157" s="66">
        <v>55826</v>
      </c>
      <c r="D157">
        <f t="shared" si="10"/>
        <v>51.869883951053176</v>
      </c>
      <c r="E157">
        <f t="shared" si="11"/>
        <v>51.869883951053176</v>
      </c>
      <c r="G157">
        <f t="shared" ca="1" si="12"/>
        <v>155</v>
      </c>
      <c r="H157">
        <f t="shared" ca="1" si="13"/>
        <v>8039.8320124132424</v>
      </c>
      <c r="I157">
        <f t="shared" ca="1" si="14"/>
        <v>132082.9345488493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53419</v>
      </c>
      <c r="B160" s="66">
        <v>53419</v>
      </c>
      <c r="D160">
        <f t="shared" si="10"/>
        <v>49.633456288849452</v>
      </c>
      <c r="E160">
        <f t="shared" si="11"/>
        <v>49.633456288849452</v>
      </c>
      <c r="G160">
        <f t="shared" ca="1" si="12"/>
        <v>158</v>
      </c>
      <c r="H160">
        <f t="shared" ca="1" si="13"/>
        <v>7842.0860936382132</v>
      </c>
      <c r="I160">
        <f t="shared" ca="1" si="14"/>
        <v>141862.39754844102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51709</v>
      </c>
      <c r="B162" s="66">
        <v>51709</v>
      </c>
      <c r="D162">
        <f t="shared" si="10"/>
        <v>48.044635639755825</v>
      </c>
      <c r="E162">
        <f t="shared" si="11"/>
        <v>48.044635639755825</v>
      </c>
      <c r="G162">
        <f t="shared" ca="1" si="12"/>
        <v>160</v>
      </c>
      <c r="H162">
        <f t="shared" ca="1" si="13"/>
        <v>7687.141702360932</v>
      </c>
      <c r="I162">
        <f t="shared" ca="1" si="14"/>
        <v>147787.68453781275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44813</v>
      </c>
      <c r="B165" s="66">
        <v>44813</v>
      </c>
      <c r="D165">
        <f t="shared" si="10"/>
        <v>41.637321489960698</v>
      </c>
      <c r="E165">
        <f t="shared" si="11"/>
        <v>41.637321489960698</v>
      </c>
      <c r="G165">
        <f t="shared" ca="1" si="12"/>
        <v>163</v>
      </c>
      <c r="H165">
        <f t="shared" ca="1" si="13"/>
        <v>6786.8834028635938</v>
      </c>
      <c r="I165">
        <f t="shared" ca="1" si="14"/>
        <v>142308.97523858602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41146</v>
      </c>
      <c r="B167" s="66">
        <v>41146</v>
      </c>
      <c r="D167">
        <f t="shared" si="10"/>
        <v>38.230183875793252</v>
      </c>
      <c r="E167">
        <f t="shared" si="11"/>
        <v>38.230183875793252</v>
      </c>
      <c r="G167">
        <f t="shared" ca="1" si="12"/>
        <v>165</v>
      </c>
      <c r="H167">
        <f t="shared" ca="1" si="13"/>
        <v>6307.9803395058861</v>
      </c>
      <c r="I167">
        <f t="shared" ca="1" si="14"/>
        <v>139756.97867073928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33007</v>
      </c>
      <c r="B170" s="66">
        <v>33007</v>
      </c>
      <c r="D170">
        <f t="shared" si="10"/>
        <v>30.667955067037081</v>
      </c>
      <c r="E170">
        <f t="shared" si="11"/>
        <v>30.667955067037081</v>
      </c>
      <c r="G170">
        <f t="shared" ca="1" si="12"/>
        <v>168</v>
      </c>
      <c r="H170">
        <f t="shared" ca="1" si="13"/>
        <v>5152.2164512622294</v>
      </c>
      <c r="I170">
        <f t="shared" ca="1" si="14"/>
        <v>123513.47116905289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29514</v>
      </c>
      <c r="B173" s="66">
        <v>29514</v>
      </c>
      <c r="D173">
        <f t="shared" si="10"/>
        <v>27.422486922426529</v>
      </c>
      <c r="E173">
        <f t="shared" si="11"/>
        <v>27.422486922426529</v>
      </c>
      <c r="G173">
        <f t="shared" ca="1" si="12"/>
        <v>171</v>
      </c>
      <c r="H173">
        <f t="shared" ca="1" si="13"/>
        <v>4689.2452637349361</v>
      </c>
      <c r="I173">
        <f t="shared" ca="1" si="14"/>
        <v>121131.07161928745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25492</v>
      </c>
      <c r="B175" s="66">
        <v>25492</v>
      </c>
      <c r="D175">
        <f t="shared" si="10"/>
        <v>23.685506424967713</v>
      </c>
      <c r="E175">
        <f t="shared" si="11"/>
        <v>23.685506424967713</v>
      </c>
      <c r="G175">
        <f t="shared" ca="1" si="12"/>
        <v>173</v>
      </c>
      <c r="H175">
        <f t="shared" ca="1" si="13"/>
        <v>4097.5926115194143</v>
      </c>
      <c r="I175">
        <f t="shared" ca="1" si="14"/>
        <v>111015.51873231192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19835</v>
      </c>
      <c r="B178" s="66">
        <v>19835</v>
      </c>
      <c r="D178">
        <f t="shared" si="10"/>
        <v>18.429390394603583</v>
      </c>
      <c r="E178">
        <f t="shared" si="11"/>
        <v>18.429390394603583</v>
      </c>
      <c r="G178">
        <f t="shared" ca="1" si="12"/>
        <v>176</v>
      </c>
      <c r="H178">
        <f t="shared" ca="1" si="13"/>
        <v>3243.5727094502308</v>
      </c>
      <c r="I178">
        <f t="shared" ca="1" si="14"/>
        <v>94115.917124633139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14576</v>
      </c>
      <c r="B180" s="66">
        <v>14576</v>
      </c>
      <c r="D180">
        <f t="shared" si="10"/>
        <v>13.543070047478793</v>
      </c>
      <c r="E180">
        <f t="shared" si="11"/>
        <v>13.543070047478793</v>
      </c>
      <c r="G180">
        <f t="shared" ca="1" si="12"/>
        <v>178</v>
      </c>
      <c r="H180">
        <f t="shared" ca="1" si="13"/>
        <v>2410.6664684512252</v>
      </c>
      <c r="I180">
        <f t="shared" ca="1" si="14"/>
        <v>73087.708801281464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8161</v>
      </c>
      <c r="B183" s="66">
        <v>8161</v>
      </c>
      <c r="D183">
        <f t="shared" si="10"/>
        <v>7.5826697761714064</v>
      </c>
      <c r="E183">
        <f t="shared" si="11"/>
        <v>7.5826697761714064</v>
      </c>
      <c r="G183">
        <f t="shared" ca="1" si="12"/>
        <v>181</v>
      </c>
      <c r="H183">
        <f t="shared" ca="1" si="13"/>
        <v>1372.4632294870246</v>
      </c>
      <c r="I183">
        <f t="shared" ca="1" si="14"/>
        <v>44331.77389525414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9107</v>
      </c>
      <c r="B185" s="66">
        <v>9107</v>
      </c>
      <c r="D185">
        <f t="shared" si="10"/>
        <v>8.4616313750267125</v>
      </c>
      <c r="E185">
        <f t="shared" si="11"/>
        <v>8.4616313750267125</v>
      </c>
      <c r="G185">
        <f t="shared" ca="1" si="12"/>
        <v>183</v>
      </c>
      <c r="H185">
        <f t="shared" ca="1" si="13"/>
        <v>1548.4785416298885</v>
      </c>
      <c r="I185">
        <f t="shared" ca="1" si="14"/>
        <v>52092.412036476926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7922</v>
      </c>
      <c r="B188" s="66">
        <v>7922</v>
      </c>
      <c r="D188">
        <f t="shared" si="10"/>
        <v>7.3606065392513029</v>
      </c>
      <c r="E188">
        <f t="shared" si="11"/>
        <v>7.3606065392513029</v>
      </c>
      <c r="G188">
        <f t="shared" ca="1" si="12"/>
        <v>186</v>
      </c>
      <c r="H188">
        <f t="shared" ca="1" si="13"/>
        <v>1369.0728163007423</v>
      </c>
      <c r="I188">
        <f t="shared" ca="1" si="14"/>
        <v>48845.582999176499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4610</v>
      </c>
      <c r="B191" s="66">
        <v>4610</v>
      </c>
      <c r="D191">
        <f t="shared" si="10"/>
        <v>4.2833118083752222</v>
      </c>
      <c r="E191">
        <f t="shared" si="11"/>
        <v>4.2833118083752222</v>
      </c>
      <c r="G191">
        <f t="shared" ca="1" si="12"/>
        <v>189</v>
      </c>
      <c r="H191">
        <f t="shared" ca="1" si="13"/>
        <v>809.54593178291702</v>
      </c>
      <c r="I191">
        <f t="shared" ca="1" si="14"/>
        <v>30556.521593235571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4683</v>
      </c>
      <c r="B193" s="66">
        <v>4683</v>
      </c>
      <c r="D193">
        <f t="shared" si="10"/>
        <v>4.3511386547985174</v>
      </c>
      <c r="E193">
        <f t="shared" si="11"/>
        <v>4.3511386547985174</v>
      </c>
      <c r="G193">
        <f t="shared" ca="1" si="12"/>
        <v>191</v>
      </c>
      <c r="H193">
        <f t="shared" ca="1" si="13"/>
        <v>831.06748306651684</v>
      </c>
      <c r="I193">
        <f t="shared" ca="1" si="14"/>
        <v>32527.819010388979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2536</v>
      </c>
      <c r="B196" s="66">
        <v>2536</v>
      </c>
      <c r="D196">
        <f t="shared" si="15"/>
        <v>2.3562860620476274</v>
      </c>
      <c r="E196">
        <f t="shared" si="16"/>
        <v>2.3562860620476274</v>
      </c>
      <c r="G196">
        <f t="shared" ca="1" si="17"/>
        <v>194</v>
      </c>
      <c r="H196">
        <f t="shared" ca="1" si="18"/>
        <v>457.11949603723968</v>
      </c>
      <c r="I196">
        <f t="shared" ca="1" si="19"/>
        <v>18858.477959972894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2733</v>
      </c>
      <c r="B198" s="66">
        <v>2733</v>
      </c>
      <c r="D198">
        <f t="shared" si="15"/>
        <v>2.5393256339022736</v>
      </c>
      <c r="E198">
        <f t="shared" si="16"/>
        <v>2.5393256339022736</v>
      </c>
      <c r="G198">
        <f t="shared" ca="1" si="17"/>
        <v>196</v>
      </c>
      <c r="H198">
        <f t="shared" ca="1" si="18"/>
        <v>497.70782424484565</v>
      </c>
      <c r="I198">
        <f t="shared" ca="1" si="19"/>
        <v>21242.282089463028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1465</v>
      </c>
      <c r="B201" s="66">
        <v>1465</v>
      </c>
      <c r="D201">
        <f t="shared" si="15"/>
        <v>1.3611826028784599</v>
      </c>
      <c r="E201">
        <f t="shared" si="16"/>
        <v>1.3611826028784599</v>
      </c>
      <c r="G201">
        <f t="shared" ca="1" si="17"/>
        <v>199</v>
      </c>
      <c r="H201">
        <f t="shared" ca="1" si="18"/>
        <v>270.87533797281355</v>
      </c>
      <c r="I201">
        <f t="shared" ca="1" si="19"/>
        <v>12145.964457395867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623</v>
      </c>
      <c r="B203" s="66">
        <v>623</v>
      </c>
      <c r="D203">
        <f t="shared" si="15"/>
        <v>0.57885103180428699</v>
      </c>
      <c r="E203">
        <f t="shared" si="16"/>
        <v>0.57885103180428699</v>
      </c>
      <c r="G203">
        <f t="shared" ca="1" si="17"/>
        <v>201</v>
      </c>
      <c r="H203">
        <f t="shared" ca="1" si="18"/>
        <v>116.34905739266168</v>
      </c>
      <c r="I203">
        <f t="shared" ca="1" si="19"/>
        <v>5386.1773766903279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404</v>
      </c>
      <c r="B206" s="66">
        <v>404</v>
      </c>
      <c r="D206">
        <f t="shared" si="15"/>
        <v>0.37537049253440125</v>
      </c>
      <c r="E206">
        <f t="shared" si="16"/>
        <v>0.37537049253440125</v>
      </c>
      <c r="G206">
        <f t="shared" ca="1" si="17"/>
        <v>204</v>
      </c>
      <c r="H206">
        <f t="shared" ca="1" si="18"/>
        <v>76.575580477017851</v>
      </c>
      <c r="I206">
        <f t="shared" ca="1" si="19"/>
        <v>3713.4346169079254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292</v>
      </c>
      <c r="B209" s="66">
        <v>292</v>
      </c>
      <c r="D209">
        <f t="shared" si="15"/>
        <v>0.27130738569318108</v>
      </c>
      <c r="E209">
        <f t="shared" si="16"/>
        <v>0.27130738569318108</v>
      </c>
      <c r="G209">
        <f t="shared" ca="1" si="17"/>
        <v>207</v>
      </c>
      <c r="H209">
        <f t="shared" ca="1" si="18"/>
        <v>56.160628838488485</v>
      </c>
      <c r="I209">
        <f t="shared" ca="1" si="19"/>
        <v>2848.3182498402707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674</v>
      </c>
      <c r="B211" s="66">
        <v>674</v>
      </c>
      <c r="D211">
        <f t="shared" si="15"/>
        <v>0.62623691081234267</v>
      </c>
      <c r="E211">
        <f t="shared" si="16"/>
        <v>0.62623691081234267</v>
      </c>
      <c r="G211">
        <f t="shared" ca="1" si="17"/>
        <v>209</v>
      </c>
      <c r="H211">
        <f t="shared" ca="1" si="18"/>
        <v>130.88351435977961</v>
      </c>
      <c r="I211">
        <f t="shared" ca="1" si="19"/>
        <v>6833.7100685511996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581</v>
      </c>
      <c r="B214" s="66">
        <v>581</v>
      </c>
      <c r="D214">
        <f t="shared" si="15"/>
        <v>0.53982736673882947</v>
      </c>
      <c r="E214">
        <f t="shared" si="16"/>
        <v>0.53982736673882947</v>
      </c>
      <c r="G214">
        <f t="shared" ca="1" si="17"/>
        <v>212</v>
      </c>
      <c r="H214">
        <f t="shared" ca="1" si="18"/>
        <v>114.44340174863184</v>
      </c>
      <c r="I214">
        <f t="shared" ca="1" si="19"/>
        <v>6233.9873452735183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151</v>
      </c>
      <c r="B216" s="66">
        <v>151</v>
      </c>
      <c r="D216">
        <f t="shared" si="15"/>
        <v>0.14029936725914502</v>
      </c>
      <c r="E216">
        <f t="shared" si="16"/>
        <v>0.14029936725914502</v>
      </c>
      <c r="G216">
        <f t="shared" ca="1" si="17"/>
        <v>214</v>
      </c>
      <c r="H216">
        <f t="shared" ca="1" si="18"/>
        <v>30.024064593457034</v>
      </c>
      <c r="I216">
        <f t="shared" ca="1" si="19"/>
        <v>1681.0616063694195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404</v>
      </c>
      <c r="B1" s="66" t="s">
        <v>405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93.642374053691753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1.8070113837391455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0.71008125651553633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101</v>
      </c>
      <c r="B8" s="66">
        <v>101</v>
      </c>
      <c r="D8">
        <f t="shared" si="0"/>
        <v>0.10075315477081151</v>
      </c>
      <c r="E8">
        <f t="shared" si="1"/>
        <v>0.10075315477081151</v>
      </c>
      <c r="G8">
        <f t="shared" ca="1" si="2"/>
        <v>6</v>
      </c>
      <c r="H8">
        <f t="shared" ca="1" si="3"/>
        <v>0.60451892862486911</v>
      </c>
      <c r="I8">
        <f t="shared" ca="1" si="4"/>
        <v>773.90369465458559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775</v>
      </c>
      <c r="B10" s="66">
        <v>775</v>
      </c>
      <c r="D10">
        <f t="shared" si="0"/>
        <v>0.77310589056810819</v>
      </c>
      <c r="E10">
        <f t="shared" si="1"/>
        <v>0.77310589056810819</v>
      </c>
      <c r="G10">
        <f t="shared" ca="1" si="2"/>
        <v>8</v>
      </c>
      <c r="H10">
        <f t="shared" ca="1" si="3"/>
        <v>6.1848471245448655</v>
      </c>
      <c r="I10">
        <f t="shared" ca="1" si="4"/>
        <v>5670.4350152158731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1055</v>
      </c>
      <c r="B13" s="66">
        <v>1055</v>
      </c>
      <c r="D13">
        <f t="shared" si="0"/>
        <v>1.0524215671604569</v>
      </c>
      <c r="E13">
        <f t="shared" si="1"/>
        <v>1.0524215671604569</v>
      </c>
      <c r="G13">
        <f t="shared" ca="1" si="2"/>
        <v>11</v>
      </c>
      <c r="H13">
        <f t="shared" ca="1" si="3"/>
        <v>11.576637238765025</v>
      </c>
      <c r="I13">
        <f t="shared" ca="1" si="4"/>
        <v>7187.7888160386756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1593</v>
      </c>
      <c r="B15" s="66">
        <v>1593</v>
      </c>
      <c r="D15">
        <f t="shared" si="0"/>
        <v>1.5891066886128984</v>
      </c>
      <c r="E15">
        <f t="shared" si="1"/>
        <v>1.5891066886128984</v>
      </c>
      <c r="G15">
        <f t="shared" ca="1" si="2"/>
        <v>13</v>
      </c>
      <c r="H15">
        <f t="shared" ca="1" si="3"/>
        <v>20.658386951967678</v>
      </c>
      <c r="I15">
        <f t="shared" ca="1" si="4"/>
        <v>10334.26668798818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3061</v>
      </c>
      <c r="B18" s="66">
        <v>3061</v>
      </c>
      <c r="D18">
        <f t="shared" si="0"/>
        <v>3.0535188787470697</v>
      </c>
      <c r="E18">
        <f t="shared" si="1"/>
        <v>3.0535188787470697</v>
      </c>
      <c r="G18">
        <f t="shared" ca="1" si="2"/>
        <v>16</v>
      </c>
      <c r="H18">
        <f t="shared" ca="1" si="3"/>
        <v>48.856302059953116</v>
      </c>
      <c r="I18">
        <f t="shared" ca="1" si="4"/>
        <v>18407.644649858303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3077</v>
      </c>
      <c r="B21" s="66">
        <v>3077</v>
      </c>
      <c r="D21">
        <f t="shared" si="0"/>
        <v>3.0694797745523466</v>
      </c>
      <c r="E21">
        <f t="shared" si="1"/>
        <v>3.0694797745523466</v>
      </c>
      <c r="G21">
        <f t="shared" ca="1" si="2"/>
        <v>19</v>
      </c>
      <c r="H21">
        <f t="shared" ca="1" si="3"/>
        <v>58.320115716494584</v>
      </c>
      <c r="I21">
        <f t="shared" ca="1" si="4"/>
        <v>17101.557465659425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6552</v>
      </c>
      <c r="B23" s="66">
        <v>6552</v>
      </c>
      <c r="D23">
        <f t="shared" si="0"/>
        <v>6.5359868322609609</v>
      </c>
      <c r="E23">
        <f t="shared" si="1"/>
        <v>6.5359868322609609</v>
      </c>
      <c r="G23">
        <f t="shared" ca="1" si="2"/>
        <v>21</v>
      </c>
      <c r="H23">
        <f t="shared" ca="1" si="3"/>
        <v>137.25572347748019</v>
      </c>
      <c r="I23">
        <f t="shared" ca="1" si="4"/>
        <v>34489.843740277509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10601</v>
      </c>
      <c r="B26" s="66">
        <v>10601</v>
      </c>
      <c r="D26">
        <f t="shared" si="0"/>
        <v>10.575091026983889</v>
      </c>
      <c r="E26">
        <f t="shared" si="1"/>
        <v>10.575091026983889</v>
      </c>
      <c r="G26">
        <f t="shared" ca="1" si="2"/>
        <v>24</v>
      </c>
      <c r="H26">
        <f t="shared" ca="1" si="3"/>
        <v>253.80218464761333</v>
      </c>
      <c r="I26">
        <f t="shared" ca="1" si="4"/>
        <v>51289.828776405411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15856</v>
      </c>
      <c r="B28" s="66">
        <v>15856</v>
      </c>
      <c r="D28">
        <f t="shared" si="0"/>
        <v>15.817247743029577</v>
      </c>
      <c r="E28">
        <f t="shared" si="1"/>
        <v>15.817247743029577</v>
      </c>
      <c r="G28">
        <f t="shared" ca="1" si="2"/>
        <v>26</v>
      </c>
      <c r="H28">
        <f t="shared" ca="1" si="3"/>
        <v>411.24844131876904</v>
      </c>
      <c r="I28">
        <f t="shared" ca="1" si="4"/>
        <v>72371.671017383022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17542</v>
      </c>
      <c r="B31" s="66">
        <v>17542</v>
      </c>
      <c r="D31">
        <f t="shared" si="0"/>
        <v>17.499127138510648</v>
      </c>
      <c r="E31">
        <f t="shared" si="1"/>
        <v>17.499127138510648</v>
      </c>
      <c r="G31">
        <f t="shared" ca="1" si="2"/>
        <v>29</v>
      </c>
      <c r="H31">
        <f t="shared" ca="1" si="3"/>
        <v>507.47468701680879</v>
      </c>
      <c r="I31">
        <f t="shared" ca="1" si="4"/>
        <v>73122.491786805331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23357</v>
      </c>
      <c r="B33" s="66">
        <v>23357</v>
      </c>
      <c r="D33">
        <f t="shared" si="0"/>
        <v>23.299915207741034</v>
      </c>
      <c r="E33">
        <f t="shared" si="1"/>
        <v>23.299915207741034</v>
      </c>
      <c r="G33">
        <f t="shared" ca="1" si="2"/>
        <v>31</v>
      </c>
      <c r="H33">
        <f t="shared" ca="1" si="3"/>
        <v>722.29737143997204</v>
      </c>
      <c r="I33">
        <f t="shared" ca="1" si="4"/>
        <v>91430.429000517805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31186</v>
      </c>
      <c r="B36" s="66">
        <v>31186</v>
      </c>
      <c r="D36">
        <f t="shared" si="0"/>
        <v>31.109781036460671</v>
      </c>
      <c r="E36">
        <f t="shared" si="1"/>
        <v>31.109781036460671</v>
      </c>
      <c r="G36">
        <f t="shared" ca="1" si="2"/>
        <v>34</v>
      </c>
      <c r="H36">
        <f t="shared" ca="1" si="3"/>
        <v>1057.7325552396628</v>
      </c>
      <c r="I36">
        <f t="shared" ca="1" si="4"/>
        <v>110664.11077177757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36861</v>
      </c>
      <c r="B39" s="66">
        <v>36861</v>
      </c>
      <c r="D39">
        <f t="shared" si="0"/>
        <v>36.770911267394879</v>
      </c>
      <c r="E39">
        <f t="shared" si="1"/>
        <v>36.770911267394879</v>
      </c>
      <c r="G39">
        <f t="shared" ca="1" si="2"/>
        <v>37</v>
      </c>
      <c r="H39">
        <f t="shared" ca="1" si="3"/>
        <v>1360.5237168936105</v>
      </c>
      <c r="I39">
        <f t="shared" ca="1" si="4"/>
        <v>117974.26713090466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35444</v>
      </c>
      <c r="B41" s="66">
        <v>35444</v>
      </c>
      <c r="D41">
        <f t="shared" si="0"/>
        <v>35.357374432640029</v>
      </c>
      <c r="E41">
        <f t="shared" si="1"/>
        <v>35.357374432640029</v>
      </c>
      <c r="G41">
        <f t="shared" ca="1" si="2"/>
        <v>39</v>
      </c>
      <c r="H41">
        <f t="shared" ca="1" si="3"/>
        <v>1378.9376028729612</v>
      </c>
      <c r="I41">
        <f t="shared" ca="1" si="4"/>
        <v>105569.66114277227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44156</v>
      </c>
      <c r="B44" s="66">
        <v>44156</v>
      </c>
      <c r="D44">
        <f t="shared" si="0"/>
        <v>44.0480821986134</v>
      </c>
      <c r="E44">
        <f t="shared" si="1"/>
        <v>44.0480821986134</v>
      </c>
      <c r="G44">
        <f t="shared" ca="1" si="2"/>
        <v>42</v>
      </c>
      <c r="H44">
        <f t="shared" ca="1" si="3"/>
        <v>1850.0194523417629</v>
      </c>
      <c r="I44">
        <f t="shared" ca="1" si="4"/>
        <v>117473.36319630395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48827</v>
      </c>
      <c r="B46" s="66">
        <v>48827</v>
      </c>
      <c r="D46">
        <f t="shared" si="0"/>
        <v>48.707666217766473</v>
      </c>
      <c r="E46">
        <f t="shared" si="1"/>
        <v>48.707666217766473</v>
      </c>
      <c r="G46">
        <f t="shared" ca="1" si="2"/>
        <v>44</v>
      </c>
      <c r="H46">
        <f t="shared" ca="1" si="3"/>
        <v>2143.1373135817248</v>
      </c>
      <c r="I46">
        <f t="shared" ca="1" si="4"/>
        <v>120033.48255319864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50670</v>
      </c>
      <c r="B49" s="66">
        <v>50670</v>
      </c>
      <c r="D49">
        <f t="shared" si="0"/>
        <v>50.546161903336824</v>
      </c>
      <c r="E49">
        <f t="shared" si="1"/>
        <v>50.546161903336824</v>
      </c>
      <c r="G49">
        <f t="shared" ca="1" si="2"/>
        <v>47</v>
      </c>
      <c r="H49">
        <f t="shared" ca="1" si="3"/>
        <v>2375.6696094568306</v>
      </c>
      <c r="I49">
        <f t="shared" ca="1" si="4"/>
        <v>109963.7341280454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53356</v>
      </c>
      <c r="B51" s="66">
        <v>53356</v>
      </c>
      <c r="D51">
        <f t="shared" si="0"/>
        <v>53.225597286647712</v>
      </c>
      <c r="E51">
        <f t="shared" si="1"/>
        <v>53.225597286647712</v>
      </c>
      <c r="G51">
        <f t="shared" ca="1" si="2"/>
        <v>49</v>
      </c>
      <c r="H51">
        <f t="shared" ca="1" si="3"/>
        <v>2608.054267045738</v>
      </c>
      <c r="I51">
        <f t="shared" ca="1" si="4"/>
        <v>106075.50494957856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58712</v>
      </c>
      <c r="B54" s="66">
        <v>58712</v>
      </c>
      <c r="D54">
        <f t="shared" si="0"/>
        <v>58.568507157464211</v>
      </c>
      <c r="E54">
        <f t="shared" si="1"/>
        <v>58.568507157464211</v>
      </c>
      <c r="G54">
        <f t="shared" ca="1" si="2"/>
        <v>52</v>
      </c>
      <c r="H54">
        <f t="shared" ca="1" si="3"/>
        <v>3045.5623721881389</v>
      </c>
      <c r="I54">
        <f t="shared" ca="1" si="4"/>
        <v>101562.90542728404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69116</v>
      </c>
      <c r="B57" s="66">
        <v>69116</v>
      </c>
      <c r="D57">
        <f t="shared" si="0"/>
        <v>68.947079654845624</v>
      </c>
      <c r="E57">
        <f t="shared" si="1"/>
        <v>68.947079654845624</v>
      </c>
      <c r="G57">
        <f t="shared" ca="1" si="2"/>
        <v>55</v>
      </c>
      <c r="H57">
        <f t="shared" ca="1" si="3"/>
        <v>3792.0893810165094</v>
      </c>
      <c r="I57">
        <f t="shared" ca="1" si="4"/>
        <v>102954.05959328172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69834</v>
      </c>
      <c r="B59" s="66">
        <v>69834</v>
      </c>
      <c r="D59">
        <f t="shared" si="0"/>
        <v>69.663324854107444</v>
      </c>
      <c r="E59">
        <f t="shared" si="1"/>
        <v>69.663324854107444</v>
      </c>
      <c r="G59">
        <f t="shared" ca="1" si="2"/>
        <v>57</v>
      </c>
      <c r="H59">
        <f t="shared" ca="1" si="3"/>
        <v>3970.8095166841244</v>
      </c>
      <c r="I59">
        <f t="shared" ca="1" si="4"/>
        <v>93534.408884914097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71910</v>
      </c>
      <c r="B62" s="66">
        <v>71910</v>
      </c>
      <c r="D62">
        <f t="shared" si="0"/>
        <v>71.734251084842143</v>
      </c>
      <c r="E62">
        <f t="shared" si="1"/>
        <v>71.734251084842143</v>
      </c>
      <c r="G62">
        <f t="shared" ca="1" si="2"/>
        <v>60</v>
      </c>
      <c r="H62">
        <f t="shared" ca="1" si="3"/>
        <v>4304.0550650905288</v>
      </c>
      <c r="I62">
        <f t="shared" ca="1" si="4"/>
        <v>81189.494799596709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73613</v>
      </c>
      <c r="B64" s="66">
        <v>73613</v>
      </c>
      <c r="D64">
        <f t="shared" si="0"/>
        <v>73.43308893211632</v>
      </c>
      <c r="E64">
        <f t="shared" si="1"/>
        <v>73.43308893211632</v>
      </c>
      <c r="G64">
        <f t="shared" ca="1" si="2"/>
        <v>62</v>
      </c>
      <c r="H64">
        <f t="shared" ca="1" si="3"/>
        <v>4552.8515137912118</v>
      </c>
      <c r="I64">
        <f t="shared" ca="1" si="4"/>
        <v>73524.133901282301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77539</v>
      </c>
      <c r="B67" s="66">
        <v>77539</v>
      </c>
      <c r="D67">
        <f t="shared" ref="D67:D130" si="5">IFERROR(100*A67/MAX(A$2:A$257), 0 )</f>
        <v>77.349493740336172</v>
      </c>
      <c r="E67">
        <f t="shared" ref="E67:E130" si="6">IFERROR(100*B67/MAX(B$2:B$257), 0 )</f>
        <v>77.349493740336172</v>
      </c>
      <c r="G67">
        <f t="shared" ref="G67:G130" ca="1" si="7">CELL("row",D67)-2</f>
        <v>65</v>
      </c>
      <c r="H67">
        <f t="shared" ref="H67:H130" ca="1" si="8">D67*G67</f>
        <v>5027.7170931218516</v>
      </c>
      <c r="I67">
        <f t="shared" ref="I67:I130" ca="1" si="9">D67*((G67-$L$1)^2)</f>
        <v>63456.410169100112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76942</v>
      </c>
      <c r="B69" s="66">
        <v>76942</v>
      </c>
      <c r="D69">
        <f t="shared" si="5"/>
        <v>76.753952815601778</v>
      </c>
      <c r="E69">
        <f t="shared" si="6"/>
        <v>76.753952815601778</v>
      </c>
      <c r="G69">
        <f t="shared" ca="1" si="7"/>
        <v>67</v>
      </c>
      <c r="H69">
        <f t="shared" ca="1" si="8"/>
        <v>5142.5148386453193</v>
      </c>
      <c r="I69">
        <f t="shared" ca="1" si="9"/>
        <v>54481.191080027078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73507</v>
      </c>
      <c r="B72" s="66">
        <v>73507</v>
      </c>
      <c r="D72">
        <f t="shared" si="5"/>
        <v>73.327347997406349</v>
      </c>
      <c r="E72">
        <f t="shared" si="6"/>
        <v>73.327347997406349</v>
      </c>
      <c r="G72">
        <f t="shared" ca="1" si="7"/>
        <v>70</v>
      </c>
      <c r="H72">
        <f t="shared" ca="1" si="8"/>
        <v>5132.9143598184446</v>
      </c>
      <c r="I72">
        <f t="shared" ca="1" si="9"/>
        <v>40987.190157828343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83005</v>
      </c>
      <c r="B75" s="66">
        <v>83005</v>
      </c>
      <c r="D75">
        <f t="shared" si="5"/>
        <v>82.802134769813961</v>
      </c>
      <c r="E75">
        <f t="shared" si="6"/>
        <v>82.802134769813961</v>
      </c>
      <c r="G75">
        <f t="shared" ca="1" si="7"/>
        <v>73</v>
      </c>
      <c r="H75">
        <f t="shared" ca="1" si="8"/>
        <v>6044.5558381964192</v>
      </c>
      <c r="I75">
        <f t="shared" ca="1" si="9"/>
        <v>35282.6194658612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75571</v>
      </c>
      <c r="B77" s="66">
        <v>75571</v>
      </c>
      <c r="D77">
        <f t="shared" si="5"/>
        <v>75.386303556287103</v>
      </c>
      <c r="E77">
        <f t="shared" si="6"/>
        <v>75.386303556287103</v>
      </c>
      <c r="G77">
        <f t="shared" ca="1" si="7"/>
        <v>75</v>
      </c>
      <c r="H77">
        <f t="shared" ca="1" si="8"/>
        <v>5653.9727667215329</v>
      </c>
      <c r="I77">
        <f t="shared" ca="1" si="9"/>
        <v>26199.613484808462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73421</v>
      </c>
      <c r="B80" s="66">
        <v>73421</v>
      </c>
      <c r="D80">
        <f t="shared" si="5"/>
        <v>73.241558182452991</v>
      </c>
      <c r="E80">
        <f t="shared" si="6"/>
        <v>73.241558182452991</v>
      </c>
      <c r="G80">
        <f t="shared" ca="1" si="7"/>
        <v>78</v>
      </c>
      <c r="H80">
        <f t="shared" ca="1" si="8"/>
        <v>5712.8415382313333</v>
      </c>
      <c r="I80">
        <f t="shared" ca="1" si="9"/>
        <v>17921.027610554589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74031</v>
      </c>
      <c r="B82" s="66">
        <v>74031</v>
      </c>
      <c r="D82">
        <f t="shared" si="5"/>
        <v>73.850067335029181</v>
      </c>
      <c r="E82">
        <f t="shared" si="6"/>
        <v>73.850067335029181</v>
      </c>
      <c r="G82">
        <f t="shared" ca="1" si="7"/>
        <v>80</v>
      </c>
      <c r="H82">
        <f t="shared" ca="1" si="8"/>
        <v>5908.0053868023342</v>
      </c>
      <c r="I82">
        <f t="shared" ca="1" si="9"/>
        <v>13744.558743285703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80619</v>
      </c>
      <c r="B85" s="66">
        <v>80619</v>
      </c>
      <c r="D85">
        <f t="shared" si="5"/>
        <v>80.421966182852017</v>
      </c>
      <c r="E85">
        <f t="shared" si="6"/>
        <v>80.421966182852017</v>
      </c>
      <c r="G85">
        <f t="shared" ca="1" si="7"/>
        <v>83</v>
      </c>
      <c r="H85">
        <f t="shared" ca="1" si="8"/>
        <v>6675.0231931767175</v>
      </c>
      <c r="I85">
        <f t="shared" ca="1" si="9"/>
        <v>9108.6019827213386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83716</v>
      </c>
      <c r="B88" s="66">
        <v>83716</v>
      </c>
      <c r="D88">
        <f t="shared" si="5"/>
        <v>83.51139707716095</v>
      </c>
      <c r="E88">
        <f t="shared" si="6"/>
        <v>83.51139707716095</v>
      </c>
      <c r="G88">
        <f t="shared" ca="1" si="7"/>
        <v>86</v>
      </c>
      <c r="H88">
        <f t="shared" ca="1" si="8"/>
        <v>7181.9801486358419</v>
      </c>
      <c r="I88">
        <f t="shared" ca="1" si="9"/>
        <v>4877.556734575589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85971</v>
      </c>
      <c r="B90" s="66">
        <v>85971</v>
      </c>
      <c r="D90">
        <f t="shared" si="5"/>
        <v>85.760885829717196</v>
      </c>
      <c r="E90">
        <f t="shared" si="6"/>
        <v>85.760885829717196</v>
      </c>
      <c r="G90">
        <f t="shared" ca="1" si="7"/>
        <v>88</v>
      </c>
      <c r="H90">
        <f t="shared" ca="1" si="8"/>
        <v>7546.9579530151132</v>
      </c>
      <c r="I90">
        <f t="shared" ca="1" si="9"/>
        <v>2730.3165759376175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89598</v>
      </c>
      <c r="B93" s="66">
        <v>89598</v>
      </c>
      <c r="D93">
        <f t="shared" si="5"/>
        <v>89.37902139757594</v>
      </c>
      <c r="E93">
        <f t="shared" si="6"/>
        <v>89.37902139757594</v>
      </c>
      <c r="G93">
        <f t="shared" ca="1" si="7"/>
        <v>91</v>
      </c>
      <c r="H93">
        <f t="shared" ca="1" si="8"/>
        <v>8133.4909471794108</v>
      </c>
      <c r="I93">
        <f t="shared" ca="1" si="9"/>
        <v>624.05689762978352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95098</v>
      </c>
      <c r="B95" s="66">
        <v>95098</v>
      </c>
      <c r="D95">
        <f t="shared" si="5"/>
        <v>94.865579330639932</v>
      </c>
      <c r="E95">
        <f t="shared" si="6"/>
        <v>94.865579330639932</v>
      </c>
      <c r="G95">
        <f t="shared" ca="1" si="7"/>
        <v>93</v>
      </c>
      <c r="H95">
        <f t="shared" ca="1" si="8"/>
        <v>8822.4988777495128</v>
      </c>
      <c r="I95">
        <f t="shared" ca="1" si="9"/>
        <v>39.145752421558811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98053</v>
      </c>
      <c r="B98" s="66">
        <v>98053</v>
      </c>
      <c r="D98">
        <f t="shared" si="5"/>
        <v>97.813357274677045</v>
      </c>
      <c r="E98">
        <f t="shared" si="6"/>
        <v>97.813357274677045</v>
      </c>
      <c r="G98">
        <f t="shared" ca="1" si="7"/>
        <v>96</v>
      </c>
      <c r="H98">
        <f t="shared" ca="1" si="8"/>
        <v>9390.0822983689959</v>
      </c>
      <c r="I98">
        <f t="shared" ca="1" si="9"/>
        <v>543.68577512156935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100245</v>
      </c>
      <c r="B100" s="66">
        <v>100245</v>
      </c>
      <c r="D100">
        <f t="shared" si="5"/>
        <v>100</v>
      </c>
      <c r="E100">
        <f t="shared" si="6"/>
        <v>100</v>
      </c>
      <c r="G100">
        <f t="shared" ca="1" si="7"/>
        <v>98</v>
      </c>
      <c r="H100">
        <f t="shared" ca="1" si="8"/>
        <v>9800</v>
      </c>
      <c r="I100">
        <f t="shared" ca="1" si="9"/>
        <v>1898.8903887938839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91131</v>
      </c>
      <c r="B103" s="66">
        <v>91131</v>
      </c>
      <c r="D103">
        <f t="shared" si="5"/>
        <v>90.908274726919046</v>
      </c>
      <c r="E103">
        <f t="shared" si="6"/>
        <v>90.908274726919046</v>
      </c>
      <c r="G103">
        <f t="shared" ca="1" si="7"/>
        <v>101</v>
      </c>
      <c r="H103">
        <f t="shared" ca="1" si="8"/>
        <v>9181.7357474188229</v>
      </c>
      <c r="I103">
        <f t="shared" ca="1" si="9"/>
        <v>4921.2885040549208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94530</v>
      </c>
      <c r="B106" s="66">
        <v>94530</v>
      </c>
      <c r="D106">
        <f t="shared" si="5"/>
        <v>94.298967529552598</v>
      </c>
      <c r="E106">
        <f t="shared" si="6"/>
        <v>94.298967529552598</v>
      </c>
      <c r="G106">
        <f t="shared" ca="1" si="7"/>
        <v>104</v>
      </c>
      <c r="H106">
        <f t="shared" ca="1" si="8"/>
        <v>9807.0926230734694</v>
      </c>
      <c r="I106">
        <f t="shared" ca="1" si="9"/>
        <v>10116.43239361672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84511</v>
      </c>
      <c r="B108" s="66">
        <v>84511</v>
      </c>
      <c r="D108">
        <f t="shared" si="5"/>
        <v>84.304454087485666</v>
      </c>
      <c r="E108">
        <f t="shared" si="6"/>
        <v>84.304454087485666</v>
      </c>
      <c r="G108">
        <f t="shared" ca="1" si="7"/>
        <v>106</v>
      </c>
      <c r="H108">
        <f t="shared" ca="1" si="8"/>
        <v>8936.27213327348</v>
      </c>
      <c r="I108">
        <f t="shared" ca="1" si="9"/>
        <v>12874.210661927178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85525</v>
      </c>
      <c r="B111" s="66">
        <v>85525</v>
      </c>
      <c r="D111">
        <f t="shared" si="5"/>
        <v>85.315975859145098</v>
      </c>
      <c r="E111">
        <f t="shared" si="6"/>
        <v>85.315975859145098</v>
      </c>
      <c r="G111">
        <f t="shared" ca="1" si="7"/>
        <v>109</v>
      </c>
      <c r="H111">
        <f t="shared" ca="1" si="8"/>
        <v>9299.441368646816</v>
      </c>
      <c r="I111">
        <f t="shared" ca="1" si="9"/>
        <v>20122.342365496785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80736</v>
      </c>
      <c r="B113" s="66">
        <v>80736</v>
      </c>
      <c r="D113">
        <f t="shared" si="5"/>
        <v>80.538680233428096</v>
      </c>
      <c r="E113">
        <f t="shared" si="6"/>
        <v>80.538680233428096</v>
      </c>
      <c r="G113">
        <f t="shared" ca="1" si="7"/>
        <v>111</v>
      </c>
      <c r="H113">
        <f t="shared" ca="1" si="8"/>
        <v>8939.7935059105184</v>
      </c>
      <c r="I113">
        <f t="shared" ca="1" si="9"/>
        <v>24265.271726995197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71764</v>
      </c>
      <c r="B116" s="66">
        <v>71764</v>
      </c>
      <c r="D116">
        <f t="shared" si="5"/>
        <v>71.58860791061899</v>
      </c>
      <c r="E116">
        <f t="shared" si="6"/>
        <v>71.58860791061899</v>
      </c>
      <c r="G116">
        <f t="shared" ca="1" si="7"/>
        <v>114</v>
      </c>
      <c r="H116">
        <f t="shared" ca="1" si="8"/>
        <v>8161.101301810565</v>
      </c>
      <c r="I116">
        <f t="shared" ca="1" si="9"/>
        <v>29668.676829529377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71972</v>
      </c>
      <c r="B118" s="66">
        <v>71972</v>
      </c>
      <c r="D118">
        <f t="shared" si="5"/>
        <v>71.796099556087583</v>
      </c>
      <c r="E118">
        <f t="shared" si="6"/>
        <v>71.796099556087583</v>
      </c>
      <c r="G118">
        <f t="shared" ca="1" si="7"/>
        <v>116</v>
      </c>
      <c r="H118">
        <f t="shared" ca="1" si="8"/>
        <v>8328.347548506159</v>
      </c>
      <c r="I118">
        <f t="shared" ca="1" si="9"/>
        <v>35888.245155867953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62689</v>
      </c>
      <c r="B121" s="66">
        <v>62689</v>
      </c>
      <c r="D121">
        <f t="shared" si="5"/>
        <v>62.535787321063395</v>
      </c>
      <c r="E121">
        <f t="shared" si="6"/>
        <v>62.535787321063395</v>
      </c>
      <c r="G121">
        <f t="shared" ca="1" si="7"/>
        <v>119</v>
      </c>
      <c r="H121">
        <f t="shared" ca="1" si="8"/>
        <v>7441.7586912065444</v>
      </c>
      <c r="I121">
        <f t="shared" ca="1" si="9"/>
        <v>40211.086178514575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54713</v>
      </c>
      <c r="B124" s="66">
        <v>54713</v>
      </c>
      <c r="D124">
        <f t="shared" si="5"/>
        <v>54.579280762132775</v>
      </c>
      <c r="E124">
        <f t="shared" si="6"/>
        <v>54.579280762132775</v>
      </c>
      <c r="G124">
        <f t="shared" ca="1" si="7"/>
        <v>122</v>
      </c>
      <c r="H124">
        <f t="shared" ca="1" si="8"/>
        <v>6658.6722529801982</v>
      </c>
      <c r="I124">
        <f t="shared" ca="1" si="9"/>
        <v>43890.198754689234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54589</v>
      </c>
      <c r="B126" s="66">
        <v>54589</v>
      </c>
      <c r="D126">
        <f t="shared" si="5"/>
        <v>54.45558381964188</v>
      </c>
      <c r="E126">
        <f t="shared" si="6"/>
        <v>54.45558381964188</v>
      </c>
      <c r="G126">
        <f t="shared" ca="1" si="7"/>
        <v>124</v>
      </c>
      <c r="H126">
        <f t="shared" ca="1" si="8"/>
        <v>6752.4923936355935</v>
      </c>
      <c r="I126">
        <f t="shared" ca="1" si="9"/>
        <v>50185.473888030108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47809</v>
      </c>
      <c r="B129" s="66">
        <v>47809</v>
      </c>
      <c r="D129">
        <f t="shared" si="5"/>
        <v>47.692154222155722</v>
      </c>
      <c r="E129">
        <f t="shared" si="6"/>
        <v>47.692154222155722</v>
      </c>
      <c r="G129">
        <f t="shared" ca="1" si="7"/>
        <v>127</v>
      </c>
      <c r="H129">
        <f t="shared" ca="1" si="8"/>
        <v>6056.9035862137771</v>
      </c>
      <c r="I129">
        <f t="shared" ca="1" si="9"/>
        <v>53068.548416646641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41746</v>
      </c>
      <c r="B131" s="66">
        <v>41746</v>
      </c>
      <c r="D131">
        <f t="shared" ref="D131:D194" si="10">IFERROR(100*A131/MAX(A$2:A$257), 0 )</f>
        <v>41.643972267943539</v>
      </c>
      <c r="E131">
        <f t="shared" ref="E131:E194" si="11">IFERROR(100*B131/MAX(B$2:B$257), 0 )</f>
        <v>41.643972267943539</v>
      </c>
      <c r="G131">
        <f t="shared" ref="G131:G194" ca="1" si="12">CELL("row",D131)-2</f>
        <v>129</v>
      </c>
      <c r="H131">
        <f t="shared" ref="H131:H194" ca="1" si="13">D131*G131</f>
        <v>5372.0724225647164</v>
      </c>
      <c r="I131">
        <f t="shared" ref="I131:I194" ca="1" si="14">D131*((G131-$L$1)^2)</f>
        <v>52061.699688253888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39651</v>
      </c>
      <c r="B134" s="66">
        <v>39651</v>
      </c>
      <c r="D134">
        <f t="shared" si="10"/>
        <v>39.554092473440072</v>
      </c>
      <c r="E134">
        <f t="shared" si="11"/>
        <v>39.554092473440072</v>
      </c>
      <c r="G134">
        <f t="shared" ca="1" si="12"/>
        <v>132</v>
      </c>
      <c r="H134">
        <f t="shared" ca="1" si="13"/>
        <v>5221.1402064940894</v>
      </c>
      <c r="I134">
        <f t="shared" ca="1" si="14"/>
        <v>58196.231655505318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36576</v>
      </c>
      <c r="B136" s="66">
        <v>36576</v>
      </c>
      <c r="D136">
        <f t="shared" si="10"/>
        <v>36.486607810863383</v>
      </c>
      <c r="E136">
        <f t="shared" si="11"/>
        <v>36.486607810863383</v>
      </c>
      <c r="G136">
        <f t="shared" ca="1" si="12"/>
        <v>134</v>
      </c>
      <c r="H136">
        <f t="shared" ca="1" si="13"/>
        <v>4889.2054466556929</v>
      </c>
      <c r="I136">
        <f t="shared" ca="1" si="14"/>
        <v>59427.123611832532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30901</v>
      </c>
      <c r="B139" s="66">
        <v>30901</v>
      </c>
      <c r="D139">
        <f t="shared" si="10"/>
        <v>30.825477579929174</v>
      </c>
      <c r="E139">
        <f t="shared" si="11"/>
        <v>30.825477579929174</v>
      </c>
      <c r="G139">
        <f t="shared" ca="1" si="12"/>
        <v>137</v>
      </c>
      <c r="H139">
        <f t="shared" ca="1" si="13"/>
        <v>4223.0904284502967</v>
      </c>
      <c r="I139">
        <f t="shared" ca="1" si="14"/>
        <v>57948.313701089479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24355</v>
      </c>
      <c r="B142" s="66">
        <v>24355</v>
      </c>
      <c r="D142">
        <f t="shared" si="10"/>
        <v>24.29547608359519</v>
      </c>
      <c r="E142">
        <f t="shared" si="11"/>
        <v>24.29547608359519</v>
      </c>
      <c r="G142">
        <f t="shared" ca="1" si="12"/>
        <v>140</v>
      </c>
      <c r="H142">
        <f t="shared" ca="1" si="13"/>
        <v>3401.3666517033266</v>
      </c>
      <c r="I142">
        <f t="shared" ca="1" si="14"/>
        <v>52211.694416347033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25006</v>
      </c>
      <c r="B144" s="66">
        <v>25006</v>
      </c>
      <c r="D144">
        <f t="shared" si="10"/>
        <v>24.944885031672403</v>
      </c>
      <c r="E144">
        <f t="shared" si="11"/>
        <v>24.944885031672403</v>
      </c>
      <c r="G144">
        <f t="shared" ca="1" si="12"/>
        <v>142</v>
      </c>
      <c r="H144">
        <f t="shared" ca="1" si="13"/>
        <v>3542.173674497481</v>
      </c>
      <c r="I144">
        <f t="shared" ca="1" si="14"/>
        <v>58332.615530948766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20476</v>
      </c>
      <c r="B147" s="66">
        <v>20476</v>
      </c>
      <c r="D147">
        <f t="shared" si="10"/>
        <v>20.425956406803333</v>
      </c>
      <c r="E147">
        <f t="shared" si="11"/>
        <v>20.425956406803333</v>
      </c>
      <c r="G147">
        <f t="shared" ca="1" si="12"/>
        <v>145</v>
      </c>
      <c r="H147">
        <f t="shared" ca="1" si="13"/>
        <v>2961.7636789864832</v>
      </c>
      <c r="I147">
        <f t="shared" ca="1" si="14"/>
        <v>53875.619921602636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21485</v>
      </c>
      <c r="B149" s="66">
        <v>21485</v>
      </c>
      <c r="D149">
        <f t="shared" si="10"/>
        <v>21.432490398523615</v>
      </c>
      <c r="E149">
        <f t="shared" si="11"/>
        <v>21.432490398523615</v>
      </c>
      <c r="G149">
        <f t="shared" ca="1" si="12"/>
        <v>147</v>
      </c>
      <c r="H149">
        <f t="shared" ca="1" si="13"/>
        <v>3150.5760885829714</v>
      </c>
      <c r="I149">
        <f t="shared" ca="1" si="14"/>
        <v>61019.077020063611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18855</v>
      </c>
      <c r="B152" s="66">
        <v>18855</v>
      </c>
      <c r="D152">
        <f t="shared" si="10"/>
        <v>18.808918150531198</v>
      </c>
      <c r="E152">
        <f t="shared" si="11"/>
        <v>18.808918150531198</v>
      </c>
      <c r="G152">
        <f t="shared" ca="1" si="12"/>
        <v>150</v>
      </c>
      <c r="H152">
        <f t="shared" ca="1" si="13"/>
        <v>2821.3377225796798</v>
      </c>
      <c r="I152">
        <f t="shared" ca="1" si="14"/>
        <v>59740.547312526163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17740</v>
      </c>
      <c r="B154" s="66">
        <v>17740</v>
      </c>
      <c r="D154">
        <f t="shared" si="10"/>
        <v>17.696643224100953</v>
      </c>
      <c r="E154">
        <f t="shared" si="11"/>
        <v>17.696643224100953</v>
      </c>
      <c r="G154">
        <f t="shared" ca="1" si="12"/>
        <v>152</v>
      </c>
      <c r="H154">
        <f t="shared" ca="1" si="13"/>
        <v>2689.8897700633447</v>
      </c>
      <c r="I154">
        <f t="shared" ca="1" si="14"/>
        <v>60267.909479797432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17734</v>
      </c>
      <c r="B157" s="66">
        <v>17734</v>
      </c>
      <c r="D157">
        <f t="shared" si="10"/>
        <v>17.690657888173973</v>
      </c>
      <c r="E157">
        <f t="shared" si="11"/>
        <v>17.690657888173973</v>
      </c>
      <c r="G157">
        <f t="shared" ca="1" si="12"/>
        <v>155</v>
      </c>
      <c r="H157">
        <f t="shared" ca="1" si="13"/>
        <v>2742.0519726669659</v>
      </c>
      <c r="I157">
        <f t="shared" ca="1" si="14"/>
        <v>66601.050440597915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18110</v>
      </c>
      <c r="B160" s="66">
        <v>18110</v>
      </c>
      <c r="D160">
        <f t="shared" si="10"/>
        <v>18.065738939597985</v>
      </c>
      <c r="E160">
        <f t="shared" si="11"/>
        <v>18.065738939597985</v>
      </c>
      <c r="G160">
        <f t="shared" ca="1" si="12"/>
        <v>158</v>
      </c>
      <c r="H160">
        <f t="shared" ca="1" si="13"/>
        <v>2854.3867524564816</v>
      </c>
      <c r="I160">
        <f t="shared" ca="1" si="14"/>
        <v>74826.556692032173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21355</v>
      </c>
      <c r="B162" s="66">
        <v>21355</v>
      </c>
      <c r="D162">
        <f t="shared" si="10"/>
        <v>21.302808120105741</v>
      </c>
      <c r="E162">
        <f t="shared" si="11"/>
        <v>21.302808120105741</v>
      </c>
      <c r="G162">
        <f t="shared" ca="1" si="12"/>
        <v>160</v>
      </c>
      <c r="H162">
        <f t="shared" ca="1" si="13"/>
        <v>3408.4492992169185</v>
      </c>
      <c r="I162">
        <f t="shared" ca="1" si="14"/>
        <v>93803.390394403803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19771</v>
      </c>
      <c r="B165" s="66">
        <v>19771</v>
      </c>
      <c r="D165">
        <f t="shared" si="10"/>
        <v>19.722679435383309</v>
      </c>
      <c r="E165">
        <f t="shared" si="11"/>
        <v>19.722679435383309</v>
      </c>
      <c r="G165">
        <f t="shared" ca="1" si="12"/>
        <v>163</v>
      </c>
      <c r="H165">
        <f t="shared" ca="1" si="13"/>
        <v>3214.7967479674794</v>
      </c>
      <c r="I165">
        <f t="shared" ca="1" si="14"/>
        <v>94875.560431690625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18948</v>
      </c>
      <c r="B167" s="66">
        <v>18948</v>
      </c>
      <c r="D167">
        <f t="shared" si="10"/>
        <v>18.901690857399373</v>
      </c>
      <c r="E167">
        <f t="shared" si="11"/>
        <v>18.901690857399373</v>
      </c>
      <c r="G167">
        <f t="shared" ca="1" si="12"/>
        <v>165</v>
      </c>
      <c r="H167">
        <f t="shared" ca="1" si="13"/>
        <v>3118.7789914708965</v>
      </c>
      <c r="I167">
        <f t="shared" ca="1" si="14"/>
        <v>96245.723450122794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19211</v>
      </c>
      <c r="B170" s="66">
        <v>19211</v>
      </c>
      <c r="D170">
        <f t="shared" si="10"/>
        <v>19.164048082198612</v>
      </c>
      <c r="E170">
        <f t="shared" si="11"/>
        <v>19.164048082198612</v>
      </c>
      <c r="G170">
        <f t="shared" ca="1" si="12"/>
        <v>168</v>
      </c>
      <c r="H170">
        <f t="shared" ca="1" si="13"/>
        <v>3219.5600778093667</v>
      </c>
      <c r="I170">
        <f t="shared" ca="1" si="14"/>
        <v>105959.10531221014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16766</v>
      </c>
      <c r="B173" s="66">
        <v>16766</v>
      </c>
      <c r="D173">
        <f t="shared" si="10"/>
        <v>16.725023691954711</v>
      </c>
      <c r="E173">
        <f t="shared" si="11"/>
        <v>16.725023691954711</v>
      </c>
      <c r="G173">
        <f t="shared" ca="1" si="12"/>
        <v>171</v>
      </c>
      <c r="H173">
        <f t="shared" ca="1" si="13"/>
        <v>2859.9790513242556</v>
      </c>
      <c r="I173">
        <f t="shared" ca="1" si="14"/>
        <v>100085.92511196824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12983</v>
      </c>
      <c r="B175" s="66">
        <v>12983</v>
      </c>
      <c r="D175">
        <f t="shared" si="10"/>
        <v>12.951269389994513</v>
      </c>
      <c r="E175">
        <f t="shared" si="11"/>
        <v>12.951269389994513</v>
      </c>
      <c r="G175">
        <f t="shared" ca="1" si="12"/>
        <v>173</v>
      </c>
      <c r="H175">
        <f t="shared" ca="1" si="13"/>
        <v>2240.5696044690508</v>
      </c>
      <c r="I175">
        <f t="shared" ca="1" si="14"/>
        <v>81562.338858112736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13343</v>
      </c>
      <c r="B178" s="66">
        <v>13343</v>
      </c>
      <c r="D178">
        <f t="shared" si="10"/>
        <v>13.310389545613248</v>
      </c>
      <c r="E178">
        <f t="shared" si="11"/>
        <v>13.310389545613248</v>
      </c>
      <c r="G178">
        <f t="shared" ca="1" si="12"/>
        <v>176</v>
      </c>
      <c r="H178">
        <f t="shared" ca="1" si="13"/>
        <v>2342.6285600279316</v>
      </c>
      <c r="I178">
        <f t="shared" ca="1" si="14"/>
        <v>90281.424722255426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12955</v>
      </c>
      <c r="B180" s="66">
        <v>12955</v>
      </c>
      <c r="D180">
        <f t="shared" si="10"/>
        <v>12.923337822335279</v>
      </c>
      <c r="E180">
        <f t="shared" si="11"/>
        <v>12.923337822335279</v>
      </c>
      <c r="G180">
        <f t="shared" ca="1" si="12"/>
        <v>178</v>
      </c>
      <c r="H180">
        <f t="shared" ca="1" si="13"/>
        <v>2300.3541323756795</v>
      </c>
      <c r="I180">
        <f t="shared" ca="1" si="14"/>
        <v>91965.173635967862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14458</v>
      </c>
      <c r="B183" s="66">
        <v>14458</v>
      </c>
      <c r="D183">
        <f t="shared" si="10"/>
        <v>14.422664472043493</v>
      </c>
      <c r="E183">
        <f t="shared" si="11"/>
        <v>14.422664472043493</v>
      </c>
      <c r="G183">
        <f t="shared" ca="1" si="12"/>
        <v>181</v>
      </c>
      <c r="H183">
        <f t="shared" ca="1" si="13"/>
        <v>2610.5022694398722</v>
      </c>
      <c r="I183">
        <f t="shared" ca="1" si="14"/>
        <v>110064.46990580889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10126</v>
      </c>
      <c r="B185" s="66">
        <v>10126</v>
      </c>
      <c r="D185">
        <f t="shared" si="10"/>
        <v>10.101251932764727</v>
      </c>
      <c r="E185">
        <f t="shared" si="11"/>
        <v>10.101251932764727</v>
      </c>
      <c r="G185">
        <f t="shared" ca="1" si="12"/>
        <v>183</v>
      </c>
      <c r="H185">
        <f t="shared" ca="1" si="13"/>
        <v>1848.529103695945</v>
      </c>
      <c r="I185">
        <f t="shared" ca="1" si="14"/>
        <v>80656.328093434306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7730</v>
      </c>
      <c r="B188" s="66">
        <v>7730</v>
      </c>
      <c r="D188">
        <f t="shared" si="10"/>
        <v>7.7111077859244848</v>
      </c>
      <c r="E188">
        <f t="shared" si="11"/>
        <v>7.7111077859244848</v>
      </c>
      <c r="G188">
        <f t="shared" ca="1" si="12"/>
        <v>186</v>
      </c>
      <c r="H188">
        <f t="shared" ca="1" si="13"/>
        <v>1434.2660481819541</v>
      </c>
      <c r="I188">
        <f t="shared" ca="1" si="14"/>
        <v>65775.217890655098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7263</v>
      </c>
      <c r="B191" s="66">
        <v>7263</v>
      </c>
      <c r="D191">
        <f t="shared" si="10"/>
        <v>7.2452491396079601</v>
      </c>
      <c r="E191">
        <f t="shared" si="11"/>
        <v>7.2452491396079601</v>
      </c>
      <c r="G191">
        <f t="shared" ca="1" si="12"/>
        <v>189</v>
      </c>
      <c r="H191">
        <f t="shared" ca="1" si="13"/>
        <v>1369.3520873859045</v>
      </c>
      <c r="I191">
        <f t="shared" ca="1" si="14"/>
        <v>65881.607050806313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6376</v>
      </c>
      <c r="B193" s="66">
        <v>6376</v>
      </c>
      <c r="D193">
        <f t="shared" si="10"/>
        <v>6.3604169784029132</v>
      </c>
      <c r="E193">
        <f t="shared" si="11"/>
        <v>6.3604169784029132</v>
      </c>
      <c r="G193">
        <f t="shared" ca="1" si="12"/>
        <v>191</v>
      </c>
      <c r="H193">
        <f t="shared" ca="1" si="13"/>
        <v>1214.8396428749563</v>
      </c>
      <c r="I193">
        <f t="shared" ca="1" si="14"/>
        <v>60287.258951020522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5364</v>
      </c>
      <c r="B196" s="66">
        <v>5364</v>
      </c>
      <c r="D196">
        <f t="shared" si="15"/>
        <v>5.3508903187191379</v>
      </c>
      <c r="E196">
        <f t="shared" si="16"/>
        <v>5.3508903187191379</v>
      </c>
      <c r="G196">
        <f t="shared" ca="1" si="17"/>
        <v>194</v>
      </c>
      <c r="H196">
        <f t="shared" ca="1" si="18"/>
        <v>1038.0727218315128</v>
      </c>
      <c r="I196">
        <f t="shared" ca="1" si="19"/>
        <v>53892.310989123056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2475</v>
      </c>
      <c r="B198" s="66">
        <v>2475</v>
      </c>
      <c r="D198">
        <f t="shared" si="15"/>
        <v>2.4689510698787971</v>
      </c>
      <c r="E198">
        <f t="shared" si="16"/>
        <v>2.4689510698787971</v>
      </c>
      <c r="G198">
        <f t="shared" ca="1" si="17"/>
        <v>196</v>
      </c>
      <c r="H198">
        <f t="shared" ca="1" si="18"/>
        <v>483.91440969624421</v>
      </c>
      <c r="I198">
        <f t="shared" ca="1" si="19"/>
        <v>25867.40673717071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2642</v>
      </c>
      <c r="B201" s="66">
        <v>2642</v>
      </c>
      <c r="D201">
        <f t="shared" si="15"/>
        <v>2.6355429198463765</v>
      </c>
      <c r="E201">
        <f t="shared" si="16"/>
        <v>2.6355429198463765</v>
      </c>
      <c r="G201">
        <f t="shared" ca="1" si="17"/>
        <v>199</v>
      </c>
      <c r="H201">
        <f t="shared" ca="1" si="18"/>
        <v>524.47304104942896</v>
      </c>
      <c r="I201">
        <f t="shared" ca="1" si="19"/>
        <v>29255.130858996959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3334</v>
      </c>
      <c r="B203" s="66">
        <v>3334</v>
      </c>
      <c r="D203">
        <f t="shared" si="15"/>
        <v>3.3258516634246096</v>
      </c>
      <c r="E203">
        <f t="shared" si="16"/>
        <v>3.3258516634246096</v>
      </c>
      <c r="G203">
        <f t="shared" ca="1" si="17"/>
        <v>201</v>
      </c>
      <c r="H203">
        <f t="shared" ca="1" si="18"/>
        <v>668.49618434834656</v>
      </c>
      <c r="I203">
        <f t="shared" ca="1" si="19"/>
        <v>38332.634980288967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2486</v>
      </c>
      <c r="B206" s="66">
        <v>2486</v>
      </c>
      <c r="D206">
        <f t="shared" si="15"/>
        <v>2.4799241857449248</v>
      </c>
      <c r="E206">
        <f t="shared" si="16"/>
        <v>2.4799241857449248</v>
      </c>
      <c r="G206">
        <f t="shared" ca="1" si="17"/>
        <v>204</v>
      </c>
      <c r="H206">
        <f t="shared" ca="1" si="18"/>
        <v>505.90453389196466</v>
      </c>
      <c r="I206">
        <f t="shared" ca="1" si="19"/>
        <v>30202.514572098502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1176</v>
      </c>
      <c r="B209" s="66">
        <v>1176</v>
      </c>
      <c r="D209">
        <f t="shared" si="15"/>
        <v>1.1731258416878647</v>
      </c>
      <c r="E209">
        <f t="shared" si="16"/>
        <v>1.1731258416878647</v>
      </c>
      <c r="G209">
        <f t="shared" ca="1" si="17"/>
        <v>207</v>
      </c>
      <c r="H209">
        <f t="shared" ca="1" si="18"/>
        <v>242.83704922938799</v>
      </c>
      <c r="I209">
        <f t="shared" ca="1" si="19"/>
        <v>15074.610005062965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781</v>
      </c>
      <c r="B211" s="66">
        <v>781</v>
      </c>
      <c r="D211">
        <f t="shared" si="15"/>
        <v>0.779091226495087</v>
      </c>
      <c r="E211">
        <f t="shared" si="16"/>
        <v>0.779091226495087</v>
      </c>
      <c r="G211">
        <f t="shared" ca="1" si="17"/>
        <v>209</v>
      </c>
      <c r="H211">
        <f t="shared" ca="1" si="18"/>
        <v>162.83006633747317</v>
      </c>
      <c r="I211">
        <f t="shared" ca="1" si="19"/>
        <v>10367.664457837594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2142</v>
      </c>
      <c r="B214" s="66">
        <v>2142</v>
      </c>
      <c r="D214">
        <f t="shared" si="15"/>
        <v>2.1367649259314678</v>
      </c>
      <c r="E214">
        <f t="shared" si="16"/>
        <v>2.1367649259314678</v>
      </c>
      <c r="G214">
        <f t="shared" ca="1" si="17"/>
        <v>212</v>
      </c>
      <c r="H214">
        <f t="shared" ca="1" si="18"/>
        <v>452.99416429747117</v>
      </c>
      <c r="I214">
        <f t="shared" ca="1" si="19"/>
        <v>29932.930481602274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750</v>
      </c>
      <c r="B216" s="66">
        <v>750</v>
      </c>
      <c r="D216">
        <f t="shared" si="15"/>
        <v>0.74816699087236271</v>
      </c>
      <c r="E216">
        <f t="shared" si="16"/>
        <v>0.74816699087236271</v>
      </c>
      <c r="G216">
        <f t="shared" ca="1" si="17"/>
        <v>214</v>
      </c>
      <c r="H216">
        <f t="shared" ca="1" si="18"/>
        <v>160.10773604668563</v>
      </c>
      <c r="I216">
        <f t="shared" ca="1" si="19"/>
        <v>10837.915699110768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971</v>
      </c>
      <c r="B219" s="66">
        <v>971</v>
      </c>
      <c r="D219">
        <f t="shared" si="15"/>
        <v>0.96862686418275223</v>
      </c>
      <c r="E219">
        <f t="shared" si="16"/>
        <v>0.96862686418275223</v>
      </c>
      <c r="G219">
        <f t="shared" ca="1" si="17"/>
        <v>217</v>
      </c>
      <c r="H219">
        <f t="shared" ca="1" si="18"/>
        <v>210.19202952765724</v>
      </c>
      <c r="I219">
        <f t="shared" ca="1" si="19"/>
        <v>14739.695612364838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450</v>
      </c>
      <c r="B221" s="66">
        <v>450</v>
      </c>
      <c r="D221">
        <f t="shared" si="15"/>
        <v>0.44890019452341762</v>
      </c>
      <c r="E221">
        <f t="shared" si="16"/>
        <v>0.44890019452341762</v>
      </c>
      <c r="G221">
        <f t="shared" ca="1" si="17"/>
        <v>219</v>
      </c>
      <c r="H221">
        <f t="shared" ca="1" si="18"/>
        <v>98.309142600628462</v>
      </c>
      <c r="I221">
        <f t="shared" ca="1" si="19"/>
        <v>7054.2575413262912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406</v>
      </c>
      <c r="B1" s="68" t="s">
        <v>407</v>
      </c>
      <c r="C1" s="32" t="s">
        <v>408</v>
      </c>
      <c r="D1" s="32" t="s">
        <v>409</v>
      </c>
      <c r="E1" s="32" t="s">
        <v>410</v>
      </c>
    </row>
    <row r="2" spans="1:5">
      <c r="A2" s="68">
        <v>0.32958700000000002</v>
      </c>
      <c r="B2" s="68">
        <v>0.46396100000000001</v>
      </c>
      <c r="C2" s="68">
        <v>0</v>
      </c>
      <c r="D2" s="68">
        <v>1</v>
      </c>
      <c r="E2" s="68" t="s">
        <v>411</v>
      </c>
    </row>
    <row r="3" spans="1:5">
      <c r="A3" s="68">
        <v>0.33802300000000002</v>
      </c>
      <c r="B3" s="68">
        <v>0.45656099999999999</v>
      </c>
      <c r="C3" s="68">
        <v>0.373892</v>
      </c>
      <c r="D3" s="89">
        <v>1</v>
      </c>
      <c r="E3" s="68" t="s">
        <v>412</v>
      </c>
    </row>
    <row r="4" spans="1:5">
      <c r="A4" s="68">
        <v>0.34626800000000002</v>
      </c>
      <c r="B4" s="68">
        <v>0.44925700000000002</v>
      </c>
      <c r="C4" s="68">
        <v>0.78367200000000004</v>
      </c>
      <c r="D4" s="89">
        <v>1</v>
      </c>
      <c r="E4" s="68" t="s">
        <v>413</v>
      </c>
    </row>
    <row r="5" spans="1:5">
      <c r="A5" s="89">
        <v>0.35436899999999999</v>
      </c>
      <c r="B5" s="89">
        <v>0.441606</v>
      </c>
      <c r="C5" s="89">
        <v>1.1856899999999999</v>
      </c>
      <c r="D5" s="89">
        <v>1</v>
      </c>
      <c r="E5" s="68" t="s">
        <v>414</v>
      </c>
    </row>
    <row r="6" spans="1:5">
      <c r="A6" s="68">
        <v>0.36262499999999998</v>
      </c>
      <c r="B6" s="68">
        <v>0.432703</v>
      </c>
      <c r="C6" s="68">
        <v>1.59213</v>
      </c>
      <c r="D6" s="68">
        <v>1</v>
      </c>
      <c r="E6" s="68" t="s">
        <v>415</v>
      </c>
    </row>
    <row r="7" spans="1:5">
      <c r="A7" s="68">
        <v>0.37068899999999999</v>
      </c>
      <c r="B7" s="68">
        <v>0.424873</v>
      </c>
      <c r="C7" s="68">
        <v>1.99823</v>
      </c>
      <c r="D7" s="68">
        <v>1</v>
      </c>
      <c r="E7" s="68" t="s">
        <v>416</v>
      </c>
    </row>
    <row r="8" spans="1:5">
      <c r="A8" s="68">
        <v>0.37879000000000002</v>
      </c>
      <c r="B8" s="68">
        <v>0.41762500000000002</v>
      </c>
      <c r="C8" s="68">
        <v>2.4036300000000002</v>
      </c>
      <c r="D8" s="68">
        <v>1</v>
      </c>
      <c r="E8" s="68" t="s">
        <v>417</v>
      </c>
    </row>
    <row r="9" spans="1:5">
      <c r="A9" s="68">
        <v>0.38651400000000002</v>
      </c>
      <c r="B9" s="68">
        <v>0.41094000000000003</v>
      </c>
      <c r="C9" s="68">
        <v>2.8147799999999998</v>
      </c>
      <c r="D9" s="68">
        <v>1</v>
      </c>
      <c r="E9" s="68" t="s">
        <v>418</v>
      </c>
    </row>
    <row r="10" spans="1:5">
      <c r="A10" s="68">
        <v>0.39443899999999998</v>
      </c>
      <c r="B10" s="68">
        <v>0.40331</v>
      </c>
      <c r="C10" s="68">
        <v>3.21834</v>
      </c>
      <c r="D10" s="68">
        <v>1</v>
      </c>
      <c r="E10" s="68" t="s">
        <v>419</v>
      </c>
    </row>
    <row r="11" spans="1:5">
      <c r="A11" s="68">
        <v>0.402225</v>
      </c>
      <c r="B11" s="68">
        <v>0.395258</v>
      </c>
      <c r="C11" s="68">
        <v>3.6246900000000002</v>
      </c>
      <c r="D11" s="68">
        <v>1</v>
      </c>
      <c r="E11" s="68" t="s">
        <v>420</v>
      </c>
    </row>
    <row r="12" spans="1:5">
      <c r="A12" s="68">
        <v>0.40961999999999998</v>
      </c>
      <c r="B12" s="68">
        <v>0.38908500000000001</v>
      </c>
      <c r="C12" s="68">
        <v>4.0308299999999999</v>
      </c>
      <c r="D12" s="68">
        <v>1</v>
      </c>
      <c r="E12" s="68" t="s">
        <v>421</v>
      </c>
    </row>
    <row r="13" spans="1:5">
      <c r="A13" s="68">
        <v>0.41648499999999999</v>
      </c>
      <c r="B13" s="68">
        <v>0.38453999999999999</v>
      </c>
      <c r="C13" s="68">
        <v>4.4373399999999998</v>
      </c>
      <c r="D13" s="68">
        <v>1</v>
      </c>
      <c r="E13" s="68" t="s">
        <v>422</v>
      </c>
    </row>
    <row r="14" spans="1:5">
      <c r="A14" s="68">
        <v>0.42270799999999997</v>
      </c>
      <c r="B14" s="68">
        <v>0.38072600000000001</v>
      </c>
      <c r="C14" s="68">
        <v>4.8415800000000004</v>
      </c>
      <c r="D14" s="68">
        <v>1</v>
      </c>
      <c r="E14" s="68" t="s">
        <v>423</v>
      </c>
    </row>
    <row r="15" spans="1:5">
      <c r="A15" s="68">
        <v>0.42857200000000001</v>
      </c>
      <c r="B15" s="68">
        <v>0.37737500000000002</v>
      </c>
      <c r="C15" s="68">
        <v>5.2527499999999998</v>
      </c>
      <c r="D15" s="68">
        <v>1</v>
      </c>
      <c r="E15" s="68" t="s">
        <v>424</v>
      </c>
    </row>
    <row r="16" spans="1:5">
      <c r="A16" s="68">
        <v>0.434091</v>
      </c>
      <c r="B16" s="68">
        <v>0.373915</v>
      </c>
      <c r="C16" s="68">
        <v>5.6581000000000001</v>
      </c>
      <c r="D16" s="68">
        <v>1</v>
      </c>
      <c r="E16" s="68" t="s">
        <v>425</v>
      </c>
    </row>
    <row r="17" spans="1:5">
      <c r="A17" s="68">
        <v>0.43917299999999998</v>
      </c>
      <c r="B17" s="68">
        <v>0.37091400000000002</v>
      </c>
      <c r="C17" s="68">
        <v>6.0613299999999999</v>
      </c>
      <c r="D17" s="68">
        <v>1</v>
      </c>
      <c r="E17" s="68" t="s">
        <v>426</v>
      </c>
    </row>
    <row r="18" spans="1:5">
      <c r="A18" s="68">
        <v>0.44376300000000002</v>
      </c>
      <c r="B18" s="68">
        <v>0.36742399999999997</v>
      </c>
      <c r="C18" s="68">
        <v>6.4678000000000004</v>
      </c>
      <c r="D18" s="68">
        <v>1</v>
      </c>
      <c r="E18" s="68" t="s">
        <v>427</v>
      </c>
    </row>
    <row r="19" spans="1:5">
      <c r="A19" s="68">
        <v>0.44817899999999999</v>
      </c>
      <c r="B19" s="68">
        <v>0.36396000000000001</v>
      </c>
      <c r="C19" s="68">
        <v>6.8768099999999999</v>
      </c>
      <c r="D19" s="68">
        <v>1</v>
      </c>
      <c r="E19" s="68" t="s">
        <v>428</v>
      </c>
    </row>
    <row r="20" spans="1:5">
      <c r="A20" s="68">
        <v>0.45210899999999998</v>
      </c>
      <c r="B20" s="68">
        <v>0.359711</v>
      </c>
      <c r="C20" s="68">
        <v>7.2812299999999999</v>
      </c>
      <c r="D20" s="68">
        <v>1</v>
      </c>
      <c r="E20" s="68" t="s">
        <v>429</v>
      </c>
    </row>
    <row r="21" spans="1:5">
      <c r="A21" s="68">
        <v>0.45542899999999997</v>
      </c>
      <c r="B21" s="68">
        <v>0.35505300000000001</v>
      </c>
      <c r="C21" s="68">
        <v>7.6865300000000003</v>
      </c>
      <c r="D21" s="68">
        <v>1</v>
      </c>
      <c r="E21" s="68" t="s">
        <v>430</v>
      </c>
    </row>
    <row r="22" spans="1:5">
      <c r="A22" s="68">
        <v>0.45838000000000001</v>
      </c>
      <c r="B22" s="68">
        <v>0.34988799999999998</v>
      </c>
      <c r="C22" s="68">
        <v>8.0901499999999995</v>
      </c>
      <c r="D22" s="68">
        <v>1</v>
      </c>
      <c r="E22" s="68" t="s">
        <v>431</v>
      </c>
    </row>
    <row r="23" spans="1:5">
      <c r="A23" s="68">
        <v>0.46088299999999999</v>
      </c>
      <c r="B23" s="68">
        <v>0.345082</v>
      </c>
      <c r="C23" s="68">
        <v>8.4991900000000005</v>
      </c>
      <c r="D23" s="68">
        <v>1</v>
      </c>
      <c r="E23" s="68" t="s">
        <v>432</v>
      </c>
    </row>
    <row r="24" spans="1:5">
      <c r="A24" s="68">
        <v>0.46299800000000002</v>
      </c>
      <c r="B24" s="68">
        <v>0.33972200000000002</v>
      </c>
      <c r="C24" s="68">
        <v>8.9078499999999998</v>
      </c>
      <c r="D24" s="68">
        <v>1</v>
      </c>
      <c r="E24" s="68" t="s">
        <v>433</v>
      </c>
    </row>
    <row r="25" spans="1:5">
      <c r="A25" s="68">
        <v>0.464833</v>
      </c>
      <c r="B25" s="68">
        <v>0.33444400000000002</v>
      </c>
      <c r="C25" s="68">
        <v>9.31419</v>
      </c>
      <c r="D25" s="68">
        <v>1</v>
      </c>
      <c r="E25" s="68" t="s">
        <v>434</v>
      </c>
    </row>
    <row r="26" spans="1:5">
      <c r="A26" s="68">
        <v>0.466418</v>
      </c>
      <c r="B26" s="68">
        <v>0.329071</v>
      </c>
      <c r="C26" s="68">
        <v>9.7174200000000006</v>
      </c>
      <c r="D26" s="68">
        <v>1</v>
      </c>
      <c r="E26" s="68" t="s">
        <v>435</v>
      </c>
    </row>
    <row r="27" spans="1:5">
      <c r="A27" s="68">
        <v>0.46787000000000001</v>
      </c>
      <c r="B27" s="68">
        <v>0.32401799999999997</v>
      </c>
      <c r="C27" s="68">
        <v>10.1233</v>
      </c>
      <c r="D27" s="68">
        <v>1</v>
      </c>
      <c r="E27" s="68" t="s">
        <v>436</v>
      </c>
    </row>
    <row r="28" spans="1:5">
      <c r="A28" s="68">
        <v>0.46896900000000002</v>
      </c>
      <c r="B28" s="68">
        <v>0.31905800000000001</v>
      </c>
      <c r="C28" s="68">
        <v>10.528700000000001</v>
      </c>
      <c r="D28" s="68">
        <v>1</v>
      </c>
      <c r="E28" s="68" t="s">
        <v>437</v>
      </c>
    </row>
    <row r="29" spans="1:5">
      <c r="A29" s="68">
        <v>0.46958699999999998</v>
      </c>
      <c r="B29" s="68">
        <v>0.314189</v>
      </c>
      <c r="C29" s="68">
        <v>10.9383</v>
      </c>
      <c r="D29" s="68">
        <v>1</v>
      </c>
      <c r="E29" s="68" t="s">
        <v>438</v>
      </c>
    </row>
    <row r="30" spans="1:5">
      <c r="A30" s="68">
        <v>0.469887</v>
      </c>
      <c r="B30" s="68">
        <v>0.30993599999999999</v>
      </c>
      <c r="C30" s="68">
        <v>11.343</v>
      </c>
      <c r="D30" s="68">
        <v>1</v>
      </c>
      <c r="E30" s="68" t="s">
        <v>439</v>
      </c>
    </row>
    <row r="31" spans="1:5">
      <c r="A31" s="68">
        <v>0.46969100000000003</v>
      </c>
      <c r="B31" s="68">
        <v>0.30650699999999997</v>
      </c>
      <c r="C31" s="68">
        <v>11.7498</v>
      </c>
      <c r="D31" s="68">
        <v>1</v>
      </c>
      <c r="E31" s="68" t="s">
        <v>440</v>
      </c>
    </row>
    <row r="32" spans="1:5">
      <c r="A32" s="68">
        <v>0.469439</v>
      </c>
      <c r="B32" s="68">
        <v>0.30344100000000002</v>
      </c>
      <c r="C32" s="68">
        <v>12.1546</v>
      </c>
      <c r="D32" s="68">
        <v>1</v>
      </c>
      <c r="E32" s="68" t="s">
        <v>441</v>
      </c>
    </row>
    <row r="33" spans="1:5">
      <c r="A33" s="68">
        <v>0.46893099999999999</v>
      </c>
      <c r="B33" s="68">
        <v>0.300987</v>
      </c>
      <c r="C33" s="68">
        <v>12.5648</v>
      </c>
      <c r="D33" s="68">
        <v>1</v>
      </c>
      <c r="E33" s="68" t="s">
        <v>442</v>
      </c>
    </row>
    <row r="34" spans="1:5">
      <c r="A34" s="68">
        <v>0.46818900000000002</v>
      </c>
      <c r="B34" s="68">
        <v>0.29897499999999999</v>
      </c>
      <c r="C34" s="68">
        <v>12.9679</v>
      </c>
      <c r="D34" s="68">
        <v>1</v>
      </c>
      <c r="E34" s="68" t="s">
        <v>443</v>
      </c>
    </row>
    <row r="35" spans="1:5">
      <c r="A35" s="68">
        <v>0.46676600000000001</v>
      </c>
      <c r="B35" s="68">
        <v>0.29811900000000002</v>
      </c>
      <c r="C35" s="68">
        <v>13.3767</v>
      </c>
      <c r="D35" s="68">
        <v>1</v>
      </c>
      <c r="E35" s="68" t="s">
        <v>444</v>
      </c>
    </row>
    <row r="36" spans="1:5">
      <c r="A36" s="68">
        <v>0.46468799999999999</v>
      </c>
      <c r="B36" s="68">
        <v>0.298176</v>
      </c>
      <c r="C36" s="68">
        <v>13.7822</v>
      </c>
      <c r="D36" s="68">
        <v>1</v>
      </c>
      <c r="E36" s="68" t="s">
        <v>445</v>
      </c>
    </row>
    <row r="37" spans="1:5">
      <c r="A37" s="68">
        <v>0.46251500000000001</v>
      </c>
      <c r="B37" s="68">
        <v>0.29852899999999999</v>
      </c>
      <c r="C37" s="68">
        <v>14.186500000000001</v>
      </c>
      <c r="D37" s="68">
        <v>1</v>
      </c>
      <c r="E37" s="68" t="s">
        <v>446</v>
      </c>
    </row>
    <row r="38" spans="1:5">
      <c r="A38" s="68">
        <v>0.46020699999999998</v>
      </c>
      <c r="B38" s="68">
        <v>0.29877599999999999</v>
      </c>
      <c r="C38" s="68">
        <v>14.592599999999999</v>
      </c>
      <c r="D38" s="68">
        <v>1</v>
      </c>
      <c r="E38" s="68" t="s">
        <v>447</v>
      </c>
    </row>
    <row r="39" spans="1:5">
      <c r="A39" s="68">
        <v>0.45811299999999999</v>
      </c>
      <c r="B39" s="68">
        <v>0.298763</v>
      </c>
      <c r="C39" s="68">
        <v>14.9993</v>
      </c>
      <c r="D39" s="68">
        <v>1</v>
      </c>
      <c r="E39" s="68" t="s">
        <v>448</v>
      </c>
    </row>
    <row r="40" spans="1:5">
      <c r="A40" s="68">
        <v>0.45588699999999999</v>
      </c>
      <c r="B40" s="68">
        <v>0.29929800000000001</v>
      </c>
      <c r="C40" s="68">
        <v>15.407999999999999</v>
      </c>
      <c r="D40" s="68">
        <v>1</v>
      </c>
      <c r="E40" s="68" t="s">
        <v>449</v>
      </c>
    </row>
    <row r="41" spans="1:5">
      <c r="A41" s="68">
        <v>0.45365899999999998</v>
      </c>
      <c r="B41" s="68">
        <v>0.29974600000000001</v>
      </c>
      <c r="C41" s="68">
        <v>15.8118</v>
      </c>
      <c r="D41" s="68">
        <v>1</v>
      </c>
      <c r="E41" s="68" t="s">
        <v>450</v>
      </c>
    </row>
    <row r="42" spans="1:5">
      <c r="A42" s="68">
        <v>0.45131199999999999</v>
      </c>
      <c r="B42" s="68">
        <v>0.29961599999999999</v>
      </c>
      <c r="C42" s="68">
        <v>16.217300000000002</v>
      </c>
      <c r="D42" s="68">
        <v>1</v>
      </c>
      <c r="E42" s="68" t="s">
        <v>451</v>
      </c>
    </row>
    <row r="43" spans="1:5">
      <c r="A43" s="68">
        <v>0.448716</v>
      </c>
      <c r="B43" s="68">
        <v>0.29951499999999998</v>
      </c>
      <c r="C43" s="68">
        <v>16.622499999999999</v>
      </c>
      <c r="D43" s="68">
        <v>1</v>
      </c>
      <c r="E43" s="68" t="s">
        <v>452</v>
      </c>
    </row>
    <row r="44" spans="1:5">
      <c r="A44" s="68">
        <v>0.44586199999999998</v>
      </c>
      <c r="B44" s="68">
        <v>0.299786</v>
      </c>
      <c r="C44" s="68">
        <v>17.031099999999999</v>
      </c>
      <c r="D44" s="68">
        <v>1</v>
      </c>
      <c r="E44" s="68" t="s">
        <v>453</v>
      </c>
    </row>
    <row r="45" spans="1:5">
      <c r="A45" s="68">
        <v>0.44276900000000002</v>
      </c>
      <c r="B45" s="68">
        <v>0.29965599999999998</v>
      </c>
      <c r="C45" s="68">
        <v>17.437899999999999</v>
      </c>
      <c r="D45" s="68">
        <v>1</v>
      </c>
      <c r="E45" s="68" t="s">
        <v>454</v>
      </c>
    </row>
    <row r="46" spans="1:5">
      <c r="A46" s="68">
        <v>0.43978200000000001</v>
      </c>
      <c r="B46" s="68">
        <v>0.29963299999999998</v>
      </c>
      <c r="C46" s="68">
        <v>17.847000000000001</v>
      </c>
      <c r="D46" s="68">
        <v>1</v>
      </c>
      <c r="E46" s="68" t="s">
        <v>455</v>
      </c>
    </row>
    <row r="47" spans="1:5">
      <c r="A47" s="68">
        <v>0.436699</v>
      </c>
      <c r="B47" s="68">
        <v>0.300232</v>
      </c>
      <c r="C47" s="68">
        <v>18.248899999999999</v>
      </c>
      <c r="D47" s="68">
        <v>1</v>
      </c>
      <c r="E47" s="68" t="s">
        <v>456</v>
      </c>
    </row>
    <row r="48" spans="1:5">
      <c r="A48" s="68">
        <v>0.43380400000000002</v>
      </c>
      <c r="B48" s="68">
        <v>0.300512</v>
      </c>
      <c r="C48" s="68">
        <v>18.654699999999998</v>
      </c>
      <c r="D48" s="68">
        <v>1</v>
      </c>
      <c r="E48" s="68" t="s">
        <v>457</v>
      </c>
    </row>
    <row r="49" spans="1:5">
      <c r="A49" s="68">
        <v>0.430788</v>
      </c>
      <c r="B49" s="68">
        <v>0.30090899999999998</v>
      </c>
      <c r="C49" s="68">
        <v>19.063300000000002</v>
      </c>
      <c r="D49" s="68">
        <v>1</v>
      </c>
      <c r="E49" s="68" t="s">
        <v>458</v>
      </c>
    </row>
    <row r="50" spans="1:5">
      <c r="A50" s="68">
        <v>0.427676</v>
      </c>
      <c r="B50" s="68">
        <v>0.30088199999999998</v>
      </c>
      <c r="C50" s="68">
        <v>19.467600000000001</v>
      </c>
      <c r="D50" s="68">
        <v>1</v>
      </c>
      <c r="E50" s="68" t="s">
        <v>459</v>
      </c>
    </row>
    <row r="51" spans="1:5">
      <c r="A51" s="68">
        <v>0.42455999999999999</v>
      </c>
      <c r="B51" s="68">
        <v>0.30144100000000001</v>
      </c>
      <c r="C51" s="68">
        <v>19.876100000000001</v>
      </c>
      <c r="D51" s="68">
        <v>1</v>
      </c>
      <c r="E51" s="68" t="s">
        <v>460</v>
      </c>
    </row>
    <row r="52" spans="1:5">
      <c r="A52" s="68">
        <v>0.42218299999999997</v>
      </c>
      <c r="B52" s="68">
        <v>0.30271999999999999</v>
      </c>
      <c r="C52" s="68">
        <v>20.280100000000001</v>
      </c>
      <c r="D52" s="68">
        <v>1</v>
      </c>
      <c r="E52" s="68" t="s">
        <v>461</v>
      </c>
    </row>
    <row r="53" spans="1:5">
      <c r="A53" s="68">
        <v>0.41903699999999999</v>
      </c>
      <c r="B53" s="68">
        <v>0.30333500000000002</v>
      </c>
      <c r="C53" s="68">
        <v>20.6858</v>
      </c>
      <c r="D53" s="68">
        <v>1</v>
      </c>
      <c r="E53" s="68" t="s">
        <v>462</v>
      </c>
    </row>
    <row r="54" spans="1:5">
      <c r="A54" s="68">
        <v>0.41608800000000001</v>
      </c>
      <c r="B54" s="68">
        <v>0.30377300000000002</v>
      </c>
      <c r="C54" s="68">
        <v>21.091100000000001</v>
      </c>
      <c r="D54" s="68">
        <v>1</v>
      </c>
      <c r="E54" s="68" t="s">
        <v>463</v>
      </c>
    </row>
    <row r="55" spans="1:5">
      <c r="A55" s="68">
        <v>0.41305500000000001</v>
      </c>
      <c r="B55" s="68">
        <v>0.30402899999999999</v>
      </c>
      <c r="C55" s="68">
        <v>21.498699999999999</v>
      </c>
      <c r="D55" s="68">
        <v>1</v>
      </c>
      <c r="E55" s="68" t="s">
        <v>464</v>
      </c>
    </row>
    <row r="56" spans="1:5">
      <c r="A56" s="68">
        <v>0.40998099999999998</v>
      </c>
      <c r="B56" s="68">
        <v>0.30361500000000002</v>
      </c>
      <c r="C56" s="68">
        <v>21.905000000000001</v>
      </c>
      <c r="D56" s="68">
        <v>1</v>
      </c>
      <c r="E56" s="68" t="s">
        <v>465</v>
      </c>
    </row>
    <row r="57" spans="1:5">
      <c r="A57" s="68">
        <v>0.40655200000000002</v>
      </c>
      <c r="B57" s="68">
        <v>0.30358600000000002</v>
      </c>
      <c r="C57" s="68">
        <v>22.3125</v>
      </c>
      <c r="D57" s="68">
        <v>1</v>
      </c>
      <c r="E57" s="68" t="s">
        <v>466</v>
      </c>
    </row>
    <row r="58" spans="1:5">
      <c r="A58" s="68">
        <v>0.40281099999999997</v>
      </c>
      <c r="B58" s="68">
        <v>0.304309</v>
      </c>
      <c r="C58" s="68">
        <v>22.720199999999998</v>
      </c>
      <c r="D58" s="68">
        <v>1</v>
      </c>
      <c r="E58" s="68" t="s">
        <v>467</v>
      </c>
    </row>
    <row r="59" spans="1:5">
      <c r="A59" s="68">
        <v>0.39918100000000001</v>
      </c>
      <c r="B59" s="68">
        <v>0.30497600000000002</v>
      </c>
      <c r="C59" s="68">
        <v>23.126899999999999</v>
      </c>
      <c r="D59" s="68">
        <v>1</v>
      </c>
      <c r="E59" s="68" t="s">
        <v>468</v>
      </c>
    </row>
    <row r="60" spans="1:5">
      <c r="A60" s="68">
        <v>0.395453</v>
      </c>
      <c r="B60" s="68">
        <v>0.30529800000000001</v>
      </c>
      <c r="C60" s="68">
        <v>23.528700000000001</v>
      </c>
      <c r="D60" s="68">
        <v>1</v>
      </c>
      <c r="E60" s="68" t="s">
        <v>469</v>
      </c>
    </row>
    <row r="61" spans="1:5">
      <c r="A61" s="68">
        <v>0.392009</v>
      </c>
      <c r="B61" s="68">
        <v>0.30496499999999999</v>
      </c>
      <c r="C61" s="68">
        <v>23.936900000000001</v>
      </c>
      <c r="D61" s="68">
        <v>1</v>
      </c>
      <c r="E61" s="68" t="s">
        <v>470</v>
      </c>
    </row>
    <row r="62" spans="1:5">
      <c r="A62" s="68">
        <v>0.38832</v>
      </c>
      <c r="B62" s="68">
        <v>0.30471300000000001</v>
      </c>
      <c r="C62" s="68">
        <v>24.340599999999998</v>
      </c>
      <c r="D62" s="68">
        <v>1</v>
      </c>
      <c r="E62" s="68" t="s">
        <v>471</v>
      </c>
    </row>
    <row r="63" spans="1:5">
      <c r="A63" s="68">
        <v>0.38488800000000001</v>
      </c>
      <c r="B63" s="68">
        <v>0.30470399999999997</v>
      </c>
      <c r="C63" s="68">
        <v>24.7514</v>
      </c>
      <c r="D63" s="68">
        <v>1</v>
      </c>
      <c r="E63" s="68" t="s">
        <v>472</v>
      </c>
    </row>
    <row r="64" spans="1:5">
      <c r="A64" s="68">
        <v>0.38170100000000001</v>
      </c>
      <c r="B64" s="68">
        <v>0.30576599999999998</v>
      </c>
      <c r="C64" s="68">
        <v>25.157</v>
      </c>
      <c r="D64" s="68">
        <v>1</v>
      </c>
      <c r="E64" s="68" t="s">
        <v>473</v>
      </c>
    </row>
    <row r="65" spans="1:5">
      <c r="A65" s="68">
        <v>0.378689</v>
      </c>
      <c r="B65" s="68">
        <v>0.30673899999999998</v>
      </c>
      <c r="C65" s="68">
        <v>25.5609</v>
      </c>
      <c r="D65" s="68">
        <v>1</v>
      </c>
      <c r="E65" s="68" t="s">
        <v>474</v>
      </c>
    </row>
    <row r="66" spans="1:5">
      <c r="A66" s="68">
        <v>0.37588100000000002</v>
      </c>
      <c r="B66" s="68">
        <v>0.30863400000000002</v>
      </c>
      <c r="C66" s="68">
        <v>25.970199999999998</v>
      </c>
      <c r="D66" s="68">
        <v>1</v>
      </c>
      <c r="E66" s="68" t="s">
        <v>475</v>
      </c>
    </row>
    <row r="67" spans="1:5">
      <c r="A67" s="68">
        <v>0.37368600000000002</v>
      </c>
      <c r="B67" s="68">
        <v>0.31018600000000002</v>
      </c>
      <c r="C67" s="68">
        <v>26.3749</v>
      </c>
      <c r="D67" s="68">
        <v>1</v>
      </c>
      <c r="E67" s="68" t="s">
        <v>476</v>
      </c>
    </row>
    <row r="68" spans="1:5">
      <c r="A68" s="68">
        <v>0.37201200000000001</v>
      </c>
      <c r="B68" s="68">
        <v>0.31110500000000002</v>
      </c>
      <c r="C68" s="68">
        <v>26.7837</v>
      </c>
      <c r="D68" s="68">
        <v>1</v>
      </c>
      <c r="E68" s="68" t="s">
        <v>477</v>
      </c>
    </row>
    <row r="69" spans="1:5">
      <c r="A69" s="68">
        <v>0.37073699999999998</v>
      </c>
      <c r="B69" s="68">
        <v>0.31124499999999999</v>
      </c>
      <c r="C69" s="68">
        <v>27.188099999999999</v>
      </c>
      <c r="D69" s="68">
        <v>1</v>
      </c>
      <c r="E69" s="68" t="s">
        <v>478</v>
      </c>
    </row>
    <row r="70" spans="1:5">
      <c r="A70" s="68">
        <v>0.36998300000000001</v>
      </c>
      <c r="B70" s="68">
        <v>0.31119200000000002</v>
      </c>
      <c r="C70" s="68">
        <v>27.591999999999999</v>
      </c>
      <c r="D70" s="68">
        <v>1</v>
      </c>
      <c r="E70" s="68" t="s">
        <v>479</v>
      </c>
    </row>
    <row r="71" spans="1:5">
      <c r="A71" s="68">
        <v>0.36949799999999999</v>
      </c>
      <c r="B71" s="68">
        <v>0.310446</v>
      </c>
      <c r="C71" s="68">
        <v>27.998100000000001</v>
      </c>
      <c r="D71" s="68">
        <v>1</v>
      </c>
      <c r="E71" s="68" t="s">
        <v>480</v>
      </c>
    </row>
    <row r="72" spans="1:5">
      <c r="A72" s="68">
        <v>0.36906800000000001</v>
      </c>
      <c r="B72" s="68">
        <v>0.30992399999999998</v>
      </c>
      <c r="C72" s="68">
        <v>28.404699999999998</v>
      </c>
      <c r="D72" s="68">
        <v>1</v>
      </c>
      <c r="E72" s="68" t="s">
        <v>481</v>
      </c>
    </row>
    <row r="73" spans="1:5">
      <c r="A73" s="68">
        <v>0.36920500000000001</v>
      </c>
      <c r="B73" s="68">
        <v>0.30819999999999997</v>
      </c>
      <c r="C73" s="68">
        <v>28.813199999999998</v>
      </c>
      <c r="D73" s="68">
        <v>1</v>
      </c>
      <c r="E73" s="68" t="s">
        <v>482</v>
      </c>
    </row>
    <row r="74" spans="1:5">
      <c r="A74" s="68">
        <v>0.36980499999999999</v>
      </c>
      <c r="B74" s="68">
        <v>0.30591299999999999</v>
      </c>
      <c r="C74" s="68">
        <v>29.219899999999999</v>
      </c>
      <c r="D74" s="68">
        <v>1</v>
      </c>
      <c r="E74" s="68" t="s">
        <v>483</v>
      </c>
    </row>
    <row r="75" spans="1:5">
      <c r="A75" s="68">
        <v>0.37037999999999999</v>
      </c>
      <c r="B75" s="68">
        <v>0.30395100000000003</v>
      </c>
      <c r="C75" s="68">
        <v>29.622699999999998</v>
      </c>
      <c r="D75" s="68">
        <v>1</v>
      </c>
      <c r="E75" s="68" t="s">
        <v>484</v>
      </c>
    </row>
    <row r="76" spans="1:5">
      <c r="A76" s="68">
        <v>0.37087199999999998</v>
      </c>
      <c r="B76" s="68">
        <v>0.30132700000000001</v>
      </c>
      <c r="C76" s="68">
        <v>30.031600000000001</v>
      </c>
      <c r="D76" s="68">
        <v>1</v>
      </c>
      <c r="E76" s="68" t="s">
        <v>485</v>
      </c>
    </row>
    <row r="77" spans="1:5">
      <c r="A77" s="68">
        <v>0.37143900000000002</v>
      </c>
      <c r="B77" s="68">
        <v>0.297954</v>
      </c>
      <c r="C77" s="68">
        <v>30.6233</v>
      </c>
      <c r="D77" s="68">
        <v>2</v>
      </c>
      <c r="E77" s="68" t="s">
        <v>486</v>
      </c>
    </row>
    <row r="78" spans="1:5">
      <c r="A78" s="68">
        <v>0.37178800000000001</v>
      </c>
      <c r="B78" s="68">
        <v>0.29549300000000001</v>
      </c>
      <c r="C78" s="68">
        <v>30.997900000000001</v>
      </c>
      <c r="D78" s="68">
        <v>2</v>
      </c>
      <c r="E78" s="68" t="s">
        <v>487</v>
      </c>
    </row>
    <row r="79" spans="1:5">
      <c r="A79" s="68">
        <v>0.37219799999999997</v>
      </c>
      <c r="B79" s="68">
        <v>0.29247899999999999</v>
      </c>
      <c r="C79" s="68">
        <v>31.3736</v>
      </c>
      <c r="D79" s="68">
        <v>2</v>
      </c>
      <c r="E79" s="68" t="s">
        <v>488</v>
      </c>
    </row>
    <row r="80" spans="1:5">
      <c r="A80" s="68">
        <v>0.37257400000000002</v>
      </c>
      <c r="B80" s="68">
        <v>0.28934500000000002</v>
      </c>
      <c r="C80" s="68">
        <v>31.748799999999999</v>
      </c>
      <c r="D80" s="68">
        <v>2</v>
      </c>
      <c r="E80" s="68" t="s">
        <v>489</v>
      </c>
    </row>
    <row r="81" spans="1:5">
      <c r="A81" s="68">
        <v>0.37274099999999999</v>
      </c>
      <c r="B81" s="68">
        <v>0.28639999999999999</v>
      </c>
      <c r="C81" s="68">
        <v>32.1248</v>
      </c>
      <c r="D81" s="68">
        <v>2</v>
      </c>
      <c r="E81" s="68" t="s">
        <v>490</v>
      </c>
    </row>
    <row r="82" spans="1:5">
      <c r="A82" s="68">
        <v>0.37290899999999999</v>
      </c>
      <c r="B82" s="68">
        <v>0.28301900000000002</v>
      </c>
      <c r="C82" s="68">
        <v>32.530700000000003</v>
      </c>
      <c r="D82" s="68">
        <v>2</v>
      </c>
      <c r="E82" s="68" t="s">
        <v>491</v>
      </c>
    </row>
    <row r="83" spans="1:5">
      <c r="A83" s="68">
        <v>0.37286399999999997</v>
      </c>
      <c r="B83" s="68">
        <v>0.27945300000000001</v>
      </c>
      <c r="C83" s="68">
        <v>32.938099999999999</v>
      </c>
      <c r="D83" s="68">
        <v>2</v>
      </c>
      <c r="E83" s="68" t="s">
        <v>492</v>
      </c>
    </row>
    <row r="84" spans="1:5">
      <c r="A84" s="68">
        <v>0.37281900000000001</v>
      </c>
      <c r="B84" s="68">
        <v>0.27566200000000002</v>
      </c>
      <c r="C84" s="68">
        <v>33.345100000000002</v>
      </c>
      <c r="D84" s="68">
        <v>2</v>
      </c>
      <c r="E84" s="68" t="s">
        <v>493</v>
      </c>
    </row>
    <row r="85" spans="1:5">
      <c r="A85" s="68">
        <v>0.37291000000000002</v>
      </c>
      <c r="B85" s="68">
        <v>0.27204499999999998</v>
      </c>
      <c r="C85" s="68">
        <v>33.7498</v>
      </c>
      <c r="D85" s="68">
        <v>2</v>
      </c>
      <c r="E85" s="68" t="s">
        <v>494</v>
      </c>
    </row>
    <row r="86" spans="1:5">
      <c r="A86" s="68">
        <v>0.373307</v>
      </c>
      <c r="B86" s="68">
        <v>0.26817400000000002</v>
      </c>
      <c r="C86" s="68">
        <v>34.154899999999998</v>
      </c>
      <c r="D86" s="68">
        <v>2</v>
      </c>
      <c r="E86" s="68" t="s">
        <v>495</v>
      </c>
    </row>
    <row r="87" spans="1:5">
      <c r="A87" s="68">
        <v>0.37345</v>
      </c>
      <c r="B87" s="68">
        <v>0.26469700000000002</v>
      </c>
      <c r="C87" s="68">
        <v>34.561700000000002</v>
      </c>
      <c r="D87" s="68">
        <v>2</v>
      </c>
      <c r="E87" s="68" t="s">
        <v>496</v>
      </c>
    </row>
    <row r="88" spans="1:5">
      <c r="A88" s="68">
        <v>0.37326799999999999</v>
      </c>
      <c r="B88" s="68">
        <v>0.26119100000000001</v>
      </c>
      <c r="C88" s="68">
        <v>34.968800000000002</v>
      </c>
      <c r="D88" s="68">
        <v>2</v>
      </c>
      <c r="E88" s="68" t="s">
        <v>497</v>
      </c>
    </row>
    <row r="89" spans="1:5">
      <c r="A89" s="68">
        <v>0.37281799999999998</v>
      </c>
      <c r="B89" s="68">
        <v>0.25795200000000001</v>
      </c>
      <c r="C89" s="68">
        <v>35.376800000000003</v>
      </c>
      <c r="D89" s="68">
        <v>2</v>
      </c>
      <c r="E89" s="68" t="s">
        <v>498</v>
      </c>
    </row>
    <row r="90" spans="1:5">
      <c r="A90" s="68">
        <v>0.372</v>
      </c>
      <c r="B90" s="68">
        <v>0.25473899999999999</v>
      </c>
      <c r="C90" s="68">
        <v>35.781599999999997</v>
      </c>
      <c r="D90" s="68">
        <v>2</v>
      </c>
      <c r="E90" s="68" t="s">
        <v>499</v>
      </c>
    </row>
    <row r="91" spans="1:5">
      <c r="A91" s="68">
        <v>0.37072500000000003</v>
      </c>
      <c r="B91" s="68">
        <v>0.25145499999999998</v>
      </c>
      <c r="C91" s="68">
        <v>36.186199999999999</v>
      </c>
      <c r="D91" s="68">
        <v>2</v>
      </c>
      <c r="E91" s="68" t="s">
        <v>500</v>
      </c>
    </row>
    <row r="92" spans="1:5">
      <c r="A92" s="68">
        <v>0.36918400000000001</v>
      </c>
      <c r="B92" s="68">
        <v>0.248832</v>
      </c>
      <c r="C92" s="68">
        <v>36.595599999999997</v>
      </c>
      <c r="D92" s="68">
        <v>2</v>
      </c>
      <c r="E92" s="68" t="s">
        <v>501</v>
      </c>
    </row>
    <row r="93" spans="1:5">
      <c r="A93" s="68">
        <v>0.36773600000000001</v>
      </c>
      <c r="B93" s="68">
        <v>0.246808</v>
      </c>
      <c r="C93" s="68">
        <v>37.000799999999998</v>
      </c>
      <c r="D93" s="68">
        <v>2</v>
      </c>
      <c r="E93" s="68" t="s">
        <v>502</v>
      </c>
    </row>
    <row r="94" spans="1:5">
      <c r="A94" s="68">
        <v>0.36623600000000001</v>
      </c>
      <c r="B94" s="68">
        <v>0.24489900000000001</v>
      </c>
      <c r="C94" s="68">
        <v>37.407699999999998</v>
      </c>
      <c r="D94" s="68">
        <v>2</v>
      </c>
      <c r="E94" s="68" t="s">
        <v>503</v>
      </c>
    </row>
    <row r="95" spans="1:5">
      <c r="A95" s="68">
        <v>0.36453200000000002</v>
      </c>
      <c r="B95" s="68">
        <v>0.24366599999999999</v>
      </c>
      <c r="C95" s="68">
        <v>37.813200000000002</v>
      </c>
      <c r="D95" s="68">
        <v>2</v>
      </c>
      <c r="E95" s="68" t="s">
        <v>504</v>
      </c>
    </row>
    <row r="96" spans="1:5">
      <c r="A96" s="68">
        <v>0.36301</v>
      </c>
      <c r="B96" s="68">
        <v>0.24284600000000001</v>
      </c>
      <c r="C96" s="68">
        <v>38.216500000000003</v>
      </c>
      <c r="D96" s="68">
        <v>2</v>
      </c>
      <c r="E96" s="68" t="s">
        <v>505</v>
      </c>
    </row>
    <row r="97" spans="1:5">
      <c r="A97" s="68">
        <v>0.361703</v>
      </c>
      <c r="B97" s="68">
        <v>0.242869</v>
      </c>
      <c r="C97" s="68">
        <v>38.622900000000001</v>
      </c>
      <c r="D97" s="68">
        <v>2</v>
      </c>
      <c r="E97" s="68" t="s">
        <v>506</v>
      </c>
    </row>
    <row r="98" spans="1:5">
      <c r="A98" s="68">
        <v>0.36019299999999999</v>
      </c>
      <c r="B98" s="68">
        <v>0.243973</v>
      </c>
      <c r="C98" s="68">
        <v>39.031599999999997</v>
      </c>
      <c r="D98" s="68">
        <v>2</v>
      </c>
      <c r="E98" s="68" t="s">
        <v>507</v>
      </c>
    </row>
    <row r="99" spans="1:5">
      <c r="A99" s="68">
        <v>0.35902099999999998</v>
      </c>
      <c r="B99" s="68">
        <v>0.24509300000000001</v>
      </c>
      <c r="C99" s="68">
        <v>39.4373</v>
      </c>
      <c r="D99" s="68">
        <v>2</v>
      </c>
      <c r="E99" s="68" t="s">
        <v>508</v>
      </c>
    </row>
    <row r="100" spans="1:5">
      <c r="A100" s="68">
        <v>0.35813</v>
      </c>
      <c r="B100" s="68">
        <v>0.24655299999999999</v>
      </c>
      <c r="C100" s="68">
        <v>39.842700000000001</v>
      </c>
      <c r="D100" s="68">
        <v>2</v>
      </c>
      <c r="E100" s="68" t="s">
        <v>509</v>
      </c>
    </row>
    <row r="101" spans="1:5">
      <c r="A101" s="68">
        <v>0.35753400000000002</v>
      </c>
      <c r="B101" s="68">
        <v>0.24834200000000001</v>
      </c>
      <c r="C101" s="68">
        <v>40.249200000000002</v>
      </c>
      <c r="D101" s="68">
        <v>2</v>
      </c>
      <c r="E101" s="68" t="s">
        <v>510</v>
      </c>
    </row>
    <row r="102" spans="1:5">
      <c r="A102" s="68">
        <v>0.357182</v>
      </c>
      <c r="B102" s="68">
        <v>0.24970400000000001</v>
      </c>
      <c r="C102" s="68">
        <v>40.655700000000003</v>
      </c>
      <c r="D102" s="68">
        <v>2</v>
      </c>
      <c r="E102" s="68" t="s">
        <v>511</v>
      </c>
    </row>
    <row r="103" spans="1:5">
      <c r="A103" s="68">
        <v>0.35694300000000001</v>
      </c>
      <c r="B103" s="68">
        <v>0.25114999999999998</v>
      </c>
      <c r="C103" s="68">
        <v>41.0608</v>
      </c>
      <c r="D103" s="68">
        <v>2</v>
      </c>
      <c r="E103" s="68" t="s">
        <v>512</v>
      </c>
    </row>
    <row r="104" spans="1:5">
      <c r="A104" s="68">
        <v>0.356767</v>
      </c>
      <c r="B104" s="68">
        <v>0.25248799999999999</v>
      </c>
      <c r="C104" s="68">
        <v>41.470799999999997</v>
      </c>
      <c r="D104" s="68">
        <v>2</v>
      </c>
      <c r="E104" s="68" t="s">
        <v>513</v>
      </c>
    </row>
    <row r="105" spans="1:5">
      <c r="A105" s="68">
        <v>0.35652200000000001</v>
      </c>
      <c r="B105" s="68">
        <v>0.25458199999999997</v>
      </c>
      <c r="C105" s="68">
        <v>41.875500000000002</v>
      </c>
      <c r="D105" s="68">
        <v>2</v>
      </c>
      <c r="E105" s="68" t="s">
        <v>514</v>
      </c>
    </row>
    <row r="106" spans="1:5">
      <c r="A106" s="68">
        <v>0.35665799999999998</v>
      </c>
      <c r="B106" s="68">
        <v>0.25658999999999998</v>
      </c>
      <c r="C106" s="68">
        <v>42.281199999999998</v>
      </c>
      <c r="D106" s="68">
        <v>2</v>
      </c>
      <c r="E106" s="68" t="s">
        <v>515</v>
      </c>
    </row>
    <row r="107" spans="1:5">
      <c r="A107" s="68">
        <v>0.35709800000000003</v>
      </c>
      <c r="B107" s="68">
        <v>0.25821100000000002</v>
      </c>
      <c r="C107" s="68">
        <v>42.685699999999997</v>
      </c>
      <c r="D107" s="68">
        <v>2</v>
      </c>
      <c r="E107" s="68" t="s">
        <v>516</v>
      </c>
    </row>
    <row r="108" spans="1:5">
      <c r="A108" s="68">
        <v>0.35792800000000002</v>
      </c>
      <c r="B108" s="68">
        <v>0.25995200000000002</v>
      </c>
      <c r="C108" s="68">
        <v>43.090899999999998</v>
      </c>
      <c r="D108" s="68">
        <v>2</v>
      </c>
      <c r="E108" s="68" t="s">
        <v>517</v>
      </c>
    </row>
    <row r="109" spans="1:5">
      <c r="A109" s="68">
        <v>0.35882900000000001</v>
      </c>
      <c r="B109" s="68">
        <v>0.26200200000000001</v>
      </c>
      <c r="C109" s="68">
        <v>43.499600000000001</v>
      </c>
      <c r="D109" s="68">
        <v>2</v>
      </c>
      <c r="E109" s="68" t="s">
        <v>518</v>
      </c>
    </row>
    <row r="110" spans="1:5">
      <c r="A110" s="68">
        <v>0.35962899999999998</v>
      </c>
      <c r="B110" s="68">
        <v>0.26413199999999998</v>
      </c>
      <c r="C110" s="68">
        <v>43.906999999999996</v>
      </c>
      <c r="D110" s="68">
        <v>2</v>
      </c>
      <c r="E110" s="68" t="s">
        <v>519</v>
      </c>
    </row>
    <row r="111" spans="1:5">
      <c r="A111" s="68">
        <v>0.36048000000000002</v>
      </c>
      <c r="B111" s="68">
        <v>0.26630700000000002</v>
      </c>
      <c r="C111" s="68">
        <v>44.314100000000003</v>
      </c>
      <c r="D111" s="68">
        <v>2</v>
      </c>
      <c r="E111" s="68" t="s">
        <v>520</v>
      </c>
    </row>
    <row r="112" spans="1:5">
      <c r="A112" s="68">
        <v>0.36123699999999997</v>
      </c>
      <c r="B112" s="68">
        <v>0.26877299999999998</v>
      </c>
      <c r="C112" s="68">
        <v>44.716299999999997</v>
      </c>
      <c r="D112" s="68">
        <v>2</v>
      </c>
      <c r="E112" s="68" t="s">
        <v>521</v>
      </c>
    </row>
    <row r="113" spans="1:5">
      <c r="A113" s="68">
        <v>0.36166999999999999</v>
      </c>
      <c r="B113" s="68">
        <v>0.27110400000000001</v>
      </c>
      <c r="C113" s="68">
        <v>45.128399999999999</v>
      </c>
      <c r="D113" s="68">
        <v>2</v>
      </c>
      <c r="E113" s="68" t="s">
        <v>522</v>
      </c>
    </row>
    <row r="114" spans="1:5">
      <c r="A114" s="68">
        <v>0.36204500000000001</v>
      </c>
      <c r="B114" s="68">
        <v>0.27256799999999998</v>
      </c>
      <c r="C114" s="68">
        <v>45.529800000000002</v>
      </c>
      <c r="D114" s="68">
        <v>2</v>
      </c>
      <c r="E114" s="68" t="s">
        <v>523</v>
      </c>
    </row>
    <row r="115" spans="1:5">
      <c r="A115" s="68">
        <v>0.36221599999999998</v>
      </c>
      <c r="B115" s="68">
        <v>0.27312999999999998</v>
      </c>
      <c r="C115" s="68">
        <v>45.939100000000003</v>
      </c>
      <c r="D115" s="68">
        <v>2</v>
      </c>
      <c r="E115" s="68" t="s">
        <v>524</v>
      </c>
    </row>
    <row r="116" spans="1:5">
      <c r="A116" s="68">
        <v>0.36255199999999999</v>
      </c>
      <c r="B116" s="68">
        <v>0.27387299999999998</v>
      </c>
      <c r="C116" s="68">
        <v>46.344099999999997</v>
      </c>
      <c r="D116" s="68">
        <v>2</v>
      </c>
      <c r="E116" s="68" t="s">
        <v>525</v>
      </c>
    </row>
    <row r="117" spans="1:5">
      <c r="A117" s="68">
        <v>0.36295100000000002</v>
      </c>
      <c r="B117" s="68">
        <v>0.27456000000000003</v>
      </c>
      <c r="C117" s="68">
        <v>46.751899999999999</v>
      </c>
      <c r="D117" s="68">
        <v>2</v>
      </c>
      <c r="E117" s="68" t="s">
        <v>526</v>
      </c>
    </row>
    <row r="118" spans="1:5">
      <c r="A118" s="68">
        <v>0.36337199999999997</v>
      </c>
      <c r="B118" s="68">
        <v>0.27577699999999999</v>
      </c>
      <c r="C118" s="68">
        <v>47.1571</v>
      </c>
      <c r="D118" s="68">
        <v>2</v>
      </c>
      <c r="E118" s="68" t="s">
        <v>527</v>
      </c>
    </row>
    <row r="119" spans="1:5">
      <c r="A119" s="68">
        <v>0.36369600000000002</v>
      </c>
      <c r="B119" s="68">
        <v>0.27767599999999998</v>
      </c>
      <c r="C119" s="68">
        <v>47.560400000000001</v>
      </c>
      <c r="D119" s="68">
        <v>2</v>
      </c>
      <c r="E119" s="68" t="s">
        <v>528</v>
      </c>
    </row>
    <row r="120" spans="1:5">
      <c r="A120" s="68">
        <v>0.36443900000000001</v>
      </c>
      <c r="B120" s="68">
        <v>0.27954600000000002</v>
      </c>
      <c r="C120" s="68">
        <v>47.9679</v>
      </c>
      <c r="D120" s="68">
        <v>2</v>
      </c>
      <c r="E120" s="68" t="s">
        <v>529</v>
      </c>
    </row>
    <row r="121" spans="1:5">
      <c r="A121" s="68">
        <v>0.36547099999999999</v>
      </c>
      <c r="B121" s="68">
        <v>0.28067599999999998</v>
      </c>
      <c r="C121" s="68">
        <v>48.375300000000003</v>
      </c>
      <c r="D121" s="68">
        <v>2</v>
      </c>
      <c r="E121" s="68" t="s">
        <v>530</v>
      </c>
    </row>
    <row r="122" spans="1:5">
      <c r="A122" s="68">
        <v>0.36644500000000002</v>
      </c>
      <c r="B122" s="68">
        <v>0.28209000000000001</v>
      </c>
      <c r="C122" s="68">
        <v>48.7819</v>
      </c>
      <c r="D122" s="68">
        <v>2</v>
      </c>
      <c r="E122" s="68" t="s">
        <v>531</v>
      </c>
    </row>
    <row r="123" spans="1:5">
      <c r="A123" s="68">
        <v>0.36737599999999998</v>
      </c>
      <c r="B123" s="68">
        <v>0.28325</v>
      </c>
      <c r="C123" s="68">
        <v>49.188800000000001</v>
      </c>
      <c r="D123" s="68">
        <v>2</v>
      </c>
      <c r="E123" s="68" t="s">
        <v>532</v>
      </c>
    </row>
    <row r="124" spans="1:5">
      <c r="A124" s="68">
        <v>0.36863200000000002</v>
      </c>
      <c r="B124" s="68">
        <v>0.28360999999999997</v>
      </c>
      <c r="C124" s="68">
        <v>49.594900000000003</v>
      </c>
      <c r="D124" s="68">
        <v>2</v>
      </c>
      <c r="E124" s="68" t="s">
        <v>533</v>
      </c>
    </row>
    <row r="125" spans="1:5">
      <c r="A125" s="68">
        <v>0.37011500000000003</v>
      </c>
      <c r="B125" s="68">
        <v>0.28351199999999999</v>
      </c>
      <c r="C125" s="68">
        <v>49.997199999999999</v>
      </c>
      <c r="D125" s="68">
        <v>2</v>
      </c>
      <c r="E125" s="68" t="s">
        <v>534</v>
      </c>
    </row>
    <row r="126" spans="1:5">
      <c r="A126" s="68">
        <v>0.37107800000000002</v>
      </c>
      <c r="B126" s="68">
        <v>0.28324700000000003</v>
      </c>
      <c r="C126" s="68">
        <v>50.4054</v>
      </c>
      <c r="D126" s="68">
        <v>2</v>
      </c>
      <c r="E126" s="68" t="s">
        <v>535</v>
      </c>
    </row>
    <row r="127" spans="1:5">
      <c r="A127" s="68">
        <v>0.37124800000000002</v>
      </c>
      <c r="B127" s="68">
        <v>0.28317500000000001</v>
      </c>
      <c r="C127" s="68">
        <v>50.813099999999999</v>
      </c>
      <c r="D127" s="68">
        <v>2</v>
      </c>
      <c r="E127" s="68" t="s">
        <v>536</v>
      </c>
    </row>
    <row r="128" spans="1:5">
      <c r="A128" s="68">
        <v>0.37143100000000001</v>
      </c>
      <c r="B128" s="68">
        <v>0.28310999999999997</v>
      </c>
      <c r="C128" s="68">
        <v>51.218800000000002</v>
      </c>
      <c r="D128" s="68">
        <v>2</v>
      </c>
      <c r="E128" s="68" t="s">
        <v>537</v>
      </c>
    </row>
    <row r="129" spans="1:5">
      <c r="A129" s="68">
        <v>0.37158000000000002</v>
      </c>
      <c r="B129" s="68">
        <v>0.28341899999999998</v>
      </c>
      <c r="C129" s="68">
        <v>51.6252</v>
      </c>
      <c r="D129" s="68">
        <v>2</v>
      </c>
      <c r="E129" s="68" t="s">
        <v>538</v>
      </c>
    </row>
    <row r="130" spans="1:5">
      <c r="A130" s="68">
        <v>0.37192900000000001</v>
      </c>
      <c r="B130" s="68">
        <v>0.28310800000000003</v>
      </c>
      <c r="C130" s="68">
        <v>52.0274</v>
      </c>
      <c r="D130" s="68">
        <v>2</v>
      </c>
      <c r="E130" s="68" t="s">
        <v>539</v>
      </c>
    </row>
    <row r="131" spans="1:5">
      <c r="A131" s="68">
        <v>0.37225399999999997</v>
      </c>
      <c r="B131" s="68">
        <v>0.28295700000000001</v>
      </c>
      <c r="C131" s="68">
        <v>52.436199999999999</v>
      </c>
      <c r="D131" s="68">
        <v>2</v>
      </c>
      <c r="E131" s="68" t="s">
        <v>540</v>
      </c>
    </row>
    <row r="132" spans="1:5">
      <c r="A132" s="68">
        <v>0.37244100000000002</v>
      </c>
      <c r="B132" s="68">
        <v>0.28335399999999999</v>
      </c>
      <c r="C132" s="68">
        <v>52.845199999999998</v>
      </c>
      <c r="D132" s="68">
        <v>2</v>
      </c>
      <c r="E132" s="68" t="s">
        <v>541</v>
      </c>
    </row>
    <row r="133" spans="1:5">
      <c r="A133" s="68">
        <v>0.37241400000000002</v>
      </c>
      <c r="B133" s="68">
        <v>0.283775</v>
      </c>
      <c r="C133" s="68">
        <v>53.2483</v>
      </c>
      <c r="D133" s="68">
        <v>2</v>
      </c>
      <c r="E133" s="68" t="s">
        <v>542</v>
      </c>
    </row>
    <row r="134" spans="1:5">
      <c r="A134" s="68">
        <v>0.37233300000000003</v>
      </c>
      <c r="B134" s="68">
        <v>0.28428599999999998</v>
      </c>
      <c r="C134" s="68">
        <v>53.653799999999997</v>
      </c>
      <c r="D134" s="68">
        <v>2</v>
      </c>
      <c r="E134" s="68" t="s">
        <v>543</v>
      </c>
    </row>
    <row r="135" spans="1:5">
      <c r="A135" s="68">
        <v>0.37225999999999998</v>
      </c>
      <c r="B135" s="68">
        <v>0.28475899999999998</v>
      </c>
      <c r="C135" s="68">
        <v>54.060200000000002</v>
      </c>
      <c r="D135" s="68">
        <v>2</v>
      </c>
      <c r="E135" s="68" t="s">
        <v>544</v>
      </c>
    </row>
    <row r="136" spans="1:5">
      <c r="A136" s="68">
        <v>0.37192500000000001</v>
      </c>
      <c r="B136" s="68">
        <v>0.28548000000000001</v>
      </c>
      <c r="C136" s="68">
        <v>54.467300000000002</v>
      </c>
      <c r="D136" s="68">
        <v>2</v>
      </c>
      <c r="E136" s="68" t="s">
        <v>545</v>
      </c>
    </row>
    <row r="137" spans="1:5">
      <c r="A137" s="68">
        <v>0.37193300000000001</v>
      </c>
      <c r="B137" s="68">
        <v>0.28559800000000002</v>
      </c>
      <c r="C137" s="68">
        <v>54.874899999999997</v>
      </c>
      <c r="D137" s="68">
        <v>2</v>
      </c>
      <c r="E137" s="68" t="s">
        <v>546</v>
      </c>
    </row>
    <row r="138" spans="1:5">
      <c r="A138" s="68">
        <v>0.37271199999999999</v>
      </c>
      <c r="B138" s="68">
        <v>0.28569299999999997</v>
      </c>
      <c r="C138" s="68">
        <v>55.281199999999998</v>
      </c>
      <c r="D138" s="68">
        <v>2</v>
      </c>
      <c r="E138" s="68" t="s">
        <v>547</v>
      </c>
    </row>
    <row r="139" spans="1:5">
      <c r="A139" s="68">
        <v>0.37382100000000001</v>
      </c>
      <c r="B139" s="68">
        <v>0.28674100000000002</v>
      </c>
      <c r="C139" s="68">
        <v>55.69</v>
      </c>
      <c r="D139" s="68">
        <v>2</v>
      </c>
      <c r="E139" s="68" t="s">
        <v>548</v>
      </c>
    </row>
    <row r="140" spans="1:5">
      <c r="A140" s="68">
        <v>0.37579200000000001</v>
      </c>
      <c r="B140" s="68">
        <v>0.28958899999999999</v>
      </c>
      <c r="C140" s="68">
        <v>56.092599999999997</v>
      </c>
      <c r="D140" s="68">
        <v>2</v>
      </c>
      <c r="E140" s="68" t="s">
        <v>549</v>
      </c>
    </row>
    <row r="141" spans="1:5">
      <c r="A141" s="68">
        <v>0.377917</v>
      </c>
      <c r="B141" s="68">
        <v>0.29245599999999999</v>
      </c>
      <c r="C141" s="68">
        <v>56.499400000000001</v>
      </c>
      <c r="D141" s="68">
        <v>2</v>
      </c>
      <c r="E141" s="68" t="s">
        <v>550</v>
      </c>
    </row>
    <row r="142" spans="1:5">
      <c r="A142" s="68">
        <v>0.380247</v>
      </c>
      <c r="B142" s="68">
        <v>0.29509099999999999</v>
      </c>
      <c r="C142" s="68">
        <v>56.908499999999997</v>
      </c>
      <c r="D142" s="68">
        <v>2</v>
      </c>
      <c r="E142" s="68" t="s">
        <v>551</v>
      </c>
    </row>
    <row r="143" spans="1:5">
      <c r="A143" s="68">
        <v>0.38247799999999998</v>
      </c>
      <c r="B143" s="68">
        <v>0.29666500000000001</v>
      </c>
      <c r="C143" s="68">
        <v>57.310099999999998</v>
      </c>
      <c r="D143" s="68">
        <v>2</v>
      </c>
      <c r="E143" s="68" t="s">
        <v>552</v>
      </c>
    </row>
    <row r="144" spans="1:5">
      <c r="A144" s="68">
        <v>0.38528299999999999</v>
      </c>
      <c r="B144" s="68">
        <v>0.297628</v>
      </c>
      <c r="C144" s="68">
        <v>57.721699999999998</v>
      </c>
      <c r="D144" s="68">
        <v>2</v>
      </c>
      <c r="E144" s="68" t="s">
        <v>553</v>
      </c>
    </row>
    <row r="145" spans="1:5">
      <c r="A145" s="68">
        <v>0.388044</v>
      </c>
      <c r="B145" s="68">
        <v>0.29779299999999997</v>
      </c>
      <c r="C145" s="68">
        <v>58.124400000000001</v>
      </c>
      <c r="D145" s="68">
        <v>2</v>
      </c>
      <c r="E145" s="68" t="s">
        <v>554</v>
      </c>
    </row>
    <row r="146" spans="1:5">
      <c r="A146" s="68">
        <v>0.39036999999999999</v>
      </c>
      <c r="B146" s="68">
        <v>0.29876799999999998</v>
      </c>
      <c r="C146" s="68">
        <v>58.529800000000002</v>
      </c>
      <c r="D146" s="68">
        <v>2</v>
      </c>
      <c r="E146" s="68" t="s">
        <v>555</v>
      </c>
    </row>
    <row r="147" spans="1:5">
      <c r="A147" s="68">
        <v>0.39278800000000003</v>
      </c>
      <c r="B147" s="68">
        <v>0.29705300000000001</v>
      </c>
      <c r="C147" s="68">
        <v>58.939300000000003</v>
      </c>
      <c r="D147" s="68">
        <v>2</v>
      </c>
      <c r="E147" s="68" t="s">
        <v>556</v>
      </c>
    </row>
    <row r="148" spans="1:5">
      <c r="A148" s="68">
        <v>0.39644400000000002</v>
      </c>
      <c r="B148" s="68">
        <v>0.29450199999999999</v>
      </c>
      <c r="C148" s="68">
        <v>59.345199999999998</v>
      </c>
      <c r="D148" s="68">
        <v>2</v>
      </c>
      <c r="E148" s="68" t="s">
        <v>557</v>
      </c>
    </row>
    <row r="149" spans="1:5">
      <c r="A149" s="68">
        <v>0.39973500000000001</v>
      </c>
      <c r="B149" s="68">
        <v>0.29384700000000002</v>
      </c>
      <c r="C149" s="68">
        <v>59.750300000000003</v>
      </c>
      <c r="D149" s="68">
        <v>2</v>
      </c>
      <c r="E149" s="68" t="s">
        <v>558</v>
      </c>
    </row>
    <row r="150" spans="1:5">
      <c r="A150" s="68">
        <v>0.40456900000000001</v>
      </c>
      <c r="B150" s="68">
        <v>0.29216500000000001</v>
      </c>
      <c r="C150" s="32">
        <v>60.154000000000003</v>
      </c>
      <c r="D150" s="32">
        <v>2</v>
      </c>
      <c r="E150" s="32" t="s">
        <v>559</v>
      </c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408</v>
      </c>
      <c r="B1" s="66" t="s">
        <v>560</v>
      </c>
      <c r="C1" s="66" t="s">
        <v>562</v>
      </c>
      <c r="D1" s="66" t="s">
        <v>563</v>
      </c>
      <c r="E1" s="66" t="s">
        <v>564</v>
      </c>
      <c r="F1" s="66" t="s">
        <v>565</v>
      </c>
      <c r="G1" s="66" t="s">
        <v>566</v>
      </c>
      <c r="H1" s="66" t="s">
        <v>567</v>
      </c>
      <c r="I1" s="66" t="s">
        <v>568</v>
      </c>
      <c r="J1" s="66" t="s">
        <v>569</v>
      </c>
      <c r="K1" s="66" t="s">
        <v>570</v>
      </c>
      <c r="L1" s="66" t="s">
        <v>571</v>
      </c>
      <c r="M1" s="66" t="s">
        <v>572</v>
      </c>
      <c r="N1" s="66"/>
    </row>
    <row r="2" spans="1:14">
      <c r="A2" s="75">
        <v>43628.377268518518</v>
      </c>
      <c r="B2" s="66" t="s">
        <v>561</v>
      </c>
      <c r="C2" s="66"/>
      <c r="D2" s="66"/>
      <c r="E2" s="66">
        <v>4.9207200000000002</v>
      </c>
      <c r="F2" s="66">
        <v>1.8066199999999999</v>
      </c>
      <c r="G2" s="66">
        <v>0.71048800000000001</v>
      </c>
      <c r="H2" s="66">
        <v>0</v>
      </c>
      <c r="I2" s="66">
        <v>100245</v>
      </c>
      <c r="J2" s="66">
        <v>98</v>
      </c>
      <c r="K2" s="66">
        <v>98</v>
      </c>
      <c r="L2" s="66">
        <v>0</v>
      </c>
      <c r="M2" s="66" t="s">
        <v>573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2019-06-12T01:03:52Z</cp:lastPrinted>
  <dcterms:created xsi:type="dcterms:W3CDTF">2010-10-29T12:53:05Z</dcterms:created>
  <dcterms:modified xsi:type="dcterms:W3CDTF">2019-06-12T01:04:04Z</dcterms:modified>
</cp:coreProperties>
</file>