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<sst xmlns="http://schemas.openxmlformats.org/spreadsheetml/2006/main" count="701" uniqueCount="571">
  <si>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</si>
  <si>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</si>
  <si>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</si>
  <si>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</si>
  <si>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</si>
  <si>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</si>
  <si>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</si>
  <si>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</si>
  <si>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</si>
  <si>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</si>
  <si>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</si>
  <si>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</si>
  <si>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</si>
  <si>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</si>
  <si>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</si>
  <si>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</si>
  <si>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</si>
  <si>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</si>
  <si>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</si>
  <si>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</si>
  <si>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</si>
  <si>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</si>
  <si>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</si>
  <si>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</si>
  <si>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</si>
  <si>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</si>
  <si>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</si>
  <si>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</si>
  <si>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</si>
  <si>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</si>
  <si>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</si>
  <si>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</si>
  <si>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</si>
  <si>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</si>
  <si>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</si>
  <si>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</si>
  <si>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</si>
  <si>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</si>
  <si>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</si>
  <si>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</si>
  <si>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</si>
  <si>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</si>
  <si>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</si>
  <si>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</si>
  <si>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</si>
  <si>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</si>
  <si>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</si>
  <si>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</si>
  <si>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</si>
  <si>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</si>
  <si>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</si>
  <si>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</si>
  <si>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</si>
  <si>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</si>
  <si>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</si>
  <si>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</si>
  <si>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</si>
  <si>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</si>
  <si>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</si>
  <si>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</si>
  <si>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</si>
  <si>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</si>
  <si>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</si>
  <si>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</si>
  <si>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</si>
  <si>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</si>
  <si>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</si>
  <si>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</si>
  <si>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</si>
  <si>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</si>
  <si>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</si>
  <si>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</si>
  <si>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</si>
  <si>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</si>
  <si>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</si>
  <si>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</si>
  <si>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</si>
  <si>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</si>
  <si>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</si>
  <si>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</si>
  <si>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</si>
  <si>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</si>
  <si>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</si>
  <si>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</si>
  <si>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</si>
  <si>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</si>
  <si>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</si>
  <si>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</si>
  <si>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</si>
  <si>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</si>
  <si>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</si>
  <si>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</si>
  <si>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</si>
  <si>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</si>
  <si>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</si>
  <si>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</si>
  <si>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</si>
  <si>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</si>
  <si>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</si>
  <si>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</si>
  <si>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</si>
  <si>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</si>
  <si>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</si>
  <si>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</si>
  <si>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</si>
  <si>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</si>
  <si>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</si>
  <si>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</si>
  <si>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</si>
  <si>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</si>
  <si>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</si>
  <si>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</si>
  <si>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</si>
  <si>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</si>
  <si>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</si>
  <si>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</si>
  <si>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</si>
  <si>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</si>
  <si>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</si>
  <si>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</si>
  <si>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</si>
  <si>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</si>
  <si>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</si>
  <si>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</si>
  <si>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</si>
  <si>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</si>
  <si>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</si>
  <si>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</si>
  <si>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</si>
  <si>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</si>
  <si>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</si>
  <si>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</si>
  <si>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</si>
  <si>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</si>
  <si>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</si>
  <si>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</si>
  <si>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</si>
  <si>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</si>
  <si>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</si>
  <si>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</si>
  <si>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</si>
  <si>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</si>
  <si>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</si>
  <si>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</si>
  <si>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</si>
  <si>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</si>
  <si>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</si>
  <si>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</si>
  <si>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</si>
  <si>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</si>
  <si>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</si>
  <si>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</si>
  <si>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</si>
  <si>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</si>
  <si>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</si>
  <si>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</si>
  <si>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</si>
  <si>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</si>
  <si>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</si>
  <si>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</si>
  <si>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</si>
  <si>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</si>
  <si>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</si>
  <si>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</si>
  <si>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</si>
  <si>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</si>
  <si>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</si>
  <si>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</si>
  <si>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</si>
  <si>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</si>
  <si>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</si>
  <si>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</si>
  <si>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</si>
  <si>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</si>
  <si>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</si>
  <si>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</si>
  <si>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</si>
  <si>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</si>
  <si>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</si>
  <si>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</si>
  <si>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</si>
  <si>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</si>
  <si>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</si>
  <si>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</si>
  <si>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</si>
  <si>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</si>
  <si>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</si>
  <si>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</si>
  <si>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</si>
  <si>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</si>
  <si>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</si>
  <si>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</si>
  <si>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</si>
  <si>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</si>
  <si>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</si>
  <si>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</si>
  <si>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</si>
  <si>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</si>
  <si>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</si>
  <si>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</si>
  <si>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</si>
  <si>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</si>
  <si>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</si>
  <si>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</si>
  <si>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</si>
  <si>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</si>
  <si>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</si>
  <si>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</si>
  <si>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</si>
  <si>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</si>
  <si>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</si>
  <si>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</si>
  <si>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</si>
  <si>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</si>
  <si>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</si>
  <si>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</si>
  <si>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</si>
  <si>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</si>
  <si>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</si>
  <si>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</si>
  <si>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</si>
  <si>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</si>
  <si>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</si>
  <si>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</si>
  <si>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</si>
  <si>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</si>
  <si>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</si>
  <si>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</si>
  <si>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</si>
  <si>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</si>
  <si>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</si>
  <si>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</si>
  <si>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</si>
  <si>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</si>
  <si>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</si>
  <si>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</si>
  <si>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</si>
  <si>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</si>
  <si>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</si>
  <si>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</si>
  <si>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</si>
  <si>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</si>
  <si>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</si>
  <si>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</si>
  <si>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</si>
  <si>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</si>
  <si>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</si>
  <si>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</si>
  <si>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</si>
  <si>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</si>
  <si>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</si>
  <si>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</si>
  <si>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</si>
  <si>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</si>
  <si>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</si>
  <si>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</si>
  <si>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</si>
  <si>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</si>
  <si>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</si>
  <si>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</si>
  <si>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</si>
  <si>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</si>
  <si>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</si>
  <si>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</si>
  <si>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</si>
  <si>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</si>
  <si>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</si>
  <si>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</si>
  <si>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</si>
  <si>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</si>
  <si>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</si>
  <si>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</si>
  <si>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</si>
  <si>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</si>
  <si>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</si>
  <si>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</si>
  <si>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</si>
  <si>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</si>
  <si>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</si>
  <si>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</si>
  <si>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</si>
  <si>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</si>
  <si>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</si>
  <si>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</si>
  <si>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</si>
  <si>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</si>
  <si>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</si>
  <si>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</si>
  <si>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</si>
  <si>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</si>
  <si>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</si>
  <si>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</si>
  <si>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</si>
  <si>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</si>
  <si>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</si>
  <si>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</si>
  <si>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</si>
  <si>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</si>
  <si>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</si>
  <si>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</si>
  <si>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</si>
  <si>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</si>
  <si>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</si>
  <si>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</si>
  <si>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</si>
  <si>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</si>
  <si>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</si>
  <si>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</si>
  <si>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</si>
  <si>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</si>
  <si>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</si>
  <si>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</si>
  <si>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</si>
  <si>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</si>
  <si>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</si>
  <si>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</si>
  <si>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</si>
  <si>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</si>
  <si>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</si>
  <si>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</si>
  <si>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</si>
  <si>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</si>
  <si>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</si>
  <si>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</si>
  <si>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</si>
  <si>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</si>
  <si>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</si>
  <si>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</si>
  <si>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</si>
  <si>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</si>
  <si>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</si>
  <si>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</si>
  <si>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</si>
  <si>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</si>
  <si>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</si>
  <si>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</si>
  <si>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</si>
  <si>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</si>
  <si>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</si>
  <si>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</si>
  <si>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</si>
  <si>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</si>
  <si>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</si>
  <si>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</si>
  <si>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</si>
  <si>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</si>
  <si>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</si>
  <si>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</si>
  <si>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</si>
  <si>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</si>
  <si>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</si>
  <si>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</si>
  <si>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</si>
  <si>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</si>
  <si>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</si>
  <si>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</si>
  <si>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</si>
  <si>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</si>
  <si>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</si>
  <si>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</si>
  <si>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</si>
  <si>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</si>
  <si>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</si>
  <si>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</si>
  <si>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</si>
  <si>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</si>
  <si>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</si>
  <si>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</si>
  <si>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</si>
  <si>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</si>
  <si>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</si>
  <si>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</si>
  <si>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</si>
  <si>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</si>
  <si>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</si>
  <si>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</si>
  <si>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</si>
  <si>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</si>
  <si>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</si>
  <si>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</si>
  <si>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</si>
  <si>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</si>
  <si>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</si>
  <si>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</si>
  <si>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</si>
  <si>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</si>
  <si>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</si>
  <si>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</si>
  <si>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</si>
  <si>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</si>
  <si>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</si>
  <si>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</si>
  <si>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</si>
  <si>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</si>
  <si>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</si>
  <si>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</si>
  <si>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</si>
  <si>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</si>
  <si>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</si>
  <si>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</si>
  <si>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</si>
  <si>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S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</si>
  <si>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</si>
  <si>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</si>
  <si>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</si>
  <si>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</si>
  <si>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</si>
  <si>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</si>
  <si>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</si>
  <si>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</si>
  <si>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[0.352983]</t>
  </si>
  <si>
    <t>1 [0.759273]</t>
  </si>
  <si>
    <t>1 [1.164528]</t>
  </si>
  <si>
    <t>1 [1.572157]</t>
  </si>
  <si>
    <t>1 [1.975821]</t>
  </si>
  <si>
    <t>1 [2.386844]</t>
  </si>
  <si>
    <t>1 [2.791368]</t>
  </si>
  <si>
    <t>1 [3.197665]</t>
  </si>
  <si>
    <t>1 [3.603161]</t>
  </si>
  <si>
    <t>1 [4.008581]</t>
  </si>
  <si>
    <t>1 [4.414807]</t>
  </si>
  <si>
    <t>1 [4.817558]</t>
  </si>
  <si>
    <t>1 [5.224365]</t>
  </si>
  <si>
    <t>1 [5.635711]</t>
  </si>
  <si>
    <t>1 [6.037084]</t>
  </si>
  <si>
    <t>1 [6.446953]</t>
  </si>
  <si>
    <t>1 [6.849503]</t>
  </si>
  <si>
    <t>1 [7.257977]</t>
  </si>
  <si>
    <t>1 [7.664572]</t>
  </si>
  <si>
    <t>1 [8.069974]</t>
  </si>
  <si>
    <t>1 [8.477754]</t>
  </si>
  <si>
    <t>1 [8.882357]</t>
  </si>
  <si>
    <t>1 [9.287142]</t>
  </si>
  <si>
    <t>1 [9.694969]</t>
  </si>
  <si>
    <t>1 [10.103580]</t>
  </si>
  <si>
    <t>1 [10.508393]</t>
  </si>
  <si>
    <t>1 [10.912231]</t>
  </si>
  <si>
    <t>1 [11.317938]</t>
  </si>
  <si>
    <t>1 [11.723700]</t>
  </si>
  <si>
    <t>1 [12.134874]</t>
  </si>
  <si>
    <t>1 [12.541556]</t>
  </si>
  <si>
    <t>1 [12.947681]</t>
  </si>
  <si>
    <t>1 [13.349706]</t>
  </si>
  <si>
    <t>1 [13.754001]</t>
  </si>
  <si>
    <t>1 [14.164856]</t>
  </si>
  <si>
    <t>1 [14.573533]</t>
  </si>
  <si>
    <t>1 [14.975787]</t>
  </si>
  <si>
    <t>1 [15.383002]</t>
  </si>
  <si>
    <t>1 [15.788788]</t>
  </si>
  <si>
    <t>1 [16.194069]</t>
  </si>
  <si>
    <t>1 [16.605220]</t>
  </si>
  <si>
    <t>1 [17.010464]</t>
  </si>
  <si>
    <t>1 [17.413075]</t>
  </si>
  <si>
    <t>1 [17.821183]</t>
  </si>
  <si>
    <t>1 [18.224759]</t>
  </si>
  <si>
    <t>1 [18.634756]</t>
  </si>
  <si>
    <t>1 [19.038382]</t>
  </si>
  <si>
    <t>1 [19.445227]</t>
  </si>
  <si>
    <t>1 [19.850442]</t>
  </si>
  <si>
    <t>1 [20.261175]</t>
  </si>
  <si>
    <t>1 [20.665363]</t>
  </si>
  <si>
    <t>1 [21.073121]</t>
  </si>
  <si>
    <t>1 [21.477019]</t>
  </si>
  <si>
    <t>1 [21.883179]</t>
  </si>
  <si>
    <t>1 [22.286475]</t>
  </si>
  <si>
    <t>1 [22.695636]</t>
  </si>
  <si>
    <t>1 [23.103911]</t>
  </si>
  <si>
    <t>1 [23.508669]</t>
  </si>
  <si>
    <t>1 [23.912989]</t>
  </si>
  <si>
    <t>1 [24.319856]</t>
  </si>
  <si>
    <t>1 [24.728215]</t>
  </si>
  <si>
    <t>1 [25.133222]</t>
  </si>
  <si>
    <t>1 [25.538927]</t>
  </si>
  <si>
    <t>1 [25.944665]</t>
  </si>
  <si>
    <t>1 [26.350547]</t>
  </si>
  <si>
    <t>1 [26.759116]</t>
  </si>
  <si>
    <t>1 [27.165054]</t>
  </si>
  <si>
    <t>1 [27.572052]</t>
  </si>
  <si>
    <t>1 [27.976468]</t>
  </si>
  <si>
    <t>1 [28.380398]</t>
  </si>
  <si>
    <t>1 [28.791529]</t>
  </si>
  <si>
    <t>1 [29.193736]</t>
  </si>
  <si>
    <t>1 [29.609488]</t>
  </si>
  <si>
    <t>2 [30.007308]</t>
  </si>
  <si>
    <t>2 [30.621475]</t>
  </si>
  <si>
    <t>2 [30.993386]</t>
  </si>
  <si>
    <t>2 [31.368886]</t>
  </si>
  <si>
    <t>2 [31.742236]</t>
  </si>
  <si>
    <t>2 [32.117827]</t>
  </si>
  <si>
    <t>2 [32.524404]</t>
  </si>
  <si>
    <t>2 [32.929382]</t>
  </si>
  <si>
    <t>2 [33.337480]</t>
  </si>
  <si>
    <t>2 [33.744721]</t>
  </si>
  <si>
    <t>2 [34.149516]</t>
  </si>
  <si>
    <t>2 [34.555958]</t>
  </si>
  <si>
    <t>2 [34.962167]</t>
  </si>
  <si>
    <t>2 [35.367891]</t>
  </si>
  <si>
    <t>2 [35.775051]</t>
  </si>
  <si>
    <t>2 [36.180429]</t>
  </si>
  <si>
    <t>2 [36.587717]</t>
  </si>
  <si>
    <t>2 [36.989891]</t>
  </si>
  <si>
    <t>2 [37.400094]</t>
  </si>
  <si>
    <t>2 [37.807038]</t>
  </si>
  <si>
    <t>2 [38.210584]</t>
  </si>
  <si>
    <t>2 [38.617479]</t>
  </si>
  <si>
    <t>2 [39.024403]</t>
  </si>
  <si>
    <t>2 [39.428405]</t>
  </si>
  <si>
    <t>2 [39.837221]</t>
  </si>
  <si>
    <t>2 [40.241952]</t>
  </si>
  <si>
    <t>2 [40.648602]</t>
  </si>
  <si>
    <t>2 [41.052741]</t>
  </si>
  <si>
    <t>2 [41.461624]</t>
  </si>
  <si>
    <t>2 [41.867521]</t>
  </si>
  <si>
    <t>2 [42.275224]</t>
  </si>
  <si>
    <t>2 [42.678185]</t>
  </si>
  <si>
    <t>2 [43.085213]</t>
  </si>
  <si>
    <t>2 [43.494538]</t>
  </si>
  <si>
    <t>2 [43.903275]</t>
  </si>
  <si>
    <t>2 [44.306568]</t>
  </si>
  <si>
    <t>2 [44.712449]</t>
  </si>
  <si>
    <t>2 [45.116750]</t>
  </si>
  <si>
    <t>2 [45.525393]</t>
  </si>
  <si>
    <t>2 [45.930236]</t>
  </si>
  <si>
    <t>2 [46.337220]</t>
  </si>
  <si>
    <t>2 [46.740683]</t>
  </si>
  <si>
    <t>2 [47.147462]</t>
  </si>
  <si>
    <t>2 [47.555611]</t>
  </si>
  <si>
    <t>2 [47.962286]</t>
  </si>
  <si>
    <t>2 [48.369129]</t>
  </si>
  <si>
    <t>2 [48.773232]</t>
  </si>
  <si>
    <t>2 [49.181434]</t>
  </si>
  <si>
    <t>2 [49.588170]</t>
  </si>
  <si>
    <t>2 [49.994876]</t>
  </si>
  <si>
    <t>2 [50.397768]</t>
  </si>
  <si>
    <t>2 [50.805847]</t>
  </si>
  <si>
    <t>2 [51.210637]</t>
  </si>
  <si>
    <t>2 [51.618585]</t>
  </si>
  <si>
    <t>2 [52.021569]</t>
  </si>
  <si>
    <t>2 [52.428243]</t>
  </si>
  <si>
    <t>2 [52.836337]</t>
  </si>
  <si>
    <t>2 [53.243786]</t>
  </si>
  <si>
    <t>2 [53.650066]</t>
  </si>
  <si>
    <t>2 [54.055789]</t>
  </si>
  <si>
    <t>2 [54.461296]</t>
  </si>
  <si>
    <t>2 [54.867805]</t>
  </si>
  <si>
    <t>2 [55.275007]</t>
  </si>
  <si>
    <t>2 [55.680227]</t>
  </si>
  <si>
    <t>2 [56.085848]</t>
  </si>
  <si>
    <t>2 [56.490943]</t>
  </si>
  <si>
    <t>2 [56.899236]</t>
  </si>
  <si>
    <t>2 [57.305337]</t>
  </si>
  <si>
    <t>2 [57.711512]</t>
  </si>
  <si>
    <t>2 [58.118237]</t>
  </si>
  <si>
    <t>2 [58.522958]</t>
  </si>
  <si>
    <t>2 [58.930716]</t>
  </si>
  <si>
    <t>2 [59.337185]</t>
  </si>
  <si>
    <t>2 [59.744596]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</si>
  <si>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</si>
  <si>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</si>
  <si>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</si>
  <si>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</si>
  <si>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</si>
  <si>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</si>
  <si>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</si>
  <si>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</si>
  <si>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</si>
  <si>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</si>
  <si>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</si>
  <si>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</si>
  <si>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女</t>
    <phoneticPr fontId="1" type="noConversion"/>
  </si>
  <si>
    <t>冯凤兰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</si>
</sst>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color indexed="8"/>
      <name val="宋体"/>
      <family val="3"/>
      <charset val="134"/>
    </font>
    <font>
      <sz val="9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6" xfId="0" applyFont="1" applyBorder="1" applyAlignment="1">
      <alignment vertical="center"/>
    </xf>
    <xf numFmtId="0" fontId="35" fillId="0" borderId="32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43.988999999999997</c:v>
                </c:pt>
                <c:pt idx="1">
                  <c:v>28.4786</c:v>
                </c:pt>
                <c:pt idx="2">
                  <c:v>23.552399999999999</c:v>
                </c:pt>
                <c:pt idx="3">
                  <c:v>31.621400000000001</c:v>
                </c:pt>
                <c:pt idx="4">
                  <c:v>60.063400000000001</c:v>
                </c:pt>
                <c:pt idx="5">
                  <c:v>81.878399999999999</c:v>
                </c:pt>
                <c:pt idx="6">
                  <c:v>23.425000000000001</c:v>
                </c:pt>
                <c:pt idx="7">
                  <c:v>70.230900000000005</c:v>
                </c:pt>
                <c:pt idx="8">
                  <c:v>17.4453</c:v>
                </c:pt>
                <c:pt idx="9">
                  <c:v>26.118200000000002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0.52312485331378189</c:v>
                </c:pt>
                <c:pt idx="1">
                  <c:v>0.28341698009685895</c:v>
                </c:pt>
                <c:pt idx="2">
                  <c:v>0.19345816658935922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645</c:v>
                </c:pt>
                <c:pt idx="7">
                  <c:v>0</c:v>
                </c:pt>
                <c:pt idx="8">
                  <c:v>1162</c:v>
                </c:pt>
                <c:pt idx="9">
                  <c:v>0</c:v>
                </c:pt>
                <c:pt idx="10">
                  <c:v>0</c:v>
                </c:pt>
                <c:pt idx="11">
                  <c:v>680</c:v>
                </c:pt>
                <c:pt idx="12">
                  <c:v>0</c:v>
                </c:pt>
                <c:pt idx="13">
                  <c:v>725</c:v>
                </c:pt>
                <c:pt idx="14">
                  <c:v>0</c:v>
                </c:pt>
                <c:pt idx="15">
                  <c:v>0</c:v>
                </c:pt>
                <c:pt idx="16">
                  <c:v>2314</c:v>
                </c:pt>
                <c:pt idx="17">
                  <c:v>0</c:v>
                </c:pt>
                <c:pt idx="18">
                  <c:v>0</c:v>
                </c:pt>
                <c:pt idx="19">
                  <c:v>3149</c:v>
                </c:pt>
                <c:pt idx="20">
                  <c:v>0</c:v>
                </c:pt>
                <c:pt idx="21">
                  <c:v>4659</c:v>
                </c:pt>
                <c:pt idx="22">
                  <c:v>0</c:v>
                </c:pt>
                <c:pt idx="23">
                  <c:v>0</c:v>
                </c:pt>
                <c:pt idx="24">
                  <c:v>9606</c:v>
                </c:pt>
                <c:pt idx="25">
                  <c:v>0</c:v>
                </c:pt>
                <c:pt idx="26">
                  <c:v>18085</c:v>
                </c:pt>
                <c:pt idx="27">
                  <c:v>0</c:v>
                </c:pt>
                <c:pt idx="28">
                  <c:v>0</c:v>
                </c:pt>
                <c:pt idx="29">
                  <c:v>30039</c:v>
                </c:pt>
                <c:pt idx="30">
                  <c:v>0</c:v>
                </c:pt>
                <c:pt idx="31">
                  <c:v>42976</c:v>
                </c:pt>
                <c:pt idx="32">
                  <c:v>0</c:v>
                </c:pt>
                <c:pt idx="33">
                  <c:v>0</c:v>
                </c:pt>
                <c:pt idx="34">
                  <c:v>57312</c:v>
                </c:pt>
                <c:pt idx="35">
                  <c:v>0</c:v>
                </c:pt>
                <c:pt idx="36">
                  <c:v>0</c:v>
                </c:pt>
                <c:pt idx="37">
                  <c:v>73139</c:v>
                </c:pt>
                <c:pt idx="38">
                  <c:v>0</c:v>
                </c:pt>
                <c:pt idx="39">
                  <c:v>77338</c:v>
                </c:pt>
                <c:pt idx="40">
                  <c:v>0</c:v>
                </c:pt>
                <c:pt idx="41">
                  <c:v>0</c:v>
                </c:pt>
                <c:pt idx="42">
                  <c:v>85018</c:v>
                </c:pt>
                <c:pt idx="43">
                  <c:v>0</c:v>
                </c:pt>
                <c:pt idx="44">
                  <c:v>92429</c:v>
                </c:pt>
                <c:pt idx="45">
                  <c:v>0</c:v>
                </c:pt>
                <c:pt idx="46">
                  <c:v>0</c:v>
                </c:pt>
                <c:pt idx="47">
                  <c:v>100214</c:v>
                </c:pt>
                <c:pt idx="48">
                  <c:v>0</c:v>
                </c:pt>
                <c:pt idx="49">
                  <c:v>97123</c:v>
                </c:pt>
                <c:pt idx="50">
                  <c:v>0</c:v>
                </c:pt>
                <c:pt idx="51">
                  <c:v>0</c:v>
                </c:pt>
                <c:pt idx="52">
                  <c:v>104503</c:v>
                </c:pt>
                <c:pt idx="53">
                  <c:v>0</c:v>
                </c:pt>
                <c:pt idx="54">
                  <c:v>0</c:v>
                </c:pt>
                <c:pt idx="55">
                  <c:v>109346</c:v>
                </c:pt>
                <c:pt idx="56">
                  <c:v>0</c:v>
                </c:pt>
                <c:pt idx="57">
                  <c:v>114010</c:v>
                </c:pt>
                <c:pt idx="58">
                  <c:v>0</c:v>
                </c:pt>
                <c:pt idx="59">
                  <c:v>0</c:v>
                </c:pt>
                <c:pt idx="60">
                  <c:v>115791</c:v>
                </c:pt>
                <c:pt idx="61">
                  <c:v>0</c:v>
                </c:pt>
                <c:pt idx="62">
                  <c:v>114213</c:v>
                </c:pt>
                <c:pt idx="63">
                  <c:v>0</c:v>
                </c:pt>
                <c:pt idx="64">
                  <c:v>0</c:v>
                </c:pt>
                <c:pt idx="65">
                  <c:v>125686</c:v>
                </c:pt>
                <c:pt idx="66">
                  <c:v>0</c:v>
                </c:pt>
                <c:pt idx="67">
                  <c:v>120674</c:v>
                </c:pt>
                <c:pt idx="68">
                  <c:v>0</c:v>
                </c:pt>
                <c:pt idx="69">
                  <c:v>0</c:v>
                </c:pt>
                <c:pt idx="70">
                  <c:v>124032</c:v>
                </c:pt>
                <c:pt idx="71">
                  <c:v>0</c:v>
                </c:pt>
                <c:pt idx="72">
                  <c:v>0</c:v>
                </c:pt>
                <c:pt idx="73">
                  <c:v>119266</c:v>
                </c:pt>
                <c:pt idx="74">
                  <c:v>0</c:v>
                </c:pt>
                <c:pt idx="75">
                  <c:v>124486</c:v>
                </c:pt>
                <c:pt idx="76">
                  <c:v>0</c:v>
                </c:pt>
                <c:pt idx="77">
                  <c:v>0</c:v>
                </c:pt>
                <c:pt idx="78">
                  <c:v>123896</c:v>
                </c:pt>
                <c:pt idx="79">
                  <c:v>0</c:v>
                </c:pt>
                <c:pt idx="80">
                  <c:v>135036</c:v>
                </c:pt>
                <c:pt idx="81">
                  <c:v>0</c:v>
                </c:pt>
                <c:pt idx="82">
                  <c:v>0</c:v>
                </c:pt>
                <c:pt idx="83">
                  <c:v>134849</c:v>
                </c:pt>
                <c:pt idx="84">
                  <c:v>0</c:v>
                </c:pt>
                <c:pt idx="85">
                  <c:v>0</c:v>
                </c:pt>
                <c:pt idx="86">
                  <c:v>139353</c:v>
                </c:pt>
                <c:pt idx="87">
                  <c:v>0</c:v>
                </c:pt>
                <c:pt idx="88">
                  <c:v>144740</c:v>
                </c:pt>
                <c:pt idx="89">
                  <c:v>0</c:v>
                </c:pt>
                <c:pt idx="90">
                  <c:v>0</c:v>
                </c:pt>
                <c:pt idx="91">
                  <c:v>142060</c:v>
                </c:pt>
                <c:pt idx="92">
                  <c:v>0</c:v>
                </c:pt>
                <c:pt idx="93">
                  <c:v>142718</c:v>
                </c:pt>
                <c:pt idx="94">
                  <c:v>0</c:v>
                </c:pt>
                <c:pt idx="95">
                  <c:v>0</c:v>
                </c:pt>
                <c:pt idx="96">
                  <c:v>157711</c:v>
                </c:pt>
                <c:pt idx="97">
                  <c:v>0</c:v>
                </c:pt>
                <c:pt idx="98">
                  <c:v>159186</c:v>
                </c:pt>
                <c:pt idx="99">
                  <c:v>0</c:v>
                </c:pt>
                <c:pt idx="100">
                  <c:v>0</c:v>
                </c:pt>
                <c:pt idx="101">
                  <c:v>163878</c:v>
                </c:pt>
                <c:pt idx="102">
                  <c:v>0</c:v>
                </c:pt>
                <c:pt idx="103">
                  <c:v>0</c:v>
                </c:pt>
                <c:pt idx="104">
                  <c:v>173040</c:v>
                </c:pt>
                <c:pt idx="105">
                  <c:v>0</c:v>
                </c:pt>
                <c:pt idx="106">
                  <c:v>186720</c:v>
                </c:pt>
                <c:pt idx="107">
                  <c:v>0</c:v>
                </c:pt>
                <c:pt idx="108">
                  <c:v>0</c:v>
                </c:pt>
                <c:pt idx="109">
                  <c:v>194310</c:v>
                </c:pt>
                <c:pt idx="110">
                  <c:v>0</c:v>
                </c:pt>
                <c:pt idx="111">
                  <c:v>195286</c:v>
                </c:pt>
                <c:pt idx="112">
                  <c:v>0</c:v>
                </c:pt>
                <c:pt idx="113">
                  <c:v>0</c:v>
                </c:pt>
                <c:pt idx="114">
                  <c:v>196041</c:v>
                </c:pt>
                <c:pt idx="115">
                  <c:v>0</c:v>
                </c:pt>
                <c:pt idx="116">
                  <c:v>185624</c:v>
                </c:pt>
                <c:pt idx="117">
                  <c:v>0</c:v>
                </c:pt>
                <c:pt idx="118">
                  <c:v>0</c:v>
                </c:pt>
                <c:pt idx="119">
                  <c:v>168601</c:v>
                </c:pt>
                <c:pt idx="120">
                  <c:v>0</c:v>
                </c:pt>
                <c:pt idx="121">
                  <c:v>0</c:v>
                </c:pt>
                <c:pt idx="122">
                  <c:v>153753</c:v>
                </c:pt>
                <c:pt idx="123">
                  <c:v>0</c:v>
                </c:pt>
                <c:pt idx="124">
                  <c:v>142573</c:v>
                </c:pt>
                <c:pt idx="125">
                  <c:v>0</c:v>
                </c:pt>
                <c:pt idx="126">
                  <c:v>0</c:v>
                </c:pt>
                <c:pt idx="127">
                  <c:v>125598</c:v>
                </c:pt>
                <c:pt idx="128">
                  <c:v>0</c:v>
                </c:pt>
                <c:pt idx="129">
                  <c:v>116069</c:v>
                </c:pt>
                <c:pt idx="130">
                  <c:v>0</c:v>
                </c:pt>
                <c:pt idx="131">
                  <c:v>0</c:v>
                </c:pt>
                <c:pt idx="132">
                  <c:v>106651</c:v>
                </c:pt>
                <c:pt idx="133">
                  <c:v>0</c:v>
                </c:pt>
                <c:pt idx="134">
                  <c:v>89152</c:v>
                </c:pt>
                <c:pt idx="135">
                  <c:v>0</c:v>
                </c:pt>
                <c:pt idx="136">
                  <c:v>0</c:v>
                </c:pt>
                <c:pt idx="137">
                  <c:v>70115</c:v>
                </c:pt>
                <c:pt idx="138">
                  <c:v>0</c:v>
                </c:pt>
                <c:pt idx="139">
                  <c:v>0</c:v>
                </c:pt>
                <c:pt idx="140">
                  <c:v>57181</c:v>
                </c:pt>
                <c:pt idx="141">
                  <c:v>0</c:v>
                </c:pt>
                <c:pt idx="142">
                  <c:v>47137</c:v>
                </c:pt>
                <c:pt idx="143">
                  <c:v>0</c:v>
                </c:pt>
                <c:pt idx="144">
                  <c:v>0</c:v>
                </c:pt>
                <c:pt idx="145">
                  <c:v>38902</c:v>
                </c:pt>
                <c:pt idx="146">
                  <c:v>0</c:v>
                </c:pt>
                <c:pt idx="147">
                  <c:v>30690</c:v>
                </c:pt>
                <c:pt idx="148">
                  <c:v>0</c:v>
                </c:pt>
                <c:pt idx="149">
                  <c:v>0</c:v>
                </c:pt>
                <c:pt idx="150">
                  <c:v>25041</c:v>
                </c:pt>
                <c:pt idx="151">
                  <c:v>0</c:v>
                </c:pt>
                <c:pt idx="152">
                  <c:v>19964</c:v>
                </c:pt>
                <c:pt idx="153">
                  <c:v>0</c:v>
                </c:pt>
                <c:pt idx="154">
                  <c:v>0</c:v>
                </c:pt>
                <c:pt idx="155">
                  <c:v>16297</c:v>
                </c:pt>
                <c:pt idx="156">
                  <c:v>0</c:v>
                </c:pt>
                <c:pt idx="157">
                  <c:v>0</c:v>
                </c:pt>
                <c:pt idx="158">
                  <c:v>13045</c:v>
                </c:pt>
                <c:pt idx="159">
                  <c:v>0</c:v>
                </c:pt>
                <c:pt idx="160">
                  <c:v>10391</c:v>
                </c:pt>
                <c:pt idx="161">
                  <c:v>0</c:v>
                </c:pt>
                <c:pt idx="162">
                  <c:v>0</c:v>
                </c:pt>
                <c:pt idx="163">
                  <c:v>6228</c:v>
                </c:pt>
                <c:pt idx="164">
                  <c:v>0</c:v>
                </c:pt>
                <c:pt idx="165">
                  <c:v>4260</c:v>
                </c:pt>
                <c:pt idx="166">
                  <c:v>0</c:v>
                </c:pt>
                <c:pt idx="167">
                  <c:v>0</c:v>
                </c:pt>
                <c:pt idx="168">
                  <c:v>2742</c:v>
                </c:pt>
                <c:pt idx="169">
                  <c:v>0</c:v>
                </c:pt>
                <c:pt idx="170">
                  <c:v>0</c:v>
                </c:pt>
                <c:pt idx="171">
                  <c:v>1739</c:v>
                </c:pt>
                <c:pt idx="172">
                  <c:v>0</c:v>
                </c:pt>
                <c:pt idx="173">
                  <c:v>627</c:v>
                </c:pt>
                <c:pt idx="174">
                  <c:v>0</c:v>
                </c:pt>
                <c:pt idx="175">
                  <c:v>0</c:v>
                </c:pt>
                <c:pt idx="176">
                  <c:v>162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2.7775300000000005</c:v>
                </c:pt>
                <c:pt idx="1">
                  <c:v>2.8396100000000004</c:v>
                </c:pt>
                <c:pt idx="2">
                  <c:v>2.9009299999999998</c:v>
                </c:pt>
                <c:pt idx="3">
                  <c:v>2.9611999999999998</c:v>
                </c:pt>
                <c:pt idx="4">
                  <c:v>3.0193199999999996</c:v>
                </c:pt>
                <c:pt idx="5">
                  <c:v>3.0731999999999999</c:v>
                </c:pt>
                <c:pt idx="6">
                  <c:v>3.1234899999999999</c:v>
                </c:pt>
                <c:pt idx="7">
                  <c:v>3.1676500000000001</c:v>
                </c:pt>
                <c:pt idx="8">
                  <c:v>3.2089600000000003</c:v>
                </c:pt>
                <c:pt idx="9">
                  <c:v>3.2487399999999997</c:v>
                </c:pt>
                <c:pt idx="10">
                  <c:v>3.28355</c:v>
                </c:pt>
                <c:pt idx="11">
                  <c:v>3.3163499999999999</c:v>
                </c:pt>
                <c:pt idx="12">
                  <c:v>3.3461600000000002</c:v>
                </c:pt>
                <c:pt idx="13">
                  <c:v>3.3714899999999997</c:v>
                </c:pt>
                <c:pt idx="14">
                  <c:v>3.3950900000000002</c:v>
                </c:pt>
                <c:pt idx="15">
                  <c:v>3.4150700000000001</c:v>
                </c:pt>
                <c:pt idx="16">
                  <c:v>3.43588</c:v>
                </c:pt>
                <c:pt idx="17">
                  <c:v>3.45336</c:v>
                </c:pt>
                <c:pt idx="18">
                  <c:v>3.4685600000000001</c:v>
                </c:pt>
                <c:pt idx="19">
                  <c:v>3.48353</c:v>
                </c:pt>
                <c:pt idx="20">
                  <c:v>3.4954299999999998</c:v>
                </c:pt>
                <c:pt idx="21">
                  <c:v>3.5067700000000004</c:v>
                </c:pt>
                <c:pt idx="22">
                  <c:v>3.51763</c:v>
                </c:pt>
                <c:pt idx="23">
                  <c:v>3.5301999999999998</c:v>
                </c:pt>
                <c:pt idx="24">
                  <c:v>3.5412599999999999</c:v>
                </c:pt>
                <c:pt idx="25">
                  <c:v>3.5444500000000003</c:v>
                </c:pt>
                <c:pt idx="26">
                  <c:v>3.54393</c:v>
                </c:pt>
                <c:pt idx="27">
                  <c:v>3.5390800000000002</c:v>
                </c:pt>
                <c:pt idx="28">
                  <c:v>3.5289599999999997</c:v>
                </c:pt>
                <c:pt idx="29">
                  <c:v>3.5170300000000001</c:v>
                </c:pt>
                <c:pt idx="30">
                  <c:v>3.5104200000000003</c:v>
                </c:pt>
                <c:pt idx="31">
                  <c:v>3.5063499999999999</c:v>
                </c:pt>
                <c:pt idx="32">
                  <c:v>3.5050999999999997</c:v>
                </c:pt>
                <c:pt idx="33">
                  <c:v>3.50448</c:v>
                </c:pt>
                <c:pt idx="34">
                  <c:v>3.5010300000000001</c:v>
                </c:pt>
                <c:pt idx="35">
                  <c:v>3.4962900000000001</c:v>
                </c:pt>
                <c:pt idx="36">
                  <c:v>3.4901200000000001</c:v>
                </c:pt>
                <c:pt idx="37">
                  <c:v>3.4833399999999997</c:v>
                </c:pt>
                <c:pt idx="38">
                  <c:v>3.4794</c:v>
                </c:pt>
                <c:pt idx="39">
                  <c:v>3.4760299999999997</c:v>
                </c:pt>
                <c:pt idx="40">
                  <c:v>3.4733499999999999</c:v>
                </c:pt>
                <c:pt idx="41">
                  <c:v>3.4689799999999997</c:v>
                </c:pt>
                <c:pt idx="42">
                  <c:v>3.4638999999999998</c:v>
                </c:pt>
                <c:pt idx="43">
                  <c:v>3.4584599999999996</c:v>
                </c:pt>
                <c:pt idx="44">
                  <c:v>3.4516299999999998</c:v>
                </c:pt>
                <c:pt idx="45">
                  <c:v>3.4429799999999999</c:v>
                </c:pt>
                <c:pt idx="46">
                  <c:v>3.4340900000000003</c:v>
                </c:pt>
                <c:pt idx="47">
                  <c:v>3.42544</c:v>
                </c:pt>
                <c:pt idx="48">
                  <c:v>3.4147499999999997</c:v>
                </c:pt>
                <c:pt idx="49">
                  <c:v>3.4050000000000002</c:v>
                </c:pt>
                <c:pt idx="50">
                  <c:v>3.3994799999999996</c:v>
                </c:pt>
                <c:pt idx="51">
                  <c:v>3.3922400000000001</c:v>
                </c:pt>
                <c:pt idx="52">
                  <c:v>3.38687</c:v>
                </c:pt>
                <c:pt idx="53">
                  <c:v>3.38483</c:v>
                </c:pt>
                <c:pt idx="54">
                  <c:v>3.3833299999999999</c:v>
                </c:pt>
                <c:pt idx="55">
                  <c:v>3.37906</c:v>
                </c:pt>
                <c:pt idx="56">
                  <c:v>3.37513</c:v>
                </c:pt>
                <c:pt idx="57">
                  <c:v>3.3726000000000003</c:v>
                </c:pt>
                <c:pt idx="58">
                  <c:v>3.3662299999999998</c:v>
                </c:pt>
                <c:pt idx="59">
                  <c:v>3.3603199999999998</c:v>
                </c:pt>
                <c:pt idx="60">
                  <c:v>3.3570199999999999</c:v>
                </c:pt>
                <c:pt idx="61">
                  <c:v>3.3565099999999997</c:v>
                </c:pt>
                <c:pt idx="62">
                  <c:v>3.35758</c:v>
                </c:pt>
                <c:pt idx="63">
                  <c:v>3.35921</c:v>
                </c:pt>
                <c:pt idx="64">
                  <c:v>3.3613599999999999</c:v>
                </c:pt>
                <c:pt idx="65">
                  <c:v>3.3641900000000002</c:v>
                </c:pt>
                <c:pt idx="66">
                  <c:v>3.3625799999999999</c:v>
                </c:pt>
                <c:pt idx="67">
                  <c:v>3.3607800000000001</c:v>
                </c:pt>
                <c:pt idx="68">
                  <c:v>3.3593800000000003</c:v>
                </c:pt>
                <c:pt idx="69">
                  <c:v>3.35928</c:v>
                </c:pt>
                <c:pt idx="70">
                  <c:v>3.3628599999999995</c:v>
                </c:pt>
                <c:pt idx="71">
                  <c:v>3.3673500000000001</c:v>
                </c:pt>
                <c:pt idx="72">
                  <c:v>3.3724599999999998</c:v>
                </c:pt>
                <c:pt idx="73">
                  <c:v>3.3780700000000001</c:v>
                </c:pt>
                <c:pt idx="74">
                  <c:v>3.3791700000000002</c:v>
                </c:pt>
                <c:pt idx="75">
                  <c:v>3.3842699999999999</c:v>
                </c:pt>
                <c:pt idx="76">
                  <c:v>3.3909000000000002</c:v>
                </c:pt>
                <c:pt idx="77">
                  <c:v>3.4009099999999997</c:v>
                </c:pt>
                <c:pt idx="78">
                  <c:v>3.4121000000000001</c:v>
                </c:pt>
                <c:pt idx="79">
                  <c:v>3.4189599999999998</c:v>
                </c:pt>
                <c:pt idx="80">
                  <c:v>3.4236599999999999</c:v>
                </c:pt>
                <c:pt idx="81">
                  <c:v>3.4289700000000001</c:v>
                </c:pt>
                <c:pt idx="82">
                  <c:v>3.4350399999999999</c:v>
                </c:pt>
                <c:pt idx="83">
                  <c:v>3.4451900000000002</c:v>
                </c:pt>
                <c:pt idx="84">
                  <c:v>3.45669</c:v>
                </c:pt>
                <c:pt idx="85">
                  <c:v>3.4683299999999999</c:v>
                </c:pt>
                <c:pt idx="86">
                  <c:v>3.4821900000000001</c:v>
                </c:pt>
                <c:pt idx="87">
                  <c:v>3.5009399999999999</c:v>
                </c:pt>
                <c:pt idx="88">
                  <c:v>3.5189500000000002</c:v>
                </c:pt>
                <c:pt idx="89">
                  <c:v>3.53566</c:v>
                </c:pt>
                <c:pt idx="90">
                  <c:v>3.5574299999999996</c:v>
                </c:pt>
                <c:pt idx="91">
                  <c:v>3.5829699999999995</c:v>
                </c:pt>
                <c:pt idx="92">
                  <c:v>3.6121399999999997</c:v>
                </c:pt>
                <c:pt idx="93">
                  <c:v>3.6451899999999999</c:v>
                </c:pt>
                <c:pt idx="94">
                  <c:v>3.6816800000000001</c:v>
                </c:pt>
                <c:pt idx="95">
                  <c:v>3.7190099999999999</c:v>
                </c:pt>
                <c:pt idx="96">
                  <c:v>3.7548199999999996</c:v>
                </c:pt>
                <c:pt idx="97">
                  <c:v>3.7899400000000001</c:v>
                </c:pt>
                <c:pt idx="98">
                  <c:v>3.8289299999999997</c:v>
                </c:pt>
                <c:pt idx="99">
                  <c:v>3.8668400000000003</c:v>
                </c:pt>
                <c:pt idx="100">
                  <c:v>3.9046700000000003</c:v>
                </c:pt>
                <c:pt idx="101">
                  <c:v>3.9453</c:v>
                </c:pt>
                <c:pt idx="102">
                  <c:v>3.9844200000000001</c:v>
                </c:pt>
                <c:pt idx="103">
                  <c:v>4.0222199999999999</c:v>
                </c:pt>
                <c:pt idx="104">
                  <c:v>4.0595499999999998</c:v>
                </c:pt>
                <c:pt idx="105">
                  <c:v>4.0934900000000001</c:v>
                </c:pt>
                <c:pt idx="106">
                  <c:v>4.1224600000000002</c:v>
                </c:pt>
                <c:pt idx="107">
                  <c:v>4.1510899999999999</c:v>
                </c:pt>
                <c:pt idx="108">
                  <c:v>4.1776499999999999</c:v>
                </c:pt>
                <c:pt idx="109">
                  <c:v>4.2043099999999995</c:v>
                </c:pt>
                <c:pt idx="110">
                  <c:v>4.2288800000000002</c:v>
                </c:pt>
                <c:pt idx="111">
                  <c:v>4.2515599999999996</c:v>
                </c:pt>
                <c:pt idx="112">
                  <c:v>4.2730399999999999</c:v>
                </c:pt>
                <c:pt idx="113">
                  <c:v>4.2934099999999997</c:v>
                </c:pt>
                <c:pt idx="114">
                  <c:v>4.3130800000000002</c:v>
                </c:pt>
                <c:pt idx="115">
                  <c:v>4.3294899999999998</c:v>
                </c:pt>
                <c:pt idx="116">
                  <c:v>4.3436900000000005</c:v>
                </c:pt>
                <c:pt idx="117">
                  <c:v>4.3532000000000002</c:v>
                </c:pt>
                <c:pt idx="118">
                  <c:v>4.3580399999999999</c:v>
                </c:pt>
                <c:pt idx="119">
                  <c:v>4.3568099999999994</c:v>
                </c:pt>
                <c:pt idx="120">
                  <c:v>4.3505799999999999</c:v>
                </c:pt>
                <c:pt idx="121">
                  <c:v>4.3413000000000004</c:v>
                </c:pt>
                <c:pt idx="122">
                  <c:v>4.3289</c:v>
                </c:pt>
                <c:pt idx="123">
                  <c:v>4.3141699999999998</c:v>
                </c:pt>
                <c:pt idx="124">
                  <c:v>4.31304</c:v>
                </c:pt>
                <c:pt idx="125">
                  <c:v>4.3101000000000003</c:v>
                </c:pt>
                <c:pt idx="126">
                  <c:v>4.3029000000000002</c:v>
                </c:pt>
                <c:pt idx="127">
                  <c:v>4.2933599999999998</c:v>
                </c:pt>
                <c:pt idx="128">
                  <c:v>4.28268</c:v>
                </c:pt>
                <c:pt idx="129">
                  <c:v>4.2729999999999997</c:v>
                </c:pt>
                <c:pt idx="130">
                  <c:v>4.2653099999999995</c:v>
                </c:pt>
                <c:pt idx="131">
                  <c:v>4.2596800000000004</c:v>
                </c:pt>
                <c:pt idx="132">
                  <c:v>4.25366</c:v>
                </c:pt>
                <c:pt idx="133">
                  <c:v>4.2485900000000001</c:v>
                </c:pt>
                <c:pt idx="134">
                  <c:v>4.2407000000000004</c:v>
                </c:pt>
                <c:pt idx="135">
                  <c:v>4.2342000000000004</c:v>
                </c:pt>
                <c:pt idx="136">
                  <c:v>4.2240899999999995</c:v>
                </c:pt>
                <c:pt idx="137">
                  <c:v>4.2079399999999998</c:v>
                </c:pt>
                <c:pt idx="138">
                  <c:v>4.1904200000000005</c:v>
                </c:pt>
                <c:pt idx="139">
                  <c:v>4.1712400000000001</c:v>
                </c:pt>
                <c:pt idx="140">
                  <c:v>4.1492000000000004</c:v>
                </c:pt>
                <c:pt idx="141">
                  <c:v>4.1251800000000003</c:v>
                </c:pt>
                <c:pt idx="142">
                  <c:v>4.0986000000000002</c:v>
                </c:pt>
                <c:pt idx="143">
                  <c:v>4.0707399999999998</c:v>
                </c:pt>
                <c:pt idx="144">
                  <c:v>4.0404600000000004</c:v>
                </c:pt>
                <c:pt idx="145">
                  <c:v>4.0131099999999993</c:v>
                </c:pt>
                <c:pt idx="146">
                  <c:v>3.9954400000000003</c:v>
                </c:pt>
                <c:pt idx="147">
                  <c:v>4.00021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53.728400000000001</c:v>
                </c:pt>
                <c:pt idx="1">
                  <c:v>52.906699999999994</c:v>
                </c:pt>
                <c:pt idx="2">
                  <c:v>52.112499999999997</c:v>
                </c:pt>
                <c:pt idx="3">
                  <c:v>51.257699999999993</c:v>
                </c:pt>
                <c:pt idx="4">
                  <c:v>50.339800000000004</c:v>
                </c:pt>
                <c:pt idx="5">
                  <c:v>49.515500000000003</c:v>
                </c:pt>
                <c:pt idx="6">
                  <c:v>48.886499999999998</c:v>
                </c:pt>
                <c:pt idx="7">
                  <c:v>48.407600000000002</c:v>
                </c:pt>
                <c:pt idx="8">
                  <c:v>47.957999999999998</c:v>
                </c:pt>
                <c:pt idx="9">
                  <c:v>47.509799999999998</c:v>
                </c:pt>
                <c:pt idx="10">
                  <c:v>47.057300000000005</c:v>
                </c:pt>
                <c:pt idx="11">
                  <c:v>46.615400000000001</c:v>
                </c:pt>
                <c:pt idx="12">
                  <c:v>46.231200000000001</c:v>
                </c:pt>
                <c:pt idx="13">
                  <c:v>45.9345</c:v>
                </c:pt>
                <c:pt idx="14">
                  <c:v>45.683500000000002</c:v>
                </c:pt>
                <c:pt idx="15">
                  <c:v>45.409399999999998</c:v>
                </c:pt>
                <c:pt idx="16">
                  <c:v>45.090499999999999</c:v>
                </c:pt>
                <c:pt idx="17">
                  <c:v>44.771100000000004</c:v>
                </c:pt>
                <c:pt idx="18">
                  <c:v>44.431199999999997</c:v>
                </c:pt>
                <c:pt idx="19">
                  <c:v>44.095600000000005</c:v>
                </c:pt>
                <c:pt idx="20">
                  <c:v>43.786000000000001</c:v>
                </c:pt>
                <c:pt idx="21">
                  <c:v>43.478200000000001</c:v>
                </c:pt>
                <c:pt idx="22">
                  <c:v>43.183599999999998</c:v>
                </c:pt>
                <c:pt idx="23">
                  <c:v>42.869399999999999</c:v>
                </c:pt>
                <c:pt idx="24">
                  <c:v>42.575099999999999</c:v>
                </c:pt>
                <c:pt idx="25">
                  <c:v>42.3874</c:v>
                </c:pt>
                <c:pt idx="26">
                  <c:v>42.258800000000001</c:v>
                </c:pt>
                <c:pt idx="27">
                  <c:v>42.187200000000004</c:v>
                </c:pt>
                <c:pt idx="28">
                  <c:v>42.196300000000001</c:v>
                </c:pt>
                <c:pt idx="29">
                  <c:v>42.2729</c:v>
                </c:pt>
                <c:pt idx="30">
                  <c:v>42.319299999999998</c:v>
                </c:pt>
                <c:pt idx="31">
                  <c:v>42.311500000000002</c:v>
                </c:pt>
                <c:pt idx="32">
                  <c:v>42.240600000000001</c:v>
                </c:pt>
                <c:pt idx="33">
                  <c:v>42.128500000000003</c:v>
                </c:pt>
                <c:pt idx="34">
                  <c:v>42.052</c:v>
                </c:pt>
                <c:pt idx="35">
                  <c:v>41.992899999999999</c:v>
                </c:pt>
                <c:pt idx="36">
                  <c:v>41.987400000000001</c:v>
                </c:pt>
                <c:pt idx="37">
                  <c:v>42.0212</c:v>
                </c:pt>
                <c:pt idx="38">
                  <c:v>42.032599999999995</c:v>
                </c:pt>
                <c:pt idx="39">
                  <c:v>41.974299999999999</c:v>
                </c:pt>
                <c:pt idx="40">
                  <c:v>41.882999999999996</c:v>
                </c:pt>
                <c:pt idx="41">
                  <c:v>41.810900000000004</c:v>
                </c:pt>
                <c:pt idx="42">
                  <c:v>41.764600000000002</c:v>
                </c:pt>
                <c:pt idx="43">
                  <c:v>41.775400000000005</c:v>
                </c:pt>
                <c:pt idx="44">
                  <c:v>41.810099999999998</c:v>
                </c:pt>
                <c:pt idx="45">
                  <c:v>41.831299999999999</c:v>
                </c:pt>
                <c:pt idx="46">
                  <c:v>41.842300000000002</c:v>
                </c:pt>
                <c:pt idx="47">
                  <c:v>41.813200000000002</c:v>
                </c:pt>
                <c:pt idx="48">
                  <c:v>41.784999999999997</c:v>
                </c:pt>
                <c:pt idx="49">
                  <c:v>41.723700000000001</c:v>
                </c:pt>
                <c:pt idx="50">
                  <c:v>41.680399999999999</c:v>
                </c:pt>
                <c:pt idx="51">
                  <c:v>41.639099999999999</c:v>
                </c:pt>
                <c:pt idx="52">
                  <c:v>41.606900000000003</c:v>
                </c:pt>
                <c:pt idx="53">
                  <c:v>41.510300000000001</c:v>
                </c:pt>
                <c:pt idx="54">
                  <c:v>41.460299999999997</c:v>
                </c:pt>
                <c:pt idx="55">
                  <c:v>41.475499999999997</c:v>
                </c:pt>
                <c:pt idx="56">
                  <c:v>41.470500000000001</c:v>
                </c:pt>
                <c:pt idx="57">
                  <c:v>41.516500000000001</c:v>
                </c:pt>
                <c:pt idx="58">
                  <c:v>41.705799999999996</c:v>
                </c:pt>
                <c:pt idx="59">
                  <c:v>41.8718</c:v>
                </c:pt>
                <c:pt idx="60">
                  <c:v>41.977199999999996</c:v>
                </c:pt>
                <c:pt idx="61">
                  <c:v>42.0747</c:v>
                </c:pt>
                <c:pt idx="62">
                  <c:v>42.177399999999999</c:v>
                </c:pt>
                <c:pt idx="63">
                  <c:v>42.279899999999998</c:v>
                </c:pt>
                <c:pt idx="64">
                  <c:v>42.373100000000001</c:v>
                </c:pt>
                <c:pt idx="65">
                  <c:v>42.512299999999996</c:v>
                </c:pt>
                <c:pt idx="66">
                  <c:v>42.760199999999998</c:v>
                </c:pt>
                <c:pt idx="67">
                  <c:v>43.036900000000003</c:v>
                </c:pt>
                <c:pt idx="68">
                  <c:v>43.308300000000003</c:v>
                </c:pt>
                <c:pt idx="69">
                  <c:v>43.599299999999999</c:v>
                </c:pt>
                <c:pt idx="70">
                  <c:v>43.843400000000003</c:v>
                </c:pt>
                <c:pt idx="71">
                  <c:v>44.130699999999997</c:v>
                </c:pt>
                <c:pt idx="72">
                  <c:v>44.487700000000004</c:v>
                </c:pt>
                <c:pt idx="73">
                  <c:v>44.878099999999996</c:v>
                </c:pt>
                <c:pt idx="74">
                  <c:v>45.331500000000005</c:v>
                </c:pt>
                <c:pt idx="75">
                  <c:v>45.772400000000005</c:v>
                </c:pt>
                <c:pt idx="76">
                  <c:v>46.061</c:v>
                </c:pt>
                <c:pt idx="77">
                  <c:v>46.247999999999998</c:v>
                </c:pt>
                <c:pt idx="78">
                  <c:v>46.364800000000002</c:v>
                </c:pt>
                <c:pt idx="79">
                  <c:v>46.461400000000005</c:v>
                </c:pt>
                <c:pt idx="80">
                  <c:v>46.595500000000001</c:v>
                </c:pt>
                <c:pt idx="81">
                  <c:v>46.7729</c:v>
                </c:pt>
                <c:pt idx="82">
                  <c:v>46.895800000000001</c:v>
                </c:pt>
                <c:pt idx="83">
                  <c:v>47.0002</c:v>
                </c:pt>
                <c:pt idx="84">
                  <c:v>47.105000000000004</c:v>
                </c:pt>
                <c:pt idx="85">
                  <c:v>47.142800000000001</c:v>
                </c:pt>
                <c:pt idx="86">
                  <c:v>47.045700000000004</c:v>
                </c:pt>
                <c:pt idx="87">
                  <c:v>46.819100000000006</c:v>
                </c:pt>
                <c:pt idx="88">
                  <c:v>46.636499999999998</c:v>
                </c:pt>
                <c:pt idx="89">
                  <c:v>46.5396</c:v>
                </c:pt>
                <c:pt idx="90">
                  <c:v>46.343600000000002</c:v>
                </c:pt>
                <c:pt idx="91">
                  <c:v>46.095000000000006</c:v>
                </c:pt>
                <c:pt idx="92">
                  <c:v>45.777299999999997</c:v>
                </c:pt>
                <c:pt idx="93">
                  <c:v>45.359899999999996</c:v>
                </c:pt>
                <c:pt idx="94">
                  <c:v>44.814999999999998</c:v>
                </c:pt>
                <c:pt idx="95">
                  <c:v>44.270800000000001</c:v>
                </c:pt>
                <c:pt idx="96">
                  <c:v>43.745899999999999</c:v>
                </c:pt>
                <c:pt idx="97">
                  <c:v>43.228100000000005</c:v>
                </c:pt>
                <c:pt idx="98">
                  <c:v>42.725299999999997</c:v>
                </c:pt>
                <c:pt idx="99">
                  <c:v>42.337699999999998</c:v>
                </c:pt>
                <c:pt idx="100">
                  <c:v>41.912999999999997</c:v>
                </c:pt>
                <c:pt idx="101">
                  <c:v>41.4191</c:v>
                </c:pt>
                <c:pt idx="102">
                  <c:v>40.964500000000001</c:v>
                </c:pt>
                <c:pt idx="103">
                  <c:v>40.6066</c:v>
                </c:pt>
                <c:pt idx="104">
                  <c:v>40.450900000000004</c:v>
                </c:pt>
                <c:pt idx="105">
                  <c:v>40.412300000000002</c:v>
                </c:pt>
                <c:pt idx="106">
                  <c:v>40.380000000000003</c:v>
                </c:pt>
                <c:pt idx="107">
                  <c:v>40.360399999999998</c:v>
                </c:pt>
                <c:pt idx="108">
                  <c:v>40.361999999999995</c:v>
                </c:pt>
                <c:pt idx="109">
                  <c:v>40.368400000000001</c:v>
                </c:pt>
                <c:pt idx="110">
                  <c:v>40.461799999999997</c:v>
                </c:pt>
                <c:pt idx="111">
                  <c:v>40.556399999999996</c:v>
                </c:pt>
                <c:pt idx="112">
                  <c:v>40.597000000000001</c:v>
                </c:pt>
                <c:pt idx="113">
                  <c:v>40.697100000000006</c:v>
                </c:pt>
                <c:pt idx="114">
                  <c:v>40.8003</c:v>
                </c:pt>
                <c:pt idx="115">
                  <c:v>40.916499999999999</c:v>
                </c:pt>
                <c:pt idx="116">
                  <c:v>41.044499999999999</c:v>
                </c:pt>
                <c:pt idx="117">
                  <c:v>41.169899999999998</c:v>
                </c:pt>
                <c:pt idx="118">
                  <c:v>41.323300000000003</c:v>
                </c:pt>
                <c:pt idx="119">
                  <c:v>41.475099999999998</c:v>
                </c:pt>
                <c:pt idx="120">
                  <c:v>41.572499999999998</c:v>
                </c:pt>
                <c:pt idx="121">
                  <c:v>41.648000000000003</c:v>
                </c:pt>
                <c:pt idx="122">
                  <c:v>41.736899999999999</c:v>
                </c:pt>
                <c:pt idx="123">
                  <c:v>41.844500000000004</c:v>
                </c:pt>
                <c:pt idx="124">
                  <c:v>41.881099999999996</c:v>
                </c:pt>
                <c:pt idx="125">
                  <c:v>41.960700000000003</c:v>
                </c:pt>
                <c:pt idx="126">
                  <c:v>42.110799999999998</c:v>
                </c:pt>
                <c:pt idx="127">
                  <c:v>42.314599999999999</c:v>
                </c:pt>
                <c:pt idx="128">
                  <c:v>42.524499999999996</c:v>
                </c:pt>
                <c:pt idx="129">
                  <c:v>42.688099999999999</c:v>
                </c:pt>
                <c:pt idx="130">
                  <c:v>42.8401</c:v>
                </c:pt>
                <c:pt idx="131">
                  <c:v>42.980499999999999</c:v>
                </c:pt>
                <c:pt idx="132">
                  <c:v>43.1663</c:v>
                </c:pt>
                <c:pt idx="133">
                  <c:v>43.326100000000004</c:v>
                </c:pt>
                <c:pt idx="134">
                  <c:v>43.505000000000003</c:v>
                </c:pt>
                <c:pt idx="135">
                  <c:v>43.6235</c:v>
                </c:pt>
                <c:pt idx="136">
                  <c:v>43.780700000000003</c:v>
                </c:pt>
                <c:pt idx="137">
                  <c:v>44.062200000000004</c:v>
                </c:pt>
                <c:pt idx="138">
                  <c:v>44.300800000000002</c:v>
                </c:pt>
                <c:pt idx="139">
                  <c:v>44.558999999999997</c:v>
                </c:pt>
                <c:pt idx="140">
                  <c:v>44.8005</c:v>
                </c:pt>
                <c:pt idx="141">
                  <c:v>45.066899999999997</c:v>
                </c:pt>
                <c:pt idx="142">
                  <c:v>45.269599999999997</c:v>
                </c:pt>
                <c:pt idx="143">
                  <c:v>45.4133</c:v>
                </c:pt>
                <c:pt idx="144">
                  <c:v>45.5762</c:v>
                </c:pt>
                <c:pt idx="145">
                  <c:v>45.956099999999999</c:v>
                </c:pt>
                <c:pt idx="146">
                  <c:v>46.364100000000001</c:v>
                </c:pt>
                <c:pt idx="147">
                  <c:v>46.462499999999999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2.7775300000000005</c:v>
                </c:pt>
                <c:pt idx="1">
                  <c:v>2.8396100000000004</c:v>
                </c:pt>
                <c:pt idx="2">
                  <c:v>2.9009299999999998</c:v>
                </c:pt>
                <c:pt idx="3">
                  <c:v>2.9611999999999998</c:v>
                </c:pt>
                <c:pt idx="4">
                  <c:v>3.0193199999999996</c:v>
                </c:pt>
                <c:pt idx="5">
                  <c:v>3.0731999999999999</c:v>
                </c:pt>
                <c:pt idx="6">
                  <c:v>3.1234899999999999</c:v>
                </c:pt>
                <c:pt idx="7">
                  <c:v>3.1676500000000001</c:v>
                </c:pt>
                <c:pt idx="8">
                  <c:v>3.2089600000000003</c:v>
                </c:pt>
                <c:pt idx="9">
                  <c:v>3.2487399999999997</c:v>
                </c:pt>
                <c:pt idx="10">
                  <c:v>3.28355</c:v>
                </c:pt>
                <c:pt idx="11">
                  <c:v>3.3163499999999999</c:v>
                </c:pt>
                <c:pt idx="12">
                  <c:v>3.3461600000000002</c:v>
                </c:pt>
                <c:pt idx="13">
                  <c:v>3.3714899999999997</c:v>
                </c:pt>
                <c:pt idx="14">
                  <c:v>3.3950900000000002</c:v>
                </c:pt>
                <c:pt idx="15">
                  <c:v>3.4150700000000001</c:v>
                </c:pt>
                <c:pt idx="16">
                  <c:v>3.43588</c:v>
                </c:pt>
                <c:pt idx="17">
                  <c:v>3.45336</c:v>
                </c:pt>
                <c:pt idx="18">
                  <c:v>3.4685600000000001</c:v>
                </c:pt>
                <c:pt idx="19">
                  <c:v>3.48353</c:v>
                </c:pt>
                <c:pt idx="20">
                  <c:v>3.4954299999999998</c:v>
                </c:pt>
                <c:pt idx="21">
                  <c:v>3.5067700000000004</c:v>
                </c:pt>
                <c:pt idx="22">
                  <c:v>3.51763</c:v>
                </c:pt>
                <c:pt idx="23">
                  <c:v>3.5301999999999998</c:v>
                </c:pt>
                <c:pt idx="24">
                  <c:v>3.5412599999999999</c:v>
                </c:pt>
                <c:pt idx="25">
                  <c:v>3.5444500000000003</c:v>
                </c:pt>
                <c:pt idx="26">
                  <c:v>3.54393</c:v>
                </c:pt>
                <c:pt idx="27">
                  <c:v>3.5390800000000002</c:v>
                </c:pt>
                <c:pt idx="28">
                  <c:v>3.5289599999999997</c:v>
                </c:pt>
                <c:pt idx="29">
                  <c:v>3.5170300000000001</c:v>
                </c:pt>
                <c:pt idx="30">
                  <c:v>3.5104200000000003</c:v>
                </c:pt>
                <c:pt idx="31">
                  <c:v>3.5063499999999999</c:v>
                </c:pt>
                <c:pt idx="32">
                  <c:v>3.5050999999999997</c:v>
                </c:pt>
                <c:pt idx="33">
                  <c:v>3.50448</c:v>
                </c:pt>
                <c:pt idx="34">
                  <c:v>3.5010300000000001</c:v>
                </c:pt>
                <c:pt idx="35">
                  <c:v>3.4962900000000001</c:v>
                </c:pt>
                <c:pt idx="36">
                  <c:v>3.4901200000000001</c:v>
                </c:pt>
                <c:pt idx="37">
                  <c:v>3.4833399999999997</c:v>
                </c:pt>
                <c:pt idx="38">
                  <c:v>3.4794</c:v>
                </c:pt>
                <c:pt idx="39">
                  <c:v>3.4760299999999997</c:v>
                </c:pt>
                <c:pt idx="40">
                  <c:v>3.4733499999999999</c:v>
                </c:pt>
                <c:pt idx="41">
                  <c:v>3.4689799999999997</c:v>
                </c:pt>
                <c:pt idx="42">
                  <c:v>3.4638999999999998</c:v>
                </c:pt>
                <c:pt idx="43">
                  <c:v>3.4584599999999996</c:v>
                </c:pt>
                <c:pt idx="44">
                  <c:v>3.4516299999999998</c:v>
                </c:pt>
                <c:pt idx="45">
                  <c:v>3.4429799999999999</c:v>
                </c:pt>
                <c:pt idx="46">
                  <c:v>3.4340900000000003</c:v>
                </c:pt>
                <c:pt idx="47">
                  <c:v>3.42544</c:v>
                </c:pt>
                <c:pt idx="48">
                  <c:v>3.4147499999999997</c:v>
                </c:pt>
                <c:pt idx="49">
                  <c:v>3.4050000000000002</c:v>
                </c:pt>
                <c:pt idx="50">
                  <c:v>3.3994799999999996</c:v>
                </c:pt>
                <c:pt idx="51">
                  <c:v>3.3922400000000001</c:v>
                </c:pt>
                <c:pt idx="52">
                  <c:v>3.38687</c:v>
                </c:pt>
                <c:pt idx="53">
                  <c:v>3.38483</c:v>
                </c:pt>
                <c:pt idx="54">
                  <c:v>3.3833299999999999</c:v>
                </c:pt>
                <c:pt idx="55">
                  <c:v>3.37906</c:v>
                </c:pt>
                <c:pt idx="56">
                  <c:v>3.37513</c:v>
                </c:pt>
                <c:pt idx="57">
                  <c:v>3.3726000000000003</c:v>
                </c:pt>
                <c:pt idx="58">
                  <c:v>3.3662299999999998</c:v>
                </c:pt>
                <c:pt idx="59">
                  <c:v>3.3603199999999998</c:v>
                </c:pt>
                <c:pt idx="60">
                  <c:v>3.3570199999999999</c:v>
                </c:pt>
                <c:pt idx="61">
                  <c:v>3.3565099999999997</c:v>
                </c:pt>
                <c:pt idx="62">
                  <c:v>3.35758</c:v>
                </c:pt>
                <c:pt idx="63">
                  <c:v>3.35921</c:v>
                </c:pt>
                <c:pt idx="64">
                  <c:v>3.3613599999999999</c:v>
                </c:pt>
                <c:pt idx="65">
                  <c:v>3.3641900000000002</c:v>
                </c:pt>
                <c:pt idx="66">
                  <c:v>3.3625799999999999</c:v>
                </c:pt>
                <c:pt idx="67">
                  <c:v>3.3607800000000001</c:v>
                </c:pt>
                <c:pt idx="68">
                  <c:v>3.3593800000000003</c:v>
                </c:pt>
                <c:pt idx="69">
                  <c:v>3.35928</c:v>
                </c:pt>
                <c:pt idx="70">
                  <c:v>3.3628599999999995</c:v>
                </c:pt>
                <c:pt idx="71">
                  <c:v>3.3673500000000001</c:v>
                </c:pt>
                <c:pt idx="72">
                  <c:v>3.3724599999999998</c:v>
                </c:pt>
                <c:pt idx="73">
                  <c:v>3.3780700000000001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53.728400000000001</c:v>
                </c:pt>
                <c:pt idx="1">
                  <c:v>52.906699999999994</c:v>
                </c:pt>
                <c:pt idx="2">
                  <c:v>52.112499999999997</c:v>
                </c:pt>
                <c:pt idx="3">
                  <c:v>51.257699999999993</c:v>
                </c:pt>
                <c:pt idx="4">
                  <c:v>50.339800000000004</c:v>
                </c:pt>
                <c:pt idx="5">
                  <c:v>49.515500000000003</c:v>
                </c:pt>
                <c:pt idx="6">
                  <c:v>48.886499999999998</c:v>
                </c:pt>
                <c:pt idx="7">
                  <c:v>48.407600000000002</c:v>
                </c:pt>
                <c:pt idx="8">
                  <c:v>47.957999999999998</c:v>
                </c:pt>
                <c:pt idx="9">
                  <c:v>47.509799999999998</c:v>
                </c:pt>
                <c:pt idx="10">
                  <c:v>47.057300000000005</c:v>
                </c:pt>
                <c:pt idx="11">
                  <c:v>46.615400000000001</c:v>
                </c:pt>
                <c:pt idx="12">
                  <c:v>46.231200000000001</c:v>
                </c:pt>
                <c:pt idx="13">
                  <c:v>45.9345</c:v>
                </c:pt>
                <c:pt idx="14">
                  <c:v>45.683500000000002</c:v>
                </c:pt>
                <c:pt idx="15">
                  <c:v>45.409399999999998</c:v>
                </c:pt>
                <c:pt idx="16">
                  <c:v>45.090499999999999</c:v>
                </c:pt>
                <c:pt idx="17">
                  <c:v>44.771100000000004</c:v>
                </c:pt>
                <c:pt idx="18">
                  <c:v>44.431199999999997</c:v>
                </c:pt>
                <c:pt idx="19">
                  <c:v>44.095600000000005</c:v>
                </c:pt>
                <c:pt idx="20">
                  <c:v>43.786000000000001</c:v>
                </c:pt>
                <c:pt idx="21">
                  <c:v>43.478200000000001</c:v>
                </c:pt>
                <c:pt idx="22">
                  <c:v>43.183599999999998</c:v>
                </c:pt>
                <c:pt idx="23">
                  <c:v>42.869399999999999</c:v>
                </c:pt>
                <c:pt idx="24">
                  <c:v>42.575099999999999</c:v>
                </c:pt>
                <c:pt idx="25">
                  <c:v>42.3874</c:v>
                </c:pt>
                <c:pt idx="26">
                  <c:v>42.258800000000001</c:v>
                </c:pt>
                <c:pt idx="27">
                  <c:v>42.187200000000004</c:v>
                </c:pt>
                <c:pt idx="28">
                  <c:v>42.196300000000001</c:v>
                </c:pt>
                <c:pt idx="29">
                  <c:v>42.2729</c:v>
                </c:pt>
                <c:pt idx="30">
                  <c:v>42.319299999999998</c:v>
                </c:pt>
                <c:pt idx="31">
                  <c:v>42.311500000000002</c:v>
                </c:pt>
                <c:pt idx="32">
                  <c:v>42.240600000000001</c:v>
                </c:pt>
                <c:pt idx="33">
                  <c:v>42.128500000000003</c:v>
                </c:pt>
                <c:pt idx="34">
                  <c:v>42.052</c:v>
                </c:pt>
                <c:pt idx="35">
                  <c:v>41.992899999999999</c:v>
                </c:pt>
                <c:pt idx="36">
                  <c:v>41.987400000000001</c:v>
                </c:pt>
                <c:pt idx="37">
                  <c:v>42.0212</c:v>
                </c:pt>
                <c:pt idx="38">
                  <c:v>42.032599999999995</c:v>
                </c:pt>
                <c:pt idx="39">
                  <c:v>41.974299999999999</c:v>
                </c:pt>
                <c:pt idx="40">
                  <c:v>41.882999999999996</c:v>
                </c:pt>
                <c:pt idx="41">
                  <c:v>41.810900000000004</c:v>
                </c:pt>
                <c:pt idx="42">
                  <c:v>41.764600000000002</c:v>
                </c:pt>
                <c:pt idx="43">
                  <c:v>41.775400000000005</c:v>
                </c:pt>
                <c:pt idx="44">
                  <c:v>41.810099999999998</c:v>
                </c:pt>
                <c:pt idx="45">
                  <c:v>41.831299999999999</c:v>
                </c:pt>
                <c:pt idx="46">
                  <c:v>41.842300000000002</c:v>
                </c:pt>
                <c:pt idx="47">
                  <c:v>41.813200000000002</c:v>
                </c:pt>
                <c:pt idx="48">
                  <c:v>41.784999999999997</c:v>
                </c:pt>
                <c:pt idx="49">
                  <c:v>41.723700000000001</c:v>
                </c:pt>
                <c:pt idx="50">
                  <c:v>41.680399999999999</c:v>
                </c:pt>
                <c:pt idx="51">
                  <c:v>41.639099999999999</c:v>
                </c:pt>
                <c:pt idx="52">
                  <c:v>41.606900000000003</c:v>
                </c:pt>
                <c:pt idx="53">
                  <c:v>41.510300000000001</c:v>
                </c:pt>
                <c:pt idx="54">
                  <c:v>41.460299999999997</c:v>
                </c:pt>
                <c:pt idx="55">
                  <c:v>41.475499999999997</c:v>
                </c:pt>
                <c:pt idx="56">
                  <c:v>41.470500000000001</c:v>
                </c:pt>
                <c:pt idx="57">
                  <c:v>41.516500000000001</c:v>
                </c:pt>
                <c:pt idx="58">
                  <c:v>41.705799999999996</c:v>
                </c:pt>
                <c:pt idx="59">
                  <c:v>41.8718</c:v>
                </c:pt>
                <c:pt idx="60">
                  <c:v>41.977199999999996</c:v>
                </c:pt>
                <c:pt idx="61">
                  <c:v>42.0747</c:v>
                </c:pt>
                <c:pt idx="62">
                  <c:v>42.177399999999999</c:v>
                </c:pt>
                <c:pt idx="63">
                  <c:v>42.279899999999998</c:v>
                </c:pt>
                <c:pt idx="64">
                  <c:v>42.373100000000001</c:v>
                </c:pt>
                <c:pt idx="65">
                  <c:v>42.512299999999996</c:v>
                </c:pt>
                <c:pt idx="66">
                  <c:v>42.760199999999998</c:v>
                </c:pt>
                <c:pt idx="67">
                  <c:v>43.036900000000003</c:v>
                </c:pt>
                <c:pt idx="68">
                  <c:v>43.308300000000003</c:v>
                </c:pt>
                <c:pt idx="69">
                  <c:v>43.599299999999999</c:v>
                </c:pt>
                <c:pt idx="70">
                  <c:v>43.843400000000003</c:v>
                </c:pt>
                <c:pt idx="71">
                  <c:v>44.130699999999997</c:v>
                </c:pt>
                <c:pt idx="72">
                  <c:v>44.487700000000004</c:v>
                </c:pt>
                <c:pt idx="73">
                  <c:v>44.878099999999996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3.3780700000000001</c:v>
                </c:pt>
                <c:pt idx="1">
                  <c:v>3.3791700000000002</c:v>
                </c:pt>
                <c:pt idx="2">
                  <c:v>3.3842699999999999</c:v>
                </c:pt>
                <c:pt idx="3">
                  <c:v>3.3909000000000002</c:v>
                </c:pt>
                <c:pt idx="4">
                  <c:v>3.4009099999999997</c:v>
                </c:pt>
                <c:pt idx="5">
                  <c:v>3.4121000000000001</c:v>
                </c:pt>
                <c:pt idx="6">
                  <c:v>3.4189599999999998</c:v>
                </c:pt>
                <c:pt idx="7">
                  <c:v>3.4236599999999999</c:v>
                </c:pt>
                <c:pt idx="8">
                  <c:v>3.4289700000000001</c:v>
                </c:pt>
                <c:pt idx="9">
                  <c:v>3.4350399999999999</c:v>
                </c:pt>
                <c:pt idx="10">
                  <c:v>3.4451900000000002</c:v>
                </c:pt>
                <c:pt idx="11">
                  <c:v>3.45669</c:v>
                </c:pt>
                <c:pt idx="12">
                  <c:v>3.4683299999999999</c:v>
                </c:pt>
                <c:pt idx="13">
                  <c:v>3.4821900000000001</c:v>
                </c:pt>
                <c:pt idx="14">
                  <c:v>3.5009399999999999</c:v>
                </c:pt>
                <c:pt idx="15">
                  <c:v>3.5189500000000002</c:v>
                </c:pt>
                <c:pt idx="16">
                  <c:v>3.53566</c:v>
                </c:pt>
                <c:pt idx="17">
                  <c:v>3.5574299999999996</c:v>
                </c:pt>
                <c:pt idx="18">
                  <c:v>3.5829699999999995</c:v>
                </c:pt>
                <c:pt idx="19">
                  <c:v>3.6121399999999997</c:v>
                </c:pt>
                <c:pt idx="20">
                  <c:v>3.6451899999999999</c:v>
                </c:pt>
                <c:pt idx="21">
                  <c:v>3.6816800000000001</c:v>
                </c:pt>
                <c:pt idx="22">
                  <c:v>3.7190099999999999</c:v>
                </c:pt>
                <c:pt idx="23">
                  <c:v>3.7548199999999996</c:v>
                </c:pt>
                <c:pt idx="24">
                  <c:v>3.7899400000000001</c:v>
                </c:pt>
                <c:pt idx="25">
                  <c:v>3.8289299999999997</c:v>
                </c:pt>
                <c:pt idx="26">
                  <c:v>3.8668400000000003</c:v>
                </c:pt>
                <c:pt idx="27">
                  <c:v>3.9046700000000003</c:v>
                </c:pt>
                <c:pt idx="28">
                  <c:v>3.9453</c:v>
                </c:pt>
                <c:pt idx="29">
                  <c:v>3.9844200000000001</c:v>
                </c:pt>
                <c:pt idx="30">
                  <c:v>4.0222199999999999</c:v>
                </c:pt>
                <c:pt idx="31">
                  <c:v>4.0595499999999998</c:v>
                </c:pt>
                <c:pt idx="32">
                  <c:v>4.0934900000000001</c:v>
                </c:pt>
                <c:pt idx="33">
                  <c:v>4.1224600000000002</c:v>
                </c:pt>
                <c:pt idx="34">
                  <c:v>4.1510899999999999</c:v>
                </c:pt>
                <c:pt idx="35">
                  <c:v>4.1776499999999999</c:v>
                </c:pt>
                <c:pt idx="36">
                  <c:v>4.2043099999999995</c:v>
                </c:pt>
                <c:pt idx="37">
                  <c:v>4.2288800000000002</c:v>
                </c:pt>
                <c:pt idx="38">
                  <c:v>4.2515599999999996</c:v>
                </c:pt>
                <c:pt idx="39">
                  <c:v>4.2730399999999999</c:v>
                </c:pt>
                <c:pt idx="40">
                  <c:v>4.2934099999999997</c:v>
                </c:pt>
                <c:pt idx="41">
                  <c:v>4.3130800000000002</c:v>
                </c:pt>
                <c:pt idx="42">
                  <c:v>4.3294899999999998</c:v>
                </c:pt>
                <c:pt idx="43">
                  <c:v>4.3436900000000005</c:v>
                </c:pt>
                <c:pt idx="44">
                  <c:v>4.3532000000000002</c:v>
                </c:pt>
                <c:pt idx="45">
                  <c:v>4.3580399999999999</c:v>
                </c:pt>
                <c:pt idx="46">
                  <c:v>4.3568099999999994</c:v>
                </c:pt>
                <c:pt idx="47">
                  <c:v>4.3505799999999999</c:v>
                </c:pt>
                <c:pt idx="48">
                  <c:v>4.3413000000000004</c:v>
                </c:pt>
                <c:pt idx="49">
                  <c:v>4.3289</c:v>
                </c:pt>
                <c:pt idx="50">
                  <c:v>4.3141699999999998</c:v>
                </c:pt>
                <c:pt idx="51">
                  <c:v>4.31304</c:v>
                </c:pt>
                <c:pt idx="52">
                  <c:v>4.3101000000000003</c:v>
                </c:pt>
                <c:pt idx="53">
                  <c:v>4.3029000000000002</c:v>
                </c:pt>
                <c:pt idx="54">
                  <c:v>4.2933599999999998</c:v>
                </c:pt>
                <c:pt idx="55">
                  <c:v>4.28268</c:v>
                </c:pt>
                <c:pt idx="56">
                  <c:v>4.2729999999999997</c:v>
                </c:pt>
                <c:pt idx="57">
                  <c:v>4.2653099999999995</c:v>
                </c:pt>
                <c:pt idx="58">
                  <c:v>4.2596800000000004</c:v>
                </c:pt>
                <c:pt idx="59">
                  <c:v>4.25366</c:v>
                </c:pt>
                <c:pt idx="60">
                  <c:v>4.2485900000000001</c:v>
                </c:pt>
                <c:pt idx="61">
                  <c:v>4.2407000000000004</c:v>
                </c:pt>
                <c:pt idx="62">
                  <c:v>4.2342000000000004</c:v>
                </c:pt>
                <c:pt idx="63">
                  <c:v>4.2240899999999995</c:v>
                </c:pt>
                <c:pt idx="64">
                  <c:v>4.2079399999999998</c:v>
                </c:pt>
                <c:pt idx="65">
                  <c:v>4.1904200000000005</c:v>
                </c:pt>
                <c:pt idx="66">
                  <c:v>4.1712400000000001</c:v>
                </c:pt>
                <c:pt idx="67">
                  <c:v>4.1492000000000004</c:v>
                </c:pt>
                <c:pt idx="68">
                  <c:v>4.1251800000000003</c:v>
                </c:pt>
                <c:pt idx="69">
                  <c:v>4.0986000000000002</c:v>
                </c:pt>
                <c:pt idx="70">
                  <c:v>4.0707399999999998</c:v>
                </c:pt>
                <c:pt idx="71">
                  <c:v>4.0404600000000004</c:v>
                </c:pt>
                <c:pt idx="72">
                  <c:v>4.0131099999999993</c:v>
                </c:pt>
                <c:pt idx="73">
                  <c:v>3.9954400000000003</c:v>
                </c:pt>
                <c:pt idx="74">
                  <c:v>4.00021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44.878099999999996</c:v>
                </c:pt>
                <c:pt idx="1">
                  <c:v>45.331500000000005</c:v>
                </c:pt>
                <c:pt idx="2">
                  <c:v>45.772400000000005</c:v>
                </c:pt>
                <c:pt idx="3">
                  <c:v>46.061</c:v>
                </c:pt>
                <c:pt idx="4">
                  <c:v>46.247999999999998</c:v>
                </c:pt>
                <c:pt idx="5">
                  <c:v>46.364800000000002</c:v>
                </c:pt>
                <c:pt idx="6">
                  <c:v>46.461400000000005</c:v>
                </c:pt>
                <c:pt idx="7">
                  <c:v>46.595500000000001</c:v>
                </c:pt>
                <c:pt idx="8">
                  <c:v>46.7729</c:v>
                </c:pt>
                <c:pt idx="9">
                  <c:v>46.895800000000001</c:v>
                </c:pt>
                <c:pt idx="10">
                  <c:v>47.0002</c:v>
                </c:pt>
                <c:pt idx="11">
                  <c:v>47.105000000000004</c:v>
                </c:pt>
                <c:pt idx="12">
                  <c:v>47.142800000000001</c:v>
                </c:pt>
                <c:pt idx="13">
                  <c:v>47.045700000000004</c:v>
                </c:pt>
                <c:pt idx="14">
                  <c:v>46.819100000000006</c:v>
                </c:pt>
                <c:pt idx="15">
                  <c:v>46.636499999999998</c:v>
                </c:pt>
                <c:pt idx="16">
                  <c:v>46.5396</c:v>
                </c:pt>
                <c:pt idx="17">
                  <c:v>46.343600000000002</c:v>
                </c:pt>
                <c:pt idx="18">
                  <c:v>46.095000000000006</c:v>
                </c:pt>
                <c:pt idx="19">
                  <c:v>45.777299999999997</c:v>
                </c:pt>
                <c:pt idx="20">
                  <c:v>45.359899999999996</c:v>
                </c:pt>
                <c:pt idx="21">
                  <c:v>44.814999999999998</c:v>
                </c:pt>
                <c:pt idx="22">
                  <c:v>44.270800000000001</c:v>
                </c:pt>
                <c:pt idx="23">
                  <c:v>43.745899999999999</c:v>
                </c:pt>
                <c:pt idx="24">
                  <c:v>43.228100000000005</c:v>
                </c:pt>
                <c:pt idx="25">
                  <c:v>42.725299999999997</c:v>
                </c:pt>
                <c:pt idx="26">
                  <c:v>42.337699999999998</c:v>
                </c:pt>
                <c:pt idx="27">
                  <c:v>41.912999999999997</c:v>
                </c:pt>
                <c:pt idx="28">
                  <c:v>41.4191</c:v>
                </c:pt>
                <c:pt idx="29">
                  <c:v>40.964500000000001</c:v>
                </c:pt>
                <c:pt idx="30">
                  <c:v>40.6066</c:v>
                </c:pt>
                <c:pt idx="31">
                  <c:v>40.450900000000004</c:v>
                </c:pt>
                <c:pt idx="32">
                  <c:v>40.412300000000002</c:v>
                </c:pt>
                <c:pt idx="33">
                  <c:v>40.380000000000003</c:v>
                </c:pt>
                <c:pt idx="34">
                  <c:v>40.360399999999998</c:v>
                </c:pt>
                <c:pt idx="35">
                  <c:v>40.361999999999995</c:v>
                </c:pt>
                <c:pt idx="36">
                  <c:v>40.368400000000001</c:v>
                </c:pt>
                <c:pt idx="37">
                  <c:v>40.461799999999997</c:v>
                </c:pt>
                <c:pt idx="38">
                  <c:v>40.556399999999996</c:v>
                </c:pt>
                <c:pt idx="39">
                  <c:v>40.597000000000001</c:v>
                </c:pt>
                <c:pt idx="40">
                  <c:v>40.697100000000006</c:v>
                </c:pt>
                <c:pt idx="41">
                  <c:v>40.8003</c:v>
                </c:pt>
                <c:pt idx="42">
                  <c:v>40.916499999999999</c:v>
                </c:pt>
                <c:pt idx="43">
                  <c:v>41.044499999999999</c:v>
                </c:pt>
                <c:pt idx="44">
                  <c:v>41.169899999999998</c:v>
                </c:pt>
                <c:pt idx="45">
                  <c:v>41.323300000000003</c:v>
                </c:pt>
                <c:pt idx="46">
                  <c:v>41.475099999999998</c:v>
                </c:pt>
                <c:pt idx="47">
                  <c:v>41.572499999999998</c:v>
                </c:pt>
                <c:pt idx="48">
                  <c:v>41.648000000000003</c:v>
                </c:pt>
                <c:pt idx="49">
                  <c:v>41.736899999999999</c:v>
                </c:pt>
                <c:pt idx="50">
                  <c:v>41.844500000000004</c:v>
                </c:pt>
                <c:pt idx="51">
                  <c:v>41.881099999999996</c:v>
                </c:pt>
                <c:pt idx="52">
                  <c:v>41.960700000000003</c:v>
                </c:pt>
                <c:pt idx="53">
                  <c:v>42.110799999999998</c:v>
                </c:pt>
                <c:pt idx="54">
                  <c:v>42.314599999999999</c:v>
                </c:pt>
                <c:pt idx="55">
                  <c:v>42.524499999999996</c:v>
                </c:pt>
                <c:pt idx="56">
                  <c:v>42.688099999999999</c:v>
                </c:pt>
                <c:pt idx="57">
                  <c:v>42.8401</c:v>
                </c:pt>
                <c:pt idx="58">
                  <c:v>42.980499999999999</c:v>
                </c:pt>
                <c:pt idx="59">
                  <c:v>43.1663</c:v>
                </c:pt>
                <c:pt idx="60">
                  <c:v>43.326100000000004</c:v>
                </c:pt>
                <c:pt idx="61">
                  <c:v>43.505000000000003</c:v>
                </c:pt>
                <c:pt idx="62">
                  <c:v>43.6235</c:v>
                </c:pt>
                <c:pt idx="63">
                  <c:v>43.780700000000003</c:v>
                </c:pt>
                <c:pt idx="64">
                  <c:v>44.062200000000004</c:v>
                </c:pt>
                <c:pt idx="65">
                  <c:v>44.300800000000002</c:v>
                </c:pt>
                <c:pt idx="66">
                  <c:v>44.558999999999997</c:v>
                </c:pt>
                <c:pt idx="67">
                  <c:v>44.8005</c:v>
                </c:pt>
                <c:pt idx="68">
                  <c:v>45.066899999999997</c:v>
                </c:pt>
                <c:pt idx="69">
                  <c:v>45.269599999999997</c:v>
                </c:pt>
                <c:pt idx="70">
                  <c:v>45.4133</c:v>
                </c:pt>
                <c:pt idx="71">
                  <c:v>45.5762</c:v>
                </c:pt>
                <c:pt idx="72">
                  <c:v>45.956099999999999</c:v>
                </c:pt>
                <c:pt idx="73">
                  <c:v>46.364100000000001</c:v>
                </c:pt>
                <c:pt idx="74">
                  <c:v>46.462499999999999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2.7775300000000005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53.728400000000001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3.3760036486486475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43.832610810810799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3.9700816216216217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43.609527027027021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3.9700816216216217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43.609527027027021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0.1918212959292051</c:v>
                </c:pt>
                <c:pt idx="1">
                  <c:v>0.30486454799435442</c:v>
                </c:pt>
                <c:pt idx="2">
                  <c:v>0.50331415607644048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0.35298299999999999</c:v>
                </c:pt>
                <c:pt idx="2">
                  <c:v>0.75927299999999998</c:v>
                </c:pt>
                <c:pt idx="3">
                  <c:v>1.1645300000000001</c:v>
                </c:pt>
                <c:pt idx="4">
                  <c:v>1.57216</c:v>
                </c:pt>
                <c:pt idx="5">
                  <c:v>1.9758199999999999</c:v>
                </c:pt>
                <c:pt idx="6">
                  <c:v>2.3868399999999999</c:v>
                </c:pt>
                <c:pt idx="7">
                  <c:v>2.7913700000000001</c:v>
                </c:pt>
                <c:pt idx="8">
                  <c:v>3.1976599999999999</c:v>
                </c:pt>
                <c:pt idx="9">
                  <c:v>3.6031599999999999</c:v>
                </c:pt>
                <c:pt idx="10">
                  <c:v>4.0085800000000003</c:v>
                </c:pt>
                <c:pt idx="11">
                  <c:v>4.4148100000000001</c:v>
                </c:pt>
                <c:pt idx="12">
                  <c:v>4.8175600000000003</c:v>
                </c:pt>
                <c:pt idx="13">
                  <c:v>5.2243700000000004</c:v>
                </c:pt>
                <c:pt idx="14">
                  <c:v>5.6357100000000004</c:v>
                </c:pt>
                <c:pt idx="15">
                  <c:v>6.0370799999999996</c:v>
                </c:pt>
                <c:pt idx="16">
                  <c:v>6.4469500000000002</c:v>
                </c:pt>
                <c:pt idx="17">
                  <c:v>6.8494999999999999</c:v>
                </c:pt>
                <c:pt idx="18">
                  <c:v>7.2579799999999999</c:v>
                </c:pt>
                <c:pt idx="19">
                  <c:v>7.6645700000000003</c:v>
                </c:pt>
                <c:pt idx="20">
                  <c:v>8.0699699999999996</c:v>
                </c:pt>
                <c:pt idx="21">
                  <c:v>8.4777500000000003</c:v>
                </c:pt>
                <c:pt idx="22">
                  <c:v>8.8823600000000003</c:v>
                </c:pt>
                <c:pt idx="23">
                  <c:v>9.2871400000000008</c:v>
                </c:pt>
                <c:pt idx="24">
                  <c:v>9.6949699999999996</c:v>
                </c:pt>
                <c:pt idx="25">
                  <c:v>10.1036</c:v>
                </c:pt>
                <c:pt idx="26">
                  <c:v>10.5084</c:v>
                </c:pt>
                <c:pt idx="27">
                  <c:v>10.9122</c:v>
                </c:pt>
                <c:pt idx="28">
                  <c:v>11.3179</c:v>
                </c:pt>
                <c:pt idx="29">
                  <c:v>11.723699999999999</c:v>
                </c:pt>
                <c:pt idx="30">
                  <c:v>12.1349</c:v>
                </c:pt>
                <c:pt idx="31">
                  <c:v>12.541600000000001</c:v>
                </c:pt>
                <c:pt idx="32">
                  <c:v>12.947699999999999</c:v>
                </c:pt>
                <c:pt idx="33">
                  <c:v>13.3497</c:v>
                </c:pt>
                <c:pt idx="34">
                  <c:v>13.754</c:v>
                </c:pt>
                <c:pt idx="35">
                  <c:v>14.164899999999999</c:v>
                </c:pt>
                <c:pt idx="36">
                  <c:v>14.573499999999999</c:v>
                </c:pt>
                <c:pt idx="37">
                  <c:v>14.9758</c:v>
                </c:pt>
                <c:pt idx="38">
                  <c:v>15.382999999999999</c:v>
                </c:pt>
                <c:pt idx="39">
                  <c:v>15.7888</c:v>
                </c:pt>
                <c:pt idx="40">
                  <c:v>16.194099999999999</c:v>
                </c:pt>
                <c:pt idx="41">
                  <c:v>16.6052</c:v>
                </c:pt>
                <c:pt idx="42">
                  <c:v>17.0105</c:v>
                </c:pt>
                <c:pt idx="43">
                  <c:v>17.4131</c:v>
                </c:pt>
                <c:pt idx="44">
                  <c:v>17.821200000000001</c:v>
                </c:pt>
                <c:pt idx="45">
                  <c:v>18.224799999999998</c:v>
                </c:pt>
                <c:pt idx="46">
                  <c:v>18.634799999999998</c:v>
                </c:pt>
                <c:pt idx="47">
                  <c:v>19.038399999999999</c:v>
                </c:pt>
                <c:pt idx="48">
                  <c:v>19.4452</c:v>
                </c:pt>
                <c:pt idx="49">
                  <c:v>19.8504</c:v>
                </c:pt>
                <c:pt idx="50">
                  <c:v>20.261199999999999</c:v>
                </c:pt>
                <c:pt idx="51">
                  <c:v>20.665400000000002</c:v>
                </c:pt>
                <c:pt idx="52">
                  <c:v>21.0731</c:v>
                </c:pt>
                <c:pt idx="53">
                  <c:v>21.477</c:v>
                </c:pt>
                <c:pt idx="54">
                  <c:v>21.883199999999999</c:v>
                </c:pt>
                <c:pt idx="55">
                  <c:v>22.2865</c:v>
                </c:pt>
                <c:pt idx="56">
                  <c:v>22.695599999999999</c:v>
                </c:pt>
                <c:pt idx="57">
                  <c:v>23.103899999999999</c:v>
                </c:pt>
                <c:pt idx="58">
                  <c:v>23.508700000000001</c:v>
                </c:pt>
                <c:pt idx="59">
                  <c:v>23.913</c:v>
                </c:pt>
                <c:pt idx="60">
                  <c:v>24.319900000000001</c:v>
                </c:pt>
                <c:pt idx="61">
                  <c:v>24.728200000000001</c:v>
                </c:pt>
                <c:pt idx="62">
                  <c:v>25.133199999999999</c:v>
                </c:pt>
                <c:pt idx="63">
                  <c:v>25.538900000000002</c:v>
                </c:pt>
                <c:pt idx="64">
                  <c:v>25.944700000000001</c:v>
                </c:pt>
                <c:pt idx="65">
                  <c:v>26.3505</c:v>
                </c:pt>
                <c:pt idx="66">
                  <c:v>26.7591</c:v>
                </c:pt>
                <c:pt idx="67">
                  <c:v>27.165099999999999</c:v>
                </c:pt>
                <c:pt idx="68">
                  <c:v>27.572099999999999</c:v>
                </c:pt>
                <c:pt idx="69">
                  <c:v>27.976500000000001</c:v>
                </c:pt>
                <c:pt idx="70">
                  <c:v>28.380400000000002</c:v>
                </c:pt>
                <c:pt idx="71">
                  <c:v>28.791499999999999</c:v>
                </c:pt>
                <c:pt idx="72">
                  <c:v>29.1937</c:v>
                </c:pt>
                <c:pt idx="73">
                  <c:v>29.609500000000001</c:v>
                </c:pt>
                <c:pt idx="74">
                  <c:v>30.007300000000001</c:v>
                </c:pt>
                <c:pt idx="75">
                  <c:v>30.621500000000001</c:v>
                </c:pt>
                <c:pt idx="76">
                  <c:v>30.993400000000001</c:v>
                </c:pt>
                <c:pt idx="77">
                  <c:v>31.3689</c:v>
                </c:pt>
                <c:pt idx="78">
                  <c:v>31.7422</c:v>
                </c:pt>
                <c:pt idx="79">
                  <c:v>32.117800000000003</c:v>
                </c:pt>
                <c:pt idx="80">
                  <c:v>32.5244</c:v>
                </c:pt>
                <c:pt idx="81">
                  <c:v>32.929400000000001</c:v>
                </c:pt>
                <c:pt idx="82">
                  <c:v>33.337499999999999</c:v>
                </c:pt>
                <c:pt idx="83">
                  <c:v>33.744700000000002</c:v>
                </c:pt>
                <c:pt idx="84">
                  <c:v>34.149500000000003</c:v>
                </c:pt>
                <c:pt idx="85">
                  <c:v>34.555999999999997</c:v>
                </c:pt>
                <c:pt idx="86">
                  <c:v>34.962200000000003</c:v>
                </c:pt>
                <c:pt idx="87">
                  <c:v>35.367899999999999</c:v>
                </c:pt>
                <c:pt idx="88">
                  <c:v>35.775100000000002</c:v>
                </c:pt>
                <c:pt idx="89">
                  <c:v>36.180399999999999</c:v>
                </c:pt>
                <c:pt idx="90">
                  <c:v>36.587699999999998</c:v>
                </c:pt>
                <c:pt idx="91">
                  <c:v>36.989899999999999</c:v>
                </c:pt>
                <c:pt idx="92">
                  <c:v>37.400100000000002</c:v>
                </c:pt>
                <c:pt idx="93">
                  <c:v>37.807000000000002</c:v>
                </c:pt>
                <c:pt idx="94">
                  <c:v>38.210599999999999</c:v>
                </c:pt>
                <c:pt idx="95">
                  <c:v>38.6175</c:v>
                </c:pt>
                <c:pt idx="96">
                  <c:v>39.0244</c:v>
                </c:pt>
                <c:pt idx="97">
                  <c:v>39.428400000000003</c:v>
                </c:pt>
                <c:pt idx="98">
                  <c:v>39.837200000000003</c:v>
                </c:pt>
                <c:pt idx="99">
                  <c:v>40.241999999999997</c:v>
                </c:pt>
                <c:pt idx="100">
                  <c:v>40.648600000000002</c:v>
                </c:pt>
                <c:pt idx="101">
                  <c:v>41.052700000000002</c:v>
                </c:pt>
                <c:pt idx="102">
                  <c:v>41.461599999999997</c:v>
                </c:pt>
                <c:pt idx="103">
                  <c:v>41.8675</c:v>
                </c:pt>
                <c:pt idx="104">
                  <c:v>42.275199999999998</c:v>
                </c:pt>
                <c:pt idx="105">
                  <c:v>42.678199999999997</c:v>
                </c:pt>
                <c:pt idx="106">
                  <c:v>43.0852</c:v>
                </c:pt>
                <c:pt idx="107">
                  <c:v>43.494500000000002</c:v>
                </c:pt>
                <c:pt idx="108">
                  <c:v>43.903300000000002</c:v>
                </c:pt>
                <c:pt idx="109">
                  <c:v>44.306600000000003</c:v>
                </c:pt>
                <c:pt idx="110">
                  <c:v>44.712400000000002</c:v>
                </c:pt>
                <c:pt idx="111">
                  <c:v>45.116700000000002</c:v>
                </c:pt>
                <c:pt idx="112">
                  <c:v>45.525399999999998</c:v>
                </c:pt>
                <c:pt idx="113">
                  <c:v>45.930199999999999</c:v>
                </c:pt>
                <c:pt idx="114">
                  <c:v>46.337200000000003</c:v>
                </c:pt>
                <c:pt idx="115">
                  <c:v>46.740699999999997</c:v>
                </c:pt>
                <c:pt idx="116">
                  <c:v>47.147500000000001</c:v>
                </c:pt>
                <c:pt idx="117">
                  <c:v>47.555599999999998</c:v>
                </c:pt>
                <c:pt idx="118">
                  <c:v>47.962299999999999</c:v>
                </c:pt>
                <c:pt idx="119">
                  <c:v>48.369100000000003</c:v>
                </c:pt>
                <c:pt idx="120">
                  <c:v>48.773200000000003</c:v>
                </c:pt>
                <c:pt idx="121">
                  <c:v>49.181399999999996</c:v>
                </c:pt>
                <c:pt idx="122">
                  <c:v>49.588200000000001</c:v>
                </c:pt>
                <c:pt idx="123">
                  <c:v>49.994900000000001</c:v>
                </c:pt>
                <c:pt idx="124">
                  <c:v>50.397799999999997</c:v>
                </c:pt>
                <c:pt idx="125">
                  <c:v>50.805799999999998</c:v>
                </c:pt>
                <c:pt idx="126">
                  <c:v>51.210599999999999</c:v>
                </c:pt>
                <c:pt idx="127">
                  <c:v>51.618600000000001</c:v>
                </c:pt>
                <c:pt idx="128">
                  <c:v>52.021599999999999</c:v>
                </c:pt>
                <c:pt idx="129">
                  <c:v>52.428199999999997</c:v>
                </c:pt>
                <c:pt idx="130">
                  <c:v>52.836300000000001</c:v>
                </c:pt>
                <c:pt idx="131">
                  <c:v>53.2438</c:v>
                </c:pt>
                <c:pt idx="132">
                  <c:v>53.650100000000002</c:v>
                </c:pt>
                <c:pt idx="133">
                  <c:v>54.055799999999998</c:v>
                </c:pt>
                <c:pt idx="134">
                  <c:v>54.461300000000001</c:v>
                </c:pt>
                <c:pt idx="135">
                  <c:v>54.867800000000003</c:v>
                </c:pt>
                <c:pt idx="136">
                  <c:v>55.274999999999999</c:v>
                </c:pt>
                <c:pt idx="137">
                  <c:v>55.680199999999999</c:v>
                </c:pt>
                <c:pt idx="138">
                  <c:v>56.085799999999999</c:v>
                </c:pt>
                <c:pt idx="139">
                  <c:v>56.490900000000003</c:v>
                </c:pt>
                <c:pt idx="140">
                  <c:v>56.8992</c:v>
                </c:pt>
                <c:pt idx="141">
                  <c:v>57.305300000000003</c:v>
                </c:pt>
                <c:pt idx="142">
                  <c:v>57.711500000000001</c:v>
                </c:pt>
                <c:pt idx="143">
                  <c:v>58.118200000000002</c:v>
                </c:pt>
                <c:pt idx="144">
                  <c:v>58.523000000000003</c:v>
                </c:pt>
                <c:pt idx="145">
                  <c:v>58.930700000000002</c:v>
                </c:pt>
                <c:pt idx="146">
                  <c:v>59.337200000000003</c:v>
                </c:pt>
                <c:pt idx="147">
                  <c:v>59.744599999999998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2.7775300000000005</c:v>
                </c:pt>
                <c:pt idx="1">
                  <c:v>2.8396100000000004</c:v>
                </c:pt>
                <c:pt idx="2">
                  <c:v>2.9009299999999998</c:v>
                </c:pt>
                <c:pt idx="3">
                  <c:v>2.9611999999999998</c:v>
                </c:pt>
                <c:pt idx="4">
                  <c:v>3.0193199999999996</c:v>
                </c:pt>
                <c:pt idx="5">
                  <c:v>3.0731999999999999</c:v>
                </c:pt>
                <c:pt idx="6">
                  <c:v>3.1234899999999999</c:v>
                </c:pt>
                <c:pt idx="7">
                  <c:v>3.1676500000000001</c:v>
                </c:pt>
                <c:pt idx="8">
                  <c:v>3.2089600000000003</c:v>
                </c:pt>
                <c:pt idx="9">
                  <c:v>3.2487399999999997</c:v>
                </c:pt>
                <c:pt idx="10">
                  <c:v>3.28355</c:v>
                </c:pt>
                <c:pt idx="11">
                  <c:v>3.3163499999999999</c:v>
                </c:pt>
                <c:pt idx="12">
                  <c:v>3.3461600000000002</c:v>
                </c:pt>
                <c:pt idx="13">
                  <c:v>3.3714899999999997</c:v>
                </c:pt>
                <c:pt idx="14">
                  <c:v>3.3950900000000002</c:v>
                </c:pt>
                <c:pt idx="15">
                  <c:v>3.4150700000000001</c:v>
                </c:pt>
                <c:pt idx="16">
                  <c:v>3.43588</c:v>
                </c:pt>
                <c:pt idx="17">
                  <c:v>3.45336</c:v>
                </c:pt>
                <c:pt idx="18">
                  <c:v>3.4685600000000001</c:v>
                </c:pt>
                <c:pt idx="19">
                  <c:v>3.48353</c:v>
                </c:pt>
                <c:pt idx="20">
                  <c:v>3.4954299999999998</c:v>
                </c:pt>
                <c:pt idx="21">
                  <c:v>3.5067700000000004</c:v>
                </c:pt>
                <c:pt idx="22">
                  <c:v>3.51763</c:v>
                </c:pt>
                <c:pt idx="23">
                  <c:v>3.5301999999999998</c:v>
                </c:pt>
                <c:pt idx="24">
                  <c:v>3.5412599999999999</c:v>
                </c:pt>
                <c:pt idx="25">
                  <c:v>3.5444500000000003</c:v>
                </c:pt>
                <c:pt idx="26">
                  <c:v>3.54393</c:v>
                </c:pt>
                <c:pt idx="27">
                  <c:v>3.5390800000000002</c:v>
                </c:pt>
                <c:pt idx="28">
                  <c:v>3.5289599999999997</c:v>
                </c:pt>
                <c:pt idx="29">
                  <c:v>3.5170300000000001</c:v>
                </c:pt>
                <c:pt idx="30">
                  <c:v>3.5104200000000003</c:v>
                </c:pt>
                <c:pt idx="31">
                  <c:v>3.5063499999999999</c:v>
                </c:pt>
                <c:pt idx="32">
                  <c:v>3.5050999999999997</c:v>
                </c:pt>
                <c:pt idx="33">
                  <c:v>3.50448</c:v>
                </c:pt>
                <c:pt idx="34">
                  <c:v>3.5010300000000001</c:v>
                </c:pt>
                <c:pt idx="35">
                  <c:v>3.4962900000000001</c:v>
                </c:pt>
                <c:pt idx="36">
                  <c:v>3.4901200000000001</c:v>
                </c:pt>
                <c:pt idx="37">
                  <c:v>3.4833399999999997</c:v>
                </c:pt>
                <c:pt idx="38">
                  <c:v>3.4794</c:v>
                </c:pt>
                <c:pt idx="39">
                  <c:v>3.4760299999999997</c:v>
                </c:pt>
                <c:pt idx="40">
                  <c:v>3.4733499999999999</c:v>
                </c:pt>
                <c:pt idx="41">
                  <c:v>3.4689799999999997</c:v>
                </c:pt>
                <c:pt idx="42">
                  <c:v>3.4638999999999998</c:v>
                </c:pt>
                <c:pt idx="43">
                  <c:v>3.4584599999999996</c:v>
                </c:pt>
                <c:pt idx="44">
                  <c:v>3.4516299999999998</c:v>
                </c:pt>
                <c:pt idx="45">
                  <c:v>3.4429799999999999</c:v>
                </c:pt>
                <c:pt idx="46">
                  <c:v>3.4340900000000003</c:v>
                </c:pt>
                <c:pt idx="47">
                  <c:v>3.42544</c:v>
                </c:pt>
                <c:pt idx="48">
                  <c:v>3.4147499999999997</c:v>
                </c:pt>
                <c:pt idx="49">
                  <c:v>3.4050000000000002</c:v>
                </c:pt>
                <c:pt idx="50">
                  <c:v>3.3994799999999996</c:v>
                </c:pt>
                <c:pt idx="51">
                  <c:v>3.3922400000000001</c:v>
                </c:pt>
                <c:pt idx="52">
                  <c:v>3.38687</c:v>
                </c:pt>
                <c:pt idx="53">
                  <c:v>3.38483</c:v>
                </c:pt>
                <c:pt idx="54">
                  <c:v>3.3833299999999999</c:v>
                </c:pt>
                <c:pt idx="55">
                  <c:v>3.37906</c:v>
                </c:pt>
                <c:pt idx="56">
                  <c:v>3.37513</c:v>
                </c:pt>
                <c:pt idx="57">
                  <c:v>3.3726000000000003</c:v>
                </c:pt>
                <c:pt idx="58">
                  <c:v>3.3662299999999998</c:v>
                </c:pt>
                <c:pt idx="59">
                  <c:v>3.3603199999999998</c:v>
                </c:pt>
                <c:pt idx="60">
                  <c:v>3.3570199999999999</c:v>
                </c:pt>
                <c:pt idx="61">
                  <c:v>3.3565099999999997</c:v>
                </c:pt>
                <c:pt idx="62">
                  <c:v>3.35758</c:v>
                </c:pt>
                <c:pt idx="63">
                  <c:v>3.35921</c:v>
                </c:pt>
                <c:pt idx="64">
                  <c:v>3.3613599999999999</c:v>
                </c:pt>
                <c:pt idx="65">
                  <c:v>3.3641900000000002</c:v>
                </c:pt>
                <c:pt idx="66">
                  <c:v>3.3625799999999999</c:v>
                </c:pt>
                <c:pt idx="67">
                  <c:v>3.3607800000000001</c:v>
                </c:pt>
                <c:pt idx="68">
                  <c:v>3.3593800000000003</c:v>
                </c:pt>
                <c:pt idx="69">
                  <c:v>3.35928</c:v>
                </c:pt>
                <c:pt idx="70">
                  <c:v>3.3628599999999995</c:v>
                </c:pt>
                <c:pt idx="71">
                  <c:v>3.3673500000000001</c:v>
                </c:pt>
                <c:pt idx="72">
                  <c:v>3.3724599999999998</c:v>
                </c:pt>
                <c:pt idx="73">
                  <c:v>3.3780700000000001</c:v>
                </c:pt>
                <c:pt idx="74">
                  <c:v>3.3791700000000002</c:v>
                </c:pt>
                <c:pt idx="75">
                  <c:v>3.3842699999999999</c:v>
                </c:pt>
                <c:pt idx="76">
                  <c:v>3.3909000000000002</c:v>
                </c:pt>
                <c:pt idx="77">
                  <c:v>3.4009099999999997</c:v>
                </c:pt>
                <c:pt idx="78">
                  <c:v>3.4121000000000001</c:v>
                </c:pt>
                <c:pt idx="79">
                  <c:v>3.4189599999999998</c:v>
                </c:pt>
                <c:pt idx="80">
                  <c:v>3.4236599999999999</c:v>
                </c:pt>
                <c:pt idx="81">
                  <c:v>3.4289700000000001</c:v>
                </c:pt>
                <c:pt idx="82">
                  <c:v>3.4350399999999999</c:v>
                </c:pt>
                <c:pt idx="83">
                  <c:v>3.4451900000000002</c:v>
                </c:pt>
                <c:pt idx="84">
                  <c:v>3.45669</c:v>
                </c:pt>
                <c:pt idx="85">
                  <c:v>3.4683299999999999</c:v>
                </c:pt>
                <c:pt idx="86">
                  <c:v>3.4821900000000001</c:v>
                </c:pt>
                <c:pt idx="87">
                  <c:v>3.5009399999999999</c:v>
                </c:pt>
                <c:pt idx="88">
                  <c:v>3.5189500000000002</c:v>
                </c:pt>
                <c:pt idx="89">
                  <c:v>3.53566</c:v>
                </c:pt>
                <c:pt idx="90">
                  <c:v>3.5574299999999996</c:v>
                </c:pt>
                <c:pt idx="91">
                  <c:v>3.5829699999999995</c:v>
                </c:pt>
                <c:pt idx="92">
                  <c:v>3.6121399999999997</c:v>
                </c:pt>
                <c:pt idx="93">
                  <c:v>3.6451899999999999</c:v>
                </c:pt>
                <c:pt idx="94">
                  <c:v>3.6816800000000001</c:v>
                </c:pt>
                <c:pt idx="95">
                  <c:v>3.7190099999999999</c:v>
                </c:pt>
                <c:pt idx="96">
                  <c:v>3.7548199999999996</c:v>
                </c:pt>
                <c:pt idx="97">
                  <c:v>3.7899400000000001</c:v>
                </c:pt>
                <c:pt idx="98">
                  <c:v>3.8289299999999997</c:v>
                </c:pt>
                <c:pt idx="99">
                  <c:v>3.8668400000000003</c:v>
                </c:pt>
                <c:pt idx="100">
                  <c:v>3.9046700000000003</c:v>
                </c:pt>
                <c:pt idx="101">
                  <c:v>3.9453</c:v>
                </c:pt>
                <c:pt idx="102">
                  <c:v>3.9844200000000001</c:v>
                </c:pt>
                <c:pt idx="103">
                  <c:v>4.0222199999999999</c:v>
                </c:pt>
                <c:pt idx="104">
                  <c:v>4.0595499999999998</c:v>
                </c:pt>
                <c:pt idx="105">
                  <c:v>4.0934900000000001</c:v>
                </c:pt>
                <c:pt idx="106">
                  <c:v>4.1224600000000002</c:v>
                </c:pt>
                <c:pt idx="107">
                  <c:v>4.1510899999999999</c:v>
                </c:pt>
                <c:pt idx="108">
                  <c:v>4.1776499999999999</c:v>
                </c:pt>
                <c:pt idx="109">
                  <c:v>4.2043099999999995</c:v>
                </c:pt>
                <c:pt idx="110">
                  <c:v>4.2288800000000002</c:v>
                </c:pt>
                <c:pt idx="111">
                  <c:v>4.2515599999999996</c:v>
                </c:pt>
                <c:pt idx="112">
                  <c:v>4.2730399999999999</c:v>
                </c:pt>
                <c:pt idx="113">
                  <c:v>4.2934099999999997</c:v>
                </c:pt>
                <c:pt idx="114">
                  <c:v>4.3130800000000002</c:v>
                </c:pt>
                <c:pt idx="115">
                  <c:v>4.3294899999999998</c:v>
                </c:pt>
                <c:pt idx="116">
                  <c:v>4.3436900000000005</c:v>
                </c:pt>
                <c:pt idx="117">
                  <c:v>4.3532000000000002</c:v>
                </c:pt>
                <c:pt idx="118">
                  <c:v>4.3580399999999999</c:v>
                </c:pt>
                <c:pt idx="119">
                  <c:v>4.3568099999999994</c:v>
                </c:pt>
                <c:pt idx="120">
                  <c:v>4.3505799999999999</c:v>
                </c:pt>
                <c:pt idx="121">
                  <c:v>4.3413000000000004</c:v>
                </c:pt>
                <c:pt idx="122">
                  <c:v>4.3289</c:v>
                </c:pt>
                <c:pt idx="123">
                  <c:v>4.3141699999999998</c:v>
                </c:pt>
                <c:pt idx="124">
                  <c:v>4.31304</c:v>
                </c:pt>
                <c:pt idx="125">
                  <c:v>4.3101000000000003</c:v>
                </c:pt>
                <c:pt idx="126">
                  <c:v>4.3029000000000002</c:v>
                </c:pt>
                <c:pt idx="127">
                  <c:v>4.2933599999999998</c:v>
                </c:pt>
                <c:pt idx="128">
                  <c:v>4.28268</c:v>
                </c:pt>
                <c:pt idx="129">
                  <c:v>4.2729999999999997</c:v>
                </c:pt>
                <c:pt idx="130">
                  <c:v>4.2653099999999995</c:v>
                </c:pt>
                <c:pt idx="131">
                  <c:v>4.2596800000000004</c:v>
                </c:pt>
                <c:pt idx="132">
                  <c:v>4.25366</c:v>
                </c:pt>
                <c:pt idx="133">
                  <c:v>4.2485900000000001</c:v>
                </c:pt>
                <c:pt idx="134">
                  <c:v>4.2407000000000004</c:v>
                </c:pt>
                <c:pt idx="135">
                  <c:v>4.2342000000000004</c:v>
                </c:pt>
                <c:pt idx="136">
                  <c:v>4.2240899999999995</c:v>
                </c:pt>
                <c:pt idx="137">
                  <c:v>4.2079399999999998</c:v>
                </c:pt>
                <c:pt idx="138">
                  <c:v>4.1904200000000005</c:v>
                </c:pt>
                <c:pt idx="139">
                  <c:v>4.1712400000000001</c:v>
                </c:pt>
                <c:pt idx="140">
                  <c:v>4.1492000000000004</c:v>
                </c:pt>
                <c:pt idx="141">
                  <c:v>4.1251800000000003</c:v>
                </c:pt>
                <c:pt idx="142">
                  <c:v>4.0986000000000002</c:v>
                </c:pt>
                <c:pt idx="143">
                  <c:v>4.0707399999999998</c:v>
                </c:pt>
                <c:pt idx="144">
                  <c:v>4.0404600000000004</c:v>
                </c:pt>
                <c:pt idx="145">
                  <c:v>4.0131099999999993</c:v>
                </c:pt>
                <c:pt idx="146">
                  <c:v>3.9954400000000003</c:v>
                </c:pt>
                <c:pt idx="147">
                  <c:v>4.00021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0.35298299999999999</c:v>
                </c:pt>
                <c:pt idx="2">
                  <c:v>0.75927299999999998</c:v>
                </c:pt>
                <c:pt idx="3">
                  <c:v>1.1645300000000001</c:v>
                </c:pt>
                <c:pt idx="4">
                  <c:v>1.57216</c:v>
                </c:pt>
                <c:pt idx="5">
                  <c:v>1.9758199999999999</c:v>
                </c:pt>
                <c:pt idx="6">
                  <c:v>2.3868399999999999</c:v>
                </c:pt>
                <c:pt idx="7">
                  <c:v>2.7913700000000001</c:v>
                </c:pt>
                <c:pt idx="8">
                  <c:v>3.1976599999999999</c:v>
                </c:pt>
                <c:pt idx="9">
                  <c:v>3.6031599999999999</c:v>
                </c:pt>
                <c:pt idx="10">
                  <c:v>4.0085800000000003</c:v>
                </c:pt>
                <c:pt idx="11">
                  <c:v>4.4148100000000001</c:v>
                </c:pt>
                <c:pt idx="12">
                  <c:v>4.8175600000000003</c:v>
                </c:pt>
                <c:pt idx="13">
                  <c:v>5.2243700000000004</c:v>
                </c:pt>
                <c:pt idx="14">
                  <c:v>5.6357100000000004</c:v>
                </c:pt>
                <c:pt idx="15">
                  <c:v>6.0370799999999996</c:v>
                </c:pt>
                <c:pt idx="16">
                  <c:v>6.4469500000000002</c:v>
                </c:pt>
                <c:pt idx="17">
                  <c:v>6.8494999999999999</c:v>
                </c:pt>
                <c:pt idx="18">
                  <c:v>7.2579799999999999</c:v>
                </c:pt>
                <c:pt idx="19">
                  <c:v>7.6645700000000003</c:v>
                </c:pt>
                <c:pt idx="20">
                  <c:v>8.0699699999999996</c:v>
                </c:pt>
                <c:pt idx="21">
                  <c:v>8.4777500000000003</c:v>
                </c:pt>
                <c:pt idx="22">
                  <c:v>8.8823600000000003</c:v>
                </c:pt>
                <c:pt idx="23">
                  <c:v>9.2871400000000008</c:v>
                </c:pt>
                <c:pt idx="24">
                  <c:v>9.6949699999999996</c:v>
                </c:pt>
                <c:pt idx="25">
                  <c:v>10.1036</c:v>
                </c:pt>
                <c:pt idx="26">
                  <c:v>10.5084</c:v>
                </c:pt>
                <c:pt idx="27">
                  <c:v>10.9122</c:v>
                </c:pt>
                <c:pt idx="28">
                  <c:v>11.3179</c:v>
                </c:pt>
                <c:pt idx="29">
                  <c:v>11.723699999999999</c:v>
                </c:pt>
                <c:pt idx="30">
                  <c:v>12.1349</c:v>
                </c:pt>
                <c:pt idx="31">
                  <c:v>12.541600000000001</c:v>
                </c:pt>
                <c:pt idx="32">
                  <c:v>12.947699999999999</c:v>
                </c:pt>
                <c:pt idx="33">
                  <c:v>13.3497</c:v>
                </c:pt>
                <c:pt idx="34">
                  <c:v>13.754</c:v>
                </c:pt>
                <c:pt idx="35">
                  <c:v>14.164899999999999</c:v>
                </c:pt>
                <c:pt idx="36">
                  <c:v>14.573499999999999</c:v>
                </c:pt>
                <c:pt idx="37">
                  <c:v>14.9758</c:v>
                </c:pt>
                <c:pt idx="38">
                  <c:v>15.382999999999999</c:v>
                </c:pt>
                <c:pt idx="39">
                  <c:v>15.7888</c:v>
                </c:pt>
                <c:pt idx="40">
                  <c:v>16.194099999999999</c:v>
                </c:pt>
                <c:pt idx="41">
                  <c:v>16.6052</c:v>
                </c:pt>
                <c:pt idx="42">
                  <c:v>17.0105</c:v>
                </c:pt>
                <c:pt idx="43">
                  <c:v>17.4131</c:v>
                </c:pt>
                <c:pt idx="44">
                  <c:v>17.821200000000001</c:v>
                </c:pt>
                <c:pt idx="45">
                  <c:v>18.224799999999998</c:v>
                </c:pt>
                <c:pt idx="46">
                  <c:v>18.634799999999998</c:v>
                </c:pt>
                <c:pt idx="47">
                  <c:v>19.038399999999999</c:v>
                </c:pt>
                <c:pt idx="48">
                  <c:v>19.4452</c:v>
                </c:pt>
                <c:pt idx="49">
                  <c:v>19.8504</c:v>
                </c:pt>
                <c:pt idx="50">
                  <c:v>20.261199999999999</c:v>
                </c:pt>
                <c:pt idx="51">
                  <c:v>20.665400000000002</c:v>
                </c:pt>
                <c:pt idx="52">
                  <c:v>21.0731</c:v>
                </c:pt>
                <c:pt idx="53">
                  <c:v>21.477</c:v>
                </c:pt>
                <c:pt idx="54">
                  <c:v>21.883199999999999</c:v>
                </c:pt>
                <c:pt idx="55">
                  <c:v>22.2865</c:v>
                </c:pt>
                <c:pt idx="56">
                  <c:v>22.695599999999999</c:v>
                </c:pt>
                <c:pt idx="57">
                  <c:v>23.103899999999999</c:v>
                </c:pt>
                <c:pt idx="58">
                  <c:v>23.508700000000001</c:v>
                </c:pt>
                <c:pt idx="59">
                  <c:v>23.913</c:v>
                </c:pt>
                <c:pt idx="60">
                  <c:v>24.319900000000001</c:v>
                </c:pt>
                <c:pt idx="61">
                  <c:v>24.728200000000001</c:v>
                </c:pt>
                <c:pt idx="62">
                  <c:v>25.133199999999999</c:v>
                </c:pt>
                <c:pt idx="63">
                  <c:v>25.538900000000002</c:v>
                </c:pt>
                <c:pt idx="64">
                  <c:v>25.944700000000001</c:v>
                </c:pt>
                <c:pt idx="65">
                  <c:v>26.3505</c:v>
                </c:pt>
                <c:pt idx="66">
                  <c:v>26.7591</c:v>
                </c:pt>
                <c:pt idx="67">
                  <c:v>27.165099999999999</c:v>
                </c:pt>
                <c:pt idx="68">
                  <c:v>27.572099999999999</c:v>
                </c:pt>
                <c:pt idx="69">
                  <c:v>27.976500000000001</c:v>
                </c:pt>
                <c:pt idx="70">
                  <c:v>28.380400000000002</c:v>
                </c:pt>
                <c:pt idx="71">
                  <c:v>28.791499999999999</c:v>
                </c:pt>
                <c:pt idx="72">
                  <c:v>29.1937</c:v>
                </c:pt>
                <c:pt idx="73">
                  <c:v>29.609500000000001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2.7775300000000005</c:v>
                </c:pt>
                <c:pt idx="1">
                  <c:v>2.8396100000000004</c:v>
                </c:pt>
                <c:pt idx="2">
                  <c:v>2.9009299999999998</c:v>
                </c:pt>
                <c:pt idx="3">
                  <c:v>2.9611999999999998</c:v>
                </c:pt>
                <c:pt idx="4">
                  <c:v>3.0193199999999996</c:v>
                </c:pt>
                <c:pt idx="5">
                  <c:v>3.0731999999999999</c:v>
                </c:pt>
                <c:pt idx="6">
                  <c:v>3.1234899999999999</c:v>
                </c:pt>
                <c:pt idx="7">
                  <c:v>3.1676500000000001</c:v>
                </c:pt>
                <c:pt idx="8">
                  <c:v>3.2089600000000003</c:v>
                </c:pt>
                <c:pt idx="9">
                  <c:v>3.2487399999999997</c:v>
                </c:pt>
                <c:pt idx="10">
                  <c:v>3.28355</c:v>
                </c:pt>
                <c:pt idx="11">
                  <c:v>3.3163499999999999</c:v>
                </c:pt>
                <c:pt idx="12">
                  <c:v>3.3461600000000002</c:v>
                </c:pt>
                <c:pt idx="13">
                  <c:v>3.3714899999999997</c:v>
                </c:pt>
                <c:pt idx="14">
                  <c:v>3.3950900000000002</c:v>
                </c:pt>
                <c:pt idx="15">
                  <c:v>3.4150700000000001</c:v>
                </c:pt>
                <c:pt idx="16">
                  <c:v>3.43588</c:v>
                </c:pt>
                <c:pt idx="17">
                  <c:v>3.45336</c:v>
                </c:pt>
                <c:pt idx="18">
                  <c:v>3.4685600000000001</c:v>
                </c:pt>
                <c:pt idx="19">
                  <c:v>3.48353</c:v>
                </c:pt>
                <c:pt idx="20">
                  <c:v>3.4954299999999998</c:v>
                </c:pt>
                <c:pt idx="21">
                  <c:v>3.5067700000000004</c:v>
                </c:pt>
                <c:pt idx="22">
                  <c:v>3.51763</c:v>
                </c:pt>
                <c:pt idx="23">
                  <c:v>3.5301999999999998</c:v>
                </c:pt>
                <c:pt idx="24">
                  <c:v>3.5412599999999999</c:v>
                </c:pt>
                <c:pt idx="25">
                  <c:v>3.5444500000000003</c:v>
                </c:pt>
                <c:pt idx="26">
                  <c:v>3.54393</c:v>
                </c:pt>
                <c:pt idx="27">
                  <c:v>3.5390800000000002</c:v>
                </c:pt>
                <c:pt idx="28">
                  <c:v>3.5289599999999997</c:v>
                </c:pt>
                <c:pt idx="29">
                  <c:v>3.5170300000000001</c:v>
                </c:pt>
                <c:pt idx="30">
                  <c:v>3.5104200000000003</c:v>
                </c:pt>
                <c:pt idx="31">
                  <c:v>3.5063499999999999</c:v>
                </c:pt>
                <c:pt idx="32">
                  <c:v>3.5050999999999997</c:v>
                </c:pt>
                <c:pt idx="33">
                  <c:v>3.50448</c:v>
                </c:pt>
                <c:pt idx="34">
                  <c:v>3.5010300000000001</c:v>
                </c:pt>
                <c:pt idx="35">
                  <c:v>3.4962900000000001</c:v>
                </c:pt>
                <c:pt idx="36">
                  <c:v>3.4901200000000001</c:v>
                </c:pt>
                <c:pt idx="37">
                  <c:v>3.4833399999999997</c:v>
                </c:pt>
                <c:pt idx="38">
                  <c:v>3.4794</c:v>
                </c:pt>
                <c:pt idx="39">
                  <c:v>3.4760299999999997</c:v>
                </c:pt>
                <c:pt idx="40">
                  <c:v>3.4733499999999999</c:v>
                </c:pt>
                <c:pt idx="41">
                  <c:v>3.4689799999999997</c:v>
                </c:pt>
                <c:pt idx="42">
                  <c:v>3.4638999999999998</c:v>
                </c:pt>
                <c:pt idx="43">
                  <c:v>3.4584599999999996</c:v>
                </c:pt>
                <c:pt idx="44">
                  <c:v>3.4516299999999998</c:v>
                </c:pt>
                <c:pt idx="45">
                  <c:v>3.4429799999999999</c:v>
                </c:pt>
                <c:pt idx="46">
                  <c:v>3.4340900000000003</c:v>
                </c:pt>
                <c:pt idx="47">
                  <c:v>3.42544</c:v>
                </c:pt>
                <c:pt idx="48">
                  <c:v>3.4147499999999997</c:v>
                </c:pt>
                <c:pt idx="49">
                  <c:v>3.4050000000000002</c:v>
                </c:pt>
                <c:pt idx="50">
                  <c:v>3.3994799999999996</c:v>
                </c:pt>
                <c:pt idx="51">
                  <c:v>3.3922400000000001</c:v>
                </c:pt>
                <c:pt idx="52">
                  <c:v>3.38687</c:v>
                </c:pt>
                <c:pt idx="53">
                  <c:v>3.38483</c:v>
                </c:pt>
                <c:pt idx="54">
                  <c:v>3.3833299999999999</c:v>
                </c:pt>
                <c:pt idx="55">
                  <c:v>3.37906</c:v>
                </c:pt>
                <c:pt idx="56">
                  <c:v>3.37513</c:v>
                </c:pt>
                <c:pt idx="57">
                  <c:v>3.3726000000000003</c:v>
                </c:pt>
                <c:pt idx="58">
                  <c:v>3.3662299999999998</c:v>
                </c:pt>
                <c:pt idx="59">
                  <c:v>3.3603199999999998</c:v>
                </c:pt>
                <c:pt idx="60">
                  <c:v>3.3570199999999999</c:v>
                </c:pt>
                <c:pt idx="61">
                  <c:v>3.3565099999999997</c:v>
                </c:pt>
                <c:pt idx="62">
                  <c:v>3.35758</c:v>
                </c:pt>
                <c:pt idx="63">
                  <c:v>3.35921</c:v>
                </c:pt>
                <c:pt idx="64">
                  <c:v>3.3613599999999999</c:v>
                </c:pt>
                <c:pt idx="65">
                  <c:v>3.3641900000000002</c:v>
                </c:pt>
                <c:pt idx="66">
                  <c:v>3.3625799999999999</c:v>
                </c:pt>
                <c:pt idx="67">
                  <c:v>3.3607800000000001</c:v>
                </c:pt>
                <c:pt idx="68">
                  <c:v>3.3593800000000003</c:v>
                </c:pt>
                <c:pt idx="69">
                  <c:v>3.35928</c:v>
                </c:pt>
                <c:pt idx="70">
                  <c:v>3.3628599999999995</c:v>
                </c:pt>
                <c:pt idx="71">
                  <c:v>3.3673500000000001</c:v>
                </c:pt>
                <c:pt idx="72">
                  <c:v>3.3724599999999998</c:v>
                </c:pt>
                <c:pt idx="73">
                  <c:v>3.3780700000000001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29.609500000000001</c:v>
                </c:pt>
                <c:pt idx="1">
                  <c:v>30.007300000000001</c:v>
                </c:pt>
                <c:pt idx="2">
                  <c:v>30.621500000000001</c:v>
                </c:pt>
                <c:pt idx="3">
                  <c:v>30.993400000000001</c:v>
                </c:pt>
                <c:pt idx="4">
                  <c:v>31.3689</c:v>
                </c:pt>
                <c:pt idx="5">
                  <c:v>31.7422</c:v>
                </c:pt>
                <c:pt idx="6">
                  <c:v>32.117800000000003</c:v>
                </c:pt>
                <c:pt idx="7">
                  <c:v>32.5244</c:v>
                </c:pt>
                <c:pt idx="8">
                  <c:v>32.929400000000001</c:v>
                </c:pt>
                <c:pt idx="9">
                  <c:v>33.337499999999999</c:v>
                </c:pt>
                <c:pt idx="10">
                  <c:v>33.744700000000002</c:v>
                </c:pt>
                <c:pt idx="11">
                  <c:v>34.149500000000003</c:v>
                </c:pt>
                <c:pt idx="12">
                  <c:v>34.555999999999997</c:v>
                </c:pt>
                <c:pt idx="13">
                  <c:v>34.962200000000003</c:v>
                </c:pt>
                <c:pt idx="14">
                  <c:v>35.367899999999999</c:v>
                </c:pt>
                <c:pt idx="15">
                  <c:v>35.775100000000002</c:v>
                </c:pt>
                <c:pt idx="16">
                  <c:v>36.180399999999999</c:v>
                </c:pt>
                <c:pt idx="17">
                  <c:v>36.587699999999998</c:v>
                </c:pt>
                <c:pt idx="18">
                  <c:v>36.989899999999999</c:v>
                </c:pt>
                <c:pt idx="19">
                  <c:v>37.400100000000002</c:v>
                </c:pt>
                <c:pt idx="20">
                  <c:v>37.807000000000002</c:v>
                </c:pt>
                <c:pt idx="21">
                  <c:v>38.210599999999999</c:v>
                </c:pt>
                <c:pt idx="22">
                  <c:v>38.6175</c:v>
                </c:pt>
                <c:pt idx="23">
                  <c:v>39.0244</c:v>
                </c:pt>
                <c:pt idx="24">
                  <c:v>39.428400000000003</c:v>
                </c:pt>
                <c:pt idx="25">
                  <c:v>39.837200000000003</c:v>
                </c:pt>
                <c:pt idx="26">
                  <c:v>40.241999999999997</c:v>
                </c:pt>
                <c:pt idx="27">
                  <c:v>40.648600000000002</c:v>
                </c:pt>
                <c:pt idx="28">
                  <c:v>41.052700000000002</c:v>
                </c:pt>
                <c:pt idx="29">
                  <c:v>41.461599999999997</c:v>
                </c:pt>
                <c:pt idx="30">
                  <c:v>41.8675</c:v>
                </c:pt>
                <c:pt idx="31">
                  <c:v>42.275199999999998</c:v>
                </c:pt>
                <c:pt idx="32">
                  <c:v>42.678199999999997</c:v>
                </c:pt>
                <c:pt idx="33">
                  <c:v>43.0852</c:v>
                </c:pt>
                <c:pt idx="34">
                  <c:v>43.494500000000002</c:v>
                </c:pt>
                <c:pt idx="35">
                  <c:v>43.903300000000002</c:v>
                </c:pt>
                <c:pt idx="36">
                  <c:v>44.306600000000003</c:v>
                </c:pt>
                <c:pt idx="37">
                  <c:v>44.712400000000002</c:v>
                </c:pt>
                <c:pt idx="38">
                  <c:v>45.116700000000002</c:v>
                </c:pt>
                <c:pt idx="39">
                  <c:v>45.525399999999998</c:v>
                </c:pt>
                <c:pt idx="40">
                  <c:v>45.930199999999999</c:v>
                </c:pt>
                <c:pt idx="41">
                  <c:v>46.337200000000003</c:v>
                </c:pt>
                <c:pt idx="42">
                  <c:v>46.740699999999997</c:v>
                </c:pt>
                <c:pt idx="43">
                  <c:v>47.147500000000001</c:v>
                </c:pt>
                <c:pt idx="44">
                  <c:v>47.555599999999998</c:v>
                </c:pt>
                <c:pt idx="45">
                  <c:v>47.962299999999999</c:v>
                </c:pt>
                <c:pt idx="46">
                  <c:v>48.369100000000003</c:v>
                </c:pt>
                <c:pt idx="47">
                  <c:v>48.773200000000003</c:v>
                </c:pt>
                <c:pt idx="48">
                  <c:v>49.181399999999996</c:v>
                </c:pt>
                <c:pt idx="49">
                  <c:v>49.588200000000001</c:v>
                </c:pt>
                <c:pt idx="50">
                  <c:v>49.994900000000001</c:v>
                </c:pt>
                <c:pt idx="51">
                  <c:v>50.397799999999997</c:v>
                </c:pt>
                <c:pt idx="52">
                  <c:v>50.805799999999998</c:v>
                </c:pt>
                <c:pt idx="53">
                  <c:v>51.210599999999999</c:v>
                </c:pt>
                <c:pt idx="54">
                  <c:v>51.618600000000001</c:v>
                </c:pt>
                <c:pt idx="55">
                  <c:v>52.021599999999999</c:v>
                </c:pt>
                <c:pt idx="56">
                  <c:v>52.428199999999997</c:v>
                </c:pt>
                <c:pt idx="57">
                  <c:v>52.836300000000001</c:v>
                </c:pt>
                <c:pt idx="58">
                  <c:v>53.2438</c:v>
                </c:pt>
                <c:pt idx="59">
                  <c:v>53.650100000000002</c:v>
                </c:pt>
                <c:pt idx="60">
                  <c:v>54.055799999999998</c:v>
                </c:pt>
                <c:pt idx="61">
                  <c:v>54.461300000000001</c:v>
                </c:pt>
                <c:pt idx="62">
                  <c:v>54.867800000000003</c:v>
                </c:pt>
                <c:pt idx="63">
                  <c:v>55.274999999999999</c:v>
                </c:pt>
                <c:pt idx="64">
                  <c:v>55.680199999999999</c:v>
                </c:pt>
                <c:pt idx="65">
                  <c:v>56.085799999999999</c:v>
                </c:pt>
                <c:pt idx="66">
                  <c:v>56.490900000000003</c:v>
                </c:pt>
                <c:pt idx="67">
                  <c:v>56.8992</c:v>
                </c:pt>
                <c:pt idx="68">
                  <c:v>57.305300000000003</c:v>
                </c:pt>
                <c:pt idx="69">
                  <c:v>57.711500000000001</c:v>
                </c:pt>
                <c:pt idx="70">
                  <c:v>58.118200000000002</c:v>
                </c:pt>
                <c:pt idx="71">
                  <c:v>58.523000000000003</c:v>
                </c:pt>
                <c:pt idx="72">
                  <c:v>58.930700000000002</c:v>
                </c:pt>
                <c:pt idx="73">
                  <c:v>59.337200000000003</c:v>
                </c:pt>
                <c:pt idx="74">
                  <c:v>59.744599999999998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3.3780700000000001</c:v>
                </c:pt>
                <c:pt idx="1">
                  <c:v>3.3791700000000002</c:v>
                </c:pt>
                <c:pt idx="2">
                  <c:v>3.3842699999999999</c:v>
                </c:pt>
                <c:pt idx="3">
                  <c:v>3.3909000000000002</c:v>
                </c:pt>
                <c:pt idx="4">
                  <c:v>3.4009099999999997</c:v>
                </c:pt>
                <c:pt idx="5">
                  <c:v>3.4121000000000001</c:v>
                </c:pt>
                <c:pt idx="6">
                  <c:v>3.4189599999999998</c:v>
                </c:pt>
                <c:pt idx="7">
                  <c:v>3.4236599999999999</c:v>
                </c:pt>
                <c:pt idx="8">
                  <c:v>3.4289700000000001</c:v>
                </c:pt>
                <c:pt idx="9">
                  <c:v>3.4350399999999999</c:v>
                </c:pt>
                <c:pt idx="10">
                  <c:v>3.4451900000000002</c:v>
                </c:pt>
                <c:pt idx="11">
                  <c:v>3.45669</c:v>
                </c:pt>
                <c:pt idx="12">
                  <c:v>3.4683299999999999</c:v>
                </c:pt>
                <c:pt idx="13">
                  <c:v>3.4821900000000001</c:v>
                </c:pt>
                <c:pt idx="14">
                  <c:v>3.5009399999999999</c:v>
                </c:pt>
                <c:pt idx="15">
                  <c:v>3.5189500000000002</c:v>
                </c:pt>
                <c:pt idx="16">
                  <c:v>3.53566</c:v>
                </c:pt>
                <c:pt idx="17">
                  <c:v>3.5574299999999996</c:v>
                </c:pt>
                <c:pt idx="18">
                  <c:v>3.5829699999999995</c:v>
                </c:pt>
                <c:pt idx="19">
                  <c:v>3.6121399999999997</c:v>
                </c:pt>
                <c:pt idx="20">
                  <c:v>3.6451899999999999</c:v>
                </c:pt>
                <c:pt idx="21">
                  <c:v>3.6816800000000001</c:v>
                </c:pt>
                <c:pt idx="22">
                  <c:v>3.7190099999999999</c:v>
                </c:pt>
                <c:pt idx="23">
                  <c:v>3.7548199999999996</c:v>
                </c:pt>
                <c:pt idx="24">
                  <c:v>3.7899400000000001</c:v>
                </c:pt>
                <c:pt idx="25">
                  <c:v>3.8289299999999997</c:v>
                </c:pt>
                <c:pt idx="26">
                  <c:v>3.8668400000000003</c:v>
                </c:pt>
                <c:pt idx="27">
                  <c:v>3.9046700000000003</c:v>
                </c:pt>
                <c:pt idx="28">
                  <c:v>3.9453</c:v>
                </c:pt>
                <c:pt idx="29">
                  <c:v>3.9844200000000001</c:v>
                </c:pt>
                <c:pt idx="30">
                  <c:v>4.0222199999999999</c:v>
                </c:pt>
                <c:pt idx="31">
                  <c:v>4.0595499999999998</c:v>
                </c:pt>
                <c:pt idx="32">
                  <c:v>4.0934900000000001</c:v>
                </c:pt>
                <c:pt idx="33">
                  <c:v>4.1224600000000002</c:v>
                </c:pt>
                <c:pt idx="34">
                  <c:v>4.1510899999999999</c:v>
                </c:pt>
                <c:pt idx="35">
                  <c:v>4.1776499999999999</c:v>
                </c:pt>
                <c:pt idx="36">
                  <c:v>4.2043099999999995</c:v>
                </c:pt>
                <c:pt idx="37">
                  <c:v>4.2288800000000002</c:v>
                </c:pt>
                <c:pt idx="38">
                  <c:v>4.2515599999999996</c:v>
                </c:pt>
                <c:pt idx="39">
                  <c:v>4.2730399999999999</c:v>
                </c:pt>
                <c:pt idx="40">
                  <c:v>4.2934099999999997</c:v>
                </c:pt>
                <c:pt idx="41">
                  <c:v>4.3130800000000002</c:v>
                </c:pt>
                <c:pt idx="42">
                  <c:v>4.3294899999999998</c:v>
                </c:pt>
                <c:pt idx="43">
                  <c:v>4.3436900000000005</c:v>
                </c:pt>
                <c:pt idx="44">
                  <c:v>4.3532000000000002</c:v>
                </c:pt>
                <c:pt idx="45">
                  <c:v>4.3580399999999999</c:v>
                </c:pt>
                <c:pt idx="46">
                  <c:v>4.3568099999999994</c:v>
                </c:pt>
                <c:pt idx="47">
                  <c:v>4.3505799999999999</c:v>
                </c:pt>
                <c:pt idx="48">
                  <c:v>4.3413000000000004</c:v>
                </c:pt>
                <c:pt idx="49">
                  <c:v>4.3289</c:v>
                </c:pt>
                <c:pt idx="50">
                  <c:v>4.3141699999999998</c:v>
                </c:pt>
                <c:pt idx="51">
                  <c:v>4.31304</c:v>
                </c:pt>
                <c:pt idx="52">
                  <c:v>4.3101000000000003</c:v>
                </c:pt>
                <c:pt idx="53">
                  <c:v>4.3029000000000002</c:v>
                </c:pt>
                <c:pt idx="54">
                  <c:v>4.2933599999999998</c:v>
                </c:pt>
                <c:pt idx="55">
                  <c:v>4.28268</c:v>
                </c:pt>
                <c:pt idx="56">
                  <c:v>4.2729999999999997</c:v>
                </c:pt>
                <c:pt idx="57">
                  <c:v>4.2653099999999995</c:v>
                </c:pt>
                <c:pt idx="58">
                  <c:v>4.2596800000000004</c:v>
                </c:pt>
                <c:pt idx="59">
                  <c:v>4.25366</c:v>
                </c:pt>
                <c:pt idx="60">
                  <c:v>4.2485900000000001</c:v>
                </c:pt>
                <c:pt idx="61">
                  <c:v>4.2407000000000004</c:v>
                </c:pt>
                <c:pt idx="62">
                  <c:v>4.2342000000000004</c:v>
                </c:pt>
                <c:pt idx="63">
                  <c:v>4.2240899999999995</c:v>
                </c:pt>
                <c:pt idx="64">
                  <c:v>4.2079399999999998</c:v>
                </c:pt>
                <c:pt idx="65">
                  <c:v>4.1904200000000005</c:v>
                </c:pt>
                <c:pt idx="66">
                  <c:v>4.1712400000000001</c:v>
                </c:pt>
                <c:pt idx="67">
                  <c:v>4.1492000000000004</c:v>
                </c:pt>
                <c:pt idx="68">
                  <c:v>4.1251800000000003</c:v>
                </c:pt>
                <c:pt idx="69">
                  <c:v>4.0986000000000002</c:v>
                </c:pt>
                <c:pt idx="70">
                  <c:v>4.0707399999999998</c:v>
                </c:pt>
                <c:pt idx="71">
                  <c:v>4.0404600000000004</c:v>
                </c:pt>
                <c:pt idx="72">
                  <c:v>4.0131099999999993</c:v>
                </c:pt>
                <c:pt idx="73">
                  <c:v>3.9954400000000003</c:v>
                </c:pt>
                <c:pt idx="74">
                  <c:v>4.00021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2.7775300000000005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2.7775300000000005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2.7775300000000005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2.7775300000000005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2.7775300000000005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2.7775300000000005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2.7775300000000005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2.7775300000000005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2.7775300000000005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2.7775300000000005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2.7775300000000005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2.7775300000000005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2.7775300000000005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2.7775300000000005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2.7775300000000005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2.7775300000000005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2.7775300000000005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2.7775300000000005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2.7775300000000005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2.7775300000000005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2.7775300000000005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2.7775300000000005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14.93615</c:v>
                </c:pt>
                <c:pt idx="1">
                  <c:v>44.808450000000001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3.3760036486486475</c:v>
                </c:pt>
                <c:pt idx="1">
                  <c:v>3.9700816216216217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0.35298299999999999</c:v>
                </c:pt>
                <c:pt idx="2">
                  <c:v>0.75927299999999998</c:v>
                </c:pt>
                <c:pt idx="3">
                  <c:v>1.1645300000000001</c:v>
                </c:pt>
                <c:pt idx="4">
                  <c:v>1.57216</c:v>
                </c:pt>
                <c:pt idx="5">
                  <c:v>1.9758199999999999</c:v>
                </c:pt>
                <c:pt idx="6">
                  <c:v>2.3868399999999999</c:v>
                </c:pt>
                <c:pt idx="7">
                  <c:v>2.7913700000000001</c:v>
                </c:pt>
                <c:pt idx="8">
                  <c:v>3.1976599999999999</c:v>
                </c:pt>
                <c:pt idx="9">
                  <c:v>3.6031599999999999</c:v>
                </c:pt>
                <c:pt idx="10">
                  <c:v>4.0085800000000003</c:v>
                </c:pt>
                <c:pt idx="11">
                  <c:v>4.4148100000000001</c:v>
                </c:pt>
                <c:pt idx="12">
                  <c:v>4.8175600000000003</c:v>
                </c:pt>
                <c:pt idx="13">
                  <c:v>5.2243700000000004</c:v>
                </c:pt>
                <c:pt idx="14">
                  <c:v>5.6357100000000004</c:v>
                </c:pt>
                <c:pt idx="15">
                  <c:v>6.0370799999999996</c:v>
                </c:pt>
                <c:pt idx="16">
                  <c:v>6.4469500000000002</c:v>
                </c:pt>
                <c:pt idx="17">
                  <c:v>6.8494999999999999</c:v>
                </c:pt>
                <c:pt idx="18">
                  <c:v>7.2579799999999999</c:v>
                </c:pt>
                <c:pt idx="19">
                  <c:v>7.6645700000000003</c:v>
                </c:pt>
                <c:pt idx="20">
                  <c:v>8.0699699999999996</c:v>
                </c:pt>
                <c:pt idx="21">
                  <c:v>8.4777500000000003</c:v>
                </c:pt>
                <c:pt idx="22">
                  <c:v>8.8823600000000003</c:v>
                </c:pt>
                <c:pt idx="23">
                  <c:v>9.2871400000000008</c:v>
                </c:pt>
                <c:pt idx="24">
                  <c:v>9.6949699999999996</c:v>
                </c:pt>
                <c:pt idx="25">
                  <c:v>10.1036</c:v>
                </c:pt>
                <c:pt idx="26">
                  <c:v>10.5084</c:v>
                </c:pt>
                <c:pt idx="27">
                  <c:v>10.9122</c:v>
                </c:pt>
                <c:pt idx="28">
                  <c:v>11.3179</c:v>
                </c:pt>
                <c:pt idx="29">
                  <c:v>11.723699999999999</c:v>
                </c:pt>
                <c:pt idx="30">
                  <c:v>12.1349</c:v>
                </c:pt>
                <c:pt idx="31">
                  <c:v>12.541600000000001</c:v>
                </c:pt>
                <c:pt idx="32">
                  <c:v>12.947699999999999</c:v>
                </c:pt>
                <c:pt idx="33">
                  <c:v>13.3497</c:v>
                </c:pt>
                <c:pt idx="34">
                  <c:v>13.754</c:v>
                </c:pt>
                <c:pt idx="35">
                  <c:v>14.164899999999999</c:v>
                </c:pt>
                <c:pt idx="36">
                  <c:v>14.573499999999999</c:v>
                </c:pt>
                <c:pt idx="37">
                  <c:v>14.9758</c:v>
                </c:pt>
                <c:pt idx="38">
                  <c:v>15.382999999999999</c:v>
                </c:pt>
                <c:pt idx="39">
                  <c:v>15.7888</c:v>
                </c:pt>
                <c:pt idx="40">
                  <c:v>16.194099999999999</c:v>
                </c:pt>
                <c:pt idx="41">
                  <c:v>16.6052</c:v>
                </c:pt>
                <c:pt idx="42">
                  <c:v>17.0105</c:v>
                </c:pt>
                <c:pt idx="43">
                  <c:v>17.4131</c:v>
                </c:pt>
                <c:pt idx="44">
                  <c:v>17.821200000000001</c:v>
                </c:pt>
                <c:pt idx="45">
                  <c:v>18.224799999999998</c:v>
                </c:pt>
                <c:pt idx="46">
                  <c:v>18.634799999999998</c:v>
                </c:pt>
                <c:pt idx="47">
                  <c:v>19.038399999999999</c:v>
                </c:pt>
                <c:pt idx="48">
                  <c:v>19.4452</c:v>
                </c:pt>
                <c:pt idx="49">
                  <c:v>19.8504</c:v>
                </c:pt>
                <c:pt idx="50">
                  <c:v>20.261199999999999</c:v>
                </c:pt>
                <c:pt idx="51">
                  <c:v>20.665400000000002</c:v>
                </c:pt>
                <c:pt idx="52">
                  <c:v>21.0731</c:v>
                </c:pt>
                <c:pt idx="53">
                  <c:v>21.477</c:v>
                </c:pt>
                <c:pt idx="54">
                  <c:v>21.883199999999999</c:v>
                </c:pt>
                <c:pt idx="55">
                  <c:v>22.2865</c:v>
                </c:pt>
                <c:pt idx="56">
                  <c:v>22.695599999999999</c:v>
                </c:pt>
                <c:pt idx="57">
                  <c:v>23.103899999999999</c:v>
                </c:pt>
                <c:pt idx="58">
                  <c:v>23.508700000000001</c:v>
                </c:pt>
                <c:pt idx="59">
                  <c:v>23.913</c:v>
                </c:pt>
                <c:pt idx="60">
                  <c:v>24.319900000000001</c:v>
                </c:pt>
                <c:pt idx="61">
                  <c:v>24.728200000000001</c:v>
                </c:pt>
                <c:pt idx="62">
                  <c:v>25.133199999999999</c:v>
                </c:pt>
                <c:pt idx="63">
                  <c:v>25.538900000000002</c:v>
                </c:pt>
                <c:pt idx="64">
                  <c:v>25.944700000000001</c:v>
                </c:pt>
                <c:pt idx="65">
                  <c:v>26.3505</c:v>
                </c:pt>
                <c:pt idx="66">
                  <c:v>26.7591</c:v>
                </c:pt>
                <c:pt idx="67">
                  <c:v>27.165099999999999</c:v>
                </c:pt>
                <c:pt idx="68">
                  <c:v>27.572099999999999</c:v>
                </c:pt>
                <c:pt idx="69">
                  <c:v>27.976500000000001</c:v>
                </c:pt>
                <c:pt idx="70">
                  <c:v>28.380400000000002</c:v>
                </c:pt>
                <c:pt idx="71">
                  <c:v>28.791499999999999</c:v>
                </c:pt>
                <c:pt idx="72">
                  <c:v>29.1937</c:v>
                </c:pt>
                <c:pt idx="73">
                  <c:v>29.609500000000001</c:v>
                </c:pt>
                <c:pt idx="74">
                  <c:v>30.007300000000001</c:v>
                </c:pt>
                <c:pt idx="75">
                  <c:v>30.621500000000001</c:v>
                </c:pt>
                <c:pt idx="76">
                  <c:v>30.993400000000001</c:v>
                </c:pt>
                <c:pt idx="77">
                  <c:v>31.3689</c:v>
                </c:pt>
                <c:pt idx="78">
                  <c:v>31.7422</c:v>
                </c:pt>
                <c:pt idx="79">
                  <c:v>32.117800000000003</c:v>
                </c:pt>
                <c:pt idx="80">
                  <c:v>32.5244</c:v>
                </c:pt>
                <c:pt idx="81">
                  <c:v>32.929400000000001</c:v>
                </c:pt>
                <c:pt idx="82">
                  <c:v>33.337499999999999</c:v>
                </c:pt>
                <c:pt idx="83">
                  <c:v>33.744700000000002</c:v>
                </c:pt>
                <c:pt idx="84">
                  <c:v>34.149500000000003</c:v>
                </c:pt>
                <c:pt idx="85">
                  <c:v>34.555999999999997</c:v>
                </c:pt>
                <c:pt idx="86">
                  <c:v>34.962200000000003</c:v>
                </c:pt>
                <c:pt idx="87">
                  <c:v>35.367899999999999</c:v>
                </c:pt>
                <c:pt idx="88">
                  <c:v>35.775100000000002</c:v>
                </c:pt>
                <c:pt idx="89">
                  <c:v>36.180399999999999</c:v>
                </c:pt>
                <c:pt idx="90">
                  <c:v>36.587699999999998</c:v>
                </c:pt>
                <c:pt idx="91">
                  <c:v>36.989899999999999</c:v>
                </c:pt>
                <c:pt idx="92">
                  <c:v>37.400100000000002</c:v>
                </c:pt>
                <c:pt idx="93">
                  <c:v>37.807000000000002</c:v>
                </c:pt>
                <c:pt idx="94">
                  <c:v>38.210599999999999</c:v>
                </c:pt>
                <c:pt idx="95">
                  <c:v>38.6175</c:v>
                </c:pt>
                <c:pt idx="96">
                  <c:v>39.0244</c:v>
                </c:pt>
                <c:pt idx="97">
                  <c:v>39.428400000000003</c:v>
                </c:pt>
                <c:pt idx="98">
                  <c:v>39.837200000000003</c:v>
                </c:pt>
                <c:pt idx="99">
                  <c:v>40.241999999999997</c:v>
                </c:pt>
                <c:pt idx="100">
                  <c:v>40.648600000000002</c:v>
                </c:pt>
                <c:pt idx="101">
                  <c:v>41.052700000000002</c:v>
                </c:pt>
                <c:pt idx="102">
                  <c:v>41.461599999999997</c:v>
                </c:pt>
                <c:pt idx="103">
                  <c:v>41.8675</c:v>
                </c:pt>
                <c:pt idx="104">
                  <c:v>42.275199999999998</c:v>
                </c:pt>
                <c:pt idx="105">
                  <c:v>42.678199999999997</c:v>
                </c:pt>
                <c:pt idx="106">
                  <c:v>43.0852</c:v>
                </c:pt>
                <c:pt idx="107">
                  <c:v>43.494500000000002</c:v>
                </c:pt>
                <c:pt idx="108">
                  <c:v>43.903300000000002</c:v>
                </c:pt>
                <c:pt idx="109">
                  <c:v>44.306600000000003</c:v>
                </c:pt>
                <c:pt idx="110">
                  <c:v>44.712400000000002</c:v>
                </c:pt>
                <c:pt idx="111">
                  <c:v>45.116700000000002</c:v>
                </c:pt>
                <c:pt idx="112">
                  <c:v>45.525399999999998</c:v>
                </c:pt>
                <c:pt idx="113">
                  <c:v>45.930199999999999</c:v>
                </c:pt>
                <c:pt idx="114">
                  <c:v>46.337200000000003</c:v>
                </c:pt>
                <c:pt idx="115">
                  <c:v>46.740699999999997</c:v>
                </c:pt>
                <c:pt idx="116">
                  <c:v>47.147500000000001</c:v>
                </c:pt>
                <c:pt idx="117">
                  <c:v>47.555599999999998</c:v>
                </c:pt>
                <c:pt idx="118">
                  <c:v>47.962299999999999</c:v>
                </c:pt>
                <c:pt idx="119">
                  <c:v>48.369100000000003</c:v>
                </c:pt>
                <c:pt idx="120">
                  <c:v>48.773200000000003</c:v>
                </c:pt>
                <c:pt idx="121">
                  <c:v>49.181399999999996</c:v>
                </c:pt>
                <c:pt idx="122">
                  <c:v>49.588200000000001</c:v>
                </c:pt>
                <c:pt idx="123">
                  <c:v>49.994900000000001</c:v>
                </c:pt>
                <c:pt idx="124">
                  <c:v>50.397799999999997</c:v>
                </c:pt>
                <c:pt idx="125">
                  <c:v>50.805799999999998</c:v>
                </c:pt>
                <c:pt idx="126">
                  <c:v>51.210599999999999</c:v>
                </c:pt>
                <c:pt idx="127">
                  <c:v>51.618600000000001</c:v>
                </c:pt>
                <c:pt idx="128">
                  <c:v>52.021599999999999</c:v>
                </c:pt>
                <c:pt idx="129">
                  <c:v>52.428199999999997</c:v>
                </c:pt>
                <c:pt idx="130">
                  <c:v>52.836300000000001</c:v>
                </c:pt>
                <c:pt idx="131">
                  <c:v>53.2438</c:v>
                </c:pt>
                <c:pt idx="132">
                  <c:v>53.650100000000002</c:v>
                </c:pt>
                <c:pt idx="133">
                  <c:v>54.055799999999998</c:v>
                </c:pt>
                <c:pt idx="134">
                  <c:v>54.461300000000001</c:v>
                </c:pt>
                <c:pt idx="135">
                  <c:v>54.867800000000003</c:v>
                </c:pt>
                <c:pt idx="136">
                  <c:v>55.274999999999999</c:v>
                </c:pt>
                <c:pt idx="137">
                  <c:v>55.680199999999999</c:v>
                </c:pt>
                <c:pt idx="138">
                  <c:v>56.085799999999999</c:v>
                </c:pt>
                <c:pt idx="139">
                  <c:v>56.490900000000003</c:v>
                </c:pt>
                <c:pt idx="140">
                  <c:v>56.8992</c:v>
                </c:pt>
                <c:pt idx="141">
                  <c:v>57.305300000000003</c:v>
                </c:pt>
                <c:pt idx="142">
                  <c:v>57.711500000000001</c:v>
                </c:pt>
                <c:pt idx="143">
                  <c:v>58.118200000000002</c:v>
                </c:pt>
                <c:pt idx="144">
                  <c:v>58.523000000000003</c:v>
                </c:pt>
                <c:pt idx="145">
                  <c:v>58.930700000000002</c:v>
                </c:pt>
                <c:pt idx="146">
                  <c:v>59.337200000000003</c:v>
                </c:pt>
                <c:pt idx="147">
                  <c:v>59.744599999999998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53.728400000000001</c:v>
                </c:pt>
                <c:pt idx="1">
                  <c:v>52.906699999999994</c:v>
                </c:pt>
                <c:pt idx="2">
                  <c:v>52.112499999999997</c:v>
                </c:pt>
                <c:pt idx="3">
                  <c:v>51.257699999999993</c:v>
                </c:pt>
                <c:pt idx="4">
                  <c:v>50.339800000000004</c:v>
                </c:pt>
                <c:pt idx="5">
                  <c:v>49.515500000000003</c:v>
                </c:pt>
                <c:pt idx="6">
                  <c:v>48.886499999999998</c:v>
                </c:pt>
                <c:pt idx="7">
                  <c:v>48.407600000000002</c:v>
                </c:pt>
                <c:pt idx="8">
                  <c:v>47.957999999999998</c:v>
                </c:pt>
                <c:pt idx="9">
                  <c:v>47.509799999999998</c:v>
                </c:pt>
                <c:pt idx="10">
                  <c:v>47.057300000000005</c:v>
                </c:pt>
                <c:pt idx="11">
                  <c:v>46.615400000000001</c:v>
                </c:pt>
                <c:pt idx="12">
                  <c:v>46.231200000000001</c:v>
                </c:pt>
                <c:pt idx="13">
                  <c:v>45.9345</c:v>
                </c:pt>
                <c:pt idx="14">
                  <c:v>45.683500000000002</c:v>
                </c:pt>
                <c:pt idx="15">
                  <c:v>45.409399999999998</c:v>
                </c:pt>
                <c:pt idx="16">
                  <c:v>45.090499999999999</c:v>
                </c:pt>
                <c:pt idx="17">
                  <c:v>44.771100000000004</c:v>
                </c:pt>
                <c:pt idx="18">
                  <c:v>44.431199999999997</c:v>
                </c:pt>
                <c:pt idx="19">
                  <c:v>44.095600000000005</c:v>
                </c:pt>
                <c:pt idx="20">
                  <c:v>43.786000000000001</c:v>
                </c:pt>
                <c:pt idx="21">
                  <c:v>43.478200000000001</c:v>
                </c:pt>
                <c:pt idx="22">
                  <c:v>43.183599999999998</c:v>
                </c:pt>
                <c:pt idx="23">
                  <c:v>42.869399999999999</c:v>
                </c:pt>
                <c:pt idx="24">
                  <c:v>42.575099999999999</c:v>
                </c:pt>
                <c:pt idx="25">
                  <c:v>42.3874</c:v>
                </c:pt>
                <c:pt idx="26">
                  <c:v>42.258800000000001</c:v>
                </c:pt>
                <c:pt idx="27">
                  <c:v>42.187200000000004</c:v>
                </c:pt>
                <c:pt idx="28">
                  <c:v>42.196300000000001</c:v>
                </c:pt>
                <c:pt idx="29">
                  <c:v>42.2729</c:v>
                </c:pt>
                <c:pt idx="30">
                  <c:v>42.319299999999998</c:v>
                </c:pt>
                <c:pt idx="31">
                  <c:v>42.311500000000002</c:v>
                </c:pt>
                <c:pt idx="32">
                  <c:v>42.240600000000001</c:v>
                </c:pt>
                <c:pt idx="33">
                  <c:v>42.128500000000003</c:v>
                </c:pt>
                <c:pt idx="34">
                  <c:v>42.052</c:v>
                </c:pt>
                <c:pt idx="35">
                  <c:v>41.992899999999999</c:v>
                </c:pt>
                <c:pt idx="36">
                  <c:v>41.987400000000001</c:v>
                </c:pt>
                <c:pt idx="37">
                  <c:v>42.0212</c:v>
                </c:pt>
                <c:pt idx="38">
                  <c:v>42.032599999999995</c:v>
                </c:pt>
                <c:pt idx="39">
                  <c:v>41.974299999999999</c:v>
                </c:pt>
                <c:pt idx="40">
                  <c:v>41.882999999999996</c:v>
                </c:pt>
                <c:pt idx="41">
                  <c:v>41.810900000000004</c:v>
                </c:pt>
                <c:pt idx="42">
                  <c:v>41.764600000000002</c:v>
                </c:pt>
                <c:pt idx="43">
                  <c:v>41.775400000000005</c:v>
                </c:pt>
                <c:pt idx="44">
                  <c:v>41.810099999999998</c:v>
                </c:pt>
                <c:pt idx="45">
                  <c:v>41.831299999999999</c:v>
                </c:pt>
                <c:pt idx="46">
                  <c:v>41.842300000000002</c:v>
                </c:pt>
                <c:pt idx="47">
                  <c:v>41.813200000000002</c:v>
                </c:pt>
                <c:pt idx="48">
                  <c:v>41.784999999999997</c:v>
                </c:pt>
                <c:pt idx="49">
                  <c:v>41.723700000000001</c:v>
                </c:pt>
                <c:pt idx="50">
                  <c:v>41.680399999999999</c:v>
                </c:pt>
                <c:pt idx="51">
                  <c:v>41.639099999999999</c:v>
                </c:pt>
                <c:pt idx="52">
                  <c:v>41.606900000000003</c:v>
                </c:pt>
                <c:pt idx="53">
                  <c:v>41.510300000000001</c:v>
                </c:pt>
                <c:pt idx="54">
                  <c:v>41.460299999999997</c:v>
                </c:pt>
                <c:pt idx="55">
                  <c:v>41.475499999999997</c:v>
                </c:pt>
                <c:pt idx="56">
                  <c:v>41.470500000000001</c:v>
                </c:pt>
                <c:pt idx="57">
                  <c:v>41.516500000000001</c:v>
                </c:pt>
                <c:pt idx="58">
                  <c:v>41.705799999999996</c:v>
                </c:pt>
                <c:pt idx="59">
                  <c:v>41.8718</c:v>
                </c:pt>
                <c:pt idx="60">
                  <c:v>41.977199999999996</c:v>
                </c:pt>
                <c:pt idx="61">
                  <c:v>42.0747</c:v>
                </c:pt>
                <c:pt idx="62">
                  <c:v>42.177399999999999</c:v>
                </c:pt>
                <c:pt idx="63">
                  <c:v>42.279899999999998</c:v>
                </c:pt>
                <c:pt idx="64">
                  <c:v>42.373100000000001</c:v>
                </c:pt>
                <c:pt idx="65">
                  <c:v>42.512299999999996</c:v>
                </c:pt>
                <c:pt idx="66">
                  <c:v>42.760199999999998</c:v>
                </c:pt>
                <c:pt idx="67">
                  <c:v>43.036900000000003</c:v>
                </c:pt>
                <c:pt idx="68">
                  <c:v>43.308300000000003</c:v>
                </c:pt>
                <c:pt idx="69">
                  <c:v>43.599299999999999</c:v>
                </c:pt>
                <c:pt idx="70">
                  <c:v>43.843400000000003</c:v>
                </c:pt>
                <c:pt idx="71">
                  <c:v>44.130699999999997</c:v>
                </c:pt>
                <c:pt idx="72">
                  <c:v>44.487700000000004</c:v>
                </c:pt>
                <c:pt idx="73">
                  <c:v>44.878099999999996</c:v>
                </c:pt>
                <c:pt idx="74">
                  <c:v>45.331500000000005</c:v>
                </c:pt>
                <c:pt idx="75">
                  <c:v>45.772400000000005</c:v>
                </c:pt>
                <c:pt idx="76">
                  <c:v>46.061</c:v>
                </c:pt>
                <c:pt idx="77">
                  <c:v>46.247999999999998</c:v>
                </c:pt>
                <c:pt idx="78">
                  <c:v>46.364800000000002</c:v>
                </c:pt>
                <c:pt idx="79">
                  <c:v>46.461400000000005</c:v>
                </c:pt>
                <c:pt idx="80">
                  <c:v>46.595500000000001</c:v>
                </c:pt>
                <c:pt idx="81">
                  <c:v>46.7729</c:v>
                </c:pt>
                <c:pt idx="82">
                  <c:v>46.895800000000001</c:v>
                </c:pt>
                <c:pt idx="83">
                  <c:v>47.0002</c:v>
                </c:pt>
                <c:pt idx="84">
                  <c:v>47.105000000000004</c:v>
                </c:pt>
                <c:pt idx="85">
                  <c:v>47.142800000000001</c:v>
                </c:pt>
                <c:pt idx="86">
                  <c:v>47.045700000000004</c:v>
                </c:pt>
                <c:pt idx="87">
                  <c:v>46.819100000000006</c:v>
                </c:pt>
                <c:pt idx="88">
                  <c:v>46.636499999999998</c:v>
                </c:pt>
                <c:pt idx="89">
                  <c:v>46.5396</c:v>
                </c:pt>
                <c:pt idx="90">
                  <c:v>46.343600000000002</c:v>
                </c:pt>
                <c:pt idx="91">
                  <c:v>46.095000000000006</c:v>
                </c:pt>
                <c:pt idx="92">
                  <c:v>45.777299999999997</c:v>
                </c:pt>
                <c:pt idx="93">
                  <c:v>45.359899999999996</c:v>
                </c:pt>
                <c:pt idx="94">
                  <c:v>44.814999999999998</c:v>
                </c:pt>
                <c:pt idx="95">
                  <c:v>44.270800000000001</c:v>
                </c:pt>
                <c:pt idx="96">
                  <c:v>43.745899999999999</c:v>
                </c:pt>
                <c:pt idx="97">
                  <c:v>43.228100000000005</c:v>
                </c:pt>
                <c:pt idx="98">
                  <c:v>42.725299999999997</c:v>
                </c:pt>
                <c:pt idx="99">
                  <c:v>42.337699999999998</c:v>
                </c:pt>
                <c:pt idx="100">
                  <c:v>41.912999999999997</c:v>
                </c:pt>
                <c:pt idx="101">
                  <c:v>41.4191</c:v>
                </c:pt>
                <c:pt idx="102">
                  <c:v>40.964500000000001</c:v>
                </c:pt>
                <c:pt idx="103">
                  <c:v>40.6066</c:v>
                </c:pt>
                <c:pt idx="104">
                  <c:v>40.450900000000004</c:v>
                </c:pt>
                <c:pt idx="105">
                  <c:v>40.412300000000002</c:v>
                </c:pt>
                <c:pt idx="106">
                  <c:v>40.380000000000003</c:v>
                </c:pt>
                <c:pt idx="107">
                  <c:v>40.360399999999998</c:v>
                </c:pt>
                <c:pt idx="108">
                  <c:v>40.361999999999995</c:v>
                </c:pt>
                <c:pt idx="109">
                  <c:v>40.368400000000001</c:v>
                </c:pt>
                <c:pt idx="110">
                  <c:v>40.461799999999997</c:v>
                </c:pt>
                <c:pt idx="111">
                  <c:v>40.556399999999996</c:v>
                </c:pt>
                <c:pt idx="112">
                  <c:v>40.597000000000001</c:v>
                </c:pt>
                <c:pt idx="113">
                  <c:v>40.697100000000006</c:v>
                </c:pt>
                <c:pt idx="114">
                  <c:v>40.8003</c:v>
                </c:pt>
                <c:pt idx="115">
                  <c:v>40.916499999999999</c:v>
                </c:pt>
                <c:pt idx="116">
                  <c:v>41.044499999999999</c:v>
                </c:pt>
                <c:pt idx="117">
                  <c:v>41.169899999999998</c:v>
                </c:pt>
                <c:pt idx="118">
                  <c:v>41.323300000000003</c:v>
                </c:pt>
                <c:pt idx="119">
                  <c:v>41.475099999999998</c:v>
                </c:pt>
                <c:pt idx="120">
                  <c:v>41.572499999999998</c:v>
                </c:pt>
                <c:pt idx="121">
                  <c:v>41.648000000000003</c:v>
                </c:pt>
                <c:pt idx="122">
                  <c:v>41.736899999999999</c:v>
                </c:pt>
                <c:pt idx="123">
                  <c:v>41.844500000000004</c:v>
                </c:pt>
                <c:pt idx="124">
                  <c:v>41.881099999999996</c:v>
                </c:pt>
                <c:pt idx="125">
                  <c:v>41.960700000000003</c:v>
                </c:pt>
                <c:pt idx="126">
                  <c:v>42.110799999999998</c:v>
                </c:pt>
                <c:pt idx="127">
                  <c:v>42.314599999999999</c:v>
                </c:pt>
                <c:pt idx="128">
                  <c:v>42.524499999999996</c:v>
                </c:pt>
                <c:pt idx="129">
                  <c:v>42.688099999999999</c:v>
                </c:pt>
                <c:pt idx="130">
                  <c:v>42.8401</c:v>
                </c:pt>
                <c:pt idx="131">
                  <c:v>42.980499999999999</c:v>
                </c:pt>
                <c:pt idx="132">
                  <c:v>43.1663</c:v>
                </c:pt>
                <c:pt idx="133">
                  <c:v>43.326100000000004</c:v>
                </c:pt>
                <c:pt idx="134">
                  <c:v>43.505000000000003</c:v>
                </c:pt>
                <c:pt idx="135">
                  <c:v>43.6235</c:v>
                </c:pt>
                <c:pt idx="136">
                  <c:v>43.780700000000003</c:v>
                </c:pt>
                <c:pt idx="137">
                  <c:v>44.062200000000004</c:v>
                </c:pt>
                <c:pt idx="138">
                  <c:v>44.300800000000002</c:v>
                </c:pt>
                <c:pt idx="139">
                  <c:v>44.558999999999997</c:v>
                </c:pt>
                <c:pt idx="140">
                  <c:v>44.8005</c:v>
                </c:pt>
                <c:pt idx="141">
                  <c:v>45.066899999999997</c:v>
                </c:pt>
                <c:pt idx="142">
                  <c:v>45.269599999999997</c:v>
                </c:pt>
                <c:pt idx="143">
                  <c:v>45.4133</c:v>
                </c:pt>
                <c:pt idx="144">
                  <c:v>45.5762</c:v>
                </c:pt>
                <c:pt idx="145">
                  <c:v>45.956099999999999</c:v>
                </c:pt>
                <c:pt idx="146">
                  <c:v>46.364100000000001</c:v>
                </c:pt>
                <c:pt idx="147">
                  <c:v>46.462499999999999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0.35298299999999999</c:v>
                </c:pt>
                <c:pt idx="2">
                  <c:v>0.75927299999999998</c:v>
                </c:pt>
                <c:pt idx="3">
                  <c:v>1.1645300000000001</c:v>
                </c:pt>
                <c:pt idx="4">
                  <c:v>1.57216</c:v>
                </c:pt>
                <c:pt idx="5">
                  <c:v>1.9758199999999999</c:v>
                </c:pt>
                <c:pt idx="6">
                  <c:v>2.3868399999999999</c:v>
                </c:pt>
                <c:pt idx="7">
                  <c:v>2.7913700000000001</c:v>
                </c:pt>
                <c:pt idx="8">
                  <c:v>3.1976599999999999</c:v>
                </c:pt>
                <c:pt idx="9">
                  <c:v>3.6031599999999999</c:v>
                </c:pt>
                <c:pt idx="10">
                  <c:v>4.0085800000000003</c:v>
                </c:pt>
                <c:pt idx="11">
                  <c:v>4.4148100000000001</c:v>
                </c:pt>
                <c:pt idx="12">
                  <c:v>4.8175600000000003</c:v>
                </c:pt>
                <c:pt idx="13">
                  <c:v>5.2243700000000004</c:v>
                </c:pt>
                <c:pt idx="14">
                  <c:v>5.6357100000000004</c:v>
                </c:pt>
                <c:pt idx="15">
                  <c:v>6.0370799999999996</c:v>
                </c:pt>
                <c:pt idx="16">
                  <c:v>6.4469500000000002</c:v>
                </c:pt>
                <c:pt idx="17">
                  <c:v>6.8494999999999999</c:v>
                </c:pt>
                <c:pt idx="18">
                  <c:v>7.2579799999999999</c:v>
                </c:pt>
                <c:pt idx="19">
                  <c:v>7.6645700000000003</c:v>
                </c:pt>
                <c:pt idx="20">
                  <c:v>8.0699699999999996</c:v>
                </c:pt>
                <c:pt idx="21">
                  <c:v>8.4777500000000003</c:v>
                </c:pt>
                <c:pt idx="22">
                  <c:v>8.8823600000000003</c:v>
                </c:pt>
                <c:pt idx="23">
                  <c:v>9.2871400000000008</c:v>
                </c:pt>
                <c:pt idx="24">
                  <c:v>9.6949699999999996</c:v>
                </c:pt>
                <c:pt idx="25">
                  <c:v>10.1036</c:v>
                </c:pt>
                <c:pt idx="26">
                  <c:v>10.5084</c:v>
                </c:pt>
                <c:pt idx="27">
                  <c:v>10.9122</c:v>
                </c:pt>
                <c:pt idx="28">
                  <c:v>11.3179</c:v>
                </c:pt>
                <c:pt idx="29">
                  <c:v>11.723699999999999</c:v>
                </c:pt>
                <c:pt idx="30">
                  <c:v>12.1349</c:v>
                </c:pt>
                <c:pt idx="31">
                  <c:v>12.541600000000001</c:v>
                </c:pt>
                <c:pt idx="32">
                  <c:v>12.947699999999999</c:v>
                </c:pt>
                <c:pt idx="33">
                  <c:v>13.3497</c:v>
                </c:pt>
                <c:pt idx="34">
                  <c:v>13.754</c:v>
                </c:pt>
                <c:pt idx="35">
                  <c:v>14.164899999999999</c:v>
                </c:pt>
                <c:pt idx="36">
                  <c:v>14.573499999999999</c:v>
                </c:pt>
                <c:pt idx="37">
                  <c:v>14.9758</c:v>
                </c:pt>
                <c:pt idx="38">
                  <c:v>15.382999999999999</c:v>
                </c:pt>
                <c:pt idx="39">
                  <c:v>15.7888</c:v>
                </c:pt>
                <c:pt idx="40">
                  <c:v>16.194099999999999</c:v>
                </c:pt>
                <c:pt idx="41">
                  <c:v>16.6052</c:v>
                </c:pt>
                <c:pt idx="42">
                  <c:v>17.0105</c:v>
                </c:pt>
                <c:pt idx="43">
                  <c:v>17.4131</c:v>
                </c:pt>
                <c:pt idx="44">
                  <c:v>17.821200000000001</c:v>
                </c:pt>
                <c:pt idx="45">
                  <c:v>18.224799999999998</c:v>
                </c:pt>
                <c:pt idx="46">
                  <c:v>18.634799999999998</c:v>
                </c:pt>
                <c:pt idx="47">
                  <c:v>19.038399999999999</c:v>
                </c:pt>
                <c:pt idx="48">
                  <c:v>19.4452</c:v>
                </c:pt>
                <c:pt idx="49">
                  <c:v>19.8504</c:v>
                </c:pt>
                <c:pt idx="50">
                  <c:v>20.261199999999999</c:v>
                </c:pt>
                <c:pt idx="51">
                  <c:v>20.665400000000002</c:v>
                </c:pt>
                <c:pt idx="52">
                  <c:v>21.0731</c:v>
                </c:pt>
                <c:pt idx="53">
                  <c:v>21.477</c:v>
                </c:pt>
                <c:pt idx="54">
                  <c:v>21.883199999999999</c:v>
                </c:pt>
                <c:pt idx="55">
                  <c:v>22.2865</c:v>
                </c:pt>
                <c:pt idx="56">
                  <c:v>22.695599999999999</c:v>
                </c:pt>
                <c:pt idx="57">
                  <c:v>23.103899999999999</c:v>
                </c:pt>
                <c:pt idx="58">
                  <c:v>23.508700000000001</c:v>
                </c:pt>
                <c:pt idx="59">
                  <c:v>23.913</c:v>
                </c:pt>
                <c:pt idx="60">
                  <c:v>24.319900000000001</c:v>
                </c:pt>
                <c:pt idx="61">
                  <c:v>24.728200000000001</c:v>
                </c:pt>
                <c:pt idx="62">
                  <c:v>25.133199999999999</c:v>
                </c:pt>
                <c:pt idx="63">
                  <c:v>25.538900000000002</c:v>
                </c:pt>
                <c:pt idx="64">
                  <c:v>25.944700000000001</c:v>
                </c:pt>
                <c:pt idx="65">
                  <c:v>26.3505</c:v>
                </c:pt>
                <c:pt idx="66">
                  <c:v>26.7591</c:v>
                </c:pt>
                <c:pt idx="67">
                  <c:v>27.165099999999999</c:v>
                </c:pt>
                <c:pt idx="68">
                  <c:v>27.572099999999999</c:v>
                </c:pt>
                <c:pt idx="69">
                  <c:v>27.976500000000001</c:v>
                </c:pt>
                <c:pt idx="70">
                  <c:v>28.380400000000002</c:v>
                </c:pt>
                <c:pt idx="71">
                  <c:v>28.791499999999999</c:v>
                </c:pt>
                <c:pt idx="72">
                  <c:v>29.1937</c:v>
                </c:pt>
                <c:pt idx="73">
                  <c:v>29.609500000000001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53.728400000000001</c:v>
                </c:pt>
                <c:pt idx="1">
                  <c:v>52.906699999999994</c:v>
                </c:pt>
                <c:pt idx="2">
                  <c:v>52.112499999999997</c:v>
                </c:pt>
                <c:pt idx="3">
                  <c:v>51.257699999999993</c:v>
                </c:pt>
                <c:pt idx="4">
                  <c:v>50.339800000000004</c:v>
                </c:pt>
                <c:pt idx="5">
                  <c:v>49.515500000000003</c:v>
                </c:pt>
                <c:pt idx="6">
                  <c:v>48.886499999999998</c:v>
                </c:pt>
                <c:pt idx="7">
                  <c:v>48.407600000000002</c:v>
                </c:pt>
                <c:pt idx="8">
                  <c:v>47.957999999999998</c:v>
                </c:pt>
                <c:pt idx="9">
                  <c:v>47.509799999999998</c:v>
                </c:pt>
                <c:pt idx="10">
                  <c:v>47.057300000000005</c:v>
                </c:pt>
                <c:pt idx="11">
                  <c:v>46.615400000000001</c:v>
                </c:pt>
                <c:pt idx="12">
                  <c:v>46.231200000000001</c:v>
                </c:pt>
                <c:pt idx="13">
                  <c:v>45.9345</c:v>
                </c:pt>
                <c:pt idx="14">
                  <c:v>45.683500000000002</c:v>
                </c:pt>
                <c:pt idx="15">
                  <c:v>45.409399999999998</c:v>
                </c:pt>
                <c:pt idx="16">
                  <c:v>45.090499999999999</c:v>
                </c:pt>
                <c:pt idx="17">
                  <c:v>44.771100000000004</c:v>
                </c:pt>
                <c:pt idx="18">
                  <c:v>44.431199999999997</c:v>
                </c:pt>
                <c:pt idx="19">
                  <c:v>44.095600000000005</c:v>
                </c:pt>
                <c:pt idx="20">
                  <c:v>43.786000000000001</c:v>
                </c:pt>
                <c:pt idx="21">
                  <c:v>43.478200000000001</c:v>
                </c:pt>
                <c:pt idx="22">
                  <c:v>43.183599999999998</c:v>
                </c:pt>
                <c:pt idx="23">
                  <c:v>42.869399999999999</c:v>
                </c:pt>
                <c:pt idx="24">
                  <c:v>42.575099999999999</c:v>
                </c:pt>
                <c:pt idx="25">
                  <c:v>42.3874</c:v>
                </c:pt>
                <c:pt idx="26">
                  <c:v>42.258800000000001</c:v>
                </c:pt>
                <c:pt idx="27">
                  <c:v>42.187200000000004</c:v>
                </c:pt>
                <c:pt idx="28">
                  <c:v>42.196300000000001</c:v>
                </c:pt>
                <c:pt idx="29">
                  <c:v>42.2729</c:v>
                </c:pt>
                <c:pt idx="30">
                  <c:v>42.319299999999998</c:v>
                </c:pt>
                <c:pt idx="31">
                  <c:v>42.311500000000002</c:v>
                </c:pt>
                <c:pt idx="32">
                  <c:v>42.240600000000001</c:v>
                </c:pt>
                <c:pt idx="33">
                  <c:v>42.128500000000003</c:v>
                </c:pt>
                <c:pt idx="34">
                  <c:v>42.052</c:v>
                </c:pt>
                <c:pt idx="35">
                  <c:v>41.992899999999999</c:v>
                </c:pt>
                <c:pt idx="36">
                  <c:v>41.987400000000001</c:v>
                </c:pt>
                <c:pt idx="37">
                  <c:v>42.0212</c:v>
                </c:pt>
                <c:pt idx="38">
                  <c:v>42.032599999999995</c:v>
                </c:pt>
                <c:pt idx="39">
                  <c:v>41.974299999999999</c:v>
                </c:pt>
                <c:pt idx="40">
                  <c:v>41.882999999999996</c:v>
                </c:pt>
                <c:pt idx="41">
                  <c:v>41.810900000000004</c:v>
                </c:pt>
                <c:pt idx="42">
                  <c:v>41.764600000000002</c:v>
                </c:pt>
                <c:pt idx="43">
                  <c:v>41.775400000000005</c:v>
                </c:pt>
                <c:pt idx="44">
                  <c:v>41.810099999999998</c:v>
                </c:pt>
                <c:pt idx="45">
                  <c:v>41.831299999999999</c:v>
                </c:pt>
                <c:pt idx="46">
                  <c:v>41.842300000000002</c:v>
                </c:pt>
                <c:pt idx="47">
                  <c:v>41.813200000000002</c:v>
                </c:pt>
                <c:pt idx="48">
                  <c:v>41.784999999999997</c:v>
                </c:pt>
                <c:pt idx="49">
                  <c:v>41.723700000000001</c:v>
                </c:pt>
                <c:pt idx="50">
                  <c:v>41.680399999999999</c:v>
                </c:pt>
                <c:pt idx="51">
                  <c:v>41.639099999999999</c:v>
                </c:pt>
                <c:pt idx="52">
                  <c:v>41.606900000000003</c:v>
                </c:pt>
                <c:pt idx="53">
                  <c:v>41.510300000000001</c:v>
                </c:pt>
                <c:pt idx="54">
                  <c:v>41.460299999999997</c:v>
                </c:pt>
                <c:pt idx="55">
                  <c:v>41.475499999999997</c:v>
                </c:pt>
                <c:pt idx="56">
                  <c:v>41.470500000000001</c:v>
                </c:pt>
                <c:pt idx="57">
                  <c:v>41.516500000000001</c:v>
                </c:pt>
                <c:pt idx="58">
                  <c:v>41.705799999999996</c:v>
                </c:pt>
                <c:pt idx="59">
                  <c:v>41.8718</c:v>
                </c:pt>
                <c:pt idx="60">
                  <c:v>41.977199999999996</c:v>
                </c:pt>
                <c:pt idx="61">
                  <c:v>42.0747</c:v>
                </c:pt>
                <c:pt idx="62">
                  <c:v>42.177399999999999</c:v>
                </c:pt>
                <c:pt idx="63">
                  <c:v>42.279899999999998</c:v>
                </c:pt>
                <c:pt idx="64">
                  <c:v>42.373100000000001</c:v>
                </c:pt>
                <c:pt idx="65">
                  <c:v>42.512299999999996</c:v>
                </c:pt>
                <c:pt idx="66">
                  <c:v>42.760199999999998</c:v>
                </c:pt>
                <c:pt idx="67">
                  <c:v>43.036900000000003</c:v>
                </c:pt>
                <c:pt idx="68">
                  <c:v>43.308300000000003</c:v>
                </c:pt>
                <c:pt idx="69">
                  <c:v>43.599299999999999</c:v>
                </c:pt>
                <c:pt idx="70">
                  <c:v>43.843400000000003</c:v>
                </c:pt>
                <c:pt idx="71">
                  <c:v>44.130699999999997</c:v>
                </c:pt>
                <c:pt idx="72">
                  <c:v>44.487700000000004</c:v>
                </c:pt>
                <c:pt idx="73">
                  <c:v>44.878099999999996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29.609500000000001</c:v>
                </c:pt>
                <c:pt idx="1">
                  <c:v>30.007300000000001</c:v>
                </c:pt>
                <c:pt idx="2">
                  <c:v>30.621500000000001</c:v>
                </c:pt>
                <c:pt idx="3">
                  <c:v>30.993400000000001</c:v>
                </c:pt>
                <c:pt idx="4">
                  <c:v>31.3689</c:v>
                </c:pt>
                <c:pt idx="5">
                  <c:v>31.7422</c:v>
                </c:pt>
                <c:pt idx="6">
                  <c:v>32.117800000000003</c:v>
                </c:pt>
                <c:pt idx="7">
                  <c:v>32.5244</c:v>
                </c:pt>
                <c:pt idx="8">
                  <c:v>32.929400000000001</c:v>
                </c:pt>
                <c:pt idx="9">
                  <c:v>33.337499999999999</c:v>
                </c:pt>
                <c:pt idx="10">
                  <c:v>33.744700000000002</c:v>
                </c:pt>
                <c:pt idx="11">
                  <c:v>34.149500000000003</c:v>
                </c:pt>
                <c:pt idx="12">
                  <c:v>34.555999999999997</c:v>
                </c:pt>
                <c:pt idx="13">
                  <c:v>34.962200000000003</c:v>
                </c:pt>
                <c:pt idx="14">
                  <c:v>35.367899999999999</c:v>
                </c:pt>
                <c:pt idx="15">
                  <c:v>35.775100000000002</c:v>
                </c:pt>
                <c:pt idx="16">
                  <c:v>36.180399999999999</c:v>
                </c:pt>
                <c:pt idx="17">
                  <c:v>36.587699999999998</c:v>
                </c:pt>
                <c:pt idx="18">
                  <c:v>36.989899999999999</c:v>
                </c:pt>
                <c:pt idx="19">
                  <c:v>37.400100000000002</c:v>
                </c:pt>
                <c:pt idx="20">
                  <c:v>37.807000000000002</c:v>
                </c:pt>
                <c:pt idx="21">
                  <c:v>38.210599999999999</c:v>
                </c:pt>
                <c:pt idx="22">
                  <c:v>38.6175</c:v>
                </c:pt>
                <c:pt idx="23">
                  <c:v>39.0244</c:v>
                </c:pt>
                <c:pt idx="24">
                  <c:v>39.428400000000003</c:v>
                </c:pt>
                <c:pt idx="25">
                  <c:v>39.837200000000003</c:v>
                </c:pt>
                <c:pt idx="26">
                  <c:v>40.241999999999997</c:v>
                </c:pt>
                <c:pt idx="27">
                  <c:v>40.648600000000002</c:v>
                </c:pt>
                <c:pt idx="28">
                  <c:v>41.052700000000002</c:v>
                </c:pt>
                <c:pt idx="29">
                  <c:v>41.461599999999997</c:v>
                </c:pt>
                <c:pt idx="30">
                  <c:v>41.8675</c:v>
                </c:pt>
                <c:pt idx="31">
                  <c:v>42.275199999999998</c:v>
                </c:pt>
                <c:pt idx="32">
                  <c:v>42.678199999999997</c:v>
                </c:pt>
                <c:pt idx="33">
                  <c:v>43.0852</c:v>
                </c:pt>
                <c:pt idx="34">
                  <c:v>43.494500000000002</c:v>
                </c:pt>
                <c:pt idx="35">
                  <c:v>43.903300000000002</c:v>
                </c:pt>
                <c:pt idx="36">
                  <c:v>44.306600000000003</c:v>
                </c:pt>
                <c:pt idx="37">
                  <c:v>44.712400000000002</c:v>
                </c:pt>
                <c:pt idx="38">
                  <c:v>45.116700000000002</c:v>
                </c:pt>
                <c:pt idx="39">
                  <c:v>45.525399999999998</c:v>
                </c:pt>
                <c:pt idx="40">
                  <c:v>45.930199999999999</c:v>
                </c:pt>
                <c:pt idx="41">
                  <c:v>46.337200000000003</c:v>
                </c:pt>
                <c:pt idx="42">
                  <c:v>46.740699999999997</c:v>
                </c:pt>
                <c:pt idx="43">
                  <c:v>47.147500000000001</c:v>
                </c:pt>
                <c:pt idx="44">
                  <c:v>47.555599999999998</c:v>
                </c:pt>
                <c:pt idx="45">
                  <c:v>47.962299999999999</c:v>
                </c:pt>
                <c:pt idx="46">
                  <c:v>48.369100000000003</c:v>
                </c:pt>
                <c:pt idx="47">
                  <c:v>48.773200000000003</c:v>
                </c:pt>
                <c:pt idx="48">
                  <c:v>49.181399999999996</c:v>
                </c:pt>
                <c:pt idx="49">
                  <c:v>49.588200000000001</c:v>
                </c:pt>
                <c:pt idx="50">
                  <c:v>49.994900000000001</c:v>
                </c:pt>
                <c:pt idx="51">
                  <c:v>50.397799999999997</c:v>
                </c:pt>
                <c:pt idx="52">
                  <c:v>50.805799999999998</c:v>
                </c:pt>
                <c:pt idx="53">
                  <c:v>51.210599999999999</c:v>
                </c:pt>
                <c:pt idx="54">
                  <c:v>51.618600000000001</c:v>
                </c:pt>
                <c:pt idx="55">
                  <c:v>52.021599999999999</c:v>
                </c:pt>
                <c:pt idx="56">
                  <c:v>52.428199999999997</c:v>
                </c:pt>
                <c:pt idx="57">
                  <c:v>52.836300000000001</c:v>
                </c:pt>
                <c:pt idx="58">
                  <c:v>53.2438</c:v>
                </c:pt>
                <c:pt idx="59">
                  <c:v>53.650100000000002</c:v>
                </c:pt>
                <c:pt idx="60">
                  <c:v>54.055799999999998</c:v>
                </c:pt>
                <c:pt idx="61">
                  <c:v>54.461300000000001</c:v>
                </c:pt>
                <c:pt idx="62">
                  <c:v>54.867800000000003</c:v>
                </c:pt>
                <c:pt idx="63">
                  <c:v>55.274999999999999</c:v>
                </c:pt>
                <c:pt idx="64">
                  <c:v>55.680199999999999</c:v>
                </c:pt>
                <c:pt idx="65">
                  <c:v>56.085799999999999</c:v>
                </c:pt>
                <c:pt idx="66">
                  <c:v>56.490900000000003</c:v>
                </c:pt>
                <c:pt idx="67">
                  <c:v>56.8992</c:v>
                </c:pt>
                <c:pt idx="68">
                  <c:v>57.305300000000003</c:v>
                </c:pt>
                <c:pt idx="69">
                  <c:v>57.711500000000001</c:v>
                </c:pt>
                <c:pt idx="70">
                  <c:v>58.118200000000002</c:v>
                </c:pt>
                <c:pt idx="71">
                  <c:v>58.523000000000003</c:v>
                </c:pt>
                <c:pt idx="72">
                  <c:v>58.930700000000002</c:v>
                </c:pt>
                <c:pt idx="73">
                  <c:v>59.337200000000003</c:v>
                </c:pt>
                <c:pt idx="74">
                  <c:v>59.744599999999998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44.878099999999996</c:v>
                </c:pt>
                <c:pt idx="1">
                  <c:v>45.331500000000005</c:v>
                </c:pt>
                <c:pt idx="2">
                  <c:v>45.772400000000005</c:v>
                </c:pt>
                <c:pt idx="3">
                  <c:v>46.061</c:v>
                </c:pt>
                <c:pt idx="4">
                  <c:v>46.247999999999998</c:v>
                </c:pt>
                <c:pt idx="5">
                  <c:v>46.364800000000002</c:v>
                </c:pt>
                <c:pt idx="6">
                  <c:v>46.461400000000005</c:v>
                </c:pt>
                <c:pt idx="7">
                  <c:v>46.595500000000001</c:v>
                </c:pt>
                <c:pt idx="8">
                  <c:v>46.7729</c:v>
                </c:pt>
                <c:pt idx="9">
                  <c:v>46.895800000000001</c:v>
                </c:pt>
                <c:pt idx="10">
                  <c:v>47.0002</c:v>
                </c:pt>
                <c:pt idx="11">
                  <c:v>47.105000000000004</c:v>
                </c:pt>
                <c:pt idx="12">
                  <c:v>47.142800000000001</c:v>
                </c:pt>
                <c:pt idx="13">
                  <c:v>47.045700000000004</c:v>
                </c:pt>
                <c:pt idx="14">
                  <c:v>46.819100000000006</c:v>
                </c:pt>
                <c:pt idx="15">
                  <c:v>46.636499999999998</c:v>
                </c:pt>
                <c:pt idx="16">
                  <c:v>46.5396</c:v>
                </c:pt>
                <c:pt idx="17">
                  <c:v>46.343600000000002</c:v>
                </c:pt>
                <c:pt idx="18">
                  <c:v>46.095000000000006</c:v>
                </c:pt>
                <c:pt idx="19">
                  <c:v>45.777299999999997</c:v>
                </c:pt>
                <c:pt idx="20">
                  <c:v>45.359899999999996</c:v>
                </c:pt>
                <c:pt idx="21">
                  <c:v>44.814999999999998</c:v>
                </c:pt>
                <c:pt idx="22">
                  <c:v>44.270800000000001</c:v>
                </c:pt>
                <c:pt idx="23">
                  <c:v>43.745899999999999</c:v>
                </c:pt>
                <c:pt idx="24">
                  <c:v>43.228100000000005</c:v>
                </c:pt>
                <c:pt idx="25">
                  <c:v>42.725299999999997</c:v>
                </c:pt>
                <c:pt idx="26">
                  <c:v>42.337699999999998</c:v>
                </c:pt>
                <c:pt idx="27">
                  <c:v>41.912999999999997</c:v>
                </c:pt>
                <c:pt idx="28">
                  <c:v>41.4191</c:v>
                </c:pt>
                <c:pt idx="29">
                  <c:v>40.964500000000001</c:v>
                </c:pt>
                <c:pt idx="30">
                  <c:v>40.6066</c:v>
                </c:pt>
                <c:pt idx="31">
                  <c:v>40.450900000000004</c:v>
                </c:pt>
                <c:pt idx="32">
                  <c:v>40.412300000000002</c:v>
                </c:pt>
                <c:pt idx="33">
                  <c:v>40.380000000000003</c:v>
                </c:pt>
                <c:pt idx="34">
                  <c:v>40.360399999999998</c:v>
                </c:pt>
                <c:pt idx="35">
                  <c:v>40.361999999999995</c:v>
                </c:pt>
                <c:pt idx="36">
                  <c:v>40.368400000000001</c:v>
                </c:pt>
                <c:pt idx="37">
                  <c:v>40.461799999999997</c:v>
                </c:pt>
                <c:pt idx="38">
                  <c:v>40.556399999999996</c:v>
                </c:pt>
                <c:pt idx="39">
                  <c:v>40.597000000000001</c:v>
                </c:pt>
                <c:pt idx="40">
                  <c:v>40.697100000000006</c:v>
                </c:pt>
                <c:pt idx="41">
                  <c:v>40.8003</c:v>
                </c:pt>
                <c:pt idx="42">
                  <c:v>40.916499999999999</c:v>
                </c:pt>
                <c:pt idx="43">
                  <c:v>41.044499999999999</c:v>
                </c:pt>
                <c:pt idx="44">
                  <c:v>41.169899999999998</c:v>
                </c:pt>
                <c:pt idx="45">
                  <c:v>41.323300000000003</c:v>
                </c:pt>
                <c:pt idx="46">
                  <c:v>41.475099999999998</c:v>
                </c:pt>
                <c:pt idx="47">
                  <c:v>41.572499999999998</c:v>
                </c:pt>
                <c:pt idx="48">
                  <c:v>41.648000000000003</c:v>
                </c:pt>
                <c:pt idx="49">
                  <c:v>41.736899999999999</c:v>
                </c:pt>
                <c:pt idx="50">
                  <c:v>41.844500000000004</c:v>
                </c:pt>
                <c:pt idx="51">
                  <c:v>41.881099999999996</c:v>
                </c:pt>
                <c:pt idx="52">
                  <c:v>41.960700000000003</c:v>
                </c:pt>
                <c:pt idx="53">
                  <c:v>42.110799999999998</c:v>
                </c:pt>
                <c:pt idx="54">
                  <c:v>42.314599999999999</c:v>
                </c:pt>
                <c:pt idx="55">
                  <c:v>42.524499999999996</c:v>
                </c:pt>
                <c:pt idx="56">
                  <c:v>42.688099999999999</c:v>
                </c:pt>
                <c:pt idx="57">
                  <c:v>42.8401</c:v>
                </c:pt>
                <c:pt idx="58">
                  <c:v>42.980499999999999</c:v>
                </c:pt>
                <c:pt idx="59">
                  <c:v>43.1663</c:v>
                </c:pt>
                <c:pt idx="60">
                  <c:v>43.326100000000004</c:v>
                </c:pt>
                <c:pt idx="61">
                  <c:v>43.505000000000003</c:v>
                </c:pt>
                <c:pt idx="62">
                  <c:v>43.6235</c:v>
                </c:pt>
                <c:pt idx="63">
                  <c:v>43.780700000000003</c:v>
                </c:pt>
                <c:pt idx="64">
                  <c:v>44.062200000000004</c:v>
                </c:pt>
                <c:pt idx="65">
                  <c:v>44.300800000000002</c:v>
                </c:pt>
                <c:pt idx="66">
                  <c:v>44.558999999999997</c:v>
                </c:pt>
                <c:pt idx="67">
                  <c:v>44.8005</c:v>
                </c:pt>
                <c:pt idx="68">
                  <c:v>45.066899999999997</c:v>
                </c:pt>
                <c:pt idx="69">
                  <c:v>45.269599999999997</c:v>
                </c:pt>
                <c:pt idx="70">
                  <c:v>45.4133</c:v>
                </c:pt>
                <c:pt idx="71">
                  <c:v>45.5762</c:v>
                </c:pt>
                <c:pt idx="72">
                  <c:v>45.956099999999999</c:v>
                </c:pt>
                <c:pt idx="73">
                  <c:v>46.364100000000001</c:v>
                </c:pt>
                <c:pt idx="74">
                  <c:v>46.462499999999999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53.728400000000001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53.728400000000001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53.728400000000001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53.728400000000001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53.728400000000001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53.728400000000001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53.728400000000001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53.728400000000001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53.728400000000001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53.728400000000001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53.728400000000001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53.728400000000001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53.728400000000001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53.728400000000001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53.728400000000001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53.728400000000001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53.728400000000001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53.728400000000001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53.728400000000001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53.728400000000001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53.728400000000001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53.728400000000001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14.93615</c:v>
                </c:pt>
                <c:pt idx="1">
                  <c:v>44.808450000000001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43.832610810810799</c:v>
                </c:pt>
                <c:pt idx="1">
                  <c:v>43.609527027027021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43.4664</c:v>
                </c:pt>
                <c:pt idx="1">
                  <c:v>28.6554</c:v>
                </c:pt>
                <c:pt idx="2">
                  <c:v>26.697299999999998</c:v>
                </c:pt>
                <c:pt idx="3">
                  <c:v>32.060400000000001</c:v>
                </c:pt>
                <c:pt idx="4">
                  <c:v>54.954000000000001</c:v>
                </c:pt>
                <c:pt idx="5">
                  <c:v>82.375399999999999</c:v>
                </c:pt>
                <c:pt idx="6">
                  <c:v>22.576699999999999</c:v>
                </c:pt>
                <c:pt idx="7">
                  <c:v>68.444299999999998</c:v>
                </c:pt>
                <c:pt idx="8">
                  <c:v>16.235199999999999</c:v>
                </c:pt>
                <c:pt idx="9">
                  <c:v>30.908000000000001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45.1768</c:v>
                </c:pt>
                <c:pt idx="1">
                  <c:v>27.434000000000001</c:v>
                </c:pt>
                <c:pt idx="2">
                  <c:v>22.618300000000001</c:v>
                </c:pt>
                <c:pt idx="3">
                  <c:v>31.385300000000001</c:v>
                </c:pt>
                <c:pt idx="4">
                  <c:v>62.177700000000002</c:v>
                </c:pt>
                <c:pt idx="5">
                  <c:v>79.646900000000002</c:v>
                </c:pt>
                <c:pt idx="6">
                  <c:v>26.776900000000001</c:v>
                </c:pt>
                <c:pt idx="7">
                  <c:v>71.084900000000005</c:v>
                </c:pt>
                <c:pt idx="8">
                  <c:v>17.898599999999998</c:v>
                </c:pt>
                <c:pt idx="9">
                  <c:v>18.891999999999999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0.50351089916724046</c:v>
                </c:pt>
                <c:pt idx="1">
                  <c:v>0.2885883043233507</c:v>
                </c:pt>
                <c:pt idx="2">
                  <c:v>0.20790079650940882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286</c:v>
                </c:pt>
                <c:pt idx="7">
                  <c:v>0</c:v>
                </c:pt>
                <c:pt idx="8">
                  <c:v>666</c:v>
                </c:pt>
                <c:pt idx="9">
                  <c:v>0</c:v>
                </c:pt>
                <c:pt idx="10">
                  <c:v>0</c:v>
                </c:pt>
                <c:pt idx="11">
                  <c:v>501</c:v>
                </c:pt>
                <c:pt idx="12">
                  <c:v>0</c:v>
                </c:pt>
                <c:pt idx="13">
                  <c:v>383</c:v>
                </c:pt>
                <c:pt idx="14">
                  <c:v>0</c:v>
                </c:pt>
                <c:pt idx="15">
                  <c:v>0</c:v>
                </c:pt>
                <c:pt idx="16">
                  <c:v>1420</c:v>
                </c:pt>
                <c:pt idx="17">
                  <c:v>0</c:v>
                </c:pt>
                <c:pt idx="18">
                  <c:v>0</c:v>
                </c:pt>
                <c:pt idx="19">
                  <c:v>2735</c:v>
                </c:pt>
                <c:pt idx="20">
                  <c:v>0</c:v>
                </c:pt>
                <c:pt idx="21">
                  <c:v>3672</c:v>
                </c:pt>
                <c:pt idx="22">
                  <c:v>0</c:v>
                </c:pt>
                <c:pt idx="23">
                  <c:v>0</c:v>
                </c:pt>
                <c:pt idx="24">
                  <c:v>8122</c:v>
                </c:pt>
                <c:pt idx="25">
                  <c:v>0</c:v>
                </c:pt>
                <c:pt idx="26">
                  <c:v>15841</c:v>
                </c:pt>
                <c:pt idx="27">
                  <c:v>0</c:v>
                </c:pt>
                <c:pt idx="28">
                  <c:v>0</c:v>
                </c:pt>
                <c:pt idx="29">
                  <c:v>24498</c:v>
                </c:pt>
                <c:pt idx="30">
                  <c:v>0</c:v>
                </c:pt>
                <c:pt idx="31">
                  <c:v>34993</c:v>
                </c:pt>
                <c:pt idx="32">
                  <c:v>0</c:v>
                </c:pt>
                <c:pt idx="33">
                  <c:v>0</c:v>
                </c:pt>
                <c:pt idx="34">
                  <c:v>43388</c:v>
                </c:pt>
                <c:pt idx="35">
                  <c:v>0</c:v>
                </c:pt>
                <c:pt idx="36">
                  <c:v>0</c:v>
                </c:pt>
                <c:pt idx="37">
                  <c:v>53845</c:v>
                </c:pt>
                <c:pt idx="38">
                  <c:v>0</c:v>
                </c:pt>
                <c:pt idx="39">
                  <c:v>53350</c:v>
                </c:pt>
                <c:pt idx="40">
                  <c:v>0</c:v>
                </c:pt>
                <c:pt idx="41">
                  <c:v>0</c:v>
                </c:pt>
                <c:pt idx="42">
                  <c:v>56682</c:v>
                </c:pt>
                <c:pt idx="43">
                  <c:v>0</c:v>
                </c:pt>
                <c:pt idx="44">
                  <c:v>57554</c:v>
                </c:pt>
                <c:pt idx="45">
                  <c:v>0</c:v>
                </c:pt>
                <c:pt idx="46">
                  <c:v>0</c:v>
                </c:pt>
                <c:pt idx="47">
                  <c:v>58829</c:v>
                </c:pt>
                <c:pt idx="48">
                  <c:v>0</c:v>
                </c:pt>
                <c:pt idx="49">
                  <c:v>54786</c:v>
                </c:pt>
                <c:pt idx="50">
                  <c:v>0</c:v>
                </c:pt>
                <c:pt idx="51">
                  <c:v>0</c:v>
                </c:pt>
                <c:pt idx="52">
                  <c:v>55372</c:v>
                </c:pt>
                <c:pt idx="53">
                  <c:v>0</c:v>
                </c:pt>
                <c:pt idx="54">
                  <c:v>0</c:v>
                </c:pt>
                <c:pt idx="55">
                  <c:v>54892</c:v>
                </c:pt>
                <c:pt idx="56">
                  <c:v>0</c:v>
                </c:pt>
                <c:pt idx="57">
                  <c:v>55609</c:v>
                </c:pt>
                <c:pt idx="58">
                  <c:v>0</c:v>
                </c:pt>
                <c:pt idx="59">
                  <c:v>0</c:v>
                </c:pt>
                <c:pt idx="60">
                  <c:v>57062</c:v>
                </c:pt>
                <c:pt idx="61">
                  <c:v>0</c:v>
                </c:pt>
                <c:pt idx="62">
                  <c:v>56344</c:v>
                </c:pt>
                <c:pt idx="63">
                  <c:v>0</c:v>
                </c:pt>
                <c:pt idx="64">
                  <c:v>0</c:v>
                </c:pt>
                <c:pt idx="65">
                  <c:v>66338</c:v>
                </c:pt>
                <c:pt idx="66">
                  <c:v>0</c:v>
                </c:pt>
                <c:pt idx="67">
                  <c:v>61646</c:v>
                </c:pt>
                <c:pt idx="68">
                  <c:v>0</c:v>
                </c:pt>
                <c:pt idx="69">
                  <c:v>0</c:v>
                </c:pt>
                <c:pt idx="70">
                  <c:v>64900</c:v>
                </c:pt>
                <c:pt idx="71">
                  <c:v>0</c:v>
                </c:pt>
                <c:pt idx="72">
                  <c:v>0</c:v>
                </c:pt>
                <c:pt idx="73">
                  <c:v>60578</c:v>
                </c:pt>
                <c:pt idx="74">
                  <c:v>0</c:v>
                </c:pt>
                <c:pt idx="75">
                  <c:v>62130</c:v>
                </c:pt>
                <c:pt idx="76">
                  <c:v>0</c:v>
                </c:pt>
                <c:pt idx="77">
                  <c:v>0</c:v>
                </c:pt>
                <c:pt idx="78">
                  <c:v>59497</c:v>
                </c:pt>
                <c:pt idx="79">
                  <c:v>0</c:v>
                </c:pt>
                <c:pt idx="80">
                  <c:v>67679</c:v>
                </c:pt>
                <c:pt idx="81">
                  <c:v>0</c:v>
                </c:pt>
                <c:pt idx="82">
                  <c:v>0</c:v>
                </c:pt>
                <c:pt idx="83">
                  <c:v>67104</c:v>
                </c:pt>
                <c:pt idx="84">
                  <c:v>0</c:v>
                </c:pt>
                <c:pt idx="85">
                  <c:v>0</c:v>
                </c:pt>
                <c:pt idx="86">
                  <c:v>68997</c:v>
                </c:pt>
                <c:pt idx="87">
                  <c:v>0</c:v>
                </c:pt>
                <c:pt idx="88">
                  <c:v>68573</c:v>
                </c:pt>
                <c:pt idx="89">
                  <c:v>0</c:v>
                </c:pt>
                <c:pt idx="90">
                  <c:v>0</c:v>
                </c:pt>
                <c:pt idx="91">
                  <c:v>70168</c:v>
                </c:pt>
                <c:pt idx="92">
                  <c:v>0</c:v>
                </c:pt>
                <c:pt idx="93">
                  <c:v>77126</c:v>
                </c:pt>
                <c:pt idx="94">
                  <c:v>0</c:v>
                </c:pt>
                <c:pt idx="95">
                  <c:v>0</c:v>
                </c:pt>
                <c:pt idx="96">
                  <c:v>85736</c:v>
                </c:pt>
                <c:pt idx="97">
                  <c:v>0</c:v>
                </c:pt>
                <c:pt idx="98">
                  <c:v>78668</c:v>
                </c:pt>
                <c:pt idx="99">
                  <c:v>0</c:v>
                </c:pt>
                <c:pt idx="100">
                  <c:v>0</c:v>
                </c:pt>
                <c:pt idx="101">
                  <c:v>87629</c:v>
                </c:pt>
                <c:pt idx="102">
                  <c:v>0</c:v>
                </c:pt>
                <c:pt idx="103">
                  <c:v>0</c:v>
                </c:pt>
                <c:pt idx="104">
                  <c:v>88987</c:v>
                </c:pt>
                <c:pt idx="105">
                  <c:v>0</c:v>
                </c:pt>
                <c:pt idx="106">
                  <c:v>92344</c:v>
                </c:pt>
                <c:pt idx="107">
                  <c:v>0</c:v>
                </c:pt>
                <c:pt idx="108">
                  <c:v>0</c:v>
                </c:pt>
                <c:pt idx="109">
                  <c:v>93616</c:v>
                </c:pt>
                <c:pt idx="110">
                  <c:v>0</c:v>
                </c:pt>
                <c:pt idx="111">
                  <c:v>93876</c:v>
                </c:pt>
                <c:pt idx="112">
                  <c:v>0</c:v>
                </c:pt>
                <c:pt idx="113">
                  <c:v>0</c:v>
                </c:pt>
                <c:pt idx="114">
                  <c:v>85929</c:v>
                </c:pt>
                <c:pt idx="115">
                  <c:v>0</c:v>
                </c:pt>
                <c:pt idx="116">
                  <c:v>73708</c:v>
                </c:pt>
                <c:pt idx="117">
                  <c:v>0</c:v>
                </c:pt>
                <c:pt idx="118">
                  <c:v>0</c:v>
                </c:pt>
                <c:pt idx="119">
                  <c:v>59549</c:v>
                </c:pt>
                <c:pt idx="120">
                  <c:v>0</c:v>
                </c:pt>
                <c:pt idx="121">
                  <c:v>0</c:v>
                </c:pt>
                <c:pt idx="122">
                  <c:v>47078</c:v>
                </c:pt>
                <c:pt idx="123">
                  <c:v>0</c:v>
                </c:pt>
                <c:pt idx="124">
                  <c:v>42710</c:v>
                </c:pt>
                <c:pt idx="125">
                  <c:v>0</c:v>
                </c:pt>
                <c:pt idx="126">
                  <c:v>0</c:v>
                </c:pt>
                <c:pt idx="127">
                  <c:v>34981</c:v>
                </c:pt>
                <c:pt idx="128">
                  <c:v>0</c:v>
                </c:pt>
                <c:pt idx="129">
                  <c:v>30354</c:v>
                </c:pt>
                <c:pt idx="130">
                  <c:v>0</c:v>
                </c:pt>
                <c:pt idx="131">
                  <c:v>0</c:v>
                </c:pt>
                <c:pt idx="132">
                  <c:v>22776</c:v>
                </c:pt>
                <c:pt idx="133">
                  <c:v>0</c:v>
                </c:pt>
                <c:pt idx="134">
                  <c:v>19923</c:v>
                </c:pt>
                <c:pt idx="135">
                  <c:v>0</c:v>
                </c:pt>
                <c:pt idx="136">
                  <c:v>0</c:v>
                </c:pt>
                <c:pt idx="137">
                  <c:v>14372</c:v>
                </c:pt>
                <c:pt idx="138">
                  <c:v>0</c:v>
                </c:pt>
                <c:pt idx="139">
                  <c:v>0</c:v>
                </c:pt>
                <c:pt idx="140">
                  <c:v>9220</c:v>
                </c:pt>
                <c:pt idx="141">
                  <c:v>0</c:v>
                </c:pt>
                <c:pt idx="142">
                  <c:v>5365</c:v>
                </c:pt>
                <c:pt idx="143">
                  <c:v>0</c:v>
                </c:pt>
                <c:pt idx="144">
                  <c:v>0</c:v>
                </c:pt>
                <c:pt idx="145">
                  <c:v>2152</c:v>
                </c:pt>
                <c:pt idx="146">
                  <c:v>0</c:v>
                </c:pt>
                <c:pt idx="147">
                  <c:v>1277</c:v>
                </c:pt>
                <c:pt idx="148">
                  <c:v>0</c:v>
                </c:pt>
                <c:pt idx="149">
                  <c:v>0</c:v>
                </c:pt>
                <c:pt idx="150">
                  <c:v>515</c:v>
                </c:pt>
                <c:pt idx="151">
                  <c:v>0</c:v>
                </c:pt>
                <c:pt idx="152">
                  <c:v>88</c:v>
                </c:pt>
                <c:pt idx="153">
                  <c:v>0</c:v>
                </c:pt>
                <c:pt idx="154">
                  <c:v>0</c:v>
                </c:pt>
                <c:pt idx="155">
                  <c:v>62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363</c:v>
                </c:pt>
                <c:pt idx="7">
                  <c:v>0</c:v>
                </c:pt>
                <c:pt idx="8">
                  <c:v>501</c:v>
                </c:pt>
                <c:pt idx="9">
                  <c:v>0</c:v>
                </c:pt>
                <c:pt idx="10">
                  <c:v>0</c:v>
                </c:pt>
                <c:pt idx="11">
                  <c:v>179</c:v>
                </c:pt>
                <c:pt idx="12">
                  <c:v>0</c:v>
                </c:pt>
                <c:pt idx="13">
                  <c:v>342</c:v>
                </c:pt>
                <c:pt idx="14">
                  <c:v>0</c:v>
                </c:pt>
                <c:pt idx="15">
                  <c:v>0</c:v>
                </c:pt>
                <c:pt idx="16">
                  <c:v>911</c:v>
                </c:pt>
                <c:pt idx="17">
                  <c:v>0</c:v>
                </c:pt>
                <c:pt idx="18">
                  <c:v>0</c:v>
                </c:pt>
                <c:pt idx="19">
                  <c:v>423</c:v>
                </c:pt>
                <c:pt idx="20">
                  <c:v>0</c:v>
                </c:pt>
                <c:pt idx="21">
                  <c:v>987</c:v>
                </c:pt>
                <c:pt idx="22">
                  <c:v>0</c:v>
                </c:pt>
                <c:pt idx="23">
                  <c:v>0</c:v>
                </c:pt>
                <c:pt idx="24">
                  <c:v>1493</c:v>
                </c:pt>
                <c:pt idx="25">
                  <c:v>0</c:v>
                </c:pt>
                <c:pt idx="26">
                  <c:v>2290</c:v>
                </c:pt>
                <c:pt idx="27">
                  <c:v>0</c:v>
                </c:pt>
                <c:pt idx="28">
                  <c:v>0</c:v>
                </c:pt>
                <c:pt idx="29">
                  <c:v>5628</c:v>
                </c:pt>
                <c:pt idx="30">
                  <c:v>0</c:v>
                </c:pt>
                <c:pt idx="31">
                  <c:v>8181</c:v>
                </c:pt>
                <c:pt idx="32">
                  <c:v>0</c:v>
                </c:pt>
                <c:pt idx="33">
                  <c:v>0</c:v>
                </c:pt>
                <c:pt idx="34">
                  <c:v>14163</c:v>
                </c:pt>
                <c:pt idx="35">
                  <c:v>0</c:v>
                </c:pt>
                <c:pt idx="36">
                  <c:v>0</c:v>
                </c:pt>
                <c:pt idx="37">
                  <c:v>19692</c:v>
                </c:pt>
                <c:pt idx="38">
                  <c:v>0</c:v>
                </c:pt>
                <c:pt idx="39">
                  <c:v>24424</c:v>
                </c:pt>
                <c:pt idx="40">
                  <c:v>0</c:v>
                </c:pt>
                <c:pt idx="41">
                  <c:v>0</c:v>
                </c:pt>
                <c:pt idx="42">
                  <c:v>28663</c:v>
                </c:pt>
                <c:pt idx="43">
                  <c:v>0</c:v>
                </c:pt>
                <c:pt idx="44">
                  <c:v>35296</c:v>
                </c:pt>
                <c:pt idx="45">
                  <c:v>0</c:v>
                </c:pt>
                <c:pt idx="46">
                  <c:v>0</c:v>
                </c:pt>
                <c:pt idx="47">
                  <c:v>41848</c:v>
                </c:pt>
                <c:pt idx="48">
                  <c:v>0</c:v>
                </c:pt>
                <c:pt idx="49">
                  <c:v>42885</c:v>
                </c:pt>
                <c:pt idx="50">
                  <c:v>0</c:v>
                </c:pt>
                <c:pt idx="51">
                  <c:v>0</c:v>
                </c:pt>
                <c:pt idx="52">
                  <c:v>49544</c:v>
                </c:pt>
                <c:pt idx="53">
                  <c:v>0</c:v>
                </c:pt>
                <c:pt idx="54">
                  <c:v>0</c:v>
                </c:pt>
                <c:pt idx="55">
                  <c:v>54753</c:v>
                </c:pt>
                <c:pt idx="56">
                  <c:v>0</c:v>
                </c:pt>
                <c:pt idx="57">
                  <c:v>58757</c:v>
                </c:pt>
                <c:pt idx="58">
                  <c:v>0</c:v>
                </c:pt>
                <c:pt idx="59">
                  <c:v>0</c:v>
                </c:pt>
                <c:pt idx="60">
                  <c:v>59219</c:v>
                </c:pt>
                <c:pt idx="61">
                  <c:v>0</c:v>
                </c:pt>
                <c:pt idx="62">
                  <c:v>58156</c:v>
                </c:pt>
                <c:pt idx="63">
                  <c:v>0</c:v>
                </c:pt>
                <c:pt idx="64">
                  <c:v>0</c:v>
                </c:pt>
                <c:pt idx="65">
                  <c:v>59754</c:v>
                </c:pt>
                <c:pt idx="66">
                  <c:v>0</c:v>
                </c:pt>
                <c:pt idx="67">
                  <c:v>59354</c:v>
                </c:pt>
                <c:pt idx="68">
                  <c:v>0</c:v>
                </c:pt>
                <c:pt idx="69">
                  <c:v>0</c:v>
                </c:pt>
                <c:pt idx="70">
                  <c:v>59591</c:v>
                </c:pt>
                <c:pt idx="71">
                  <c:v>0</c:v>
                </c:pt>
                <c:pt idx="72">
                  <c:v>0</c:v>
                </c:pt>
                <c:pt idx="73">
                  <c:v>59060</c:v>
                </c:pt>
                <c:pt idx="74">
                  <c:v>0</c:v>
                </c:pt>
                <c:pt idx="75">
                  <c:v>62790</c:v>
                </c:pt>
                <c:pt idx="76">
                  <c:v>0</c:v>
                </c:pt>
                <c:pt idx="77">
                  <c:v>0</c:v>
                </c:pt>
                <c:pt idx="78">
                  <c:v>64775</c:v>
                </c:pt>
                <c:pt idx="79">
                  <c:v>0</c:v>
                </c:pt>
                <c:pt idx="80">
                  <c:v>67713</c:v>
                </c:pt>
                <c:pt idx="81">
                  <c:v>0</c:v>
                </c:pt>
                <c:pt idx="82">
                  <c:v>0</c:v>
                </c:pt>
                <c:pt idx="83">
                  <c:v>68071</c:v>
                </c:pt>
                <c:pt idx="84">
                  <c:v>0</c:v>
                </c:pt>
                <c:pt idx="85">
                  <c:v>0</c:v>
                </c:pt>
                <c:pt idx="86">
                  <c:v>70854</c:v>
                </c:pt>
                <c:pt idx="87">
                  <c:v>0</c:v>
                </c:pt>
                <c:pt idx="88">
                  <c:v>76593</c:v>
                </c:pt>
                <c:pt idx="89">
                  <c:v>0</c:v>
                </c:pt>
                <c:pt idx="90">
                  <c:v>0</c:v>
                </c:pt>
                <c:pt idx="91">
                  <c:v>72354</c:v>
                </c:pt>
                <c:pt idx="92">
                  <c:v>0</c:v>
                </c:pt>
                <c:pt idx="93">
                  <c:v>66167</c:v>
                </c:pt>
                <c:pt idx="94">
                  <c:v>0</c:v>
                </c:pt>
                <c:pt idx="95">
                  <c:v>0</c:v>
                </c:pt>
                <c:pt idx="96">
                  <c:v>72535</c:v>
                </c:pt>
                <c:pt idx="97">
                  <c:v>0</c:v>
                </c:pt>
                <c:pt idx="98">
                  <c:v>81070</c:v>
                </c:pt>
                <c:pt idx="99">
                  <c:v>0</c:v>
                </c:pt>
                <c:pt idx="100">
                  <c:v>0</c:v>
                </c:pt>
                <c:pt idx="101">
                  <c:v>76600</c:v>
                </c:pt>
                <c:pt idx="102">
                  <c:v>0</c:v>
                </c:pt>
                <c:pt idx="103">
                  <c:v>0</c:v>
                </c:pt>
                <c:pt idx="104">
                  <c:v>84425</c:v>
                </c:pt>
                <c:pt idx="105">
                  <c:v>0</c:v>
                </c:pt>
                <c:pt idx="106">
                  <c:v>94939</c:v>
                </c:pt>
                <c:pt idx="107">
                  <c:v>0</c:v>
                </c:pt>
                <c:pt idx="108">
                  <c:v>0</c:v>
                </c:pt>
                <c:pt idx="109">
                  <c:v>101326</c:v>
                </c:pt>
                <c:pt idx="110">
                  <c:v>0</c:v>
                </c:pt>
                <c:pt idx="111">
                  <c:v>101969</c:v>
                </c:pt>
                <c:pt idx="112">
                  <c:v>0</c:v>
                </c:pt>
                <c:pt idx="113">
                  <c:v>0</c:v>
                </c:pt>
                <c:pt idx="114">
                  <c:v>110767</c:v>
                </c:pt>
                <c:pt idx="115">
                  <c:v>0</c:v>
                </c:pt>
                <c:pt idx="116">
                  <c:v>112554</c:v>
                </c:pt>
                <c:pt idx="117">
                  <c:v>0</c:v>
                </c:pt>
                <c:pt idx="118">
                  <c:v>0</c:v>
                </c:pt>
                <c:pt idx="119">
                  <c:v>109683</c:v>
                </c:pt>
                <c:pt idx="120">
                  <c:v>0</c:v>
                </c:pt>
                <c:pt idx="121">
                  <c:v>0</c:v>
                </c:pt>
                <c:pt idx="122">
                  <c:v>106999</c:v>
                </c:pt>
                <c:pt idx="123">
                  <c:v>0</c:v>
                </c:pt>
                <c:pt idx="124">
                  <c:v>100103</c:v>
                </c:pt>
                <c:pt idx="125">
                  <c:v>0</c:v>
                </c:pt>
                <c:pt idx="126">
                  <c:v>0</c:v>
                </c:pt>
                <c:pt idx="127">
                  <c:v>90939</c:v>
                </c:pt>
                <c:pt idx="128">
                  <c:v>0</c:v>
                </c:pt>
                <c:pt idx="129">
                  <c:v>85973</c:v>
                </c:pt>
                <c:pt idx="130">
                  <c:v>0</c:v>
                </c:pt>
                <c:pt idx="131">
                  <c:v>0</c:v>
                </c:pt>
                <c:pt idx="132">
                  <c:v>84079</c:v>
                </c:pt>
                <c:pt idx="133">
                  <c:v>0</c:v>
                </c:pt>
                <c:pt idx="134">
                  <c:v>69491</c:v>
                </c:pt>
                <c:pt idx="135">
                  <c:v>0</c:v>
                </c:pt>
                <c:pt idx="136">
                  <c:v>0</c:v>
                </c:pt>
                <c:pt idx="137">
                  <c:v>55871</c:v>
                </c:pt>
                <c:pt idx="138">
                  <c:v>0</c:v>
                </c:pt>
                <c:pt idx="139">
                  <c:v>0</c:v>
                </c:pt>
                <c:pt idx="140">
                  <c:v>48414</c:v>
                </c:pt>
                <c:pt idx="141">
                  <c:v>0</c:v>
                </c:pt>
                <c:pt idx="142">
                  <c:v>41910</c:v>
                </c:pt>
                <c:pt idx="143">
                  <c:v>0</c:v>
                </c:pt>
                <c:pt idx="144">
                  <c:v>0</c:v>
                </c:pt>
                <c:pt idx="145">
                  <c:v>36817</c:v>
                </c:pt>
                <c:pt idx="146">
                  <c:v>0</c:v>
                </c:pt>
                <c:pt idx="147">
                  <c:v>29482</c:v>
                </c:pt>
                <c:pt idx="148">
                  <c:v>0</c:v>
                </c:pt>
                <c:pt idx="149">
                  <c:v>0</c:v>
                </c:pt>
                <c:pt idx="150">
                  <c:v>24526</c:v>
                </c:pt>
                <c:pt idx="151">
                  <c:v>0</c:v>
                </c:pt>
                <c:pt idx="152">
                  <c:v>19876</c:v>
                </c:pt>
                <c:pt idx="153">
                  <c:v>0</c:v>
                </c:pt>
                <c:pt idx="154">
                  <c:v>0</c:v>
                </c:pt>
                <c:pt idx="155">
                  <c:v>16235</c:v>
                </c:pt>
                <c:pt idx="156">
                  <c:v>0</c:v>
                </c:pt>
                <c:pt idx="157">
                  <c:v>0</c:v>
                </c:pt>
                <c:pt idx="158">
                  <c:v>13045</c:v>
                </c:pt>
                <c:pt idx="159">
                  <c:v>0</c:v>
                </c:pt>
                <c:pt idx="160">
                  <c:v>10391</c:v>
                </c:pt>
                <c:pt idx="161">
                  <c:v>0</c:v>
                </c:pt>
                <c:pt idx="162">
                  <c:v>0</c:v>
                </c:pt>
                <c:pt idx="163">
                  <c:v>6228</c:v>
                </c:pt>
                <c:pt idx="164">
                  <c:v>0</c:v>
                </c:pt>
                <c:pt idx="165">
                  <c:v>4260</c:v>
                </c:pt>
                <c:pt idx="166">
                  <c:v>0</c:v>
                </c:pt>
                <c:pt idx="167">
                  <c:v>0</c:v>
                </c:pt>
                <c:pt idx="168">
                  <c:v>2742</c:v>
                </c:pt>
                <c:pt idx="169">
                  <c:v>0</c:v>
                </c:pt>
                <c:pt idx="170">
                  <c:v>0</c:v>
                </c:pt>
                <c:pt idx="171">
                  <c:v>1739</c:v>
                </c:pt>
                <c:pt idx="172">
                  <c:v>0</c:v>
                </c:pt>
                <c:pt idx="173">
                  <c:v>627</c:v>
                </c:pt>
                <c:pt idx="174">
                  <c:v>0</c:v>
                </c:pt>
                <c:pt idx="175">
                  <c:v>0</c:v>
                </c:pt>
                <c:pt idx="176">
                  <c:v>162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0.18654720105856865</c:v>
                </c:pt>
                <c:pt idx="1">
                  <c:v>0.35630718580391596</c:v>
                </c:pt>
                <c:pt idx="2">
                  <c:v>0.45714561313751534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0.54488794722220957</c:v>
                </c:pt>
                <c:pt idx="1">
                  <c:v>0.28783719270167907</c:v>
                </c:pt>
                <c:pt idx="2">
                  <c:v>0.16727486007611128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7.5961850000000002</c:v>
                </c:pt>
                <c:pt idx="1">
                  <c:v>10.4678925</c:v>
                </c:pt>
                <c:pt idx="2">
                  <c:v>33.476349999999996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0.35298299999999999</c:v>
                </c:pt>
                <c:pt idx="2">
                  <c:v>0.75927299999999998</c:v>
                </c:pt>
                <c:pt idx="3">
                  <c:v>1.1645300000000001</c:v>
                </c:pt>
                <c:pt idx="4">
                  <c:v>1.57216</c:v>
                </c:pt>
                <c:pt idx="5">
                  <c:v>1.9758199999999999</c:v>
                </c:pt>
                <c:pt idx="6">
                  <c:v>2.3868399999999999</c:v>
                </c:pt>
                <c:pt idx="7">
                  <c:v>2.7913700000000001</c:v>
                </c:pt>
                <c:pt idx="8">
                  <c:v>3.1976599999999999</c:v>
                </c:pt>
                <c:pt idx="9">
                  <c:v>3.6031599999999999</c:v>
                </c:pt>
                <c:pt idx="10">
                  <c:v>4.0085800000000003</c:v>
                </c:pt>
                <c:pt idx="11">
                  <c:v>4.4148100000000001</c:v>
                </c:pt>
                <c:pt idx="12">
                  <c:v>4.8175600000000003</c:v>
                </c:pt>
                <c:pt idx="13">
                  <c:v>5.2243700000000004</c:v>
                </c:pt>
                <c:pt idx="14">
                  <c:v>5.6357100000000004</c:v>
                </c:pt>
                <c:pt idx="15">
                  <c:v>6.0370799999999996</c:v>
                </c:pt>
                <c:pt idx="16">
                  <c:v>6.4469500000000002</c:v>
                </c:pt>
                <c:pt idx="17">
                  <c:v>6.8494999999999999</c:v>
                </c:pt>
                <c:pt idx="18">
                  <c:v>7.2579799999999999</c:v>
                </c:pt>
                <c:pt idx="19">
                  <c:v>7.6645700000000003</c:v>
                </c:pt>
                <c:pt idx="20">
                  <c:v>8.0699699999999996</c:v>
                </c:pt>
                <c:pt idx="21">
                  <c:v>8.4777500000000003</c:v>
                </c:pt>
                <c:pt idx="22">
                  <c:v>8.8823600000000003</c:v>
                </c:pt>
                <c:pt idx="23">
                  <c:v>9.2871400000000008</c:v>
                </c:pt>
                <c:pt idx="24">
                  <c:v>9.6949699999999996</c:v>
                </c:pt>
                <c:pt idx="25">
                  <c:v>10.1036</c:v>
                </c:pt>
                <c:pt idx="26">
                  <c:v>10.5084</c:v>
                </c:pt>
                <c:pt idx="27">
                  <c:v>10.9122</c:v>
                </c:pt>
                <c:pt idx="28">
                  <c:v>11.3179</c:v>
                </c:pt>
                <c:pt idx="29">
                  <c:v>11.723699999999999</c:v>
                </c:pt>
                <c:pt idx="30">
                  <c:v>12.1349</c:v>
                </c:pt>
                <c:pt idx="31">
                  <c:v>12.541600000000001</c:v>
                </c:pt>
                <c:pt idx="32">
                  <c:v>12.947699999999999</c:v>
                </c:pt>
                <c:pt idx="33">
                  <c:v>13.3497</c:v>
                </c:pt>
                <c:pt idx="34">
                  <c:v>13.754</c:v>
                </c:pt>
                <c:pt idx="35">
                  <c:v>14.164899999999999</c:v>
                </c:pt>
                <c:pt idx="36">
                  <c:v>14.573499999999999</c:v>
                </c:pt>
                <c:pt idx="37">
                  <c:v>14.9758</c:v>
                </c:pt>
                <c:pt idx="38">
                  <c:v>15.382999999999999</c:v>
                </c:pt>
                <c:pt idx="39">
                  <c:v>15.7888</c:v>
                </c:pt>
                <c:pt idx="40">
                  <c:v>16.194099999999999</c:v>
                </c:pt>
                <c:pt idx="41">
                  <c:v>16.6052</c:v>
                </c:pt>
                <c:pt idx="42">
                  <c:v>17.0105</c:v>
                </c:pt>
                <c:pt idx="43">
                  <c:v>17.4131</c:v>
                </c:pt>
                <c:pt idx="44">
                  <c:v>17.821200000000001</c:v>
                </c:pt>
                <c:pt idx="45">
                  <c:v>18.224799999999998</c:v>
                </c:pt>
                <c:pt idx="46">
                  <c:v>18.634799999999998</c:v>
                </c:pt>
                <c:pt idx="47">
                  <c:v>19.038399999999999</c:v>
                </c:pt>
                <c:pt idx="48">
                  <c:v>19.4452</c:v>
                </c:pt>
                <c:pt idx="49">
                  <c:v>19.8504</c:v>
                </c:pt>
                <c:pt idx="50">
                  <c:v>20.261199999999999</c:v>
                </c:pt>
                <c:pt idx="51">
                  <c:v>20.665400000000002</c:v>
                </c:pt>
                <c:pt idx="52">
                  <c:v>21.0731</c:v>
                </c:pt>
                <c:pt idx="53">
                  <c:v>21.477</c:v>
                </c:pt>
                <c:pt idx="54">
                  <c:v>21.883199999999999</c:v>
                </c:pt>
                <c:pt idx="55">
                  <c:v>22.2865</c:v>
                </c:pt>
                <c:pt idx="56">
                  <c:v>22.695599999999999</c:v>
                </c:pt>
                <c:pt idx="57">
                  <c:v>23.103899999999999</c:v>
                </c:pt>
                <c:pt idx="58">
                  <c:v>23.508700000000001</c:v>
                </c:pt>
                <c:pt idx="59">
                  <c:v>23.913</c:v>
                </c:pt>
                <c:pt idx="60">
                  <c:v>24.319900000000001</c:v>
                </c:pt>
                <c:pt idx="61">
                  <c:v>24.728200000000001</c:v>
                </c:pt>
                <c:pt idx="62">
                  <c:v>25.133199999999999</c:v>
                </c:pt>
                <c:pt idx="63">
                  <c:v>25.538900000000002</c:v>
                </c:pt>
                <c:pt idx="64">
                  <c:v>25.944700000000001</c:v>
                </c:pt>
                <c:pt idx="65">
                  <c:v>26.3505</c:v>
                </c:pt>
                <c:pt idx="66">
                  <c:v>26.7591</c:v>
                </c:pt>
                <c:pt idx="67">
                  <c:v>27.165099999999999</c:v>
                </c:pt>
                <c:pt idx="68">
                  <c:v>27.572099999999999</c:v>
                </c:pt>
                <c:pt idx="69">
                  <c:v>27.976500000000001</c:v>
                </c:pt>
                <c:pt idx="70">
                  <c:v>28.380400000000002</c:v>
                </c:pt>
                <c:pt idx="71">
                  <c:v>28.791499999999999</c:v>
                </c:pt>
                <c:pt idx="72">
                  <c:v>29.1937</c:v>
                </c:pt>
                <c:pt idx="73">
                  <c:v>29.609500000000001</c:v>
                </c:pt>
                <c:pt idx="74">
                  <c:v>30.007300000000001</c:v>
                </c:pt>
                <c:pt idx="75">
                  <c:v>30.621500000000001</c:v>
                </c:pt>
                <c:pt idx="76">
                  <c:v>30.993400000000001</c:v>
                </c:pt>
                <c:pt idx="77">
                  <c:v>31.3689</c:v>
                </c:pt>
                <c:pt idx="78">
                  <c:v>31.7422</c:v>
                </c:pt>
                <c:pt idx="79">
                  <c:v>32.117800000000003</c:v>
                </c:pt>
                <c:pt idx="80">
                  <c:v>32.5244</c:v>
                </c:pt>
                <c:pt idx="81">
                  <c:v>32.929400000000001</c:v>
                </c:pt>
                <c:pt idx="82">
                  <c:v>33.337499999999999</c:v>
                </c:pt>
                <c:pt idx="83">
                  <c:v>33.744700000000002</c:v>
                </c:pt>
                <c:pt idx="84">
                  <c:v>34.149500000000003</c:v>
                </c:pt>
                <c:pt idx="85">
                  <c:v>34.555999999999997</c:v>
                </c:pt>
                <c:pt idx="86">
                  <c:v>34.962200000000003</c:v>
                </c:pt>
                <c:pt idx="87">
                  <c:v>35.367899999999999</c:v>
                </c:pt>
                <c:pt idx="88">
                  <c:v>35.775100000000002</c:v>
                </c:pt>
                <c:pt idx="89">
                  <c:v>36.180399999999999</c:v>
                </c:pt>
                <c:pt idx="90">
                  <c:v>36.587699999999998</c:v>
                </c:pt>
                <c:pt idx="91">
                  <c:v>36.989899999999999</c:v>
                </c:pt>
                <c:pt idx="92">
                  <c:v>37.400100000000002</c:v>
                </c:pt>
                <c:pt idx="93">
                  <c:v>37.807000000000002</c:v>
                </c:pt>
                <c:pt idx="94">
                  <c:v>38.210599999999999</c:v>
                </c:pt>
                <c:pt idx="95">
                  <c:v>38.6175</c:v>
                </c:pt>
                <c:pt idx="96">
                  <c:v>39.0244</c:v>
                </c:pt>
                <c:pt idx="97">
                  <c:v>39.428400000000003</c:v>
                </c:pt>
                <c:pt idx="98">
                  <c:v>39.837200000000003</c:v>
                </c:pt>
                <c:pt idx="99">
                  <c:v>40.241999999999997</c:v>
                </c:pt>
                <c:pt idx="100">
                  <c:v>40.648600000000002</c:v>
                </c:pt>
                <c:pt idx="101">
                  <c:v>41.052700000000002</c:v>
                </c:pt>
                <c:pt idx="102">
                  <c:v>41.461599999999997</c:v>
                </c:pt>
                <c:pt idx="103">
                  <c:v>41.8675</c:v>
                </c:pt>
                <c:pt idx="104">
                  <c:v>42.275199999999998</c:v>
                </c:pt>
                <c:pt idx="105">
                  <c:v>42.678199999999997</c:v>
                </c:pt>
                <c:pt idx="106">
                  <c:v>43.0852</c:v>
                </c:pt>
                <c:pt idx="107">
                  <c:v>43.494500000000002</c:v>
                </c:pt>
                <c:pt idx="108">
                  <c:v>43.903300000000002</c:v>
                </c:pt>
                <c:pt idx="109">
                  <c:v>44.306600000000003</c:v>
                </c:pt>
                <c:pt idx="110">
                  <c:v>44.712400000000002</c:v>
                </c:pt>
                <c:pt idx="111">
                  <c:v>45.116700000000002</c:v>
                </c:pt>
                <c:pt idx="112">
                  <c:v>45.525399999999998</c:v>
                </c:pt>
                <c:pt idx="113">
                  <c:v>45.930199999999999</c:v>
                </c:pt>
                <c:pt idx="114">
                  <c:v>46.337200000000003</c:v>
                </c:pt>
                <c:pt idx="115">
                  <c:v>46.740699999999997</c:v>
                </c:pt>
                <c:pt idx="116">
                  <c:v>47.147500000000001</c:v>
                </c:pt>
                <c:pt idx="117">
                  <c:v>47.555599999999998</c:v>
                </c:pt>
                <c:pt idx="118">
                  <c:v>47.962299999999999</c:v>
                </c:pt>
                <c:pt idx="119">
                  <c:v>48.369100000000003</c:v>
                </c:pt>
                <c:pt idx="120">
                  <c:v>48.773200000000003</c:v>
                </c:pt>
                <c:pt idx="121">
                  <c:v>49.181399999999996</c:v>
                </c:pt>
                <c:pt idx="122">
                  <c:v>49.588200000000001</c:v>
                </c:pt>
                <c:pt idx="123">
                  <c:v>49.994900000000001</c:v>
                </c:pt>
                <c:pt idx="124">
                  <c:v>50.397799999999997</c:v>
                </c:pt>
                <c:pt idx="125">
                  <c:v>50.805799999999998</c:v>
                </c:pt>
                <c:pt idx="126">
                  <c:v>51.210599999999999</c:v>
                </c:pt>
                <c:pt idx="127">
                  <c:v>51.618600000000001</c:v>
                </c:pt>
                <c:pt idx="128">
                  <c:v>52.021599999999999</c:v>
                </c:pt>
                <c:pt idx="129">
                  <c:v>52.428199999999997</c:v>
                </c:pt>
                <c:pt idx="130">
                  <c:v>52.836300000000001</c:v>
                </c:pt>
                <c:pt idx="131">
                  <c:v>53.2438</c:v>
                </c:pt>
                <c:pt idx="132">
                  <c:v>53.650100000000002</c:v>
                </c:pt>
                <c:pt idx="133">
                  <c:v>54.055799999999998</c:v>
                </c:pt>
                <c:pt idx="134">
                  <c:v>54.461300000000001</c:v>
                </c:pt>
                <c:pt idx="135">
                  <c:v>54.867800000000003</c:v>
                </c:pt>
                <c:pt idx="136">
                  <c:v>55.274999999999999</c:v>
                </c:pt>
                <c:pt idx="137">
                  <c:v>55.680199999999999</c:v>
                </c:pt>
                <c:pt idx="138">
                  <c:v>56.085799999999999</c:v>
                </c:pt>
                <c:pt idx="139">
                  <c:v>56.490900000000003</c:v>
                </c:pt>
                <c:pt idx="140">
                  <c:v>56.8992</c:v>
                </c:pt>
                <c:pt idx="141">
                  <c:v>57.305300000000003</c:v>
                </c:pt>
                <c:pt idx="142">
                  <c:v>57.711500000000001</c:v>
                </c:pt>
                <c:pt idx="143">
                  <c:v>58.118200000000002</c:v>
                </c:pt>
                <c:pt idx="144">
                  <c:v>58.523000000000003</c:v>
                </c:pt>
                <c:pt idx="145">
                  <c:v>58.930700000000002</c:v>
                </c:pt>
                <c:pt idx="146">
                  <c:v>59.337200000000003</c:v>
                </c:pt>
                <c:pt idx="147">
                  <c:v>59.744599999999998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2.7775300000000005</c:v>
                </c:pt>
                <c:pt idx="1">
                  <c:v>2.8396100000000004</c:v>
                </c:pt>
                <c:pt idx="2">
                  <c:v>2.9009299999999998</c:v>
                </c:pt>
                <c:pt idx="3">
                  <c:v>2.9611999999999998</c:v>
                </c:pt>
                <c:pt idx="4">
                  <c:v>3.0193199999999996</c:v>
                </c:pt>
                <c:pt idx="5">
                  <c:v>3.0731999999999999</c:v>
                </c:pt>
                <c:pt idx="6">
                  <c:v>3.1234899999999999</c:v>
                </c:pt>
                <c:pt idx="7">
                  <c:v>3.1676500000000001</c:v>
                </c:pt>
                <c:pt idx="8">
                  <c:v>3.2089600000000003</c:v>
                </c:pt>
                <c:pt idx="9">
                  <c:v>3.2487399999999997</c:v>
                </c:pt>
                <c:pt idx="10">
                  <c:v>3.28355</c:v>
                </c:pt>
                <c:pt idx="11">
                  <c:v>3.3163499999999999</c:v>
                </c:pt>
                <c:pt idx="12">
                  <c:v>3.3461600000000002</c:v>
                </c:pt>
                <c:pt idx="13">
                  <c:v>3.3714899999999997</c:v>
                </c:pt>
                <c:pt idx="14">
                  <c:v>3.3950900000000002</c:v>
                </c:pt>
                <c:pt idx="15">
                  <c:v>3.4150700000000001</c:v>
                </c:pt>
                <c:pt idx="16">
                  <c:v>3.43588</c:v>
                </c:pt>
                <c:pt idx="17">
                  <c:v>3.45336</c:v>
                </c:pt>
                <c:pt idx="18">
                  <c:v>3.4685600000000001</c:v>
                </c:pt>
                <c:pt idx="19">
                  <c:v>3.48353</c:v>
                </c:pt>
                <c:pt idx="20">
                  <c:v>3.4954299999999998</c:v>
                </c:pt>
                <c:pt idx="21">
                  <c:v>3.5067700000000004</c:v>
                </c:pt>
                <c:pt idx="22">
                  <c:v>3.51763</c:v>
                </c:pt>
                <c:pt idx="23">
                  <c:v>3.5301999999999998</c:v>
                </c:pt>
                <c:pt idx="24">
                  <c:v>3.5412599999999999</c:v>
                </c:pt>
                <c:pt idx="25">
                  <c:v>3.5444500000000003</c:v>
                </c:pt>
                <c:pt idx="26">
                  <c:v>3.54393</c:v>
                </c:pt>
                <c:pt idx="27">
                  <c:v>3.5390800000000002</c:v>
                </c:pt>
                <c:pt idx="28">
                  <c:v>3.5289599999999997</c:v>
                </c:pt>
                <c:pt idx="29">
                  <c:v>3.5170300000000001</c:v>
                </c:pt>
                <c:pt idx="30">
                  <c:v>3.5104200000000003</c:v>
                </c:pt>
                <c:pt idx="31">
                  <c:v>3.5063499999999999</c:v>
                </c:pt>
                <c:pt idx="32">
                  <c:v>3.5050999999999997</c:v>
                </c:pt>
                <c:pt idx="33">
                  <c:v>3.50448</c:v>
                </c:pt>
                <c:pt idx="34">
                  <c:v>3.5010300000000001</c:v>
                </c:pt>
                <c:pt idx="35">
                  <c:v>3.4962900000000001</c:v>
                </c:pt>
                <c:pt idx="36">
                  <c:v>3.4901200000000001</c:v>
                </c:pt>
                <c:pt idx="37">
                  <c:v>3.4833399999999997</c:v>
                </c:pt>
                <c:pt idx="38">
                  <c:v>3.4794</c:v>
                </c:pt>
                <c:pt idx="39">
                  <c:v>3.4760299999999997</c:v>
                </c:pt>
                <c:pt idx="40">
                  <c:v>3.4733499999999999</c:v>
                </c:pt>
                <c:pt idx="41">
                  <c:v>3.4689799999999997</c:v>
                </c:pt>
                <c:pt idx="42">
                  <c:v>3.4638999999999998</c:v>
                </c:pt>
                <c:pt idx="43">
                  <c:v>3.4584599999999996</c:v>
                </c:pt>
                <c:pt idx="44">
                  <c:v>3.4516299999999998</c:v>
                </c:pt>
                <c:pt idx="45">
                  <c:v>3.4429799999999999</c:v>
                </c:pt>
                <c:pt idx="46">
                  <c:v>3.4340900000000003</c:v>
                </c:pt>
                <c:pt idx="47">
                  <c:v>3.42544</c:v>
                </c:pt>
                <c:pt idx="48">
                  <c:v>3.4147499999999997</c:v>
                </c:pt>
                <c:pt idx="49">
                  <c:v>3.4050000000000002</c:v>
                </c:pt>
                <c:pt idx="50">
                  <c:v>3.3994799999999996</c:v>
                </c:pt>
                <c:pt idx="51">
                  <c:v>3.3922400000000001</c:v>
                </c:pt>
                <c:pt idx="52">
                  <c:v>3.38687</c:v>
                </c:pt>
                <c:pt idx="53">
                  <c:v>3.38483</c:v>
                </c:pt>
                <c:pt idx="54">
                  <c:v>3.3833299999999999</c:v>
                </c:pt>
                <c:pt idx="55">
                  <c:v>3.37906</c:v>
                </c:pt>
                <c:pt idx="56">
                  <c:v>3.37513</c:v>
                </c:pt>
                <c:pt idx="57">
                  <c:v>3.3726000000000003</c:v>
                </c:pt>
                <c:pt idx="58">
                  <c:v>3.3662299999999998</c:v>
                </c:pt>
                <c:pt idx="59">
                  <c:v>3.3603199999999998</c:v>
                </c:pt>
                <c:pt idx="60">
                  <c:v>3.3570199999999999</c:v>
                </c:pt>
                <c:pt idx="61">
                  <c:v>3.3565099999999997</c:v>
                </c:pt>
                <c:pt idx="62">
                  <c:v>3.35758</c:v>
                </c:pt>
                <c:pt idx="63">
                  <c:v>3.35921</c:v>
                </c:pt>
                <c:pt idx="64">
                  <c:v>3.3613599999999999</c:v>
                </c:pt>
                <c:pt idx="65">
                  <c:v>3.3641900000000002</c:v>
                </c:pt>
                <c:pt idx="66">
                  <c:v>3.3625799999999999</c:v>
                </c:pt>
                <c:pt idx="67">
                  <c:v>3.3607800000000001</c:v>
                </c:pt>
                <c:pt idx="68">
                  <c:v>3.3593800000000003</c:v>
                </c:pt>
                <c:pt idx="69">
                  <c:v>3.35928</c:v>
                </c:pt>
                <c:pt idx="70">
                  <c:v>3.3628599999999995</c:v>
                </c:pt>
                <c:pt idx="71">
                  <c:v>3.3673500000000001</c:v>
                </c:pt>
                <c:pt idx="72">
                  <c:v>3.3724599999999998</c:v>
                </c:pt>
                <c:pt idx="73">
                  <c:v>3.3780700000000001</c:v>
                </c:pt>
                <c:pt idx="74">
                  <c:v>3.3791700000000002</c:v>
                </c:pt>
                <c:pt idx="75">
                  <c:v>3.3842699999999999</c:v>
                </c:pt>
                <c:pt idx="76">
                  <c:v>3.3909000000000002</c:v>
                </c:pt>
                <c:pt idx="77">
                  <c:v>3.4009099999999997</c:v>
                </c:pt>
                <c:pt idx="78">
                  <c:v>3.4121000000000001</c:v>
                </c:pt>
                <c:pt idx="79">
                  <c:v>3.4189599999999998</c:v>
                </c:pt>
                <c:pt idx="80">
                  <c:v>3.4236599999999999</c:v>
                </c:pt>
                <c:pt idx="81">
                  <c:v>3.4289700000000001</c:v>
                </c:pt>
                <c:pt idx="82">
                  <c:v>3.4350399999999999</c:v>
                </c:pt>
                <c:pt idx="83">
                  <c:v>3.4451900000000002</c:v>
                </c:pt>
                <c:pt idx="84">
                  <c:v>3.45669</c:v>
                </c:pt>
                <c:pt idx="85">
                  <c:v>3.4683299999999999</c:v>
                </c:pt>
                <c:pt idx="86">
                  <c:v>3.4821900000000001</c:v>
                </c:pt>
                <c:pt idx="87">
                  <c:v>3.5009399999999999</c:v>
                </c:pt>
                <c:pt idx="88">
                  <c:v>3.5189500000000002</c:v>
                </c:pt>
                <c:pt idx="89">
                  <c:v>3.53566</c:v>
                </c:pt>
                <c:pt idx="90">
                  <c:v>3.5574299999999996</c:v>
                </c:pt>
                <c:pt idx="91">
                  <c:v>3.5829699999999995</c:v>
                </c:pt>
                <c:pt idx="92">
                  <c:v>3.6121399999999997</c:v>
                </c:pt>
                <c:pt idx="93">
                  <c:v>3.6451899999999999</c:v>
                </c:pt>
                <c:pt idx="94">
                  <c:v>3.6816800000000001</c:v>
                </c:pt>
                <c:pt idx="95">
                  <c:v>3.7190099999999999</c:v>
                </c:pt>
                <c:pt idx="96">
                  <c:v>3.7548199999999996</c:v>
                </c:pt>
                <c:pt idx="97">
                  <c:v>3.7899400000000001</c:v>
                </c:pt>
                <c:pt idx="98">
                  <c:v>3.8289299999999997</c:v>
                </c:pt>
                <c:pt idx="99">
                  <c:v>3.8668400000000003</c:v>
                </c:pt>
                <c:pt idx="100">
                  <c:v>3.9046700000000003</c:v>
                </c:pt>
                <c:pt idx="101">
                  <c:v>3.9453</c:v>
                </c:pt>
                <c:pt idx="102">
                  <c:v>3.9844200000000001</c:v>
                </c:pt>
                <c:pt idx="103">
                  <c:v>4.0222199999999999</c:v>
                </c:pt>
                <c:pt idx="104">
                  <c:v>4.0595499999999998</c:v>
                </c:pt>
                <c:pt idx="105">
                  <c:v>4.0934900000000001</c:v>
                </c:pt>
                <c:pt idx="106">
                  <c:v>4.1224600000000002</c:v>
                </c:pt>
                <c:pt idx="107">
                  <c:v>4.1510899999999999</c:v>
                </c:pt>
                <c:pt idx="108">
                  <c:v>4.1776499999999999</c:v>
                </c:pt>
                <c:pt idx="109">
                  <c:v>4.2043099999999995</c:v>
                </c:pt>
                <c:pt idx="110">
                  <c:v>4.2288800000000002</c:v>
                </c:pt>
                <c:pt idx="111">
                  <c:v>4.2515599999999996</c:v>
                </c:pt>
                <c:pt idx="112">
                  <c:v>4.2730399999999999</c:v>
                </c:pt>
                <c:pt idx="113">
                  <c:v>4.2934099999999997</c:v>
                </c:pt>
                <c:pt idx="114">
                  <c:v>4.3130800000000002</c:v>
                </c:pt>
                <c:pt idx="115">
                  <c:v>4.3294899999999998</c:v>
                </c:pt>
                <c:pt idx="116">
                  <c:v>4.3436900000000005</c:v>
                </c:pt>
                <c:pt idx="117">
                  <c:v>4.3532000000000002</c:v>
                </c:pt>
                <c:pt idx="118">
                  <c:v>4.3580399999999999</c:v>
                </c:pt>
                <c:pt idx="119">
                  <c:v>4.3568099999999994</c:v>
                </c:pt>
                <c:pt idx="120">
                  <c:v>4.3505799999999999</c:v>
                </c:pt>
                <c:pt idx="121">
                  <c:v>4.3413000000000004</c:v>
                </c:pt>
                <c:pt idx="122">
                  <c:v>4.3289</c:v>
                </c:pt>
                <c:pt idx="123">
                  <c:v>4.3141699999999998</c:v>
                </c:pt>
                <c:pt idx="124">
                  <c:v>4.31304</c:v>
                </c:pt>
                <c:pt idx="125">
                  <c:v>4.3101000000000003</c:v>
                </c:pt>
                <c:pt idx="126">
                  <c:v>4.3029000000000002</c:v>
                </c:pt>
                <c:pt idx="127">
                  <c:v>4.2933599999999998</c:v>
                </c:pt>
                <c:pt idx="128">
                  <c:v>4.28268</c:v>
                </c:pt>
                <c:pt idx="129">
                  <c:v>4.2729999999999997</c:v>
                </c:pt>
                <c:pt idx="130">
                  <c:v>4.2653099999999995</c:v>
                </c:pt>
                <c:pt idx="131">
                  <c:v>4.2596800000000004</c:v>
                </c:pt>
                <c:pt idx="132">
                  <c:v>4.25366</c:v>
                </c:pt>
                <c:pt idx="133">
                  <c:v>4.2485900000000001</c:v>
                </c:pt>
                <c:pt idx="134">
                  <c:v>4.2407000000000004</c:v>
                </c:pt>
                <c:pt idx="135">
                  <c:v>4.2342000000000004</c:v>
                </c:pt>
                <c:pt idx="136">
                  <c:v>4.2240899999999995</c:v>
                </c:pt>
                <c:pt idx="137">
                  <c:v>4.2079399999999998</c:v>
                </c:pt>
                <c:pt idx="138">
                  <c:v>4.1904200000000005</c:v>
                </c:pt>
                <c:pt idx="139">
                  <c:v>4.1712400000000001</c:v>
                </c:pt>
                <c:pt idx="140">
                  <c:v>4.1492000000000004</c:v>
                </c:pt>
                <c:pt idx="141">
                  <c:v>4.1251800000000003</c:v>
                </c:pt>
                <c:pt idx="142">
                  <c:v>4.0986000000000002</c:v>
                </c:pt>
                <c:pt idx="143">
                  <c:v>4.0707399999999998</c:v>
                </c:pt>
                <c:pt idx="144">
                  <c:v>4.0404600000000004</c:v>
                </c:pt>
                <c:pt idx="145">
                  <c:v>4.0131099999999993</c:v>
                </c:pt>
                <c:pt idx="146">
                  <c:v>3.9954400000000003</c:v>
                </c:pt>
                <c:pt idx="147">
                  <c:v>4.00021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0.35298299999999999</c:v>
                </c:pt>
                <c:pt idx="2">
                  <c:v>0.75927299999999998</c:v>
                </c:pt>
                <c:pt idx="3">
                  <c:v>1.1645300000000001</c:v>
                </c:pt>
                <c:pt idx="4">
                  <c:v>1.57216</c:v>
                </c:pt>
                <c:pt idx="5">
                  <c:v>1.9758199999999999</c:v>
                </c:pt>
                <c:pt idx="6">
                  <c:v>2.3868399999999999</c:v>
                </c:pt>
                <c:pt idx="7">
                  <c:v>2.7913700000000001</c:v>
                </c:pt>
                <c:pt idx="8">
                  <c:v>3.1976599999999999</c:v>
                </c:pt>
                <c:pt idx="9">
                  <c:v>3.6031599999999999</c:v>
                </c:pt>
                <c:pt idx="10">
                  <c:v>4.0085800000000003</c:v>
                </c:pt>
                <c:pt idx="11">
                  <c:v>4.4148100000000001</c:v>
                </c:pt>
                <c:pt idx="12">
                  <c:v>4.8175600000000003</c:v>
                </c:pt>
                <c:pt idx="13">
                  <c:v>5.2243700000000004</c:v>
                </c:pt>
                <c:pt idx="14">
                  <c:v>5.6357100000000004</c:v>
                </c:pt>
                <c:pt idx="15">
                  <c:v>6.0370799999999996</c:v>
                </c:pt>
                <c:pt idx="16">
                  <c:v>6.4469500000000002</c:v>
                </c:pt>
                <c:pt idx="17">
                  <c:v>6.8494999999999999</c:v>
                </c:pt>
                <c:pt idx="18">
                  <c:v>7.2579799999999999</c:v>
                </c:pt>
                <c:pt idx="19">
                  <c:v>7.6645700000000003</c:v>
                </c:pt>
                <c:pt idx="20">
                  <c:v>8.0699699999999996</c:v>
                </c:pt>
                <c:pt idx="21">
                  <c:v>8.4777500000000003</c:v>
                </c:pt>
                <c:pt idx="22">
                  <c:v>8.8823600000000003</c:v>
                </c:pt>
                <c:pt idx="23">
                  <c:v>9.2871400000000008</c:v>
                </c:pt>
                <c:pt idx="24">
                  <c:v>9.6949699999999996</c:v>
                </c:pt>
                <c:pt idx="25">
                  <c:v>10.1036</c:v>
                </c:pt>
                <c:pt idx="26">
                  <c:v>10.5084</c:v>
                </c:pt>
                <c:pt idx="27">
                  <c:v>10.9122</c:v>
                </c:pt>
                <c:pt idx="28">
                  <c:v>11.3179</c:v>
                </c:pt>
                <c:pt idx="29">
                  <c:v>11.723699999999999</c:v>
                </c:pt>
                <c:pt idx="30">
                  <c:v>12.1349</c:v>
                </c:pt>
                <c:pt idx="31">
                  <c:v>12.541600000000001</c:v>
                </c:pt>
                <c:pt idx="32">
                  <c:v>12.947699999999999</c:v>
                </c:pt>
                <c:pt idx="33">
                  <c:v>13.3497</c:v>
                </c:pt>
                <c:pt idx="34">
                  <c:v>13.754</c:v>
                </c:pt>
                <c:pt idx="35">
                  <c:v>14.164899999999999</c:v>
                </c:pt>
                <c:pt idx="36">
                  <c:v>14.573499999999999</c:v>
                </c:pt>
                <c:pt idx="37">
                  <c:v>14.9758</c:v>
                </c:pt>
                <c:pt idx="38">
                  <c:v>15.382999999999999</c:v>
                </c:pt>
                <c:pt idx="39">
                  <c:v>15.7888</c:v>
                </c:pt>
                <c:pt idx="40">
                  <c:v>16.194099999999999</c:v>
                </c:pt>
                <c:pt idx="41">
                  <c:v>16.6052</c:v>
                </c:pt>
                <c:pt idx="42">
                  <c:v>17.0105</c:v>
                </c:pt>
                <c:pt idx="43">
                  <c:v>17.4131</c:v>
                </c:pt>
                <c:pt idx="44">
                  <c:v>17.821200000000001</c:v>
                </c:pt>
                <c:pt idx="45">
                  <c:v>18.224799999999998</c:v>
                </c:pt>
                <c:pt idx="46">
                  <c:v>18.634799999999998</c:v>
                </c:pt>
                <c:pt idx="47">
                  <c:v>19.038399999999999</c:v>
                </c:pt>
                <c:pt idx="48">
                  <c:v>19.4452</c:v>
                </c:pt>
                <c:pt idx="49">
                  <c:v>19.8504</c:v>
                </c:pt>
                <c:pt idx="50">
                  <c:v>20.261199999999999</c:v>
                </c:pt>
                <c:pt idx="51">
                  <c:v>20.665400000000002</c:v>
                </c:pt>
                <c:pt idx="52">
                  <c:v>21.0731</c:v>
                </c:pt>
                <c:pt idx="53">
                  <c:v>21.477</c:v>
                </c:pt>
                <c:pt idx="54">
                  <c:v>21.883199999999999</c:v>
                </c:pt>
                <c:pt idx="55">
                  <c:v>22.2865</c:v>
                </c:pt>
                <c:pt idx="56">
                  <c:v>22.695599999999999</c:v>
                </c:pt>
                <c:pt idx="57">
                  <c:v>23.103899999999999</c:v>
                </c:pt>
                <c:pt idx="58">
                  <c:v>23.508700000000001</c:v>
                </c:pt>
                <c:pt idx="59">
                  <c:v>23.913</c:v>
                </c:pt>
                <c:pt idx="60">
                  <c:v>24.319900000000001</c:v>
                </c:pt>
                <c:pt idx="61">
                  <c:v>24.728200000000001</c:v>
                </c:pt>
                <c:pt idx="62">
                  <c:v>25.133199999999999</c:v>
                </c:pt>
                <c:pt idx="63">
                  <c:v>25.538900000000002</c:v>
                </c:pt>
                <c:pt idx="64">
                  <c:v>25.944700000000001</c:v>
                </c:pt>
                <c:pt idx="65">
                  <c:v>26.3505</c:v>
                </c:pt>
                <c:pt idx="66">
                  <c:v>26.7591</c:v>
                </c:pt>
                <c:pt idx="67">
                  <c:v>27.165099999999999</c:v>
                </c:pt>
                <c:pt idx="68">
                  <c:v>27.572099999999999</c:v>
                </c:pt>
                <c:pt idx="69">
                  <c:v>27.976500000000001</c:v>
                </c:pt>
                <c:pt idx="70">
                  <c:v>28.380400000000002</c:v>
                </c:pt>
                <c:pt idx="71">
                  <c:v>28.791499999999999</c:v>
                </c:pt>
                <c:pt idx="72">
                  <c:v>29.1937</c:v>
                </c:pt>
                <c:pt idx="73">
                  <c:v>29.609500000000001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2.7775300000000005</c:v>
                </c:pt>
                <c:pt idx="1">
                  <c:v>2.8396100000000004</c:v>
                </c:pt>
                <c:pt idx="2">
                  <c:v>2.9009299999999998</c:v>
                </c:pt>
                <c:pt idx="3">
                  <c:v>2.9611999999999998</c:v>
                </c:pt>
                <c:pt idx="4">
                  <c:v>3.0193199999999996</c:v>
                </c:pt>
                <c:pt idx="5">
                  <c:v>3.0731999999999999</c:v>
                </c:pt>
                <c:pt idx="6">
                  <c:v>3.1234899999999999</c:v>
                </c:pt>
                <c:pt idx="7">
                  <c:v>3.1676500000000001</c:v>
                </c:pt>
                <c:pt idx="8">
                  <c:v>3.2089600000000003</c:v>
                </c:pt>
                <c:pt idx="9">
                  <c:v>3.2487399999999997</c:v>
                </c:pt>
                <c:pt idx="10">
                  <c:v>3.28355</c:v>
                </c:pt>
                <c:pt idx="11">
                  <c:v>3.3163499999999999</c:v>
                </c:pt>
                <c:pt idx="12">
                  <c:v>3.3461600000000002</c:v>
                </c:pt>
                <c:pt idx="13">
                  <c:v>3.3714899999999997</c:v>
                </c:pt>
                <c:pt idx="14">
                  <c:v>3.3950900000000002</c:v>
                </c:pt>
                <c:pt idx="15">
                  <c:v>3.4150700000000001</c:v>
                </c:pt>
                <c:pt idx="16">
                  <c:v>3.43588</c:v>
                </c:pt>
                <c:pt idx="17">
                  <c:v>3.45336</c:v>
                </c:pt>
                <c:pt idx="18">
                  <c:v>3.4685600000000001</c:v>
                </c:pt>
                <c:pt idx="19">
                  <c:v>3.48353</c:v>
                </c:pt>
                <c:pt idx="20">
                  <c:v>3.4954299999999998</c:v>
                </c:pt>
                <c:pt idx="21">
                  <c:v>3.5067700000000004</c:v>
                </c:pt>
                <c:pt idx="22">
                  <c:v>3.51763</c:v>
                </c:pt>
                <c:pt idx="23">
                  <c:v>3.5301999999999998</c:v>
                </c:pt>
                <c:pt idx="24">
                  <c:v>3.5412599999999999</c:v>
                </c:pt>
                <c:pt idx="25">
                  <c:v>3.5444500000000003</c:v>
                </c:pt>
                <c:pt idx="26">
                  <c:v>3.54393</c:v>
                </c:pt>
                <c:pt idx="27">
                  <c:v>3.5390800000000002</c:v>
                </c:pt>
                <c:pt idx="28">
                  <c:v>3.5289599999999997</c:v>
                </c:pt>
                <c:pt idx="29">
                  <c:v>3.5170300000000001</c:v>
                </c:pt>
                <c:pt idx="30">
                  <c:v>3.5104200000000003</c:v>
                </c:pt>
                <c:pt idx="31">
                  <c:v>3.5063499999999999</c:v>
                </c:pt>
                <c:pt idx="32">
                  <c:v>3.5050999999999997</c:v>
                </c:pt>
                <c:pt idx="33">
                  <c:v>3.50448</c:v>
                </c:pt>
                <c:pt idx="34">
                  <c:v>3.5010300000000001</c:v>
                </c:pt>
                <c:pt idx="35">
                  <c:v>3.4962900000000001</c:v>
                </c:pt>
                <c:pt idx="36">
                  <c:v>3.4901200000000001</c:v>
                </c:pt>
                <c:pt idx="37">
                  <c:v>3.4833399999999997</c:v>
                </c:pt>
                <c:pt idx="38">
                  <c:v>3.4794</c:v>
                </c:pt>
                <c:pt idx="39">
                  <c:v>3.4760299999999997</c:v>
                </c:pt>
                <c:pt idx="40">
                  <c:v>3.4733499999999999</c:v>
                </c:pt>
                <c:pt idx="41">
                  <c:v>3.4689799999999997</c:v>
                </c:pt>
                <c:pt idx="42">
                  <c:v>3.4638999999999998</c:v>
                </c:pt>
                <c:pt idx="43">
                  <c:v>3.4584599999999996</c:v>
                </c:pt>
                <c:pt idx="44">
                  <c:v>3.4516299999999998</c:v>
                </c:pt>
                <c:pt idx="45">
                  <c:v>3.4429799999999999</c:v>
                </c:pt>
                <c:pt idx="46">
                  <c:v>3.4340900000000003</c:v>
                </c:pt>
                <c:pt idx="47">
                  <c:v>3.42544</c:v>
                </c:pt>
                <c:pt idx="48">
                  <c:v>3.4147499999999997</c:v>
                </c:pt>
                <c:pt idx="49">
                  <c:v>3.4050000000000002</c:v>
                </c:pt>
                <c:pt idx="50">
                  <c:v>3.3994799999999996</c:v>
                </c:pt>
                <c:pt idx="51">
                  <c:v>3.3922400000000001</c:v>
                </c:pt>
                <c:pt idx="52">
                  <c:v>3.38687</c:v>
                </c:pt>
                <c:pt idx="53">
                  <c:v>3.38483</c:v>
                </c:pt>
                <c:pt idx="54">
                  <c:v>3.3833299999999999</c:v>
                </c:pt>
                <c:pt idx="55">
                  <c:v>3.37906</c:v>
                </c:pt>
                <c:pt idx="56">
                  <c:v>3.37513</c:v>
                </c:pt>
                <c:pt idx="57">
                  <c:v>3.3726000000000003</c:v>
                </c:pt>
                <c:pt idx="58">
                  <c:v>3.3662299999999998</c:v>
                </c:pt>
                <c:pt idx="59">
                  <c:v>3.3603199999999998</c:v>
                </c:pt>
                <c:pt idx="60">
                  <c:v>3.3570199999999999</c:v>
                </c:pt>
                <c:pt idx="61">
                  <c:v>3.3565099999999997</c:v>
                </c:pt>
                <c:pt idx="62">
                  <c:v>3.35758</c:v>
                </c:pt>
                <c:pt idx="63">
                  <c:v>3.35921</c:v>
                </c:pt>
                <c:pt idx="64">
                  <c:v>3.3613599999999999</c:v>
                </c:pt>
                <c:pt idx="65">
                  <c:v>3.3641900000000002</c:v>
                </c:pt>
                <c:pt idx="66">
                  <c:v>3.3625799999999999</c:v>
                </c:pt>
                <c:pt idx="67">
                  <c:v>3.3607800000000001</c:v>
                </c:pt>
                <c:pt idx="68">
                  <c:v>3.3593800000000003</c:v>
                </c:pt>
                <c:pt idx="69">
                  <c:v>3.35928</c:v>
                </c:pt>
                <c:pt idx="70">
                  <c:v>3.3628599999999995</c:v>
                </c:pt>
                <c:pt idx="71">
                  <c:v>3.3673500000000001</c:v>
                </c:pt>
                <c:pt idx="72">
                  <c:v>3.3724599999999998</c:v>
                </c:pt>
                <c:pt idx="73">
                  <c:v>3.3780700000000001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29.609500000000001</c:v>
                </c:pt>
                <c:pt idx="1">
                  <c:v>30.007300000000001</c:v>
                </c:pt>
                <c:pt idx="2">
                  <c:v>30.621500000000001</c:v>
                </c:pt>
                <c:pt idx="3">
                  <c:v>30.993400000000001</c:v>
                </c:pt>
                <c:pt idx="4">
                  <c:v>31.3689</c:v>
                </c:pt>
                <c:pt idx="5">
                  <c:v>31.7422</c:v>
                </c:pt>
                <c:pt idx="6">
                  <c:v>32.117800000000003</c:v>
                </c:pt>
                <c:pt idx="7">
                  <c:v>32.5244</c:v>
                </c:pt>
                <c:pt idx="8">
                  <c:v>32.929400000000001</c:v>
                </c:pt>
                <c:pt idx="9">
                  <c:v>33.337499999999999</c:v>
                </c:pt>
                <c:pt idx="10">
                  <c:v>33.744700000000002</c:v>
                </c:pt>
                <c:pt idx="11">
                  <c:v>34.149500000000003</c:v>
                </c:pt>
                <c:pt idx="12">
                  <c:v>34.555999999999997</c:v>
                </c:pt>
                <c:pt idx="13">
                  <c:v>34.962200000000003</c:v>
                </c:pt>
                <c:pt idx="14">
                  <c:v>35.367899999999999</c:v>
                </c:pt>
                <c:pt idx="15">
                  <c:v>35.775100000000002</c:v>
                </c:pt>
                <c:pt idx="16">
                  <c:v>36.180399999999999</c:v>
                </c:pt>
                <c:pt idx="17">
                  <c:v>36.587699999999998</c:v>
                </c:pt>
                <c:pt idx="18">
                  <c:v>36.989899999999999</c:v>
                </c:pt>
                <c:pt idx="19">
                  <c:v>37.400100000000002</c:v>
                </c:pt>
                <c:pt idx="20">
                  <c:v>37.807000000000002</c:v>
                </c:pt>
                <c:pt idx="21">
                  <c:v>38.210599999999999</c:v>
                </c:pt>
                <c:pt idx="22">
                  <c:v>38.6175</c:v>
                </c:pt>
                <c:pt idx="23">
                  <c:v>39.0244</c:v>
                </c:pt>
                <c:pt idx="24">
                  <c:v>39.428400000000003</c:v>
                </c:pt>
                <c:pt idx="25">
                  <c:v>39.837200000000003</c:v>
                </c:pt>
                <c:pt idx="26">
                  <c:v>40.241999999999997</c:v>
                </c:pt>
                <c:pt idx="27">
                  <c:v>40.648600000000002</c:v>
                </c:pt>
                <c:pt idx="28">
                  <c:v>41.052700000000002</c:v>
                </c:pt>
                <c:pt idx="29">
                  <c:v>41.461599999999997</c:v>
                </c:pt>
                <c:pt idx="30">
                  <c:v>41.8675</c:v>
                </c:pt>
                <c:pt idx="31">
                  <c:v>42.275199999999998</c:v>
                </c:pt>
                <c:pt idx="32">
                  <c:v>42.678199999999997</c:v>
                </c:pt>
                <c:pt idx="33">
                  <c:v>43.0852</c:v>
                </c:pt>
                <c:pt idx="34">
                  <c:v>43.494500000000002</c:v>
                </c:pt>
                <c:pt idx="35">
                  <c:v>43.903300000000002</c:v>
                </c:pt>
                <c:pt idx="36">
                  <c:v>44.306600000000003</c:v>
                </c:pt>
                <c:pt idx="37">
                  <c:v>44.712400000000002</c:v>
                </c:pt>
                <c:pt idx="38">
                  <c:v>45.116700000000002</c:v>
                </c:pt>
                <c:pt idx="39">
                  <c:v>45.525399999999998</c:v>
                </c:pt>
                <c:pt idx="40">
                  <c:v>45.930199999999999</c:v>
                </c:pt>
                <c:pt idx="41">
                  <c:v>46.337200000000003</c:v>
                </c:pt>
                <c:pt idx="42">
                  <c:v>46.740699999999997</c:v>
                </c:pt>
                <c:pt idx="43">
                  <c:v>47.147500000000001</c:v>
                </c:pt>
                <c:pt idx="44">
                  <c:v>47.555599999999998</c:v>
                </c:pt>
                <c:pt idx="45">
                  <c:v>47.962299999999999</c:v>
                </c:pt>
                <c:pt idx="46">
                  <c:v>48.369100000000003</c:v>
                </c:pt>
                <c:pt idx="47">
                  <c:v>48.773200000000003</c:v>
                </c:pt>
                <c:pt idx="48">
                  <c:v>49.181399999999996</c:v>
                </c:pt>
                <c:pt idx="49">
                  <c:v>49.588200000000001</c:v>
                </c:pt>
                <c:pt idx="50">
                  <c:v>49.994900000000001</c:v>
                </c:pt>
                <c:pt idx="51">
                  <c:v>50.397799999999997</c:v>
                </c:pt>
                <c:pt idx="52">
                  <c:v>50.805799999999998</c:v>
                </c:pt>
                <c:pt idx="53">
                  <c:v>51.210599999999999</c:v>
                </c:pt>
                <c:pt idx="54">
                  <c:v>51.618600000000001</c:v>
                </c:pt>
                <c:pt idx="55">
                  <c:v>52.021599999999999</c:v>
                </c:pt>
                <c:pt idx="56">
                  <c:v>52.428199999999997</c:v>
                </c:pt>
                <c:pt idx="57">
                  <c:v>52.836300000000001</c:v>
                </c:pt>
                <c:pt idx="58">
                  <c:v>53.2438</c:v>
                </c:pt>
                <c:pt idx="59">
                  <c:v>53.650100000000002</c:v>
                </c:pt>
                <c:pt idx="60">
                  <c:v>54.055799999999998</c:v>
                </c:pt>
                <c:pt idx="61">
                  <c:v>54.461300000000001</c:v>
                </c:pt>
                <c:pt idx="62">
                  <c:v>54.867800000000003</c:v>
                </c:pt>
                <c:pt idx="63">
                  <c:v>55.274999999999999</c:v>
                </c:pt>
                <c:pt idx="64">
                  <c:v>55.680199999999999</c:v>
                </c:pt>
                <c:pt idx="65">
                  <c:v>56.085799999999999</c:v>
                </c:pt>
                <c:pt idx="66">
                  <c:v>56.490900000000003</c:v>
                </c:pt>
                <c:pt idx="67">
                  <c:v>56.8992</c:v>
                </c:pt>
                <c:pt idx="68">
                  <c:v>57.305300000000003</c:v>
                </c:pt>
                <c:pt idx="69">
                  <c:v>57.711500000000001</c:v>
                </c:pt>
                <c:pt idx="70">
                  <c:v>58.118200000000002</c:v>
                </c:pt>
                <c:pt idx="71">
                  <c:v>58.523000000000003</c:v>
                </c:pt>
                <c:pt idx="72">
                  <c:v>58.930700000000002</c:v>
                </c:pt>
                <c:pt idx="73">
                  <c:v>59.337200000000003</c:v>
                </c:pt>
                <c:pt idx="74">
                  <c:v>59.744599999999998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3.3780700000000001</c:v>
                </c:pt>
                <c:pt idx="1">
                  <c:v>3.3791700000000002</c:v>
                </c:pt>
                <c:pt idx="2">
                  <c:v>3.3842699999999999</c:v>
                </c:pt>
                <c:pt idx="3">
                  <c:v>3.3909000000000002</c:v>
                </c:pt>
                <c:pt idx="4">
                  <c:v>3.4009099999999997</c:v>
                </c:pt>
                <c:pt idx="5">
                  <c:v>3.4121000000000001</c:v>
                </c:pt>
                <c:pt idx="6">
                  <c:v>3.4189599999999998</c:v>
                </c:pt>
                <c:pt idx="7">
                  <c:v>3.4236599999999999</c:v>
                </c:pt>
                <c:pt idx="8">
                  <c:v>3.4289700000000001</c:v>
                </c:pt>
                <c:pt idx="9">
                  <c:v>3.4350399999999999</c:v>
                </c:pt>
                <c:pt idx="10">
                  <c:v>3.4451900000000002</c:v>
                </c:pt>
                <c:pt idx="11">
                  <c:v>3.45669</c:v>
                </c:pt>
                <c:pt idx="12">
                  <c:v>3.4683299999999999</c:v>
                </c:pt>
                <c:pt idx="13">
                  <c:v>3.4821900000000001</c:v>
                </c:pt>
                <c:pt idx="14">
                  <c:v>3.5009399999999999</c:v>
                </c:pt>
                <c:pt idx="15">
                  <c:v>3.5189500000000002</c:v>
                </c:pt>
                <c:pt idx="16">
                  <c:v>3.53566</c:v>
                </c:pt>
                <c:pt idx="17">
                  <c:v>3.5574299999999996</c:v>
                </c:pt>
                <c:pt idx="18">
                  <c:v>3.5829699999999995</c:v>
                </c:pt>
                <c:pt idx="19">
                  <c:v>3.6121399999999997</c:v>
                </c:pt>
                <c:pt idx="20">
                  <c:v>3.6451899999999999</c:v>
                </c:pt>
                <c:pt idx="21">
                  <c:v>3.6816800000000001</c:v>
                </c:pt>
                <c:pt idx="22">
                  <c:v>3.7190099999999999</c:v>
                </c:pt>
                <c:pt idx="23">
                  <c:v>3.7548199999999996</c:v>
                </c:pt>
                <c:pt idx="24">
                  <c:v>3.7899400000000001</c:v>
                </c:pt>
                <c:pt idx="25">
                  <c:v>3.8289299999999997</c:v>
                </c:pt>
                <c:pt idx="26">
                  <c:v>3.8668400000000003</c:v>
                </c:pt>
                <c:pt idx="27">
                  <c:v>3.9046700000000003</c:v>
                </c:pt>
                <c:pt idx="28">
                  <c:v>3.9453</c:v>
                </c:pt>
                <c:pt idx="29">
                  <c:v>3.9844200000000001</c:v>
                </c:pt>
                <c:pt idx="30">
                  <c:v>4.0222199999999999</c:v>
                </c:pt>
                <c:pt idx="31">
                  <c:v>4.0595499999999998</c:v>
                </c:pt>
                <c:pt idx="32">
                  <c:v>4.0934900000000001</c:v>
                </c:pt>
                <c:pt idx="33">
                  <c:v>4.1224600000000002</c:v>
                </c:pt>
                <c:pt idx="34">
                  <c:v>4.1510899999999999</c:v>
                </c:pt>
                <c:pt idx="35">
                  <c:v>4.1776499999999999</c:v>
                </c:pt>
                <c:pt idx="36">
                  <c:v>4.2043099999999995</c:v>
                </c:pt>
                <c:pt idx="37">
                  <c:v>4.2288800000000002</c:v>
                </c:pt>
                <c:pt idx="38">
                  <c:v>4.2515599999999996</c:v>
                </c:pt>
                <c:pt idx="39">
                  <c:v>4.2730399999999999</c:v>
                </c:pt>
                <c:pt idx="40">
                  <c:v>4.2934099999999997</c:v>
                </c:pt>
                <c:pt idx="41">
                  <c:v>4.3130800000000002</c:v>
                </c:pt>
                <c:pt idx="42">
                  <c:v>4.3294899999999998</c:v>
                </c:pt>
                <c:pt idx="43">
                  <c:v>4.3436900000000005</c:v>
                </c:pt>
                <c:pt idx="44">
                  <c:v>4.3532000000000002</c:v>
                </c:pt>
                <c:pt idx="45">
                  <c:v>4.3580399999999999</c:v>
                </c:pt>
                <c:pt idx="46">
                  <c:v>4.3568099999999994</c:v>
                </c:pt>
                <c:pt idx="47">
                  <c:v>4.3505799999999999</c:v>
                </c:pt>
                <c:pt idx="48">
                  <c:v>4.3413000000000004</c:v>
                </c:pt>
                <c:pt idx="49">
                  <c:v>4.3289</c:v>
                </c:pt>
                <c:pt idx="50">
                  <c:v>4.3141699999999998</c:v>
                </c:pt>
                <c:pt idx="51">
                  <c:v>4.31304</c:v>
                </c:pt>
                <c:pt idx="52">
                  <c:v>4.3101000000000003</c:v>
                </c:pt>
                <c:pt idx="53">
                  <c:v>4.3029000000000002</c:v>
                </c:pt>
                <c:pt idx="54">
                  <c:v>4.2933599999999998</c:v>
                </c:pt>
                <c:pt idx="55">
                  <c:v>4.28268</c:v>
                </c:pt>
                <c:pt idx="56">
                  <c:v>4.2729999999999997</c:v>
                </c:pt>
                <c:pt idx="57">
                  <c:v>4.2653099999999995</c:v>
                </c:pt>
                <c:pt idx="58">
                  <c:v>4.2596800000000004</c:v>
                </c:pt>
                <c:pt idx="59">
                  <c:v>4.25366</c:v>
                </c:pt>
                <c:pt idx="60">
                  <c:v>4.2485900000000001</c:v>
                </c:pt>
                <c:pt idx="61">
                  <c:v>4.2407000000000004</c:v>
                </c:pt>
                <c:pt idx="62">
                  <c:v>4.2342000000000004</c:v>
                </c:pt>
                <c:pt idx="63">
                  <c:v>4.2240899999999995</c:v>
                </c:pt>
                <c:pt idx="64">
                  <c:v>4.2079399999999998</c:v>
                </c:pt>
                <c:pt idx="65">
                  <c:v>4.1904200000000005</c:v>
                </c:pt>
                <c:pt idx="66">
                  <c:v>4.1712400000000001</c:v>
                </c:pt>
                <c:pt idx="67">
                  <c:v>4.1492000000000004</c:v>
                </c:pt>
                <c:pt idx="68">
                  <c:v>4.1251800000000003</c:v>
                </c:pt>
                <c:pt idx="69">
                  <c:v>4.0986000000000002</c:v>
                </c:pt>
                <c:pt idx="70">
                  <c:v>4.0707399999999998</c:v>
                </c:pt>
                <c:pt idx="71">
                  <c:v>4.0404600000000004</c:v>
                </c:pt>
                <c:pt idx="72">
                  <c:v>4.0131099999999993</c:v>
                </c:pt>
                <c:pt idx="73">
                  <c:v>3.9954400000000003</c:v>
                </c:pt>
                <c:pt idx="74">
                  <c:v>4.00021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2.7775300000000005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2.7775300000000005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2.7775300000000005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2.7775300000000005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2.7775300000000005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2.7775300000000005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2.7775300000000005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2.7775300000000005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2.7775300000000005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2.7775300000000005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2.7775300000000005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2.7775300000000005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2.7775300000000005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2.7775300000000005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2.7775300000000005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2.7775300000000005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2.7775300000000005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2.7775300000000005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2.7775300000000005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2.7775300000000005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2.7775300000000005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2.7775300000000005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14.93615</c:v>
                </c:pt>
                <c:pt idx="1">
                  <c:v>44.808450000000001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3.3760036486486475</c:v>
                </c:pt>
                <c:pt idx="1">
                  <c:v>3.9700816216216217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0.35298299999999999</c:v>
                </c:pt>
                <c:pt idx="2">
                  <c:v>0.75927299999999998</c:v>
                </c:pt>
                <c:pt idx="3">
                  <c:v>1.1645300000000001</c:v>
                </c:pt>
                <c:pt idx="4">
                  <c:v>1.57216</c:v>
                </c:pt>
                <c:pt idx="5">
                  <c:v>1.9758199999999999</c:v>
                </c:pt>
                <c:pt idx="6">
                  <c:v>2.3868399999999999</c:v>
                </c:pt>
                <c:pt idx="7">
                  <c:v>2.7913700000000001</c:v>
                </c:pt>
                <c:pt idx="8">
                  <c:v>3.1976599999999999</c:v>
                </c:pt>
                <c:pt idx="9">
                  <c:v>3.6031599999999999</c:v>
                </c:pt>
                <c:pt idx="10">
                  <c:v>4.0085800000000003</c:v>
                </c:pt>
                <c:pt idx="11">
                  <c:v>4.4148100000000001</c:v>
                </c:pt>
                <c:pt idx="12">
                  <c:v>4.8175600000000003</c:v>
                </c:pt>
                <c:pt idx="13">
                  <c:v>5.2243700000000004</c:v>
                </c:pt>
                <c:pt idx="14">
                  <c:v>5.6357100000000004</c:v>
                </c:pt>
                <c:pt idx="15">
                  <c:v>6.0370799999999996</c:v>
                </c:pt>
                <c:pt idx="16">
                  <c:v>6.4469500000000002</c:v>
                </c:pt>
                <c:pt idx="17">
                  <c:v>6.8494999999999999</c:v>
                </c:pt>
                <c:pt idx="18">
                  <c:v>7.2579799999999999</c:v>
                </c:pt>
                <c:pt idx="19">
                  <c:v>7.6645700000000003</c:v>
                </c:pt>
                <c:pt idx="20">
                  <c:v>8.0699699999999996</c:v>
                </c:pt>
                <c:pt idx="21">
                  <c:v>8.4777500000000003</c:v>
                </c:pt>
                <c:pt idx="22">
                  <c:v>8.8823600000000003</c:v>
                </c:pt>
                <c:pt idx="23">
                  <c:v>9.2871400000000008</c:v>
                </c:pt>
                <c:pt idx="24">
                  <c:v>9.6949699999999996</c:v>
                </c:pt>
                <c:pt idx="25">
                  <c:v>10.1036</c:v>
                </c:pt>
                <c:pt idx="26">
                  <c:v>10.5084</c:v>
                </c:pt>
                <c:pt idx="27">
                  <c:v>10.9122</c:v>
                </c:pt>
                <c:pt idx="28">
                  <c:v>11.3179</c:v>
                </c:pt>
                <c:pt idx="29">
                  <c:v>11.723699999999999</c:v>
                </c:pt>
                <c:pt idx="30">
                  <c:v>12.1349</c:v>
                </c:pt>
                <c:pt idx="31">
                  <c:v>12.541600000000001</c:v>
                </c:pt>
                <c:pt idx="32">
                  <c:v>12.947699999999999</c:v>
                </c:pt>
                <c:pt idx="33">
                  <c:v>13.3497</c:v>
                </c:pt>
                <c:pt idx="34">
                  <c:v>13.754</c:v>
                </c:pt>
                <c:pt idx="35">
                  <c:v>14.164899999999999</c:v>
                </c:pt>
                <c:pt idx="36">
                  <c:v>14.573499999999999</c:v>
                </c:pt>
                <c:pt idx="37">
                  <c:v>14.9758</c:v>
                </c:pt>
                <c:pt idx="38">
                  <c:v>15.382999999999999</c:v>
                </c:pt>
                <c:pt idx="39">
                  <c:v>15.7888</c:v>
                </c:pt>
                <c:pt idx="40">
                  <c:v>16.194099999999999</c:v>
                </c:pt>
                <c:pt idx="41">
                  <c:v>16.6052</c:v>
                </c:pt>
                <c:pt idx="42">
                  <c:v>17.0105</c:v>
                </c:pt>
                <c:pt idx="43">
                  <c:v>17.4131</c:v>
                </c:pt>
                <c:pt idx="44">
                  <c:v>17.821200000000001</c:v>
                </c:pt>
                <c:pt idx="45">
                  <c:v>18.224799999999998</c:v>
                </c:pt>
                <c:pt idx="46">
                  <c:v>18.634799999999998</c:v>
                </c:pt>
                <c:pt idx="47">
                  <c:v>19.038399999999999</c:v>
                </c:pt>
                <c:pt idx="48">
                  <c:v>19.4452</c:v>
                </c:pt>
                <c:pt idx="49">
                  <c:v>19.8504</c:v>
                </c:pt>
                <c:pt idx="50">
                  <c:v>20.261199999999999</c:v>
                </c:pt>
                <c:pt idx="51">
                  <c:v>20.665400000000002</c:v>
                </c:pt>
                <c:pt idx="52">
                  <c:v>21.0731</c:v>
                </c:pt>
                <c:pt idx="53">
                  <c:v>21.477</c:v>
                </c:pt>
                <c:pt idx="54">
                  <c:v>21.883199999999999</c:v>
                </c:pt>
                <c:pt idx="55">
                  <c:v>22.2865</c:v>
                </c:pt>
                <c:pt idx="56">
                  <c:v>22.695599999999999</c:v>
                </c:pt>
                <c:pt idx="57">
                  <c:v>23.103899999999999</c:v>
                </c:pt>
                <c:pt idx="58">
                  <c:v>23.508700000000001</c:v>
                </c:pt>
                <c:pt idx="59">
                  <c:v>23.913</c:v>
                </c:pt>
                <c:pt idx="60">
                  <c:v>24.319900000000001</c:v>
                </c:pt>
                <c:pt idx="61">
                  <c:v>24.728200000000001</c:v>
                </c:pt>
                <c:pt idx="62">
                  <c:v>25.133199999999999</c:v>
                </c:pt>
                <c:pt idx="63">
                  <c:v>25.538900000000002</c:v>
                </c:pt>
                <c:pt idx="64">
                  <c:v>25.944700000000001</c:v>
                </c:pt>
                <c:pt idx="65">
                  <c:v>26.3505</c:v>
                </c:pt>
                <c:pt idx="66">
                  <c:v>26.7591</c:v>
                </c:pt>
                <c:pt idx="67">
                  <c:v>27.165099999999999</c:v>
                </c:pt>
                <c:pt idx="68">
                  <c:v>27.572099999999999</c:v>
                </c:pt>
                <c:pt idx="69">
                  <c:v>27.976500000000001</c:v>
                </c:pt>
                <c:pt idx="70">
                  <c:v>28.380400000000002</c:v>
                </c:pt>
                <c:pt idx="71">
                  <c:v>28.791499999999999</c:v>
                </c:pt>
                <c:pt idx="72">
                  <c:v>29.1937</c:v>
                </c:pt>
                <c:pt idx="73">
                  <c:v>29.609500000000001</c:v>
                </c:pt>
                <c:pt idx="74">
                  <c:v>30.007300000000001</c:v>
                </c:pt>
                <c:pt idx="75">
                  <c:v>30.621500000000001</c:v>
                </c:pt>
                <c:pt idx="76">
                  <c:v>30.993400000000001</c:v>
                </c:pt>
                <c:pt idx="77">
                  <c:v>31.3689</c:v>
                </c:pt>
                <c:pt idx="78">
                  <c:v>31.7422</c:v>
                </c:pt>
                <c:pt idx="79">
                  <c:v>32.117800000000003</c:v>
                </c:pt>
                <c:pt idx="80">
                  <c:v>32.5244</c:v>
                </c:pt>
                <c:pt idx="81">
                  <c:v>32.929400000000001</c:v>
                </c:pt>
                <c:pt idx="82">
                  <c:v>33.337499999999999</c:v>
                </c:pt>
                <c:pt idx="83">
                  <c:v>33.744700000000002</c:v>
                </c:pt>
                <c:pt idx="84">
                  <c:v>34.149500000000003</c:v>
                </c:pt>
                <c:pt idx="85">
                  <c:v>34.555999999999997</c:v>
                </c:pt>
                <c:pt idx="86">
                  <c:v>34.962200000000003</c:v>
                </c:pt>
                <c:pt idx="87">
                  <c:v>35.367899999999999</c:v>
                </c:pt>
                <c:pt idx="88">
                  <c:v>35.775100000000002</c:v>
                </c:pt>
                <c:pt idx="89">
                  <c:v>36.180399999999999</c:v>
                </c:pt>
                <c:pt idx="90">
                  <c:v>36.587699999999998</c:v>
                </c:pt>
                <c:pt idx="91">
                  <c:v>36.989899999999999</c:v>
                </c:pt>
                <c:pt idx="92">
                  <c:v>37.400100000000002</c:v>
                </c:pt>
                <c:pt idx="93">
                  <c:v>37.807000000000002</c:v>
                </c:pt>
                <c:pt idx="94">
                  <c:v>38.210599999999999</c:v>
                </c:pt>
                <c:pt idx="95">
                  <c:v>38.6175</c:v>
                </c:pt>
                <c:pt idx="96">
                  <c:v>39.0244</c:v>
                </c:pt>
                <c:pt idx="97">
                  <c:v>39.428400000000003</c:v>
                </c:pt>
                <c:pt idx="98">
                  <c:v>39.837200000000003</c:v>
                </c:pt>
                <c:pt idx="99">
                  <c:v>40.241999999999997</c:v>
                </c:pt>
                <c:pt idx="100">
                  <c:v>40.648600000000002</c:v>
                </c:pt>
                <c:pt idx="101">
                  <c:v>41.052700000000002</c:v>
                </c:pt>
                <c:pt idx="102">
                  <c:v>41.461599999999997</c:v>
                </c:pt>
                <c:pt idx="103">
                  <c:v>41.8675</c:v>
                </c:pt>
                <c:pt idx="104">
                  <c:v>42.275199999999998</c:v>
                </c:pt>
                <c:pt idx="105">
                  <c:v>42.678199999999997</c:v>
                </c:pt>
                <c:pt idx="106">
                  <c:v>43.0852</c:v>
                </c:pt>
                <c:pt idx="107">
                  <c:v>43.494500000000002</c:v>
                </c:pt>
                <c:pt idx="108">
                  <c:v>43.903300000000002</c:v>
                </c:pt>
                <c:pt idx="109">
                  <c:v>44.306600000000003</c:v>
                </c:pt>
                <c:pt idx="110">
                  <c:v>44.712400000000002</c:v>
                </c:pt>
                <c:pt idx="111">
                  <c:v>45.116700000000002</c:v>
                </c:pt>
                <c:pt idx="112">
                  <c:v>45.525399999999998</c:v>
                </c:pt>
                <c:pt idx="113">
                  <c:v>45.930199999999999</c:v>
                </c:pt>
                <c:pt idx="114">
                  <c:v>46.337200000000003</c:v>
                </c:pt>
                <c:pt idx="115">
                  <c:v>46.740699999999997</c:v>
                </c:pt>
                <c:pt idx="116">
                  <c:v>47.147500000000001</c:v>
                </c:pt>
                <c:pt idx="117">
                  <c:v>47.555599999999998</c:v>
                </c:pt>
                <c:pt idx="118">
                  <c:v>47.962299999999999</c:v>
                </c:pt>
                <c:pt idx="119">
                  <c:v>48.369100000000003</c:v>
                </c:pt>
                <c:pt idx="120">
                  <c:v>48.773200000000003</c:v>
                </c:pt>
                <c:pt idx="121">
                  <c:v>49.181399999999996</c:v>
                </c:pt>
                <c:pt idx="122">
                  <c:v>49.588200000000001</c:v>
                </c:pt>
                <c:pt idx="123">
                  <c:v>49.994900000000001</c:v>
                </c:pt>
                <c:pt idx="124">
                  <c:v>50.397799999999997</c:v>
                </c:pt>
                <c:pt idx="125">
                  <c:v>50.805799999999998</c:v>
                </c:pt>
                <c:pt idx="126">
                  <c:v>51.210599999999999</c:v>
                </c:pt>
                <c:pt idx="127">
                  <c:v>51.618600000000001</c:v>
                </c:pt>
                <c:pt idx="128">
                  <c:v>52.021599999999999</c:v>
                </c:pt>
                <c:pt idx="129">
                  <c:v>52.428199999999997</c:v>
                </c:pt>
                <c:pt idx="130">
                  <c:v>52.836300000000001</c:v>
                </c:pt>
                <c:pt idx="131">
                  <c:v>53.2438</c:v>
                </c:pt>
                <c:pt idx="132">
                  <c:v>53.650100000000002</c:v>
                </c:pt>
                <c:pt idx="133">
                  <c:v>54.055799999999998</c:v>
                </c:pt>
                <c:pt idx="134">
                  <c:v>54.461300000000001</c:v>
                </c:pt>
                <c:pt idx="135">
                  <c:v>54.867800000000003</c:v>
                </c:pt>
                <c:pt idx="136">
                  <c:v>55.274999999999999</c:v>
                </c:pt>
                <c:pt idx="137">
                  <c:v>55.680199999999999</c:v>
                </c:pt>
                <c:pt idx="138">
                  <c:v>56.085799999999999</c:v>
                </c:pt>
                <c:pt idx="139">
                  <c:v>56.490900000000003</c:v>
                </c:pt>
                <c:pt idx="140">
                  <c:v>56.8992</c:v>
                </c:pt>
                <c:pt idx="141">
                  <c:v>57.305300000000003</c:v>
                </c:pt>
                <c:pt idx="142">
                  <c:v>57.711500000000001</c:v>
                </c:pt>
                <c:pt idx="143">
                  <c:v>58.118200000000002</c:v>
                </c:pt>
                <c:pt idx="144">
                  <c:v>58.523000000000003</c:v>
                </c:pt>
                <c:pt idx="145">
                  <c:v>58.930700000000002</c:v>
                </c:pt>
                <c:pt idx="146">
                  <c:v>59.337200000000003</c:v>
                </c:pt>
                <c:pt idx="147">
                  <c:v>59.744599999999998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53.728400000000001</c:v>
                </c:pt>
                <c:pt idx="1">
                  <c:v>52.906699999999994</c:v>
                </c:pt>
                <c:pt idx="2">
                  <c:v>52.112499999999997</c:v>
                </c:pt>
                <c:pt idx="3">
                  <c:v>51.257699999999993</c:v>
                </c:pt>
                <c:pt idx="4">
                  <c:v>50.339800000000004</c:v>
                </c:pt>
                <c:pt idx="5">
                  <c:v>49.515500000000003</c:v>
                </c:pt>
                <c:pt idx="6">
                  <c:v>48.886499999999998</c:v>
                </c:pt>
                <c:pt idx="7">
                  <c:v>48.407600000000002</c:v>
                </c:pt>
                <c:pt idx="8">
                  <c:v>47.957999999999998</c:v>
                </c:pt>
                <c:pt idx="9">
                  <c:v>47.509799999999998</c:v>
                </c:pt>
                <c:pt idx="10">
                  <c:v>47.057300000000005</c:v>
                </c:pt>
                <c:pt idx="11">
                  <c:v>46.615400000000001</c:v>
                </c:pt>
                <c:pt idx="12">
                  <c:v>46.231200000000001</c:v>
                </c:pt>
                <c:pt idx="13">
                  <c:v>45.9345</c:v>
                </c:pt>
                <c:pt idx="14">
                  <c:v>45.683500000000002</c:v>
                </c:pt>
                <c:pt idx="15">
                  <c:v>45.409399999999998</c:v>
                </c:pt>
                <c:pt idx="16">
                  <c:v>45.090499999999999</c:v>
                </c:pt>
                <c:pt idx="17">
                  <c:v>44.771100000000004</c:v>
                </c:pt>
                <c:pt idx="18">
                  <c:v>44.431199999999997</c:v>
                </c:pt>
                <c:pt idx="19">
                  <c:v>44.095600000000005</c:v>
                </c:pt>
                <c:pt idx="20">
                  <c:v>43.786000000000001</c:v>
                </c:pt>
                <c:pt idx="21">
                  <c:v>43.478200000000001</c:v>
                </c:pt>
                <c:pt idx="22">
                  <c:v>43.183599999999998</c:v>
                </c:pt>
                <c:pt idx="23">
                  <c:v>42.869399999999999</c:v>
                </c:pt>
                <c:pt idx="24">
                  <c:v>42.575099999999999</c:v>
                </c:pt>
                <c:pt idx="25">
                  <c:v>42.3874</c:v>
                </c:pt>
                <c:pt idx="26">
                  <c:v>42.258800000000001</c:v>
                </c:pt>
                <c:pt idx="27">
                  <c:v>42.187200000000004</c:v>
                </c:pt>
                <c:pt idx="28">
                  <c:v>42.196300000000001</c:v>
                </c:pt>
                <c:pt idx="29">
                  <c:v>42.2729</c:v>
                </c:pt>
                <c:pt idx="30">
                  <c:v>42.319299999999998</c:v>
                </c:pt>
                <c:pt idx="31">
                  <c:v>42.311500000000002</c:v>
                </c:pt>
                <c:pt idx="32">
                  <c:v>42.240600000000001</c:v>
                </c:pt>
                <c:pt idx="33">
                  <c:v>42.128500000000003</c:v>
                </c:pt>
                <c:pt idx="34">
                  <c:v>42.052</c:v>
                </c:pt>
                <c:pt idx="35">
                  <c:v>41.992899999999999</c:v>
                </c:pt>
                <c:pt idx="36">
                  <c:v>41.987400000000001</c:v>
                </c:pt>
                <c:pt idx="37">
                  <c:v>42.0212</c:v>
                </c:pt>
                <c:pt idx="38">
                  <c:v>42.032599999999995</c:v>
                </c:pt>
                <c:pt idx="39">
                  <c:v>41.974299999999999</c:v>
                </c:pt>
                <c:pt idx="40">
                  <c:v>41.882999999999996</c:v>
                </c:pt>
                <c:pt idx="41">
                  <c:v>41.810900000000004</c:v>
                </c:pt>
                <c:pt idx="42">
                  <c:v>41.764600000000002</c:v>
                </c:pt>
                <c:pt idx="43">
                  <c:v>41.775400000000005</c:v>
                </c:pt>
                <c:pt idx="44">
                  <c:v>41.810099999999998</c:v>
                </c:pt>
                <c:pt idx="45">
                  <c:v>41.831299999999999</c:v>
                </c:pt>
                <c:pt idx="46">
                  <c:v>41.842300000000002</c:v>
                </c:pt>
                <c:pt idx="47">
                  <c:v>41.813200000000002</c:v>
                </c:pt>
                <c:pt idx="48">
                  <c:v>41.784999999999997</c:v>
                </c:pt>
                <c:pt idx="49">
                  <c:v>41.723700000000001</c:v>
                </c:pt>
                <c:pt idx="50">
                  <c:v>41.680399999999999</c:v>
                </c:pt>
                <c:pt idx="51">
                  <c:v>41.639099999999999</c:v>
                </c:pt>
                <c:pt idx="52">
                  <c:v>41.606900000000003</c:v>
                </c:pt>
                <c:pt idx="53">
                  <c:v>41.510300000000001</c:v>
                </c:pt>
                <c:pt idx="54">
                  <c:v>41.460299999999997</c:v>
                </c:pt>
                <c:pt idx="55">
                  <c:v>41.475499999999997</c:v>
                </c:pt>
                <c:pt idx="56">
                  <c:v>41.470500000000001</c:v>
                </c:pt>
                <c:pt idx="57">
                  <c:v>41.516500000000001</c:v>
                </c:pt>
                <c:pt idx="58">
                  <c:v>41.705799999999996</c:v>
                </c:pt>
                <c:pt idx="59">
                  <c:v>41.8718</c:v>
                </c:pt>
                <c:pt idx="60">
                  <c:v>41.977199999999996</c:v>
                </c:pt>
                <c:pt idx="61">
                  <c:v>42.0747</c:v>
                </c:pt>
                <c:pt idx="62">
                  <c:v>42.177399999999999</c:v>
                </c:pt>
                <c:pt idx="63">
                  <c:v>42.279899999999998</c:v>
                </c:pt>
                <c:pt idx="64">
                  <c:v>42.373100000000001</c:v>
                </c:pt>
                <c:pt idx="65">
                  <c:v>42.512299999999996</c:v>
                </c:pt>
                <c:pt idx="66">
                  <c:v>42.760199999999998</c:v>
                </c:pt>
                <c:pt idx="67">
                  <c:v>43.036900000000003</c:v>
                </c:pt>
                <c:pt idx="68">
                  <c:v>43.308300000000003</c:v>
                </c:pt>
                <c:pt idx="69">
                  <c:v>43.599299999999999</c:v>
                </c:pt>
                <c:pt idx="70">
                  <c:v>43.843400000000003</c:v>
                </c:pt>
                <c:pt idx="71">
                  <c:v>44.130699999999997</c:v>
                </c:pt>
                <c:pt idx="72">
                  <c:v>44.487700000000004</c:v>
                </c:pt>
                <c:pt idx="73">
                  <c:v>44.878099999999996</c:v>
                </c:pt>
                <c:pt idx="74">
                  <c:v>45.331500000000005</c:v>
                </c:pt>
                <c:pt idx="75">
                  <c:v>45.772400000000005</c:v>
                </c:pt>
                <c:pt idx="76">
                  <c:v>46.061</c:v>
                </c:pt>
                <c:pt idx="77">
                  <c:v>46.247999999999998</c:v>
                </c:pt>
                <c:pt idx="78">
                  <c:v>46.364800000000002</c:v>
                </c:pt>
                <c:pt idx="79">
                  <c:v>46.461400000000005</c:v>
                </c:pt>
                <c:pt idx="80">
                  <c:v>46.595500000000001</c:v>
                </c:pt>
                <c:pt idx="81">
                  <c:v>46.7729</c:v>
                </c:pt>
                <c:pt idx="82">
                  <c:v>46.895800000000001</c:v>
                </c:pt>
                <c:pt idx="83">
                  <c:v>47.0002</c:v>
                </c:pt>
                <c:pt idx="84">
                  <c:v>47.105000000000004</c:v>
                </c:pt>
                <c:pt idx="85">
                  <c:v>47.142800000000001</c:v>
                </c:pt>
                <c:pt idx="86">
                  <c:v>47.045700000000004</c:v>
                </c:pt>
                <c:pt idx="87">
                  <c:v>46.819100000000006</c:v>
                </c:pt>
                <c:pt idx="88">
                  <c:v>46.636499999999998</c:v>
                </c:pt>
                <c:pt idx="89">
                  <c:v>46.5396</c:v>
                </c:pt>
                <c:pt idx="90">
                  <c:v>46.343600000000002</c:v>
                </c:pt>
                <c:pt idx="91">
                  <c:v>46.095000000000006</c:v>
                </c:pt>
                <c:pt idx="92">
                  <c:v>45.777299999999997</c:v>
                </c:pt>
                <c:pt idx="93">
                  <c:v>45.359899999999996</c:v>
                </c:pt>
                <c:pt idx="94">
                  <c:v>44.814999999999998</c:v>
                </c:pt>
                <c:pt idx="95">
                  <c:v>44.270800000000001</c:v>
                </c:pt>
                <c:pt idx="96">
                  <c:v>43.745899999999999</c:v>
                </c:pt>
                <c:pt idx="97">
                  <c:v>43.228100000000005</c:v>
                </c:pt>
                <c:pt idx="98">
                  <c:v>42.725299999999997</c:v>
                </c:pt>
                <c:pt idx="99">
                  <c:v>42.337699999999998</c:v>
                </c:pt>
                <c:pt idx="100">
                  <c:v>41.912999999999997</c:v>
                </c:pt>
                <c:pt idx="101">
                  <c:v>41.4191</c:v>
                </c:pt>
                <c:pt idx="102">
                  <c:v>40.964500000000001</c:v>
                </c:pt>
                <c:pt idx="103">
                  <c:v>40.6066</c:v>
                </c:pt>
                <c:pt idx="104">
                  <c:v>40.450900000000004</c:v>
                </c:pt>
                <c:pt idx="105">
                  <c:v>40.412300000000002</c:v>
                </c:pt>
                <c:pt idx="106">
                  <c:v>40.380000000000003</c:v>
                </c:pt>
                <c:pt idx="107">
                  <c:v>40.360399999999998</c:v>
                </c:pt>
                <c:pt idx="108">
                  <c:v>40.361999999999995</c:v>
                </c:pt>
                <c:pt idx="109">
                  <c:v>40.368400000000001</c:v>
                </c:pt>
                <c:pt idx="110">
                  <c:v>40.461799999999997</c:v>
                </c:pt>
                <c:pt idx="111">
                  <c:v>40.556399999999996</c:v>
                </c:pt>
                <c:pt idx="112">
                  <c:v>40.597000000000001</c:v>
                </c:pt>
                <c:pt idx="113">
                  <c:v>40.697100000000006</c:v>
                </c:pt>
                <c:pt idx="114">
                  <c:v>40.8003</c:v>
                </c:pt>
                <c:pt idx="115">
                  <c:v>40.916499999999999</c:v>
                </c:pt>
                <c:pt idx="116">
                  <c:v>41.044499999999999</c:v>
                </c:pt>
                <c:pt idx="117">
                  <c:v>41.169899999999998</c:v>
                </c:pt>
                <c:pt idx="118">
                  <c:v>41.323300000000003</c:v>
                </c:pt>
                <c:pt idx="119">
                  <c:v>41.475099999999998</c:v>
                </c:pt>
                <c:pt idx="120">
                  <c:v>41.572499999999998</c:v>
                </c:pt>
                <c:pt idx="121">
                  <c:v>41.648000000000003</c:v>
                </c:pt>
                <c:pt idx="122">
                  <c:v>41.736899999999999</c:v>
                </c:pt>
                <c:pt idx="123">
                  <c:v>41.844500000000004</c:v>
                </c:pt>
                <c:pt idx="124">
                  <c:v>41.881099999999996</c:v>
                </c:pt>
                <c:pt idx="125">
                  <c:v>41.960700000000003</c:v>
                </c:pt>
                <c:pt idx="126">
                  <c:v>42.110799999999998</c:v>
                </c:pt>
                <c:pt idx="127">
                  <c:v>42.314599999999999</c:v>
                </c:pt>
                <c:pt idx="128">
                  <c:v>42.524499999999996</c:v>
                </c:pt>
                <c:pt idx="129">
                  <c:v>42.688099999999999</c:v>
                </c:pt>
                <c:pt idx="130">
                  <c:v>42.8401</c:v>
                </c:pt>
                <c:pt idx="131">
                  <c:v>42.980499999999999</c:v>
                </c:pt>
                <c:pt idx="132">
                  <c:v>43.1663</c:v>
                </c:pt>
                <c:pt idx="133">
                  <c:v>43.326100000000004</c:v>
                </c:pt>
                <c:pt idx="134">
                  <c:v>43.505000000000003</c:v>
                </c:pt>
                <c:pt idx="135">
                  <c:v>43.6235</c:v>
                </c:pt>
                <c:pt idx="136">
                  <c:v>43.780700000000003</c:v>
                </c:pt>
                <c:pt idx="137">
                  <c:v>44.062200000000004</c:v>
                </c:pt>
                <c:pt idx="138">
                  <c:v>44.300800000000002</c:v>
                </c:pt>
                <c:pt idx="139">
                  <c:v>44.558999999999997</c:v>
                </c:pt>
                <c:pt idx="140">
                  <c:v>44.8005</c:v>
                </c:pt>
                <c:pt idx="141">
                  <c:v>45.066899999999997</c:v>
                </c:pt>
                <c:pt idx="142">
                  <c:v>45.269599999999997</c:v>
                </c:pt>
                <c:pt idx="143">
                  <c:v>45.4133</c:v>
                </c:pt>
                <c:pt idx="144">
                  <c:v>45.5762</c:v>
                </c:pt>
                <c:pt idx="145">
                  <c:v>45.956099999999999</c:v>
                </c:pt>
                <c:pt idx="146">
                  <c:v>46.364100000000001</c:v>
                </c:pt>
                <c:pt idx="147">
                  <c:v>46.462499999999999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0.35298299999999999</c:v>
                </c:pt>
                <c:pt idx="2">
                  <c:v>0.75927299999999998</c:v>
                </c:pt>
                <c:pt idx="3">
                  <c:v>1.1645300000000001</c:v>
                </c:pt>
                <c:pt idx="4">
                  <c:v>1.57216</c:v>
                </c:pt>
                <c:pt idx="5">
                  <c:v>1.9758199999999999</c:v>
                </c:pt>
                <c:pt idx="6">
                  <c:v>2.3868399999999999</c:v>
                </c:pt>
                <c:pt idx="7">
                  <c:v>2.7913700000000001</c:v>
                </c:pt>
                <c:pt idx="8">
                  <c:v>3.1976599999999999</c:v>
                </c:pt>
                <c:pt idx="9">
                  <c:v>3.6031599999999999</c:v>
                </c:pt>
                <c:pt idx="10">
                  <c:v>4.0085800000000003</c:v>
                </c:pt>
                <c:pt idx="11">
                  <c:v>4.4148100000000001</c:v>
                </c:pt>
                <c:pt idx="12">
                  <c:v>4.8175600000000003</c:v>
                </c:pt>
                <c:pt idx="13">
                  <c:v>5.2243700000000004</c:v>
                </c:pt>
                <c:pt idx="14">
                  <c:v>5.6357100000000004</c:v>
                </c:pt>
                <c:pt idx="15">
                  <c:v>6.0370799999999996</c:v>
                </c:pt>
                <c:pt idx="16">
                  <c:v>6.4469500000000002</c:v>
                </c:pt>
                <c:pt idx="17">
                  <c:v>6.8494999999999999</c:v>
                </c:pt>
                <c:pt idx="18">
                  <c:v>7.2579799999999999</c:v>
                </c:pt>
                <c:pt idx="19">
                  <c:v>7.6645700000000003</c:v>
                </c:pt>
                <c:pt idx="20">
                  <c:v>8.0699699999999996</c:v>
                </c:pt>
                <c:pt idx="21">
                  <c:v>8.4777500000000003</c:v>
                </c:pt>
                <c:pt idx="22">
                  <c:v>8.8823600000000003</c:v>
                </c:pt>
                <c:pt idx="23">
                  <c:v>9.2871400000000008</c:v>
                </c:pt>
                <c:pt idx="24">
                  <c:v>9.6949699999999996</c:v>
                </c:pt>
                <c:pt idx="25">
                  <c:v>10.1036</c:v>
                </c:pt>
                <c:pt idx="26">
                  <c:v>10.5084</c:v>
                </c:pt>
                <c:pt idx="27">
                  <c:v>10.9122</c:v>
                </c:pt>
                <c:pt idx="28">
                  <c:v>11.3179</c:v>
                </c:pt>
                <c:pt idx="29">
                  <c:v>11.723699999999999</c:v>
                </c:pt>
                <c:pt idx="30">
                  <c:v>12.1349</c:v>
                </c:pt>
                <c:pt idx="31">
                  <c:v>12.541600000000001</c:v>
                </c:pt>
                <c:pt idx="32">
                  <c:v>12.947699999999999</c:v>
                </c:pt>
                <c:pt idx="33">
                  <c:v>13.3497</c:v>
                </c:pt>
                <c:pt idx="34">
                  <c:v>13.754</c:v>
                </c:pt>
                <c:pt idx="35">
                  <c:v>14.164899999999999</c:v>
                </c:pt>
                <c:pt idx="36">
                  <c:v>14.573499999999999</c:v>
                </c:pt>
                <c:pt idx="37">
                  <c:v>14.9758</c:v>
                </c:pt>
                <c:pt idx="38">
                  <c:v>15.382999999999999</c:v>
                </c:pt>
                <c:pt idx="39">
                  <c:v>15.7888</c:v>
                </c:pt>
                <c:pt idx="40">
                  <c:v>16.194099999999999</c:v>
                </c:pt>
                <c:pt idx="41">
                  <c:v>16.6052</c:v>
                </c:pt>
                <c:pt idx="42">
                  <c:v>17.0105</c:v>
                </c:pt>
                <c:pt idx="43">
                  <c:v>17.4131</c:v>
                </c:pt>
                <c:pt idx="44">
                  <c:v>17.821200000000001</c:v>
                </c:pt>
                <c:pt idx="45">
                  <c:v>18.224799999999998</c:v>
                </c:pt>
                <c:pt idx="46">
                  <c:v>18.634799999999998</c:v>
                </c:pt>
                <c:pt idx="47">
                  <c:v>19.038399999999999</c:v>
                </c:pt>
                <c:pt idx="48">
                  <c:v>19.4452</c:v>
                </c:pt>
                <c:pt idx="49">
                  <c:v>19.8504</c:v>
                </c:pt>
                <c:pt idx="50">
                  <c:v>20.261199999999999</c:v>
                </c:pt>
                <c:pt idx="51">
                  <c:v>20.665400000000002</c:v>
                </c:pt>
                <c:pt idx="52">
                  <c:v>21.0731</c:v>
                </c:pt>
                <c:pt idx="53">
                  <c:v>21.477</c:v>
                </c:pt>
                <c:pt idx="54">
                  <c:v>21.883199999999999</c:v>
                </c:pt>
                <c:pt idx="55">
                  <c:v>22.2865</c:v>
                </c:pt>
                <c:pt idx="56">
                  <c:v>22.695599999999999</c:v>
                </c:pt>
                <c:pt idx="57">
                  <c:v>23.103899999999999</c:v>
                </c:pt>
                <c:pt idx="58">
                  <c:v>23.508700000000001</c:v>
                </c:pt>
                <c:pt idx="59">
                  <c:v>23.913</c:v>
                </c:pt>
                <c:pt idx="60">
                  <c:v>24.319900000000001</c:v>
                </c:pt>
                <c:pt idx="61">
                  <c:v>24.728200000000001</c:v>
                </c:pt>
                <c:pt idx="62">
                  <c:v>25.133199999999999</c:v>
                </c:pt>
                <c:pt idx="63">
                  <c:v>25.538900000000002</c:v>
                </c:pt>
                <c:pt idx="64">
                  <c:v>25.944700000000001</c:v>
                </c:pt>
                <c:pt idx="65">
                  <c:v>26.3505</c:v>
                </c:pt>
                <c:pt idx="66">
                  <c:v>26.7591</c:v>
                </c:pt>
                <c:pt idx="67">
                  <c:v>27.165099999999999</c:v>
                </c:pt>
                <c:pt idx="68">
                  <c:v>27.572099999999999</c:v>
                </c:pt>
                <c:pt idx="69">
                  <c:v>27.976500000000001</c:v>
                </c:pt>
                <c:pt idx="70">
                  <c:v>28.380400000000002</c:v>
                </c:pt>
                <c:pt idx="71">
                  <c:v>28.791499999999999</c:v>
                </c:pt>
                <c:pt idx="72">
                  <c:v>29.1937</c:v>
                </c:pt>
                <c:pt idx="73">
                  <c:v>29.609500000000001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53.728400000000001</c:v>
                </c:pt>
                <c:pt idx="1">
                  <c:v>52.906699999999994</c:v>
                </c:pt>
                <c:pt idx="2">
                  <c:v>52.112499999999997</c:v>
                </c:pt>
                <c:pt idx="3">
                  <c:v>51.257699999999993</c:v>
                </c:pt>
                <c:pt idx="4">
                  <c:v>50.339800000000004</c:v>
                </c:pt>
                <c:pt idx="5">
                  <c:v>49.515500000000003</c:v>
                </c:pt>
                <c:pt idx="6">
                  <c:v>48.886499999999998</c:v>
                </c:pt>
                <c:pt idx="7">
                  <c:v>48.407600000000002</c:v>
                </c:pt>
                <c:pt idx="8">
                  <c:v>47.957999999999998</c:v>
                </c:pt>
                <c:pt idx="9">
                  <c:v>47.509799999999998</c:v>
                </c:pt>
                <c:pt idx="10">
                  <c:v>47.057300000000005</c:v>
                </c:pt>
                <c:pt idx="11">
                  <c:v>46.615400000000001</c:v>
                </c:pt>
                <c:pt idx="12">
                  <c:v>46.231200000000001</c:v>
                </c:pt>
                <c:pt idx="13">
                  <c:v>45.9345</c:v>
                </c:pt>
                <c:pt idx="14">
                  <c:v>45.683500000000002</c:v>
                </c:pt>
                <c:pt idx="15">
                  <c:v>45.409399999999998</c:v>
                </c:pt>
                <c:pt idx="16">
                  <c:v>45.090499999999999</c:v>
                </c:pt>
                <c:pt idx="17">
                  <c:v>44.771100000000004</c:v>
                </c:pt>
                <c:pt idx="18">
                  <c:v>44.431199999999997</c:v>
                </c:pt>
                <c:pt idx="19">
                  <c:v>44.095600000000005</c:v>
                </c:pt>
                <c:pt idx="20">
                  <c:v>43.786000000000001</c:v>
                </c:pt>
                <c:pt idx="21">
                  <c:v>43.478200000000001</c:v>
                </c:pt>
                <c:pt idx="22">
                  <c:v>43.183599999999998</c:v>
                </c:pt>
                <c:pt idx="23">
                  <c:v>42.869399999999999</c:v>
                </c:pt>
                <c:pt idx="24">
                  <c:v>42.575099999999999</c:v>
                </c:pt>
                <c:pt idx="25">
                  <c:v>42.3874</c:v>
                </c:pt>
                <c:pt idx="26">
                  <c:v>42.258800000000001</c:v>
                </c:pt>
                <c:pt idx="27">
                  <c:v>42.187200000000004</c:v>
                </c:pt>
                <c:pt idx="28">
                  <c:v>42.196300000000001</c:v>
                </c:pt>
                <c:pt idx="29">
                  <c:v>42.2729</c:v>
                </c:pt>
                <c:pt idx="30">
                  <c:v>42.319299999999998</c:v>
                </c:pt>
                <c:pt idx="31">
                  <c:v>42.311500000000002</c:v>
                </c:pt>
                <c:pt idx="32">
                  <c:v>42.240600000000001</c:v>
                </c:pt>
                <c:pt idx="33">
                  <c:v>42.128500000000003</c:v>
                </c:pt>
                <c:pt idx="34">
                  <c:v>42.052</c:v>
                </c:pt>
                <c:pt idx="35">
                  <c:v>41.992899999999999</c:v>
                </c:pt>
                <c:pt idx="36">
                  <c:v>41.987400000000001</c:v>
                </c:pt>
                <c:pt idx="37">
                  <c:v>42.0212</c:v>
                </c:pt>
                <c:pt idx="38">
                  <c:v>42.032599999999995</c:v>
                </c:pt>
                <c:pt idx="39">
                  <c:v>41.974299999999999</c:v>
                </c:pt>
                <c:pt idx="40">
                  <c:v>41.882999999999996</c:v>
                </c:pt>
                <c:pt idx="41">
                  <c:v>41.810900000000004</c:v>
                </c:pt>
                <c:pt idx="42">
                  <c:v>41.764600000000002</c:v>
                </c:pt>
                <c:pt idx="43">
                  <c:v>41.775400000000005</c:v>
                </c:pt>
                <c:pt idx="44">
                  <c:v>41.810099999999998</c:v>
                </c:pt>
                <c:pt idx="45">
                  <c:v>41.831299999999999</c:v>
                </c:pt>
                <c:pt idx="46">
                  <c:v>41.842300000000002</c:v>
                </c:pt>
                <c:pt idx="47">
                  <c:v>41.813200000000002</c:v>
                </c:pt>
                <c:pt idx="48">
                  <c:v>41.784999999999997</c:v>
                </c:pt>
                <c:pt idx="49">
                  <c:v>41.723700000000001</c:v>
                </c:pt>
                <c:pt idx="50">
                  <c:v>41.680399999999999</c:v>
                </c:pt>
                <c:pt idx="51">
                  <c:v>41.639099999999999</c:v>
                </c:pt>
                <c:pt idx="52">
                  <c:v>41.606900000000003</c:v>
                </c:pt>
                <c:pt idx="53">
                  <c:v>41.510300000000001</c:v>
                </c:pt>
                <c:pt idx="54">
                  <c:v>41.460299999999997</c:v>
                </c:pt>
                <c:pt idx="55">
                  <c:v>41.475499999999997</c:v>
                </c:pt>
                <c:pt idx="56">
                  <c:v>41.470500000000001</c:v>
                </c:pt>
                <c:pt idx="57">
                  <c:v>41.516500000000001</c:v>
                </c:pt>
                <c:pt idx="58">
                  <c:v>41.705799999999996</c:v>
                </c:pt>
                <c:pt idx="59">
                  <c:v>41.8718</c:v>
                </c:pt>
                <c:pt idx="60">
                  <c:v>41.977199999999996</c:v>
                </c:pt>
                <c:pt idx="61">
                  <c:v>42.0747</c:v>
                </c:pt>
                <c:pt idx="62">
                  <c:v>42.177399999999999</c:v>
                </c:pt>
                <c:pt idx="63">
                  <c:v>42.279899999999998</c:v>
                </c:pt>
                <c:pt idx="64">
                  <c:v>42.373100000000001</c:v>
                </c:pt>
                <c:pt idx="65">
                  <c:v>42.512299999999996</c:v>
                </c:pt>
                <c:pt idx="66">
                  <c:v>42.760199999999998</c:v>
                </c:pt>
                <c:pt idx="67">
                  <c:v>43.036900000000003</c:v>
                </c:pt>
                <c:pt idx="68">
                  <c:v>43.308300000000003</c:v>
                </c:pt>
                <c:pt idx="69">
                  <c:v>43.599299999999999</c:v>
                </c:pt>
                <c:pt idx="70">
                  <c:v>43.843400000000003</c:v>
                </c:pt>
                <c:pt idx="71">
                  <c:v>44.130699999999997</c:v>
                </c:pt>
                <c:pt idx="72">
                  <c:v>44.487700000000004</c:v>
                </c:pt>
                <c:pt idx="73">
                  <c:v>44.878099999999996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29.609500000000001</c:v>
                </c:pt>
                <c:pt idx="1">
                  <c:v>30.007300000000001</c:v>
                </c:pt>
                <c:pt idx="2">
                  <c:v>30.621500000000001</c:v>
                </c:pt>
                <c:pt idx="3">
                  <c:v>30.993400000000001</c:v>
                </c:pt>
                <c:pt idx="4">
                  <c:v>31.3689</c:v>
                </c:pt>
                <c:pt idx="5">
                  <c:v>31.7422</c:v>
                </c:pt>
                <c:pt idx="6">
                  <c:v>32.117800000000003</c:v>
                </c:pt>
                <c:pt idx="7">
                  <c:v>32.5244</c:v>
                </c:pt>
                <c:pt idx="8">
                  <c:v>32.929400000000001</c:v>
                </c:pt>
                <c:pt idx="9">
                  <c:v>33.337499999999999</c:v>
                </c:pt>
                <c:pt idx="10">
                  <c:v>33.744700000000002</c:v>
                </c:pt>
                <c:pt idx="11">
                  <c:v>34.149500000000003</c:v>
                </c:pt>
                <c:pt idx="12">
                  <c:v>34.555999999999997</c:v>
                </c:pt>
                <c:pt idx="13">
                  <c:v>34.962200000000003</c:v>
                </c:pt>
                <c:pt idx="14">
                  <c:v>35.367899999999999</c:v>
                </c:pt>
                <c:pt idx="15">
                  <c:v>35.775100000000002</c:v>
                </c:pt>
                <c:pt idx="16">
                  <c:v>36.180399999999999</c:v>
                </c:pt>
                <c:pt idx="17">
                  <c:v>36.587699999999998</c:v>
                </c:pt>
                <c:pt idx="18">
                  <c:v>36.989899999999999</c:v>
                </c:pt>
                <c:pt idx="19">
                  <c:v>37.400100000000002</c:v>
                </c:pt>
                <c:pt idx="20">
                  <c:v>37.807000000000002</c:v>
                </c:pt>
                <c:pt idx="21">
                  <c:v>38.210599999999999</c:v>
                </c:pt>
                <c:pt idx="22">
                  <c:v>38.6175</c:v>
                </c:pt>
                <c:pt idx="23">
                  <c:v>39.0244</c:v>
                </c:pt>
                <c:pt idx="24">
                  <c:v>39.428400000000003</c:v>
                </c:pt>
                <c:pt idx="25">
                  <c:v>39.837200000000003</c:v>
                </c:pt>
                <c:pt idx="26">
                  <c:v>40.241999999999997</c:v>
                </c:pt>
                <c:pt idx="27">
                  <c:v>40.648600000000002</c:v>
                </c:pt>
                <c:pt idx="28">
                  <c:v>41.052700000000002</c:v>
                </c:pt>
                <c:pt idx="29">
                  <c:v>41.461599999999997</c:v>
                </c:pt>
                <c:pt idx="30">
                  <c:v>41.8675</c:v>
                </c:pt>
                <c:pt idx="31">
                  <c:v>42.275199999999998</c:v>
                </c:pt>
                <c:pt idx="32">
                  <c:v>42.678199999999997</c:v>
                </c:pt>
                <c:pt idx="33">
                  <c:v>43.0852</c:v>
                </c:pt>
                <c:pt idx="34">
                  <c:v>43.494500000000002</c:v>
                </c:pt>
                <c:pt idx="35">
                  <c:v>43.903300000000002</c:v>
                </c:pt>
                <c:pt idx="36">
                  <c:v>44.306600000000003</c:v>
                </c:pt>
                <c:pt idx="37">
                  <c:v>44.712400000000002</c:v>
                </c:pt>
                <c:pt idx="38">
                  <c:v>45.116700000000002</c:v>
                </c:pt>
                <c:pt idx="39">
                  <c:v>45.525399999999998</c:v>
                </c:pt>
                <c:pt idx="40">
                  <c:v>45.930199999999999</c:v>
                </c:pt>
                <c:pt idx="41">
                  <c:v>46.337200000000003</c:v>
                </c:pt>
                <c:pt idx="42">
                  <c:v>46.740699999999997</c:v>
                </c:pt>
                <c:pt idx="43">
                  <c:v>47.147500000000001</c:v>
                </c:pt>
                <c:pt idx="44">
                  <c:v>47.555599999999998</c:v>
                </c:pt>
                <c:pt idx="45">
                  <c:v>47.962299999999999</c:v>
                </c:pt>
                <c:pt idx="46">
                  <c:v>48.369100000000003</c:v>
                </c:pt>
                <c:pt idx="47">
                  <c:v>48.773200000000003</c:v>
                </c:pt>
                <c:pt idx="48">
                  <c:v>49.181399999999996</c:v>
                </c:pt>
                <c:pt idx="49">
                  <c:v>49.588200000000001</c:v>
                </c:pt>
                <c:pt idx="50">
                  <c:v>49.994900000000001</c:v>
                </c:pt>
                <c:pt idx="51">
                  <c:v>50.397799999999997</c:v>
                </c:pt>
                <c:pt idx="52">
                  <c:v>50.805799999999998</c:v>
                </c:pt>
                <c:pt idx="53">
                  <c:v>51.210599999999999</c:v>
                </c:pt>
                <c:pt idx="54">
                  <c:v>51.618600000000001</c:v>
                </c:pt>
                <c:pt idx="55">
                  <c:v>52.021599999999999</c:v>
                </c:pt>
                <c:pt idx="56">
                  <c:v>52.428199999999997</c:v>
                </c:pt>
                <c:pt idx="57">
                  <c:v>52.836300000000001</c:v>
                </c:pt>
                <c:pt idx="58">
                  <c:v>53.2438</c:v>
                </c:pt>
                <c:pt idx="59">
                  <c:v>53.650100000000002</c:v>
                </c:pt>
                <c:pt idx="60">
                  <c:v>54.055799999999998</c:v>
                </c:pt>
                <c:pt idx="61">
                  <c:v>54.461300000000001</c:v>
                </c:pt>
                <c:pt idx="62">
                  <c:v>54.867800000000003</c:v>
                </c:pt>
                <c:pt idx="63">
                  <c:v>55.274999999999999</c:v>
                </c:pt>
                <c:pt idx="64">
                  <c:v>55.680199999999999</c:v>
                </c:pt>
                <c:pt idx="65">
                  <c:v>56.085799999999999</c:v>
                </c:pt>
                <c:pt idx="66">
                  <c:v>56.490900000000003</c:v>
                </c:pt>
                <c:pt idx="67">
                  <c:v>56.8992</c:v>
                </c:pt>
                <c:pt idx="68">
                  <c:v>57.305300000000003</c:v>
                </c:pt>
                <c:pt idx="69">
                  <c:v>57.711500000000001</c:v>
                </c:pt>
                <c:pt idx="70">
                  <c:v>58.118200000000002</c:v>
                </c:pt>
                <c:pt idx="71">
                  <c:v>58.523000000000003</c:v>
                </c:pt>
                <c:pt idx="72">
                  <c:v>58.930700000000002</c:v>
                </c:pt>
                <c:pt idx="73">
                  <c:v>59.337200000000003</c:v>
                </c:pt>
                <c:pt idx="74">
                  <c:v>59.744599999999998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44.878099999999996</c:v>
                </c:pt>
                <c:pt idx="1">
                  <c:v>45.331500000000005</c:v>
                </c:pt>
                <c:pt idx="2">
                  <c:v>45.772400000000005</c:v>
                </c:pt>
                <c:pt idx="3">
                  <c:v>46.061</c:v>
                </c:pt>
                <c:pt idx="4">
                  <c:v>46.247999999999998</c:v>
                </c:pt>
                <c:pt idx="5">
                  <c:v>46.364800000000002</c:v>
                </c:pt>
                <c:pt idx="6">
                  <c:v>46.461400000000005</c:v>
                </c:pt>
                <c:pt idx="7">
                  <c:v>46.595500000000001</c:v>
                </c:pt>
                <c:pt idx="8">
                  <c:v>46.7729</c:v>
                </c:pt>
                <c:pt idx="9">
                  <c:v>46.895800000000001</c:v>
                </c:pt>
                <c:pt idx="10">
                  <c:v>47.0002</c:v>
                </c:pt>
                <c:pt idx="11">
                  <c:v>47.105000000000004</c:v>
                </c:pt>
                <c:pt idx="12">
                  <c:v>47.142800000000001</c:v>
                </c:pt>
                <c:pt idx="13">
                  <c:v>47.045700000000004</c:v>
                </c:pt>
                <c:pt idx="14">
                  <c:v>46.819100000000006</c:v>
                </c:pt>
                <c:pt idx="15">
                  <c:v>46.636499999999998</c:v>
                </c:pt>
                <c:pt idx="16">
                  <c:v>46.5396</c:v>
                </c:pt>
                <c:pt idx="17">
                  <c:v>46.343600000000002</c:v>
                </c:pt>
                <c:pt idx="18">
                  <c:v>46.095000000000006</c:v>
                </c:pt>
                <c:pt idx="19">
                  <c:v>45.777299999999997</c:v>
                </c:pt>
                <c:pt idx="20">
                  <c:v>45.359899999999996</c:v>
                </c:pt>
                <c:pt idx="21">
                  <c:v>44.814999999999998</c:v>
                </c:pt>
                <c:pt idx="22">
                  <c:v>44.270800000000001</c:v>
                </c:pt>
                <c:pt idx="23">
                  <c:v>43.745899999999999</c:v>
                </c:pt>
                <c:pt idx="24">
                  <c:v>43.228100000000005</c:v>
                </c:pt>
                <c:pt idx="25">
                  <c:v>42.725299999999997</c:v>
                </c:pt>
                <c:pt idx="26">
                  <c:v>42.337699999999998</c:v>
                </c:pt>
                <c:pt idx="27">
                  <c:v>41.912999999999997</c:v>
                </c:pt>
                <c:pt idx="28">
                  <c:v>41.4191</c:v>
                </c:pt>
                <c:pt idx="29">
                  <c:v>40.964500000000001</c:v>
                </c:pt>
                <c:pt idx="30">
                  <c:v>40.6066</c:v>
                </c:pt>
                <c:pt idx="31">
                  <c:v>40.450900000000004</c:v>
                </c:pt>
                <c:pt idx="32">
                  <c:v>40.412300000000002</c:v>
                </c:pt>
                <c:pt idx="33">
                  <c:v>40.380000000000003</c:v>
                </c:pt>
                <c:pt idx="34">
                  <c:v>40.360399999999998</c:v>
                </c:pt>
                <c:pt idx="35">
                  <c:v>40.361999999999995</c:v>
                </c:pt>
                <c:pt idx="36">
                  <c:v>40.368400000000001</c:v>
                </c:pt>
                <c:pt idx="37">
                  <c:v>40.461799999999997</c:v>
                </c:pt>
                <c:pt idx="38">
                  <c:v>40.556399999999996</c:v>
                </c:pt>
                <c:pt idx="39">
                  <c:v>40.597000000000001</c:v>
                </c:pt>
                <c:pt idx="40">
                  <c:v>40.697100000000006</c:v>
                </c:pt>
                <c:pt idx="41">
                  <c:v>40.8003</c:v>
                </c:pt>
                <c:pt idx="42">
                  <c:v>40.916499999999999</c:v>
                </c:pt>
                <c:pt idx="43">
                  <c:v>41.044499999999999</c:v>
                </c:pt>
                <c:pt idx="44">
                  <c:v>41.169899999999998</c:v>
                </c:pt>
                <c:pt idx="45">
                  <c:v>41.323300000000003</c:v>
                </c:pt>
                <c:pt idx="46">
                  <c:v>41.475099999999998</c:v>
                </c:pt>
                <c:pt idx="47">
                  <c:v>41.572499999999998</c:v>
                </c:pt>
                <c:pt idx="48">
                  <c:v>41.648000000000003</c:v>
                </c:pt>
                <c:pt idx="49">
                  <c:v>41.736899999999999</c:v>
                </c:pt>
                <c:pt idx="50">
                  <c:v>41.844500000000004</c:v>
                </c:pt>
                <c:pt idx="51">
                  <c:v>41.881099999999996</c:v>
                </c:pt>
                <c:pt idx="52">
                  <c:v>41.960700000000003</c:v>
                </c:pt>
                <c:pt idx="53">
                  <c:v>42.110799999999998</c:v>
                </c:pt>
                <c:pt idx="54">
                  <c:v>42.314599999999999</c:v>
                </c:pt>
                <c:pt idx="55">
                  <c:v>42.524499999999996</c:v>
                </c:pt>
                <c:pt idx="56">
                  <c:v>42.688099999999999</c:v>
                </c:pt>
                <c:pt idx="57">
                  <c:v>42.8401</c:v>
                </c:pt>
                <c:pt idx="58">
                  <c:v>42.980499999999999</c:v>
                </c:pt>
                <c:pt idx="59">
                  <c:v>43.1663</c:v>
                </c:pt>
                <c:pt idx="60">
                  <c:v>43.326100000000004</c:v>
                </c:pt>
                <c:pt idx="61">
                  <c:v>43.505000000000003</c:v>
                </c:pt>
                <c:pt idx="62">
                  <c:v>43.6235</c:v>
                </c:pt>
                <c:pt idx="63">
                  <c:v>43.780700000000003</c:v>
                </c:pt>
                <c:pt idx="64">
                  <c:v>44.062200000000004</c:v>
                </c:pt>
                <c:pt idx="65">
                  <c:v>44.300800000000002</c:v>
                </c:pt>
                <c:pt idx="66">
                  <c:v>44.558999999999997</c:v>
                </c:pt>
                <c:pt idx="67">
                  <c:v>44.8005</c:v>
                </c:pt>
                <c:pt idx="68">
                  <c:v>45.066899999999997</c:v>
                </c:pt>
                <c:pt idx="69">
                  <c:v>45.269599999999997</c:v>
                </c:pt>
                <c:pt idx="70">
                  <c:v>45.4133</c:v>
                </c:pt>
                <c:pt idx="71">
                  <c:v>45.5762</c:v>
                </c:pt>
                <c:pt idx="72">
                  <c:v>45.956099999999999</c:v>
                </c:pt>
                <c:pt idx="73">
                  <c:v>46.364100000000001</c:v>
                </c:pt>
                <c:pt idx="74">
                  <c:v>46.462499999999999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53.728400000000001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53.728400000000001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53.728400000000001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53.728400000000001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53.728400000000001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53.728400000000001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53.728400000000001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53.728400000000001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53.728400000000001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53.728400000000001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53.728400000000001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53.728400000000001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53.728400000000001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53.728400000000001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53.728400000000001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53.728400000000001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53.728400000000001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53.728400000000001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53.728400000000001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53.728400000000001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53.728400000000001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53.728400000000001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14.93615</c:v>
                </c:pt>
                <c:pt idx="1">
                  <c:v>44.808450000000001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43.832610810810799</c:v>
                </c:pt>
                <c:pt idx="1">
                  <c:v>43.609527027027021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2.7775300000000005</c:v>
                </c:pt>
                <c:pt idx="1">
                  <c:v>2.8396100000000004</c:v>
                </c:pt>
                <c:pt idx="2">
                  <c:v>2.9009299999999998</c:v>
                </c:pt>
                <c:pt idx="3">
                  <c:v>2.9611999999999998</c:v>
                </c:pt>
                <c:pt idx="4">
                  <c:v>3.0193199999999996</c:v>
                </c:pt>
                <c:pt idx="5">
                  <c:v>3.0731999999999999</c:v>
                </c:pt>
                <c:pt idx="6">
                  <c:v>3.1234899999999999</c:v>
                </c:pt>
                <c:pt idx="7">
                  <c:v>3.1676500000000001</c:v>
                </c:pt>
                <c:pt idx="8">
                  <c:v>3.2089600000000003</c:v>
                </c:pt>
                <c:pt idx="9">
                  <c:v>3.2487399999999997</c:v>
                </c:pt>
                <c:pt idx="10">
                  <c:v>3.28355</c:v>
                </c:pt>
                <c:pt idx="11">
                  <c:v>3.3163499999999999</c:v>
                </c:pt>
                <c:pt idx="12">
                  <c:v>3.3461600000000002</c:v>
                </c:pt>
                <c:pt idx="13">
                  <c:v>3.3714899999999997</c:v>
                </c:pt>
                <c:pt idx="14">
                  <c:v>3.3950900000000002</c:v>
                </c:pt>
                <c:pt idx="15">
                  <c:v>3.4150700000000001</c:v>
                </c:pt>
                <c:pt idx="16">
                  <c:v>3.43588</c:v>
                </c:pt>
                <c:pt idx="17">
                  <c:v>3.45336</c:v>
                </c:pt>
                <c:pt idx="18">
                  <c:v>3.4685600000000001</c:v>
                </c:pt>
                <c:pt idx="19">
                  <c:v>3.48353</c:v>
                </c:pt>
                <c:pt idx="20">
                  <c:v>3.4954299999999998</c:v>
                </c:pt>
                <c:pt idx="21">
                  <c:v>3.5067700000000004</c:v>
                </c:pt>
                <c:pt idx="22">
                  <c:v>3.51763</c:v>
                </c:pt>
                <c:pt idx="23">
                  <c:v>3.5301999999999998</c:v>
                </c:pt>
                <c:pt idx="24">
                  <c:v>3.5412599999999999</c:v>
                </c:pt>
                <c:pt idx="25">
                  <c:v>3.5444500000000003</c:v>
                </c:pt>
                <c:pt idx="26">
                  <c:v>3.54393</c:v>
                </c:pt>
                <c:pt idx="27">
                  <c:v>3.5390800000000002</c:v>
                </c:pt>
                <c:pt idx="28">
                  <c:v>3.5289599999999997</c:v>
                </c:pt>
                <c:pt idx="29">
                  <c:v>3.5170300000000001</c:v>
                </c:pt>
                <c:pt idx="30">
                  <c:v>3.5104200000000003</c:v>
                </c:pt>
                <c:pt idx="31">
                  <c:v>3.5063499999999999</c:v>
                </c:pt>
                <c:pt idx="32">
                  <c:v>3.5050999999999997</c:v>
                </c:pt>
                <c:pt idx="33">
                  <c:v>3.50448</c:v>
                </c:pt>
                <c:pt idx="34">
                  <c:v>3.5010300000000001</c:v>
                </c:pt>
                <c:pt idx="35">
                  <c:v>3.4962900000000001</c:v>
                </c:pt>
                <c:pt idx="36">
                  <c:v>3.4901200000000001</c:v>
                </c:pt>
                <c:pt idx="37">
                  <c:v>3.4833399999999997</c:v>
                </c:pt>
                <c:pt idx="38">
                  <c:v>3.4794</c:v>
                </c:pt>
                <c:pt idx="39">
                  <c:v>3.4760299999999997</c:v>
                </c:pt>
                <c:pt idx="40">
                  <c:v>3.4733499999999999</c:v>
                </c:pt>
                <c:pt idx="41">
                  <c:v>3.4689799999999997</c:v>
                </c:pt>
                <c:pt idx="42">
                  <c:v>3.4638999999999998</c:v>
                </c:pt>
                <c:pt idx="43">
                  <c:v>3.4584599999999996</c:v>
                </c:pt>
                <c:pt idx="44">
                  <c:v>3.4516299999999998</c:v>
                </c:pt>
                <c:pt idx="45">
                  <c:v>3.4429799999999999</c:v>
                </c:pt>
                <c:pt idx="46">
                  <c:v>3.4340900000000003</c:v>
                </c:pt>
                <c:pt idx="47">
                  <c:v>3.42544</c:v>
                </c:pt>
                <c:pt idx="48">
                  <c:v>3.4147499999999997</c:v>
                </c:pt>
                <c:pt idx="49">
                  <c:v>3.4050000000000002</c:v>
                </c:pt>
                <c:pt idx="50">
                  <c:v>3.3994799999999996</c:v>
                </c:pt>
                <c:pt idx="51">
                  <c:v>3.3922400000000001</c:v>
                </c:pt>
                <c:pt idx="52">
                  <c:v>3.38687</c:v>
                </c:pt>
                <c:pt idx="53">
                  <c:v>3.38483</c:v>
                </c:pt>
                <c:pt idx="54">
                  <c:v>3.3833299999999999</c:v>
                </c:pt>
                <c:pt idx="55">
                  <c:v>3.37906</c:v>
                </c:pt>
                <c:pt idx="56">
                  <c:v>3.37513</c:v>
                </c:pt>
                <c:pt idx="57">
                  <c:v>3.3726000000000003</c:v>
                </c:pt>
                <c:pt idx="58">
                  <c:v>3.3662299999999998</c:v>
                </c:pt>
                <c:pt idx="59">
                  <c:v>3.3603199999999998</c:v>
                </c:pt>
                <c:pt idx="60">
                  <c:v>3.3570199999999999</c:v>
                </c:pt>
                <c:pt idx="61">
                  <c:v>3.3565099999999997</c:v>
                </c:pt>
                <c:pt idx="62">
                  <c:v>3.35758</c:v>
                </c:pt>
                <c:pt idx="63">
                  <c:v>3.35921</c:v>
                </c:pt>
                <c:pt idx="64">
                  <c:v>3.3613599999999999</c:v>
                </c:pt>
                <c:pt idx="65">
                  <c:v>3.3641900000000002</c:v>
                </c:pt>
                <c:pt idx="66">
                  <c:v>3.3625799999999999</c:v>
                </c:pt>
                <c:pt idx="67">
                  <c:v>3.3607800000000001</c:v>
                </c:pt>
                <c:pt idx="68">
                  <c:v>3.3593800000000003</c:v>
                </c:pt>
                <c:pt idx="69">
                  <c:v>3.35928</c:v>
                </c:pt>
                <c:pt idx="70">
                  <c:v>3.3628599999999995</c:v>
                </c:pt>
                <c:pt idx="71">
                  <c:v>3.3673500000000001</c:v>
                </c:pt>
                <c:pt idx="72">
                  <c:v>3.3724599999999998</c:v>
                </c:pt>
                <c:pt idx="73">
                  <c:v>3.3780700000000001</c:v>
                </c:pt>
                <c:pt idx="74">
                  <c:v>3.3791700000000002</c:v>
                </c:pt>
                <c:pt idx="75">
                  <c:v>3.3842699999999999</c:v>
                </c:pt>
                <c:pt idx="76">
                  <c:v>3.3909000000000002</c:v>
                </c:pt>
                <c:pt idx="77">
                  <c:v>3.4009099999999997</c:v>
                </c:pt>
                <c:pt idx="78">
                  <c:v>3.4121000000000001</c:v>
                </c:pt>
                <c:pt idx="79">
                  <c:v>3.4189599999999998</c:v>
                </c:pt>
                <c:pt idx="80">
                  <c:v>3.4236599999999999</c:v>
                </c:pt>
                <c:pt idx="81">
                  <c:v>3.4289700000000001</c:v>
                </c:pt>
                <c:pt idx="82">
                  <c:v>3.4350399999999999</c:v>
                </c:pt>
                <c:pt idx="83">
                  <c:v>3.4451900000000002</c:v>
                </c:pt>
                <c:pt idx="84">
                  <c:v>3.45669</c:v>
                </c:pt>
                <c:pt idx="85">
                  <c:v>3.4683299999999999</c:v>
                </c:pt>
                <c:pt idx="86">
                  <c:v>3.4821900000000001</c:v>
                </c:pt>
                <c:pt idx="87">
                  <c:v>3.5009399999999999</c:v>
                </c:pt>
                <c:pt idx="88">
                  <c:v>3.5189500000000002</c:v>
                </c:pt>
                <c:pt idx="89">
                  <c:v>3.53566</c:v>
                </c:pt>
                <c:pt idx="90">
                  <c:v>3.5574299999999996</c:v>
                </c:pt>
                <c:pt idx="91">
                  <c:v>3.5829699999999995</c:v>
                </c:pt>
                <c:pt idx="92">
                  <c:v>3.6121399999999997</c:v>
                </c:pt>
                <c:pt idx="93">
                  <c:v>3.6451899999999999</c:v>
                </c:pt>
                <c:pt idx="94">
                  <c:v>3.6816800000000001</c:v>
                </c:pt>
                <c:pt idx="95">
                  <c:v>3.7190099999999999</c:v>
                </c:pt>
                <c:pt idx="96">
                  <c:v>3.7548199999999996</c:v>
                </c:pt>
                <c:pt idx="97">
                  <c:v>3.7899400000000001</c:v>
                </c:pt>
                <c:pt idx="98">
                  <c:v>3.8289299999999997</c:v>
                </c:pt>
                <c:pt idx="99">
                  <c:v>3.8668400000000003</c:v>
                </c:pt>
                <c:pt idx="100">
                  <c:v>3.9046700000000003</c:v>
                </c:pt>
                <c:pt idx="101">
                  <c:v>3.9453</c:v>
                </c:pt>
                <c:pt idx="102">
                  <c:v>3.9844200000000001</c:v>
                </c:pt>
                <c:pt idx="103">
                  <c:v>4.0222199999999999</c:v>
                </c:pt>
                <c:pt idx="104">
                  <c:v>4.0595499999999998</c:v>
                </c:pt>
                <c:pt idx="105">
                  <c:v>4.0934900000000001</c:v>
                </c:pt>
                <c:pt idx="106">
                  <c:v>4.1224600000000002</c:v>
                </c:pt>
                <c:pt idx="107">
                  <c:v>4.1510899999999999</c:v>
                </c:pt>
                <c:pt idx="108">
                  <c:v>4.1776499999999999</c:v>
                </c:pt>
                <c:pt idx="109">
                  <c:v>4.2043099999999995</c:v>
                </c:pt>
                <c:pt idx="110">
                  <c:v>4.2288800000000002</c:v>
                </c:pt>
                <c:pt idx="111">
                  <c:v>4.2515599999999996</c:v>
                </c:pt>
                <c:pt idx="112">
                  <c:v>4.2730399999999999</c:v>
                </c:pt>
                <c:pt idx="113">
                  <c:v>4.2934099999999997</c:v>
                </c:pt>
                <c:pt idx="114">
                  <c:v>4.3130800000000002</c:v>
                </c:pt>
                <c:pt idx="115">
                  <c:v>4.3294899999999998</c:v>
                </c:pt>
                <c:pt idx="116">
                  <c:v>4.3436900000000005</c:v>
                </c:pt>
                <c:pt idx="117">
                  <c:v>4.3532000000000002</c:v>
                </c:pt>
                <c:pt idx="118">
                  <c:v>4.3580399999999999</c:v>
                </c:pt>
                <c:pt idx="119">
                  <c:v>4.3568099999999994</c:v>
                </c:pt>
                <c:pt idx="120">
                  <c:v>4.3505799999999999</c:v>
                </c:pt>
                <c:pt idx="121">
                  <c:v>4.3413000000000004</c:v>
                </c:pt>
                <c:pt idx="122">
                  <c:v>4.3289</c:v>
                </c:pt>
                <c:pt idx="123">
                  <c:v>4.3141699999999998</c:v>
                </c:pt>
                <c:pt idx="124">
                  <c:v>4.31304</c:v>
                </c:pt>
                <c:pt idx="125">
                  <c:v>4.3101000000000003</c:v>
                </c:pt>
                <c:pt idx="126">
                  <c:v>4.3029000000000002</c:v>
                </c:pt>
                <c:pt idx="127">
                  <c:v>4.2933599999999998</c:v>
                </c:pt>
                <c:pt idx="128">
                  <c:v>4.28268</c:v>
                </c:pt>
                <c:pt idx="129">
                  <c:v>4.2729999999999997</c:v>
                </c:pt>
                <c:pt idx="130">
                  <c:v>4.2653099999999995</c:v>
                </c:pt>
                <c:pt idx="131">
                  <c:v>4.2596800000000004</c:v>
                </c:pt>
                <c:pt idx="132">
                  <c:v>4.25366</c:v>
                </c:pt>
                <c:pt idx="133">
                  <c:v>4.2485900000000001</c:v>
                </c:pt>
                <c:pt idx="134">
                  <c:v>4.2407000000000004</c:v>
                </c:pt>
                <c:pt idx="135">
                  <c:v>4.2342000000000004</c:v>
                </c:pt>
                <c:pt idx="136">
                  <c:v>4.2240899999999995</c:v>
                </c:pt>
                <c:pt idx="137">
                  <c:v>4.2079399999999998</c:v>
                </c:pt>
                <c:pt idx="138">
                  <c:v>4.1904200000000005</c:v>
                </c:pt>
                <c:pt idx="139">
                  <c:v>4.1712400000000001</c:v>
                </c:pt>
                <c:pt idx="140">
                  <c:v>4.1492000000000004</c:v>
                </c:pt>
                <c:pt idx="141">
                  <c:v>4.1251800000000003</c:v>
                </c:pt>
                <c:pt idx="142">
                  <c:v>4.0986000000000002</c:v>
                </c:pt>
                <c:pt idx="143">
                  <c:v>4.0707399999999998</c:v>
                </c:pt>
                <c:pt idx="144">
                  <c:v>4.0404600000000004</c:v>
                </c:pt>
                <c:pt idx="145">
                  <c:v>4.0131099999999993</c:v>
                </c:pt>
                <c:pt idx="146">
                  <c:v>3.9954400000000003</c:v>
                </c:pt>
                <c:pt idx="147">
                  <c:v>4.00021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53.728400000000001</c:v>
                </c:pt>
                <c:pt idx="1">
                  <c:v>52.906699999999994</c:v>
                </c:pt>
                <c:pt idx="2">
                  <c:v>52.112499999999997</c:v>
                </c:pt>
                <c:pt idx="3">
                  <c:v>51.257699999999993</c:v>
                </c:pt>
                <c:pt idx="4">
                  <c:v>50.339800000000004</c:v>
                </c:pt>
                <c:pt idx="5">
                  <c:v>49.515500000000003</c:v>
                </c:pt>
                <c:pt idx="6">
                  <c:v>48.886499999999998</c:v>
                </c:pt>
                <c:pt idx="7">
                  <c:v>48.407600000000002</c:v>
                </c:pt>
                <c:pt idx="8">
                  <c:v>47.957999999999998</c:v>
                </c:pt>
                <c:pt idx="9">
                  <c:v>47.509799999999998</c:v>
                </c:pt>
                <c:pt idx="10">
                  <c:v>47.057300000000005</c:v>
                </c:pt>
                <c:pt idx="11">
                  <c:v>46.615400000000001</c:v>
                </c:pt>
                <c:pt idx="12">
                  <c:v>46.231200000000001</c:v>
                </c:pt>
                <c:pt idx="13">
                  <c:v>45.9345</c:v>
                </c:pt>
                <c:pt idx="14">
                  <c:v>45.683500000000002</c:v>
                </c:pt>
                <c:pt idx="15">
                  <c:v>45.409399999999998</c:v>
                </c:pt>
                <c:pt idx="16">
                  <c:v>45.090499999999999</c:v>
                </c:pt>
                <c:pt idx="17">
                  <c:v>44.771100000000004</c:v>
                </c:pt>
                <c:pt idx="18">
                  <c:v>44.431199999999997</c:v>
                </c:pt>
                <c:pt idx="19">
                  <c:v>44.095600000000005</c:v>
                </c:pt>
                <c:pt idx="20">
                  <c:v>43.786000000000001</c:v>
                </c:pt>
                <c:pt idx="21">
                  <c:v>43.478200000000001</c:v>
                </c:pt>
                <c:pt idx="22">
                  <c:v>43.183599999999998</c:v>
                </c:pt>
                <c:pt idx="23">
                  <c:v>42.869399999999999</c:v>
                </c:pt>
                <c:pt idx="24">
                  <c:v>42.575099999999999</c:v>
                </c:pt>
                <c:pt idx="25">
                  <c:v>42.3874</c:v>
                </c:pt>
                <c:pt idx="26">
                  <c:v>42.258800000000001</c:v>
                </c:pt>
                <c:pt idx="27">
                  <c:v>42.187200000000004</c:v>
                </c:pt>
                <c:pt idx="28">
                  <c:v>42.196300000000001</c:v>
                </c:pt>
                <c:pt idx="29">
                  <c:v>42.2729</c:v>
                </c:pt>
                <c:pt idx="30">
                  <c:v>42.319299999999998</c:v>
                </c:pt>
                <c:pt idx="31">
                  <c:v>42.311500000000002</c:v>
                </c:pt>
                <c:pt idx="32">
                  <c:v>42.240600000000001</c:v>
                </c:pt>
                <c:pt idx="33">
                  <c:v>42.128500000000003</c:v>
                </c:pt>
                <c:pt idx="34">
                  <c:v>42.052</c:v>
                </c:pt>
                <c:pt idx="35">
                  <c:v>41.992899999999999</c:v>
                </c:pt>
                <c:pt idx="36">
                  <c:v>41.987400000000001</c:v>
                </c:pt>
                <c:pt idx="37">
                  <c:v>42.0212</c:v>
                </c:pt>
                <c:pt idx="38">
                  <c:v>42.032599999999995</c:v>
                </c:pt>
                <c:pt idx="39">
                  <c:v>41.974299999999999</c:v>
                </c:pt>
                <c:pt idx="40">
                  <c:v>41.882999999999996</c:v>
                </c:pt>
                <c:pt idx="41">
                  <c:v>41.810900000000004</c:v>
                </c:pt>
                <c:pt idx="42">
                  <c:v>41.764600000000002</c:v>
                </c:pt>
                <c:pt idx="43">
                  <c:v>41.775400000000005</c:v>
                </c:pt>
                <c:pt idx="44">
                  <c:v>41.810099999999998</c:v>
                </c:pt>
                <c:pt idx="45">
                  <c:v>41.831299999999999</c:v>
                </c:pt>
                <c:pt idx="46">
                  <c:v>41.842300000000002</c:v>
                </c:pt>
                <c:pt idx="47">
                  <c:v>41.813200000000002</c:v>
                </c:pt>
                <c:pt idx="48">
                  <c:v>41.784999999999997</c:v>
                </c:pt>
                <c:pt idx="49">
                  <c:v>41.723700000000001</c:v>
                </c:pt>
                <c:pt idx="50">
                  <c:v>41.680399999999999</c:v>
                </c:pt>
                <c:pt idx="51">
                  <c:v>41.639099999999999</c:v>
                </c:pt>
                <c:pt idx="52">
                  <c:v>41.606900000000003</c:v>
                </c:pt>
                <c:pt idx="53">
                  <c:v>41.510300000000001</c:v>
                </c:pt>
                <c:pt idx="54">
                  <c:v>41.460299999999997</c:v>
                </c:pt>
                <c:pt idx="55">
                  <c:v>41.475499999999997</c:v>
                </c:pt>
                <c:pt idx="56">
                  <c:v>41.470500000000001</c:v>
                </c:pt>
                <c:pt idx="57">
                  <c:v>41.516500000000001</c:v>
                </c:pt>
                <c:pt idx="58">
                  <c:v>41.705799999999996</c:v>
                </c:pt>
                <c:pt idx="59">
                  <c:v>41.8718</c:v>
                </c:pt>
                <c:pt idx="60">
                  <c:v>41.977199999999996</c:v>
                </c:pt>
                <c:pt idx="61">
                  <c:v>42.0747</c:v>
                </c:pt>
                <c:pt idx="62">
                  <c:v>42.177399999999999</c:v>
                </c:pt>
                <c:pt idx="63">
                  <c:v>42.279899999999998</c:v>
                </c:pt>
                <c:pt idx="64">
                  <c:v>42.373100000000001</c:v>
                </c:pt>
                <c:pt idx="65">
                  <c:v>42.512299999999996</c:v>
                </c:pt>
                <c:pt idx="66">
                  <c:v>42.760199999999998</c:v>
                </c:pt>
                <c:pt idx="67">
                  <c:v>43.036900000000003</c:v>
                </c:pt>
                <c:pt idx="68">
                  <c:v>43.308300000000003</c:v>
                </c:pt>
                <c:pt idx="69">
                  <c:v>43.599299999999999</c:v>
                </c:pt>
                <c:pt idx="70">
                  <c:v>43.843400000000003</c:v>
                </c:pt>
                <c:pt idx="71">
                  <c:v>44.130699999999997</c:v>
                </c:pt>
                <c:pt idx="72">
                  <c:v>44.487700000000004</c:v>
                </c:pt>
                <c:pt idx="73">
                  <c:v>44.878099999999996</c:v>
                </c:pt>
                <c:pt idx="74">
                  <c:v>45.331500000000005</c:v>
                </c:pt>
                <c:pt idx="75">
                  <c:v>45.772400000000005</c:v>
                </c:pt>
                <c:pt idx="76">
                  <c:v>46.061</c:v>
                </c:pt>
                <c:pt idx="77">
                  <c:v>46.247999999999998</c:v>
                </c:pt>
                <c:pt idx="78">
                  <c:v>46.364800000000002</c:v>
                </c:pt>
                <c:pt idx="79">
                  <c:v>46.461400000000005</c:v>
                </c:pt>
                <c:pt idx="80">
                  <c:v>46.595500000000001</c:v>
                </c:pt>
                <c:pt idx="81">
                  <c:v>46.7729</c:v>
                </c:pt>
                <c:pt idx="82">
                  <c:v>46.895800000000001</c:v>
                </c:pt>
                <c:pt idx="83">
                  <c:v>47.0002</c:v>
                </c:pt>
                <c:pt idx="84">
                  <c:v>47.105000000000004</c:v>
                </c:pt>
                <c:pt idx="85">
                  <c:v>47.142800000000001</c:v>
                </c:pt>
                <c:pt idx="86">
                  <c:v>47.045700000000004</c:v>
                </c:pt>
                <c:pt idx="87">
                  <c:v>46.819100000000006</c:v>
                </c:pt>
                <c:pt idx="88">
                  <c:v>46.636499999999998</c:v>
                </c:pt>
                <c:pt idx="89">
                  <c:v>46.5396</c:v>
                </c:pt>
                <c:pt idx="90">
                  <c:v>46.343600000000002</c:v>
                </c:pt>
                <c:pt idx="91">
                  <c:v>46.095000000000006</c:v>
                </c:pt>
                <c:pt idx="92">
                  <c:v>45.777299999999997</c:v>
                </c:pt>
                <c:pt idx="93">
                  <c:v>45.359899999999996</c:v>
                </c:pt>
                <c:pt idx="94">
                  <c:v>44.814999999999998</c:v>
                </c:pt>
                <c:pt idx="95">
                  <c:v>44.270800000000001</c:v>
                </c:pt>
                <c:pt idx="96">
                  <c:v>43.745899999999999</c:v>
                </c:pt>
                <c:pt idx="97">
                  <c:v>43.228100000000005</c:v>
                </c:pt>
                <c:pt idx="98">
                  <c:v>42.725299999999997</c:v>
                </c:pt>
                <c:pt idx="99">
                  <c:v>42.337699999999998</c:v>
                </c:pt>
                <c:pt idx="100">
                  <c:v>41.912999999999997</c:v>
                </c:pt>
                <c:pt idx="101">
                  <c:v>41.4191</c:v>
                </c:pt>
                <c:pt idx="102">
                  <c:v>40.964500000000001</c:v>
                </c:pt>
                <c:pt idx="103">
                  <c:v>40.6066</c:v>
                </c:pt>
                <c:pt idx="104">
                  <c:v>40.450900000000004</c:v>
                </c:pt>
                <c:pt idx="105">
                  <c:v>40.412300000000002</c:v>
                </c:pt>
                <c:pt idx="106">
                  <c:v>40.380000000000003</c:v>
                </c:pt>
                <c:pt idx="107">
                  <c:v>40.360399999999998</c:v>
                </c:pt>
                <c:pt idx="108">
                  <c:v>40.361999999999995</c:v>
                </c:pt>
                <c:pt idx="109">
                  <c:v>40.368400000000001</c:v>
                </c:pt>
                <c:pt idx="110">
                  <c:v>40.461799999999997</c:v>
                </c:pt>
                <c:pt idx="111">
                  <c:v>40.556399999999996</c:v>
                </c:pt>
                <c:pt idx="112">
                  <c:v>40.597000000000001</c:v>
                </c:pt>
                <c:pt idx="113">
                  <c:v>40.697100000000006</c:v>
                </c:pt>
                <c:pt idx="114">
                  <c:v>40.8003</c:v>
                </c:pt>
                <c:pt idx="115">
                  <c:v>40.916499999999999</c:v>
                </c:pt>
                <c:pt idx="116">
                  <c:v>41.044499999999999</c:v>
                </c:pt>
                <c:pt idx="117">
                  <c:v>41.169899999999998</c:v>
                </c:pt>
                <c:pt idx="118">
                  <c:v>41.323300000000003</c:v>
                </c:pt>
                <c:pt idx="119">
                  <c:v>41.475099999999998</c:v>
                </c:pt>
                <c:pt idx="120">
                  <c:v>41.572499999999998</c:v>
                </c:pt>
                <c:pt idx="121">
                  <c:v>41.648000000000003</c:v>
                </c:pt>
                <c:pt idx="122">
                  <c:v>41.736899999999999</c:v>
                </c:pt>
                <c:pt idx="123">
                  <c:v>41.844500000000004</c:v>
                </c:pt>
                <c:pt idx="124">
                  <c:v>41.881099999999996</c:v>
                </c:pt>
                <c:pt idx="125">
                  <c:v>41.960700000000003</c:v>
                </c:pt>
                <c:pt idx="126">
                  <c:v>42.110799999999998</c:v>
                </c:pt>
                <c:pt idx="127">
                  <c:v>42.314599999999999</c:v>
                </c:pt>
                <c:pt idx="128">
                  <c:v>42.524499999999996</c:v>
                </c:pt>
                <c:pt idx="129">
                  <c:v>42.688099999999999</c:v>
                </c:pt>
                <c:pt idx="130">
                  <c:v>42.8401</c:v>
                </c:pt>
                <c:pt idx="131">
                  <c:v>42.980499999999999</c:v>
                </c:pt>
                <c:pt idx="132">
                  <c:v>43.1663</c:v>
                </c:pt>
                <c:pt idx="133">
                  <c:v>43.326100000000004</c:v>
                </c:pt>
                <c:pt idx="134">
                  <c:v>43.505000000000003</c:v>
                </c:pt>
                <c:pt idx="135">
                  <c:v>43.6235</c:v>
                </c:pt>
                <c:pt idx="136">
                  <c:v>43.780700000000003</c:v>
                </c:pt>
                <c:pt idx="137">
                  <c:v>44.062200000000004</c:v>
                </c:pt>
                <c:pt idx="138">
                  <c:v>44.300800000000002</c:v>
                </c:pt>
                <c:pt idx="139">
                  <c:v>44.558999999999997</c:v>
                </c:pt>
                <c:pt idx="140">
                  <c:v>44.8005</c:v>
                </c:pt>
                <c:pt idx="141">
                  <c:v>45.066899999999997</c:v>
                </c:pt>
                <c:pt idx="142">
                  <c:v>45.269599999999997</c:v>
                </c:pt>
                <c:pt idx="143">
                  <c:v>45.4133</c:v>
                </c:pt>
                <c:pt idx="144">
                  <c:v>45.5762</c:v>
                </c:pt>
                <c:pt idx="145">
                  <c:v>45.956099999999999</c:v>
                </c:pt>
                <c:pt idx="146">
                  <c:v>46.364100000000001</c:v>
                </c:pt>
                <c:pt idx="147">
                  <c:v>46.462499999999999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2.7775300000000005</c:v>
                </c:pt>
                <c:pt idx="1">
                  <c:v>2.8396100000000004</c:v>
                </c:pt>
                <c:pt idx="2">
                  <c:v>2.9009299999999998</c:v>
                </c:pt>
                <c:pt idx="3">
                  <c:v>2.9611999999999998</c:v>
                </c:pt>
                <c:pt idx="4">
                  <c:v>3.0193199999999996</c:v>
                </c:pt>
                <c:pt idx="5">
                  <c:v>3.0731999999999999</c:v>
                </c:pt>
                <c:pt idx="6">
                  <c:v>3.1234899999999999</c:v>
                </c:pt>
                <c:pt idx="7">
                  <c:v>3.1676500000000001</c:v>
                </c:pt>
                <c:pt idx="8">
                  <c:v>3.2089600000000003</c:v>
                </c:pt>
                <c:pt idx="9">
                  <c:v>3.2487399999999997</c:v>
                </c:pt>
                <c:pt idx="10">
                  <c:v>3.28355</c:v>
                </c:pt>
                <c:pt idx="11">
                  <c:v>3.3163499999999999</c:v>
                </c:pt>
                <c:pt idx="12">
                  <c:v>3.3461600000000002</c:v>
                </c:pt>
                <c:pt idx="13">
                  <c:v>3.3714899999999997</c:v>
                </c:pt>
                <c:pt idx="14">
                  <c:v>3.3950900000000002</c:v>
                </c:pt>
                <c:pt idx="15">
                  <c:v>3.4150700000000001</c:v>
                </c:pt>
                <c:pt idx="16">
                  <c:v>3.43588</c:v>
                </c:pt>
                <c:pt idx="17">
                  <c:v>3.45336</c:v>
                </c:pt>
                <c:pt idx="18">
                  <c:v>3.4685600000000001</c:v>
                </c:pt>
                <c:pt idx="19">
                  <c:v>3.48353</c:v>
                </c:pt>
                <c:pt idx="20">
                  <c:v>3.4954299999999998</c:v>
                </c:pt>
                <c:pt idx="21">
                  <c:v>3.5067700000000004</c:v>
                </c:pt>
                <c:pt idx="22">
                  <c:v>3.51763</c:v>
                </c:pt>
                <c:pt idx="23">
                  <c:v>3.5301999999999998</c:v>
                </c:pt>
                <c:pt idx="24">
                  <c:v>3.5412599999999999</c:v>
                </c:pt>
                <c:pt idx="25">
                  <c:v>3.5444500000000003</c:v>
                </c:pt>
                <c:pt idx="26">
                  <c:v>3.54393</c:v>
                </c:pt>
                <c:pt idx="27">
                  <c:v>3.5390800000000002</c:v>
                </c:pt>
                <c:pt idx="28">
                  <c:v>3.5289599999999997</c:v>
                </c:pt>
                <c:pt idx="29">
                  <c:v>3.5170300000000001</c:v>
                </c:pt>
                <c:pt idx="30">
                  <c:v>3.5104200000000003</c:v>
                </c:pt>
                <c:pt idx="31">
                  <c:v>3.5063499999999999</c:v>
                </c:pt>
                <c:pt idx="32">
                  <c:v>3.5050999999999997</c:v>
                </c:pt>
                <c:pt idx="33">
                  <c:v>3.50448</c:v>
                </c:pt>
                <c:pt idx="34">
                  <c:v>3.5010300000000001</c:v>
                </c:pt>
                <c:pt idx="35">
                  <c:v>3.4962900000000001</c:v>
                </c:pt>
                <c:pt idx="36">
                  <c:v>3.4901200000000001</c:v>
                </c:pt>
                <c:pt idx="37">
                  <c:v>3.4833399999999997</c:v>
                </c:pt>
                <c:pt idx="38">
                  <c:v>3.4794</c:v>
                </c:pt>
                <c:pt idx="39">
                  <c:v>3.4760299999999997</c:v>
                </c:pt>
                <c:pt idx="40">
                  <c:v>3.4733499999999999</c:v>
                </c:pt>
                <c:pt idx="41">
                  <c:v>3.4689799999999997</c:v>
                </c:pt>
                <c:pt idx="42">
                  <c:v>3.4638999999999998</c:v>
                </c:pt>
                <c:pt idx="43">
                  <c:v>3.4584599999999996</c:v>
                </c:pt>
                <c:pt idx="44">
                  <c:v>3.4516299999999998</c:v>
                </c:pt>
                <c:pt idx="45">
                  <c:v>3.4429799999999999</c:v>
                </c:pt>
                <c:pt idx="46">
                  <c:v>3.4340900000000003</c:v>
                </c:pt>
                <c:pt idx="47">
                  <c:v>3.42544</c:v>
                </c:pt>
                <c:pt idx="48">
                  <c:v>3.4147499999999997</c:v>
                </c:pt>
                <c:pt idx="49">
                  <c:v>3.4050000000000002</c:v>
                </c:pt>
                <c:pt idx="50">
                  <c:v>3.3994799999999996</c:v>
                </c:pt>
                <c:pt idx="51">
                  <c:v>3.3922400000000001</c:v>
                </c:pt>
                <c:pt idx="52">
                  <c:v>3.38687</c:v>
                </c:pt>
                <c:pt idx="53">
                  <c:v>3.38483</c:v>
                </c:pt>
                <c:pt idx="54">
                  <c:v>3.3833299999999999</c:v>
                </c:pt>
                <c:pt idx="55">
                  <c:v>3.37906</c:v>
                </c:pt>
                <c:pt idx="56">
                  <c:v>3.37513</c:v>
                </c:pt>
                <c:pt idx="57">
                  <c:v>3.3726000000000003</c:v>
                </c:pt>
                <c:pt idx="58">
                  <c:v>3.3662299999999998</c:v>
                </c:pt>
                <c:pt idx="59">
                  <c:v>3.3603199999999998</c:v>
                </c:pt>
                <c:pt idx="60">
                  <c:v>3.3570199999999999</c:v>
                </c:pt>
                <c:pt idx="61">
                  <c:v>3.3565099999999997</c:v>
                </c:pt>
                <c:pt idx="62">
                  <c:v>3.35758</c:v>
                </c:pt>
                <c:pt idx="63">
                  <c:v>3.35921</c:v>
                </c:pt>
                <c:pt idx="64">
                  <c:v>3.3613599999999999</c:v>
                </c:pt>
                <c:pt idx="65">
                  <c:v>3.3641900000000002</c:v>
                </c:pt>
                <c:pt idx="66">
                  <c:v>3.3625799999999999</c:v>
                </c:pt>
                <c:pt idx="67">
                  <c:v>3.3607800000000001</c:v>
                </c:pt>
                <c:pt idx="68">
                  <c:v>3.3593800000000003</c:v>
                </c:pt>
                <c:pt idx="69">
                  <c:v>3.35928</c:v>
                </c:pt>
                <c:pt idx="70">
                  <c:v>3.3628599999999995</c:v>
                </c:pt>
                <c:pt idx="71">
                  <c:v>3.3673500000000001</c:v>
                </c:pt>
                <c:pt idx="72">
                  <c:v>3.3724599999999998</c:v>
                </c:pt>
                <c:pt idx="73">
                  <c:v>3.3780700000000001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53.728400000000001</c:v>
                </c:pt>
                <c:pt idx="1">
                  <c:v>52.906699999999994</c:v>
                </c:pt>
                <c:pt idx="2">
                  <c:v>52.112499999999997</c:v>
                </c:pt>
                <c:pt idx="3">
                  <c:v>51.257699999999993</c:v>
                </c:pt>
                <c:pt idx="4">
                  <c:v>50.339800000000004</c:v>
                </c:pt>
                <c:pt idx="5">
                  <c:v>49.515500000000003</c:v>
                </c:pt>
                <c:pt idx="6">
                  <c:v>48.886499999999998</c:v>
                </c:pt>
                <c:pt idx="7">
                  <c:v>48.407600000000002</c:v>
                </c:pt>
                <c:pt idx="8">
                  <c:v>47.957999999999998</c:v>
                </c:pt>
                <c:pt idx="9">
                  <c:v>47.509799999999998</c:v>
                </c:pt>
                <c:pt idx="10">
                  <c:v>47.057300000000005</c:v>
                </c:pt>
                <c:pt idx="11">
                  <c:v>46.615400000000001</c:v>
                </c:pt>
                <c:pt idx="12">
                  <c:v>46.231200000000001</c:v>
                </c:pt>
                <c:pt idx="13">
                  <c:v>45.9345</c:v>
                </c:pt>
                <c:pt idx="14">
                  <c:v>45.683500000000002</c:v>
                </c:pt>
                <c:pt idx="15">
                  <c:v>45.409399999999998</c:v>
                </c:pt>
                <c:pt idx="16">
                  <c:v>45.090499999999999</c:v>
                </c:pt>
                <c:pt idx="17">
                  <c:v>44.771100000000004</c:v>
                </c:pt>
                <c:pt idx="18">
                  <c:v>44.431199999999997</c:v>
                </c:pt>
                <c:pt idx="19">
                  <c:v>44.095600000000005</c:v>
                </c:pt>
                <c:pt idx="20">
                  <c:v>43.786000000000001</c:v>
                </c:pt>
                <c:pt idx="21">
                  <c:v>43.478200000000001</c:v>
                </c:pt>
                <c:pt idx="22">
                  <c:v>43.183599999999998</c:v>
                </c:pt>
                <c:pt idx="23">
                  <c:v>42.869399999999999</c:v>
                </c:pt>
                <c:pt idx="24">
                  <c:v>42.575099999999999</c:v>
                </c:pt>
                <c:pt idx="25">
                  <c:v>42.3874</c:v>
                </c:pt>
                <c:pt idx="26">
                  <c:v>42.258800000000001</c:v>
                </c:pt>
                <c:pt idx="27">
                  <c:v>42.187200000000004</c:v>
                </c:pt>
                <c:pt idx="28">
                  <c:v>42.196300000000001</c:v>
                </c:pt>
                <c:pt idx="29">
                  <c:v>42.2729</c:v>
                </c:pt>
                <c:pt idx="30">
                  <c:v>42.319299999999998</c:v>
                </c:pt>
                <c:pt idx="31">
                  <c:v>42.311500000000002</c:v>
                </c:pt>
                <c:pt idx="32">
                  <c:v>42.240600000000001</c:v>
                </c:pt>
                <c:pt idx="33">
                  <c:v>42.128500000000003</c:v>
                </c:pt>
                <c:pt idx="34">
                  <c:v>42.052</c:v>
                </c:pt>
                <c:pt idx="35">
                  <c:v>41.992899999999999</c:v>
                </c:pt>
                <c:pt idx="36">
                  <c:v>41.987400000000001</c:v>
                </c:pt>
                <c:pt idx="37">
                  <c:v>42.0212</c:v>
                </c:pt>
                <c:pt idx="38">
                  <c:v>42.032599999999995</c:v>
                </c:pt>
                <c:pt idx="39">
                  <c:v>41.974299999999999</c:v>
                </c:pt>
                <c:pt idx="40">
                  <c:v>41.882999999999996</c:v>
                </c:pt>
                <c:pt idx="41">
                  <c:v>41.810900000000004</c:v>
                </c:pt>
                <c:pt idx="42">
                  <c:v>41.764600000000002</c:v>
                </c:pt>
                <c:pt idx="43">
                  <c:v>41.775400000000005</c:v>
                </c:pt>
                <c:pt idx="44">
                  <c:v>41.810099999999998</c:v>
                </c:pt>
                <c:pt idx="45">
                  <c:v>41.831299999999999</c:v>
                </c:pt>
                <c:pt idx="46">
                  <c:v>41.842300000000002</c:v>
                </c:pt>
                <c:pt idx="47">
                  <c:v>41.813200000000002</c:v>
                </c:pt>
                <c:pt idx="48">
                  <c:v>41.784999999999997</c:v>
                </c:pt>
                <c:pt idx="49">
                  <c:v>41.723700000000001</c:v>
                </c:pt>
                <c:pt idx="50">
                  <c:v>41.680399999999999</c:v>
                </c:pt>
                <c:pt idx="51">
                  <c:v>41.639099999999999</c:v>
                </c:pt>
                <c:pt idx="52">
                  <c:v>41.606900000000003</c:v>
                </c:pt>
                <c:pt idx="53">
                  <c:v>41.510300000000001</c:v>
                </c:pt>
                <c:pt idx="54">
                  <c:v>41.460299999999997</c:v>
                </c:pt>
                <c:pt idx="55">
                  <c:v>41.475499999999997</c:v>
                </c:pt>
                <c:pt idx="56">
                  <c:v>41.470500000000001</c:v>
                </c:pt>
                <c:pt idx="57">
                  <c:v>41.516500000000001</c:v>
                </c:pt>
                <c:pt idx="58">
                  <c:v>41.705799999999996</c:v>
                </c:pt>
                <c:pt idx="59">
                  <c:v>41.8718</c:v>
                </c:pt>
                <c:pt idx="60">
                  <c:v>41.977199999999996</c:v>
                </c:pt>
                <c:pt idx="61">
                  <c:v>42.0747</c:v>
                </c:pt>
                <c:pt idx="62">
                  <c:v>42.177399999999999</c:v>
                </c:pt>
                <c:pt idx="63">
                  <c:v>42.279899999999998</c:v>
                </c:pt>
                <c:pt idx="64">
                  <c:v>42.373100000000001</c:v>
                </c:pt>
                <c:pt idx="65">
                  <c:v>42.512299999999996</c:v>
                </c:pt>
                <c:pt idx="66">
                  <c:v>42.760199999999998</c:v>
                </c:pt>
                <c:pt idx="67">
                  <c:v>43.036900000000003</c:v>
                </c:pt>
                <c:pt idx="68">
                  <c:v>43.308300000000003</c:v>
                </c:pt>
                <c:pt idx="69">
                  <c:v>43.599299999999999</c:v>
                </c:pt>
                <c:pt idx="70">
                  <c:v>43.843400000000003</c:v>
                </c:pt>
                <c:pt idx="71">
                  <c:v>44.130699999999997</c:v>
                </c:pt>
                <c:pt idx="72">
                  <c:v>44.487700000000004</c:v>
                </c:pt>
                <c:pt idx="73">
                  <c:v>44.878099999999996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3.3780700000000001</c:v>
                </c:pt>
                <c:pt idx="1">
                  <c:v>3.3791700000000002</c:v>
                </c:pt>
                <c:pt idx="2">
                  <c:v>3.3842699999999999</c:v>
                </c:pt>
                <c:pt idx="3">
                  <c:v>3.3909000000000002</c:v>
                </c:pt>
                <c:pt idx="4">
                  <c:v>3.4009099999999997</c:v>
                </c:pt>
                <c:pt idx="5">
                  <c:v>3.4121000000000001</c:v>
                </c:pt>
                <c:pt idx="6">
                  <c:v>3.4189599999999998</c:v>
                </c:pt>
                <c:pt idx="7">
                  <c:v>3.4236599999999999</c:v>
                </c:pt>
                <c:pt idx="8">
                  <c:v>3.4289700000000001</c:v>
                </c:pt>
                <c:pt idx="9">
                  <c:v>3.4350399999999999</c:v>
                </c:pt>
                <c:pt idx="10">
                  <c:v>3.4451900000000002</c:v>
                </c:pt>
                <c:pt idx="11">
                  <c:v>3.45669</c:v>
                </c:pt>
                <c:pt idx="12">
                  <c:v>3.4683299999999999</c:v>
                </c:pt>
                <c:pt idx="13">
                  <c:v>3.4821900000000001</c:v>
                </c:pt>
                <c:pt idx="14">
                  <c:v>3.5009399999999999</c:v>
                </c:pt>
                <c:pt idx="15">
                  <c:v>3.5189500000000002</c:v>
                </c:pt>
                <c:pt idx="16">
                  <c:v>3.53566</c:v>
                </c:pt>
                <c:pt idx="17">
                  <c:v>3.5574299999999996</c:v>
                </c:pt>
                <c:pt idx="18">
                  <c:v>3.5829699999999995</c:v>
                </c:pt>
                <c:pt idx="19">
                  <c:v>3.6121399999999997</c:v>
                </c:pt>
                <c:pt idx="20">
                  <c:v>3.6451899999999999</c:v>
                </c:pt>
                <c:pt idx="21">
                  <c:v>3.6816800000000001</c:v>
                </c:pt>
                <c:pt idx="22">
                  <c:v>3.7190099999999999</c:v>
                </c:pt>
                <c:pt idx="23">
                  <c:v>3.7548199999999996</c:v>
                </c:pt>
                <c:pt idx="24">
                  <c:v>3.7899400000000001</c:v>
                </c:pt>
                <c:pt idx="25">
                  <c:v>3.8289299999999997</c:v>
                </c:pt>
                <c:pt idx="26">
                  <c:v>3.8668400000000003</c:v>
                </c:pt>
                <c:pt idx="27">
                  <c:v>3.9046700000000003</c:v>
                </c:pt>
                <c:pt idx="28">
                  <c:v>3.9453</c:v>
                </c:pt>
                <c:pt idx="29">
                  <c:v>3.9844200000000001</c:v>
                </c:pt>
                <c:pt idx="30">
                  <c:v>4.0222199999999999</c:v>
                </c:pt>
                <c:pt idx="31">
                  <c:v>4.0595499999999998</c:v>
                </c:pt>
                <c:pt idx="32">
                  <c:v>4.0934900000000001</c:v>
                </c:pt>
                <c:pt idx="33">
                  <c:v>4.1224600000000002</c:v>
                </c:pt>
                <c:pt idx="34">
                  <c:v>4.1510899999999999</c:v>
                </c:pt>
                <c:pt idx="35">
                  <c:v>4.1776499999999999</c:v>
                </c:pt>
                <c:pt idx="36">
                  <c:v>4.2043099999999995</c:v>
                </c:pt>
                <c:pt idx="37">
                  <c:v>4.2288800000000002</c:v>
                </c:pt>
                <c:pt idx="38">
                  <c:v>4.2515599999999996</c:v>
                </c:pt>
                <c:pt idx="39">
                  <c:v>4.2730399999999999</c:v>
                </c:pt>
                <c:pt idx="40">
                  <c:v>4.2934099999999997</c:v>
                </c:pt>
                <c:pt idx="41">
                  <c:v>4.3130800000000002</c:v>
                </c:pt>
                <c:pt idx="42">
                  <c:v>4.3294899999999998</c:v>
                </c:pt>
                <c:pt idx="43">
                  <c:v>4.3436900000000005</c:v>
                </c:pt>
                <c:pt idx="44">
                  <c:v>4.3532000000000002</c:v>
                </c:pt>
                <c:pt idx="45">
                  <c:v>4.3580399999999999</c:v>
                </c:pt>
                <c:pt idx="46">
                  <c:v>4.3568099999999994</c:v>
                </c:pt>
                <c:pt idx="47">
                  <c:v>4.3505799999999999</c:v>
                </c:pt>
                <c:pt idx="48">
                  <c:v>4.3413000000000004</c:v>
                </c:pt>
                <c:pt idx="49">
                  <c:v>4.3289</c:v>
                </c:pt>
                <c:pt idx="50">
                  <c:v>4.3141699999999998</c:v>
                </c:pt>
                <c:pt idx="51">
                  <c:v>4.31304</c:v>
                </c:pt>
                <c:pt idx="52">
                  <c:v>4.3101000000000003</c:v>
                </c:pt>
                <c:pt idx="53">
                  <c:v>4.3029000000000002</c:v>
                </c:pt>
                <c:pt idx="54">
                  <c:v>4.2933599999999998</c:v>
                </c:pt>
                <c:pt idx="55">
                  <c:v>4.28268</c:v>
                </c:pt>
                <c:pt idx="56">
                  <c:v>4.2729999999999997</c:v>
                </c:pt>
                <c:pt idx="57">
                  <c:v>4.2653099999999995</c:v>
                </c:pt>
                <c:pt idx="58">
                  <c:v>4.2596800000000004</c:v>
                </c:pt>
                <c:pt idx="59">
                  <c:v>4.25366</c:v>
                </c:pt>
                <c:pt idx="60">
                  <c:v>4.2485900000000001</c:v>
                </c:pt>
                <c:pt idx="61">
                  <c:v>4.2407000000000004</c:v>
                </c:pt>
                <c:pt idx="62">
                  <c:v>4.2342000000000004</c:v>
                </c:pt>
                <c:pt idx="63">
                  <c:v>4.2240899999999995</c:v>
                </c:pt>
                <c:pt idx="64">
                  <c:v>4.2079399999999998</c:v>
                </c:pt>
                <c:pt idx="65">
                  <c:v>4.1904200000000005</c:v>
                </c:pt>
                <c:pt idx="66">
                  <c:v>4.1712400000000001</c:v>
                </c:pt>
                <c:pt idx="67">
                  <c:v>4.1492000000000004</c:v>
                </c:pt>
                <c:pt idx="68">
                  <c:v>4.1251800000000003</c:v>
                </c:pt>
                <c:pt idx="69">
                  <c:v>4.0986000000000002</c:v>
                </c:pt>
                <c:pt idx="70">
                  <c:v>4.0707399999999998</c:v>
                </c:pt>
                <c:pt idx="71">
                  <c:v>4.0404600000000004</c:v>
                </c:pt>
                <c:pt idx="72">
                  <c:v>4.0131099999999993</c:v>
                </c:pt>
                <c:pt idx="73">
                  <c:v>3.9954400000000003</c:v>
                </c:pt>
                <c:pt idx="74">
                  <c:v>4.00021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44.878099999999996</c:v>
                </c:pt>
                <c:pt idx="1">
                  <c:v>45.331500000000005</c:v>
                </c:pt>
                <c:pt idx="2">
                  <c:v>45.772400000000005</c:v>
                </c:pt>
                <c:pt idx="3">
                  <c:v>46.061</c:v>
                </c:pt>
                <c:pt idx="4">
                  <c:v>46.247999999999998</c:v>
                </c:pt>
                <c:pt idx="5">
                  <c:v>46.364800000000002</c:v>
                </c:pt>
                <c:pt idx="6">
                  <c:v>46.461400000000005</c:v>
                </c:pt>
                <c:pt idx="7">
                  <c:v>46.595500000000001</c:v>
                </c:pt>
                <c:pt idx="8">
                  <c:v>46.7729</c:v>
                </c:pt>
                <c:pt idx="9">
                  <c:v>46.895800000000001</c:v>
                </c:pt>
                <c:pt idx="10">
                  <c:v>47.0002</c:v>
                </c:pt>
                <c:pt idx="11">
                  <c:v>47.105000000000004</c:v>
                </c:pt>
                <c:pt idx="12">
                  <c:v>47.142800000000001</c:v>
                </c:pt>
                <c:pt idx="13">
                  <c:v>47.045700000000004</c:v>
                </c:pt>
                <c:pt idx="14">
                  <c:v>46.819100000000006</c:v>
                </c:pt>
                <c:pt idx="15">
                  <c:v>46.636499999999998</c:v>
                </c:pt>
                <c:pt idx="16">
                  <c:v>46.5396</c:v>
                </c:pt>
                <c:pt idx="17">
                  <c:v>46.343600000000002</c:v>
                </c:pt>
                <c:pt idx="18">
                  <c:v>46.095000000000006</c:v>
                </c:pt>
                <c:pt idx="19">
                  <c:v>45.777299999999997</c:v>
                </c:pt>
                <c:pt idx="20">
                  <c:v>45.359899999999996</c:v>
                </c:pt>
                <c:pt idx="21">
                  <c:v>44.814999999999998</c:v>
                </c:pt>
                <c:pt idx="22">
                  <c:v>44.270800000000001</c:v>
                </c:pt>
                <c:pt idx="23">
                  <c:v>43.745899999999999</c:v>
                </c:pt>
                <c:pt idx="24">
                  <c:v>43.228100000000005</c:v>
                </c:pt>
                <c:pt idx="25">
                  <c:v>42.725299999999997</c:v>
                </c:pt>
                <c:pt idx="26">
                  <c:v>42.337699999999998</c:v>
                </c:pt>
                <c:pt idx="27">
                  <c:v>41.912999999999997</c:v>
                </c:pt>
                <c:pt idx="28">
                  <c:v>41.4191</c:v>
                </c:pt>
                <c:pt idx="29">
                  <c:v>40.964500000000001</c:v>
                </c:pt>
                <c:pt idx="30">
                  <c:v>40.6066</c:v>
                </c:pt>
                <c:pt idx="31">
                  <c:v>40.450900000000004</c:v>
                </c:pt>
                <c:pt idx="32">
                  <c:v>40.412300000000002</c:v>
                </c:pt>
                <c:pt idx="33">
                  <c:v>40.380000000000003</c:v>
                </c:pt>
                <c:pt idx="34">
                  <c:v>40.360399999999998</c:v>
                </c:pt>
                <c:pt idx="35">
                  <c:v>40.361999999999995</c:v>
                </c:pt>
                <c:pt idx="36">
                  <c:v>40.368400000000001</c:v>
                </c:pt>
                <c:pt idx="37">
                  <c:v>40.461799999999997</c:v>
                </c:pt>
                <c:pt idx="38">
                  <c:v>40.556399999999996</c:v>
                </c:pt>
                <c:pt idx="39">
                  <c:v>40.597000000000001</c:v>
                </c:pt>
                <c:pt idx="40">
                  <c:v>40.697100000000006</c:v>
                </c:pt>
                <c:pt idx="41">
                  <c:v>40.8003</c:v>
                </c:pt>
                <c:pt idx="42">
                  <c:v>40.916499999999999</c:v>
                </c:pt>
                <c:pt idx="43">
                  <c:v>41.044499999999999</c:v>
                </c:pt>
                <c:pt idx="44">
                  <c:v>41.169899999999998</c:v>
                </c:pt>
                <c:pt idx="45">
                  <c:v>41.323300000000003</c:v>
                </c:pt>
                <c:pt idx="46">
                  <c:v>41.475099999999998</c:v>
                </c:pt>
                <c:pt idx="47">
                  <c:v>41.572499999999998</c:v>
                </c:pt>
                <c:pt idx="48">
                  <c:v>41.648000000000003</c:v>
                </c:pt>
                <c:pt idx="49">
                  <c:v>41.736899999999999</c:v>
                </c:pt>
                <c:pt idx="50">
                  <c:v>41.844500000000004</c:v>
                </c:pt>
                <c:pt idx="51">
                  <c:v>41.881099999999996</c:v>
                </c:pt>
                <c:pt idx="52">
                  <c:v>41.960700000000003</c:v>
                </c:pt>
                <c:pt idx="53">
                  <c:v>42.110799999999998</c:v>
                </c:pt>
                <c:pt idx="54">
                  <c:v>42.314599999999999</c:v>
                </c:pt>
                <c:pt idx="55">
                  <c:v>42.524499999999996</c:v>
                </c:pt>
                <c:pt idx="56">
                  <c:v>42.688099999999999</c:v>
                </c:pt>
                <c:pt idx="57">
                  <c:v>42.8401</c:v>
                </c:pt>
                <c:pt idx="58">
                  <c:v>42.980499999999999</c:v>
                </c:pt>
                <c:pt idx="59">
                  <c:v>43.1663</c:v>
                </c:pt>
                <c:pt idx="60">
                  <c:v>43.326100000000004</c:v>
                </c:pt>
                <c:pt idx="61">
                  <c:v>43.505000000000003</c:v>
                </c:pt>
                <c:pt idx="62">
                  <c:v>43.6235</c:v>
                </c:pt>
                <c:pt idx="63">
                  <c:v>43.780700000000003</c:v>
                </c:pt>
                <c:pt idx="64">
                  <c:v>44.062200000000004</c:v>
                </c:pt>
                <c:pt idx="65">
                  <c:v>44.300800000000002</c:v>
                </c:pt>
                <c:pt idx="66">
                  <c:v>44.558999999999997</c:v>
                </c:pt>
                <c:pt idx="67">
                  <c:v>44.8005</c:v>
                </c:pt>
                <c:pt idx="68">
                  <c:v>45.066899999999997</c:v>
                </c:pt>
                <c:pt idx="69">
                  <c:v>45.269599999999997</c:v>
                </c:pt>
                <c:pt idx="70">
                  <c:v>45.4133</c:v>
                </c:pt>
                <c:pt idx="71">
                  <c:v>45.5762</c:v>
                </c:pt>
                <c:pt idx="72">
                  <c:v>45.956099999999999</c:v>
                </c:pt>
                <c:pt idx="73">
                  <c:v>46.364100000000001</c:v>
                </c:pt>
                <c:pt idx="74">
                  <c:v>46.462499999999999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2.7775300000000005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53.728400000000001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3.3760036486486475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43.832610810810799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3.9700816216216217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43.609527027027021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3.9700816216216217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43.609527027027021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13"/>
      <c r="D1" s="114"/>
      <c r="E1" s="114"/>
      <c r="F1" s="114"/>
      <c r="G1" s="114"/>
      <c r="H1" s="114"/>
      <c r="I1" s="114"/>
      <c r="J1" s="26"/>
      <c r="K1" s="8"/>
      <c r="L1" s="2"/>
      <c r="M1" s="2"/>
      <c r="N1" s="2"/>
      <c r="O1" s="2"/>
      <c r="P1" s="2"/>
    </row>
    <row r="2" spans="2:21" ht="27.75" customHeight="1" thickBot="1">
      <c r="B2" s="154" t="s">
        <v>290</v>
      </c>
      <c r="C2" s="155"/>
      <c r="D2" s="155"/>
      <c r="E2" s="155"/>
      <c r="F2" s="155"/>
      <c r="G2" s="155"/>
      <c r="H2" s="155"/>
      <c r="I2" s="155"/>
      <c r="J2" s="155"/>
      <c r="K2" s="155"/>
      <c r="L2" s="90"/>
      <c r="M2" s="90"/>
      <c r="N2" s="90"/>
      <c r="O2" s="90"/>
      <c r="P2" s="90"/>
    </row>
    <row r="3" spans="2:21" ht="13.5">
      <c r="B3" s="136" t="str">
        <f>lang!B2</f>
        <v>心理生理状态分析结果</v>
      </c>
      <c r="C3" s="137"/>
      <c r="D3" s="137"/>
      <c r="E3" s="137"/>
      <c r="F3" s="137"/>
      <c r="G3" s="137"/>
      <c r="H3" s="137"/>
      <c r="I3" s="137"/>
      <c r="J3" s="137"/>
      <c r="K3" s="138"/>
    </row>
    <row r="4" spans="2:21" ht="34.5" customHeight="1" thickBot="1">
      <c r="B4" s="139"/>
      <c r="C4" s="140"/>
      <c r="D4" s="140"/>
      <c r="E4" s="140"/>
      <c r="F4" s="140"/>
      <c r="G4" s="140"/>
      <c r="H4" s="140"/>
      <c r="I4" s="140"/>
      <c r="J4" s="140"/>
      <c r="K4" s="141"/>
    </row>
    <row r="5" spans="2:21" ht="16.5" customHeight="1">
      <c r="B5" s="45" t="str">
        <f>lang!B24</f>
        <v>姓名</v>
      </c>
      <c r="C5" s="197" t="s">
        <v>570</v>
      </c>
      <c r="D5" s="151"/>
      <c r="E5" s="151"/>
      <c r="F5" s="152"/>
      <c r="G5" s="48" t="str">
        <f>lang!B27</f>
        <v>编号</v>
      </c>
      <c r="H5" s="150">
        <v>2</v>
      </c>
      <c r="I5" s="151"/>
      <c r="J5" s="151"/>
      <c r="K5" s="153"/>
    </row>
    <row r="6" spans="2:21" ht="17.25" customHeight="1">
      <c r="B6" s="46" t="str">
        <f>lang!B25</f>
        <v>性别</v>
      </c>
      <c r="C6" s="198" t="s">
        <v>569</v>
      </c>
      <c r="D6" s="188"/>
      <c r="E6" s="188"/>
      <c r="F6" s="189"/>
      <c r="G6" s="49" t="str">
        <f>lang!B28</f>
        <v xml:space="preserve"> 日期</v>
      </c>
      <c r="H6" s="172">
        <f>FH_info!A2</f>
        <v>43621.374479166669</v>
      </c>
      <c r="I6" s="173"/>
      <c r="J6" s="173"/>
      <c r="K6" s="174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90">
        <v>62</v>
      </c>
      <c r="D7" s="191"/>
      <c r="E7" s="191"/>
      <c r="F7" s="192"/>
      <c r="G7" s="50" t="str">
        <f>lang!B29</f>
        <v>误差率（%）</v>
      </c>
      <c r="H7" s="175">
        <f>M!B17*1</f>
        <v>16.110399999999998</v>
      </c>
      <c r="I7" s="176"/>
      <c r="J7" s="176"/>
      <c r="K7" s="177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68" t="str">
        <f>lang!B30</f>
        <v>10项参数结果</v>
      </c>
      <c r="C8" s="169"/>
      <c r="D8" s="170"/>
      <c r="E8" s="170"/>
      <c r="F8" s="170"/>
      <c r="G8" s="170"/>
      <c r="H8" s="170"/>
      <c r="I8" s="170"/>
      <c r="J8" s="170"/>
      <c r="K8" s="171"/>
      <c r="M8" s="27" t="str">
        <f>lang!B14</f>
        <v>攻击性</v>
      </c>
      <c r="N8" s="59">
        <f>M!B5*1</f>
        <v>43.988999999999997</v>
      </c>
      <c r="O8" s="59">
        <f>M!C5*1</f>
        <v>5.8302399999999999</v>
      </c>
      <c r="P8" s="59">
        <f>M!D5*1</f>
        <v>13.2539</v>
      </c>
      <c r="Q8" s="59">
        <f>M!E5*1</f>
        <v>20</v>
      </c>
      <c r="R8" s="59">
        <f>M!F5*1</f>
        <v>21.9819</v>
      </c>
      <c r="S8" s="59">
        <f>M!G5*1</f>
        <v>50</v>
      </c>
      <c r="T8" s="59">
        <f>M!H5*1</f>
        <v>50.019500000000001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28.4786</v>
      </c>
      <c r="O9" s="59">
        <f>M!C6*1</f>
        <v>2.3385099999999999</v>
      </c>
      <c r="P9" s="59">
        <f>M!D6*1</f>
        <v>8.2114499999999992</v>
      </c>
      <c r="Q9" s="59">
        <f>M!E6*1</f>
        <v>20</v>
      </c>
      <c r="R9" s="59">
        <f>M!F6*1</f>
        <v>24.921299999999999</v>
      </c>
      <c r="S9" s="59">
        <f>M!G6*1</f>
        <v>40</v>
      </c>
      <c r="T9" s="59">
        <f>M!H6*1</f>
        <v>36.8078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21.9819</v>
      </c>
      <c r="D10" s="99">
        <f>N8</f>
        <v>43.988999999999997</v>
      </c>
      <c r="E10" s="100">
        <f>T8</f>
        <v>50.019500000000001</v>
      </c>
      <c r="F10" s="91">
        <f>P8</f>
        <v>13.2539</v>
      </c>
      <c r="G10" s="81" t="str">
        <f>CONCATENATE(M9,"
(20 ~ 40)")</f>
        <v>压力
(20 ~ 40)</v>
      </c>
      <c r="H10" s="98">
        <f>R9</f>
        <v>24.921299999999999</v>
      </c>
      <c r="I10" s="108">
        <f>N9</f>
        <v>28.4786</v>
      </c>
      <c r="J10" s="98">
        <f>T9</f>
        <v>36.8078</v>
      </c>
      <c r="K10" s="92">
        <f>P9</f>
        <v>8.2114499999999992</v>
      </c>
      <c r="L10" s="6"/>
      <c r="M10" s="27" t="str">
        <f>lang!B16</f>
        <v>焦虑</v>
      </c>
      <c r="N10" s="59">
        <f>M!B7*1</f>
        <v>23.552399999999999</v>
      </c>
      <c r="O10" s="59">
        <f>M!C7*1</f>
        <v>8.7065699999999993</v>
      </c>
      <c r="P10" s="59">
        <f>M!D7*1</f>
        <v>36.966900000000003</v>
      </c>
      <c r="Q10" s="59">
        <f>M!E7*1</f>
        <v>15</v>
      </c>
      <c r="R10" s="59">
        <f>M!F7*1</f>
        <v>1.8022</v>
      </c>
      <c r="S10" s="59">
        <f>M!G7*1</f>
        <v>40</v>
      </c>
      <c r="T10" s="59">
        <f>M!H7*1</f>
        <v>45.381399999999999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1.8022</v>
      </c>
      <c r="D11" s="102">
        <f>N10</f>
        <v>23.552399999999999</v>
      </c>
      <c r="E11" s="103">
        <f>T10</f>
        <v>45.381399999999999</v>
      </c>
      <c r="F11" s="94">
        <f>P10</f>
        <v>36.966900000000003</v>
      </c>
      <c r="G11" s="52" t="str">
        <f>CONCATENATE(M11,"
(20 ~ 50)")</f>
        <v>可疑
(20 ~ 50)</v>
      </c>
      <c r="H11" s="101">
        <f>R11</f>
        <v>25.08</v>
      </c>
      <c r="I11" s="104">
        <f>N11</f>
        <v>31.621400000000001</v>
      </c>
      <c r="J11" s="101">
        <f>T11</f>
        <v>34.918599999999998</v>
      </c>
      <c r="K11" s="95">
        <f>P11</f>
        <v>7.1993099999999997</v>
      </c>
      <c r="L11" s="4"/>
      <c r="M11" s="27" t="str">
        <f>lang!B17</f>
        <v>可疑</v>
      </c>
      <c r="N11" s="59">
        <f>M!B8*1</f>
        <v>31.621400000000001</v>
      </c>
      <c r="O11" s="59">
        <f>M!C8*1</f>
        <v>2.2765200000000001</v>
      </c>
      <c r="P11" s="59">
        <f>M!D8*1</f>
        <v>7.1993099999999997</v>
      </c>
      <c r="Q11" s="59">
        <f>M!E8*1</f>
        <v>20</v>
      </c>
      <c r="R11" s="59">
        <f>M!F8*1</f>
        <v>25.08</v>
      </c>
      <c r="S11" s="59">
        <f>M!G8*1</f>
        <v>50</v>
      </c>
      <c r="T11" s="59">
        <f>M!H8*1</f>
        <v>34.918599999999998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38.5214</v>
      </c>
      <c r="D12" s="104">
        <f>N12</f>
        <v>60.063400000000001</v>
      </c>
      <c r="E12" s="101">
        <f>T12</f>
        <v>77.253399999999999</v>
      </c>
      <c r="F12" s="93">
        <f>P12</f>
        <v>13.6493</v>
      </c>
      <c r="G12" s="52" t="str">
        <f>CONCATENATE(M13,"
(40 ~ 100)")</f>
        <v>自信
(40 ~ 100)</v>
      </c>
      <c r="H12" s="101">
        <f>R13</f>
        <v>76.816000000000003</v>
      </c>
      <c r="I12" s="104">
        <f>N13</f>
        <v>81.878399999999999</v>
      </c>
      <c r="J12" s="101">
        <f>T13</f>
        <v>85.068100000000001</v>
      </c>
      <c r="K12" s="95">
        <f>P13</f>
        <v>2.7755200000000002</v>
      </c>
      <c r="L12" s="4"/>
      <c r="M12" s="27" t="str">
        <f>lang!B18</f>
        <v>平衡</v>
      </c>
      <c r="N12" s="59">
        <f>M!B9*1</f>
        <v>60.063400000000001</v>
      </c>
      <c r="O12" s="59">
        <f>M!C9*1</f>
        <v>8.1982599999999994</v>
      </c>
      <c r="P12" s="59">
        <f>M!D9*1</f>
        <v>13.6493</v>
      </c>
      <c r="Q12" s="59">
        <f>M!E9*1</f>
        <v>50</v>
      </c>
      <c r="R12" s="59">
        <f>M!F9*1</f>
        <v>38.5214</v>
      </c>
      <c r="S12" s="59">
        <f>M!G9*1</f>
        <v>100</v>
      </c>
      <c r="T12" s="59">
        <f>M!H9*1</f>
        <v>77.253399999999999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13.1968</v>
      </c>
      <c r="D13" s="102">
        <f>N14</f>
        <v>23.425000000000001</v>
      </c>
      <c r="E13" s="103">
        <f>T14</f>
        <v>32.737699999999997</v>
      </c>
      <c r="F13" s="94">
        <f>P14</f>
        <v>18.110499999999998</v>
      </c>
      <c r="G13" s="52" t="str">
        <f>CONCATENATE(M15,"
(50 ~ 100)")</f>
        <v>自我调节
(50 ~ 100)</v>
      </c>
      <c r="H13" s="101">
        <f>R15</f>
        <v>58.607500000000002</v>
      </c>
      <c r="I13" s="104">
        <f>N15</f>
        <v>70.230900000000005</v>
      </c>
      <c r="J13" s="101">
        <f>T15</f>
        <v>80.491</v>
      </c>
      <c r="K13" s="95">
        <f>P15</f>
        <v>6.7601699999999996</v>
      </c>
      <c r="L13" s="4"/>
      <c r="M13" s="27" t="str">
        <f>lang!B19</f>
        <v>自信</v>
      </c>
      <c r="N13" s="59">
        <f>M!B10*1</f>
        <v>81.878399999999999</v>
      </c>
      <c r="O13" s="59">
        <f>M!C10*1</f>
        <v>2.2725499999999998</v>
      </c>
      <c r="P13" s="59">
        <f>M!D10*1</f>
        <v>2.7755200000000002</v>
      </c>
      <c r="Q13" s="59">
        <f>M!E10*1</f>
        <v>40</v>
      </c>
      <c r="R13" s="59">
        <f>M!F10*1</f>
        <v>76.816000000000003</v>
      </c>
      <c r="S13" s="59">
        <f>M!G10*1</f>
        <v>100</v>
      </c>
      <c r="T13" s="59">
        <f>M!H10*1</f>
        <v>85.068100000000001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13.4658</v>
      </c>
      <c r="D14" s="106">
        <f>N16</f>
        <v>17.4453</v>
      </c>
      <c r="E14" s="107">
        <f>T16</f>
        <v>29.678999999999998</v>
      </c>
      <c r="F14" s="96">
        <f>P16</f>
        <v>14.971399999999999</v>
      </c>
      <c r="G14" s="112" t="str">
        <f>CONCATENATE(M17,"
(10 ~ 50)")</f>
        <v>神经质
(10 ~ 50)</v>
      </c>
      <c r="H14" s="105">
        <f>R17</f>
        <v>1.4956700000000001</v>
      </c>
      <c r="I14" s="106">
        <f>N17</f>
        <v>26.118200000000002</v>
      </c>
      <c r="J14" s="107">
        <f>T17</f>
        <v>40.392899999999997</v>
      </c>
      <c r="K14" s="97">
        <f>P17</f>
        <v>39.205599999999997</v>
      </c>
      <c r="M14" s="27" t="str">
        <f>lang!B20</f>
        <v>活力</v>
      </c>
      <c r="N14" s="59">
        <f>M!B11*1</f>
        <v>23.425000000000001</v>
      </c>
      <c r="O14" s="59">
        <f>M!C11*1</f>
        <v>4.2423700000000002</v>
      </c>
      <c r="P14" s="59">
        <f>M!D11*1</f>
        <v>18.110499999999998</v>
      </c>
      <c r="Q14" s="59">
        <f>M!E11*1</f>
        <v>10</v>
      </c>
      <c r="R14" s="59">
        <f>M!F11*1</f>
        <v>13.1968</v>
      </c>
      <c r="S14" s="59">
        <f>M!G11*1</f>
        <v>50</v>
      </c>
      <c r="T14" s="59">
        <f>M!H11*1</f>
        <v>32.737699999999997</v>
      </c>
      <c r="U14" s="14"/>
    </row>
    <row r="15" spans="2:21" ht="19.5" customHeight="1" thickBot="1">
      <c r="B15" s="147" t="str">
        <f>lang!B3</f>
        <v>参数表</v>
      </c>
      <c r="C15" s="148"/>
      <c r="D15" s="148"/>
      <c r="E15" s="148"/>
      <c r="F15" s="149"/>
      <c r="G15" s="144" t="str">
        <f>lang!B4</f>
        <v>情感状态分布图</v>
      </c>
      <c r="H15" s="145"/>
      <c r="I15" s="145"/>
      <c r="J15" s="145"/>
      <c r="K15" s="146"/>
      <c r="M15" s="27" t="str">
        <f>lang!B21</f>
        <v>自我调节</v>
      </c>
      <c r="N15" s="59">
        <f>M!B12*1</f>
        <v>70.230900000000005</v>
      </c>
      <c r="O15" s="59">
        <f>M!C12*1</f>
        <v>4.7477299999999998</v>
      </c>
      <c r="P15" s="59">
        <f>M!D12*1</f>
        <v>6.7601699999999996</v>
      </c>
      <c r="Q15" s="59">
        <f>M!E12*1</f>
        <v>50</v>
      </c>
      <c r="R15" s="59">
        <f>M!F12*1</f>
        <v>58.607500000000002</v>
      </c>
      <c r="S15" s="59">
        <f>M!G12*1</f>
        <v>100</v>
      </c>
      <c r="T15" s="59">
        <f>M!H12*1</f>
        <v>80.491</v>
      </c>
      <c r="U15" s="14"/>
    </row>
    <row r="16" spans="2:21" ht="21" customHeight="1">
      <c r="B16" s="38"/>
      <c r="C16" s="28"/>
      <c r="D16" s="28"/>
      <c r="E16" s="28"/>
      <c r="F16" s="28"/>
      <c r="G16" s="125"/>
      <c r="H16" s="126"/>
      <c r="I16" s="126"/>
      <c r="J16" s="126"/>
      <c r="K16" s="127"/>
      <c r="M16" s="27" t="str">
        <f>lang!B22</f>
        <v>抑郁</v>
      </c>
      <c r="N16" s="59">
        <f>M!B13*1</f>
        <v>17.4453</v>
      </c>
      <c r="O16" s="59">
        <f>M!C13*1</f>
        <v>2.6118199999999998</v>
      </c>
      <c r="P16" s="59">
        <f>M!D13*1</f>
        <v>14.971399999999999</v>
      </c>
      <c r="Q16" s="59">
        <f>M!E13*1</f>
        <v>10</v>
      </c>
      <c r="R16" s="59">
        <f>M!F13*1</f>
        <v>13.4658</v>
      </c>
      <c r="S16" s="59">
        <f>M!G13*1</f>
        <v>25</v>
      </c>
      <c r="T16" s="59">
        <f>M!H13*1</f>
        <v>29.678999999999998</v>
      </c>
      <c r="U16" s="14"/>
    </row>
    <row r="17" spans="2:24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7" t="str">
        <f>lang!B23</f>
        <v>神经质</v>
      </c>
      <c r="N17" s="59">
        <f>M!B14*1</f>
        <v>26.118200000000002</v>
      </c>
      <c r="O17" s="59">
        <f>M!C14*1</f>
        <v>10.239800000000001</v>
      </c>
      <c r="P17" s="59">
        <f>M!D14*1</f>
        <v>39.205599999999997</v>
      </c>
      <c r="Q17" s="59">
        <f>M!E14*1</f>
        <v>10</v>
      </c>
      <c r="R17" s="59">
        <f>M!F14*1</f>
        <v>1.4956700000000001</v>
      </c>
      <c r="S17" s="59">
        <f>M!G14*1</f>
        <v>50</v>
      </c>
      <c r="T17" s="59">
        <f>M!H14*1</f>
        <v>40.392899999999997</v>
      </c>
      <c r="U17" s="15"/>
    </row>
    <row r="18" spans="2:24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lang!B7</f>
        <v>Positive</v>
      </c>
      <c r="N18" s="65">
        <f>SUM(N12:N15)/4</f>
        <v>58.899425000000008</v>
      </c>
      <c r="O18" s="22">
        <f>N18/(N18+N19+N20)</f>
        <v>0.52312485331378189</v>
      </c>
      <c r="P18" s="65">
        <f>SUM(P12:P15)/4</f>
        <v>10.3238725</v>
      </c>
      <c r="Q18" s="22">
        <f>P18/(P18+P19+P20)</f>
        <v>0.1918212959292051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lang!B8</f>
        <v>Negative</v>
      </c>
      <c r="N19" s="18">
        <f>SUM(N8:N11)/4</f>
        <v>31.910350000000001</v>
      </c>
      <c r="O19" s="22">
        <f>N19/(N18+N19+N20)</f>
        <v>0.28341698009685895</v>
      </c>
      <c r="P19" s="18">
        <f>SUM(P8:P11)/4</f>
        <v>16.407890000000002</v>
      </c>
      <c r="Q19" s="22">
        <f>P19/(P18+P19+P20)</f>
        <v>0.30486454799435442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 t="str">
        <f>lang!B9</f>
        <v>Physiological</v>
      </c>
      <c r="N20" s="18">
        <f>(N16+N17)/2</f>
        <v>21.781750000000002</v>
      </c>
      <c r="O20" s="22">
        <f>N20/(N18+N19+N20)</f>
        <v>0.19345816658935922</v>
      </c>
      <c r="P20" s="18">
        <f>(P16+P17)/2</f>
        <v>27.088499999999996</v>
      </c>
      <c r="Q20" s="22">
        <f>P20/(P18+P19+P20)</f>
        <v>0.50331415607644048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21" t="str">
        <f>lang!B50</f>
        <v>Sat</v>
      </c>
      <c r="N21" s="88">
        <f ca="1">(info!V3-info!U3)-(info!X3-info!W3)</f>
        <v>-6.1638635135135178E-2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28"/>
      <c r="H22" s="129"/>
      <c r="I22" s="129"/>
      <c r="J22" s="129"/>
      <c r="K22" s="13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31"/>
      <c r="H23" s="132"/>
      <c r="I23" s="132"/>
      <c r="J23" s="132"/>
      <c r="K23" s="133"/>
      <c r="M23" s="16"/>
      <c r="O23" s="17"/>
      <c r="Q23"/>
      <c r="T23"/>
      <c r="U23" s="19"/>
    </row>
    <row r="24" spans="2:24" ht="17.25" customHeight="1" thickBot="1">
      <c r="B24" s="193" t="str">
        <f>lang!B5</f>
        <v>频率分布直方图</v>
      </c>
      <c r="C24" s="194"/>
      <c r="D24" s="194"/>
      <c r="E24" s="194"/>
      <c r="F24" s="195"/>
      <c r="G24" s="122" t="str">
        <f>lang!B6</f>
        <v xml:space="preserve">心理变化 - 心理基础代谢 </v>
      </c>
      <c r="H24" s="123"/>
      <c r="I24" s="123"/>
      <c r="J24" s="123"/>
      <c r="K24" s="12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1.7672668553333499</v>
      </c>
      <c r="D25" s="44" t="str">
        <f>lang!B11</f>
        <v>频率方差</v>
      </c>
      <c r="E25" s="142">
        <f ca="1">FH!L3</f>
        <v>0.59628637203402945</v>
      </c>
      <c r="F25" s="143"/>
      <c r="G25" s="134" t="str">
        <f>lang!B12</f>
        <v>生理变化率</v>
      </c>
      <c r="H25" s="135"/>
      <c r="I25" s="62" t="str">
        <f ca="1">CONCATENATE(info!M7,"-",info!M8)</f>
        <v>40.4-53.7</v>
      </c>
      <c r="J25" s="42" t="str">
        <f>lang!B13</f>
        <v>千卡l/分钟</v>
      </c>
      <c r="K25" s="41" t="str">
        <f ca="1">CONCATENATE(info!M5,"-",info!M6)</f>
        <v>2.8-4.4</v>
      </c>
      <c r="M25" s="16"/>
      <c r="O25" s="17"/>
      <c r="P25" s="17"/>
      <c r="Q25"/>
      <c r="T25"/>
      <c r="U25" s="19"/>
    </row>
    <row r="26" spans="2:24" ht="156.75" customHeight="1" thickBot="1">
      <c r="B26" s="115" ph="1"/>
      <c r="C26" s="116" ph="1"/>
      <c r="D26" s="116" ph="1"/>
      <c r="E26" s="117" ph="1"/>
      <c r="F26" s="39" ph="1"/>
      <c r="G26" s="118"/>
      <c r="H26" s="119"/>
      <c r="I26" s="119"/>
      <c r="J26" s="120"/>
      <c r="K26" s="121"/>
      <c r="M26"/>
      <c r="O26" s="17"/>
      <c r="Q26"/>
      <c r="T26"/>
      <c r="U26" s="19"/>
    </row>
    <row r="27" spans="2:24" ht="15" customHeight="1" thickBot="1">
      <c r="B27" s="162" t="str">
        <f>CONCATENATE( lang!B31," ",ROUND(100-FH_info!L2,0),"%]")</f>
        <v>Result [Quality 100%]</v>
      </c>
      <c r="C27" s="163"/>
      <c r="D27" s="163"/>
      <c r="E27" s="163"/>
      <c r="F27" s="163"/>
      <c r="G27" s="163"/>
      <c r="H27" s="163"/>
      <c r="I27" s="163"/>
      <c r="J27" s="163"/>
      <c r="K27" s="164"/>
      <c r="M27"/>
      <c r="Q27"/>
      <c r="T27"/>
    </row>
    <row r="28" spans="2:24" ht="15.75" thickBot="1">
      <c r="B28" s="178" t="str">
        <f>lang!B32</f>
        <v>外向性</v>
      </c>
      <c r="C28" s="179"/>
      <c r="D28" s="180"/>
      <c r="E28" s="162">
        <f>M!B18*100</f>
        <v>53.919200000000004</v>
      </c>
      <c r="F28" s="164"/>
      <c r="G28" s="178" t="str">
        <f>lang!B33</f>
        <v>稳定性</v>
      </c>
      <c r="H28" s="179"/>
      <c r="I28" s="180"/>
      <c r="J28" s="181">
        <f>M!B19*100</f>
        <v>51.698999999999998</v>
      </c>
      <c r="K28" s="182"/>
    </row>
    <row r="29" spans="2:24" ht="24.75" customHeight="1">
      <c r="B29" s="165" t="str">
        <f>lang!B34</f>
        <v xml:space="preserve">心理生理状态分析结果： </v>
      </c>
      <c r="C29" s="166"/>
      <c r="D29" s="166"/>
      <c r="E29" s="166"/>
      <c r="F29" s="166"/>
      <c r="G29" s="166"/>
      <c r="H29" s="166"/>
      <c r="I29" s="166"/>
      <c r="J29" s="166"/>
      <c r="K29" s="167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⊡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⊠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83" t="str">
        <f>lang!B37</f>
        <v>意见</v>
      </c>
      <c r="C32" s="184"/>
      <c r="D32" s="185"/>
      <c r="E32" s="185"/>
      <c r="F32" s="185"/>
      <c r="G32" s="185"/>
      <c r="H32" s="185"/>
      <c r="I32" s="185"/>
      <c r="J32" s="185"/>
      <c r="K32" s="186"/>
      <c r="M32"/>
      <c r="Q32"/>
      <c r="T32"/>
      <c r="W32" s="33"/>
      <c r="X32" s="33"/>
    </row>
    <row r="33" spans="2:24" ht="18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20.25" customHeight="1">
      <c r="B34" s="156"/>
      <c r="C34" s="157"/>
      <c r="D34" s="157"/>
      <c r="E34" s="157"/>
      <c r="F34" s="157"/>
      <c r="G34" s="157"/>
      <c r="H34" s="157"/>
      <c r="I34" s="157"/>
      <c r="J34" s="157"/>
      <c r="K34" s="158"/>
      <c r="M34"/>
      <c r="Q34"/>
      <c r="T34"/>
      <c r="W34" s="33"/>
      <c r="X34" s="33"/>
    </row>
    <row r="35" spans="2:24" ht="35.25" customHeight="1" thickBot="1">
      <c r="B35" s="159"/>
      <c r="C35" s="160"/>
      <c r="D35" s="160"/>
      <c r="E35" s="160"/>
      <c r="F35" s="160"/>
      <c r="G35" s="160"/>
      <c r="H35" s="160"/>
      <c r="I35" s="160"/>
      <c r="J35" s="160"/>
      <c r="K35" s="161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13"/>
      <c r="D1" s="114"/>
      <c r="E1" s="114"/>
      <c r="F1" s="114"/>
      <c r="G1" s="114"/>
      <c r="H1" s="114"/>
      <c r="I1" s="114"/>
      <c r="J1" s="87"/>
      <c r="K1" s="87"/>
      <c r="L1" s="86"/>
      <c r="M1" s="86"/>
      <c r="N1" s="86"/>
      <c r="O1" s="86"/>
      <c r="P1" s="86"/>
    </row>
    <row r="2" spans="2:38" ht="13.5">
      <c r="B2" s="136" t="str">
        <f>lang!B2</f>
        <v>心理生理状态分析结果</v>
      </c>
      <c r="C2" s="137"/>
      <c r="D2" s="137"/>
      <c r="E2" s="137"/>
      <c r="F2" s="137"/>
      <c r="G2" s="137"/>
      <c r="H2" s="137"/>
      <c r="I2" s="137"/>
      <c r="J2" s="137"/>
      <c r="K2" s="138"/>
    </row>
    <row r="3" spans="2:38" ht="31.5" customHeight="1" thickBot="1">
      <c r="B3" s="139"/>
      <c r="C3" s="140"/>
      <c r="D3" s="140"/>
      <c r="E3" s="140"/>
      <c r="F3" s="140"/>
      <c r="G3" s="140"/>
      <c r="H3" s="140"/>
      <c r="I3" s="140"/>
      <c r="J3" s="140"/>
      <c r="K3" s="141"/>
    </row>
    <row r="4" spans="2:38" ht="16.5" customHeight="1">
      <c r="B4" s="45" t="str">
        <f>lang!B24</f>
        <v>姓名</v>
      </c>
      <c r="C4" s="150" t="str">
        <f>FH_info!B2</f>
        <v>.</v>
      </c>
      <c r="D4" s="151"/>
      <c r="E4" s="151"/>
      <c r="F4" s="152"/>
      <c r="G4" s="48" t="str">
        <f>lang!B27</f>
        <v>编号</v>
      </c>
      <c r="H4" s="150"/>
      <c r="I4" s="151"/>
      <c r="J4" s="151"/>
      <c r="K4" s="153"/>
    </row>
    <row r="5" spans="2:38" ht="17.25" customHeight="1">
      <c r="B5" s="46" t="str">
        <f>lang!B25</f>
        <v>性别</v>
      </c>
      <c r="C5" s="187"/>
      <c r="D5" s="188"/>
      <c r="E5" s="188"/>
      <c r="F5" s="189"/>
      <c r="G5" s="49" t="str">
        <f>lang!B28</f>
        <v xml:space="preserve"> 日期</v>
      </c>
      <c r="H5" s="172">
        <f>FH_info!A2</f>
        <v>43621.374479166669</v>
      </c>
      <c r="I5" s="173"/>
      <c r="J5" s="173"/>
      <c r="K5" s="174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90"/>
      <c r="D6" s="191"/>
      <c r="E6" s="191"/>
      <c r="F6" s="192"/>
      <c r="G6" s="50" t="str">
        <f>lang!B29</f>
        <v>误差率（%）</v>
      </c>
      <c r="H6" s="175">
        <f>dM!B17*1</f>
        <v>0</v>
      </c>
      <c r="I6" s="176"/>
      <c r="J6" s="176"/>
      <c r="K6" s="177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68" t="str">
        <f>lang!B30</f>
        <v>10项参数结果</v>
      </c>
      <c r="C7" s="169"/>
      <c r="D7" s="170"/>
      <c r="E7" s="170"/>
      <c r="F7" s="170"/>
      <c r="G7" s="170"/>
      <c r="H7" s="170"/>
      <c r="I7" s="170"/>
      <c r="J7" s="170"/>
      <c r="K7" s="171"/>
      <c r="M7" s="27" t="str">
        <f>lang!B14</f>
        <v>攻击性</v>
      </c>
      <c r="N7" s="59">
        <f>AF7-W7</f>
        <v>1.7103999999999999</v>
      </c>
      <c r="O7" s="59">
        <f t="shared" ref="O7:T7" si="2">AG7-X7</f>
        <v>-3.68133</v>
      </c>
      <c r="P7" s="59">
        <f t="shared" si="2"/>
        <v>-8.7486299999999986</v>
      </c>
      <c r="Q7" s="59">
        <f t="shared" si="2"/>
        <v>0</v>
      </c>
      <c r="R7" s="59">
        <f t="shared" si="2"/>
        <v>14.013999999999999</v>
      </c>
      <c r="S7" s="59">
        <f t="shared" si="2"/>
        <v>0</v>
      </c>
      <c r="T7" s="59">
        <f t="shared" si="2"/>
        <v>2.530300000000004</v>
      </c>
      <c r="U7" s="14"/>
      <c r="V7" s="27" t="str">
        <f>M7</f>
        <v>攻击性</v>
      </c>
      <c r="W7" s="59">
        <f>'M1'!B5*1</f>
        <v>43.4664</v>
      </c>
      <c r="X7" s="59">
        <f>'M1'!C5*1</f>
        <v>6.8881399999999999</v>
      </c>
      <c r="Y7" s="59">
        <f>'M1'!D5*1</f>
        <v>15.847</v>
      </c>
      <c r="Z7" s="59">
        <f>'M1'!E5*1</f>
        <v>20</v>
      </c>
      <c r="AA7" s="59">
        <f>'M1'!F5*1</f>
        <v>21.9819</v>
      </c>
      <c r="AB7" s="59">
        <f>'M1'!G5*1</f>
        <v>50</v>
      </c>
      <c r="AC7" s="59">
        <f>'M1'!H5*1</f>
        <v>47.489199999999997</v>
      </c>
      <c r="AE7" s="27" t="str">
        <f>V7</f>
        <v>攻击性</v>
      </c>
      <c r="AF7" s="59">
        <f>'M2'!B5*1</f>
        <v>45.1768</v>
      </c>
      <c r="AG7" s="59">
        <f>'M2'!C5*1</f>
        <v>3.2068099999999999</v>
      </c>
      <c r="AH7" s="59">
        <f>'M2'!D5*1</f>
        <v>7.0983700000000001</v>
      </c>
      <c r="AI7" s="59">
        <f>'M2'!E5*1</f>
        <v>20</v>
      </c>
      <c r="AJ7" s="59">
        <f>'M2'!F5*1</f>
        <v>35.995899999999999</v>
      </c>
      <c r="AK7" s="59">
        <f>'M2'!G5*1</f>
        <v>50</v>
      </c>
      <c r="AL7" s="59">
        <f>'M2'!H5*1</f>
        <v>50.019500000000001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-1.2213999999999992</v>
      </c>
      <c r="O8" s="59">
        <f t="shared" ref="O8:O16" si="5">AG8-X8</f>
        <v>-0.51451000000000002</v>
      </c>
      <c r="P8" s="59">
        <f t="shared" ref="P8:P16" si="6">AH8-Y8</f>
        <v>-1.4820799999999998</v>
      </c>
      <c r="Q8" s="59">
        <f t="shared" ref="Q8:Q16" si="7">AI8-Z8</f>
        <v>0</v>
      </c>
      <c r="R8" s="59">
        <f t="shared" ref="R8:R16" si="8">AJ8-AA8</f>
        <v>3.2800000000001717E-2</v>
      </c>
      <c r="S8" s="59">
        <f t="shared" ref="S8:S16" si="9">AK8-AB8</f>
        <v>0</v>
      </c>
      <c r="T8" s="59">
        <f t="shared" ref="T8:T16" si="10">AL8-AC8</f>
        <v>-5.5168999999999997</v>
      </c>
      <c r="U8" s="15"/>
      <c r="V8" s="27" t="str">
        <f t="shared" ref="V8:V16" si="11">M8</f>
        <v>压力</v>
      </c>
      <c r="W8" s="59">
        <f>'M1'!B6*1</f>
        <v>28.6554</v>
      </c>
      <c r="X8" s="59">
        <f>'M1'!C6*1</f>
        <v>2.5318299999999998</v>
      </c>
      <c r="Y8" s="59">
        <f>'M1'!D6*1</f>
        <v>8.8354499999999998</v>
      </c>
      <c r="Z8" s="59">
        <f>'M1'!E6*1</f>
        <v>20</v>
      </c>
      <c r="AA8" s="59">
        <f>'M1'!F6*1</f>
        <v>24.921299999999999</v>
      </c>
      <c r="AB8" s="59">
        <f>'M1'!G6*1</f>
        <v>40</v>
      </c>
      <c r="AC8" s="59">
        <f>'M1'!H6*1</f>
        <v>36.8078</v>
      </c>
      <c r="AE8" s="27" t="str">
        <f t="shared" ref="AE8:AE16" si="12">V8</f>
        <v>压力</v>
      </c>
      <c r="AF8" s="59">
        <f>'M2'!B6*1</f>
        <v>27.434000000000001</v>
      </c>
      <c r="AG8" s="59">
        <f>'M2'!C6*1</f>
        <v>2.0173199999999998</v>
      </c>
      <c r="AH8" s="59">
        <f>'M2'!D6*1</f>
        <v>7.35337</v>
      </c>
      <c r="AI8" s="59">
        <f>'M2'!E6*1</f>
        <v>20</v>
      </c>
      <c r="AJ8" s="59">
        <f>'M2'!F6*1</f>
        <v>24.9541</v>
      </c>
      <c r="AK8" s="59">
        <f>'M2'!G6*1</f>
        <v>40</v>
      </c>
      <c r="AL8" s="59">
        <f>'M2'!H6*1</f>
        <v>31.290900000000001</v>
      </c>
    </row>
    <row r="9" spans="2:38" s="7" customFormat="1" ht="21" customHeight="1">
      <c r="B9" s="76" t="str">
        <f>CONCATENATE(M7,"
(20 ~ 50)")</f>
        <v>攻击性
(20 ~ 50)</v>
      </c>
      <c r="C9" s="77">
        <f>R7</f>
        <v>14.013999999999999</v>
      </c>
      <c r="D9" s="78">
        <f>N7</f>
        <v>1.7103999999999999</v>
      </c>
      <c r="E9" s="79">
        <f>T7</f>
        <v>2.530300000000004</v>
      </c>
      <c r="F9" s="79">
        <f>P7</f>
        <v>-8.7486299999999986</v>
      </c>
      <c r="G9" s="80" t="str">
        <f>CONCATENATE(M8,"
(20 ~ 40)")</f>
        <v>压力
(20 ~ 40)</v>
      </c>
      <c r="H9" s="77">
        <f>R8</f>
        <v>3.2800000000001717E-2</v>
      </c>
      <c r="I9" s="81">
        <f>N8</f>
        <v>-1.2213999999999992</v>
      </c>
      <c r="J9" s="77">
        <f>T8</f>
        <v>-5.5168999999999997</v>
      </c>
      <c r="K9" s="82">
        <f>P8</f>
        <v>-1.4820799999999998</v>
      </c>
      <c r="L9" s="6"/>
      <c r="M9" s="27" t="str">
        <f>lang!B16</f>
        <v>焦虑</v>
      </c>
      <c r="N9" s="59">
        <f t="shared" si="4"/>
        <v>-4.0789999999999971</v>
      </c>
      <c r="O9" s="59">
        <f t="shared" si="5"/>
        <v>-6.1650299999999998</v>
      </c>
      <c r="P9" s="59">
        <f t="shared" si="6"/>
        <v>-19.893999999999998</v>
      </c>
      <c r="Q9" s="59">
        <f t="shared" si="7"/>
        <v>0</v>
      </c>
      <c r="R9" s="59">
        <f t="shared" si="8"/>
        <v>7.8965799999999993</v>
      </c>
      <c r="S9" s="59">
        <f t="shared" si="9"/>
        <v>0</v>
      </c>
      <c r="T9" s="59">
        <f t="shared" si="10"/>
        <v>-11.325699999999998</v>
      </c>
      <c r="U9" s="14"/>
      <c r="V9" s="27" t="str">
        <f t="shared" si="11"/>
        <v>焦虑</v>
      </c>
      <c r="W9" s="59">
        <f>'M1'!B7*1</f>
        <v>26.697299999999998</v>
      </c>
      <c r="X9" s="59">
        <f>'M1'!C7*1</f>
        <v>10.8995</v>
      </c>
      <c r="Y9" s="59">
        <f>'M1'!D7*1</f>
        <v>40.826099999999997</v>
      </c>
      <c r="Z9" s="59">
        <f>'M1'!E7*1</f>
        <v>15</v>
      </c>
      <c r="AA9" s="59">
        <f>'M1'!F7*1</f>
        <v>1.8022</v>
      </c>
      <c r="AB9" s="59">
        <f>'M1'!G7*1</f>
        <v>40</v>
      </c>
      <c r="AC9" s="59">
        <f>'M1'!H7*1</f>
        <v>45.381399999999999</v>
      </c>
      <c r="AE9" s="27" t="str">
        <f t="shared" si="12"/>
        <v>焦虑</v>
      </c>
      <c r="AF9" s="59">
        <f>'M2'!B7*1</f>
        <v>22.618300000000001</v>
      </c>
      <c r="AG9" s="59">
        <f>'M2'!C7*1</f>
        <v>4.73447</v>
      </c>
      <c r="AH9" s="59">
        <f>'M2'!D7*1</f>
        <v>20.932099999999998</v>
      </c>
      <c r="AI9" s="59">
        <f>'M2'!E7*1</f>
        <v>15</v>
      </c>
      <c r="AJ9" s="59">
        <f>'M2'!F7*1</f>
        <v>9.6987799999999993</v>
      </c>
      <c r="AK9" s="59">
        <f>'M2'!G7*1</f>
        <v>40</v>
      </c>
      <c r="AL9" s="59">
        <f>'M2'!H7*1</f>
        <v>34.055700000000002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7.8965799999999993</v>
      </c>
      <c r="D10" s="51">
        <f>N9</f>
        <v>-4.0789999999999971</v>
      </c>
      <c r="E10" s="53">
        <f>T9</f>
        <v>-11.325699999999998</v>
      </c>
      <c r="F10" s="53">
        <f>P9</f>
        <v>-19.893999999999998</v>
      </c>
      <c r="G10" s="73" t="str">
        <f>CONCATENATE(M10,"
(20 ~ 50)")</f>
        <v>可疑
(20 ~ 50)</v>
      </c>
      <c r="H10" s="24">
        <f>R10</f>
        <v>3.1737000000000002</v>
      </c>
      <c r="I10" s="52">
        <f>N10</f>
        <v>-0.67510000000000048</v>
      </c>
      <c r="J10" s="24">
        <f>T10</f>
        <v>-0.27779999999999916</v>
      </c>
      <c r="K10" s="25">
        <f>P10</f>
        <v>-1.2895200000000004</v>
      </c>
      <c r="L10" s="4"/>
      <c r="M10" s="27" t="str">
        <f>lang!B17</f>
        <v>可疑</v>
      </c>
      <c r="N10" s="59">
        <f t="shared" si="4"/>
        <v>-0.67510000000000048</v>
      </c>
      <c r="O10" s="59">
        <f t="shared" si="5"/>
        <v>-0.45723000000000003</v>
      </c>
      <c r="P10" s="59">
        <f t="shared" si="6"/>
        <v>-1.2895200000000004</v>
      </c>
      <c r="Q10" s="59">
        <f t="shared" si="7"/>
        <v>0</v>
      </c>
      <c r="R10" s="59">
        <f t="shared" si="8"/>
        <v>3.1737000000000002</v>
      </c>
      <c r="S10" s="59">
        <f t="shared" si="9"/>
        <v>0</v>
      </c>
      <c r="T10" s="59">
        <f t="shared" si="10"/>
        <v>-0.27779999999999916</v>
      </c>
      <c r="U10" s="14"/>
      <c r="V10" s="27" t="str">
        <f t="shared" si="11"/>
        <v>可疑</v>
      </c>
      <c r="W10" s="59">
        <f>'M1'!B8*1</f>
        <v>32.060400000000001</v>
      </c>
      <c r="X10" s="59">
        <f>'M1'!C8*1</f>
        <v>2.49342</v>
      </c>
      <c r="Y10" s="59">
        <f>'M1'!D8*1</f>
        <v>7.7772500000000004</v>
      </c>
      <c r="Z10" s="59">
        <f>'M1'!E8*1</f>
        <v>20</v>
      </c>
      <c r="AA10" s="59">
        <f>'M1'!F8*1</f>
        <v>25.08</v>
      </c>
      <c r="AB10" s="59">
        <f>'M1'!G8*1</f>
        <v>50</v>
      </c>
      <c r="AC10" s="59">
        <f>'M1'!H8*1</f>
        <v>34.918599999999998</v>
      </c>
      <c r="AE10" s="27" t="str">
        <f t="shared" si="12"/>
        <v>可疑</v>
      </c>
      <c r="AF10" s="59">
        <f>'M2'!B8*1</f>
        <v>31.385300000000001</v>
      </c>
      <c r="AG10" s="59">
        <f>'M2'!C8*1</f>
        <v>2.0361899999999999</v>
      </c>
      <c r="AH10" s="59">
        <f>'M2'!D8*1</f>
        <v>6.48773</v>
      </c>
      <c r="AI10" s="59">
        <f>'M2'!E8*1</f>
        <v>20</v>
      </c>
      <c r="AJ10" s="59">
        <f>'M2'!F8*1</f>
        <v>28.253699999999998</v>
      </c>
      <c r="AK10" s="59">
        <f>'M2'!G8*1</f>
        <v>50</v>
      </c>
      <c r="AL10" s="59">
        <f>'M2'!H8*1</f>
        <v>34.640799999999999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15.026299999999999</v>
      </c>
      <c r="D11" s="52">
        <f>N11</f>
        <v>7.2237000000000009</v>
      </c>
      <c r="E11" s="24">
        <f>T11</f>
        <v>2.9106000000000023</v>
      </c>
      <c r="F11" s="24">
        <f>P11</f>
        <v>-8.8877300000000012</v>
      </c>
      <c r="G11" s="73" t="str">
        <f>CONCATENATE(M12,"
(40 ~ 100)")</f>
        <v>自信
(40 ~ 100)</v>
      </c>
      <c r="H11" s="24">
        <f>R12</f>
        <v>-0.3282999999999987</v>
      </c>
      <c r="I11" s="52">
        <f>N12</f>
        <v>-2.7284999999999968</v>
      </c>
      <c r="J11" s="24">
        <f>T12</f>
        <v>-0.8983999999999952</v>
      </c>
      <c r="K11" s="25">
        <f>P12</f>
        <v>0.7634000000000003</v>
      </c>
      <c r="L11" s="4"/>
      <c r="M11" s="27" t="str">
        <f>lang!B18</f>
        <v>平衡</v>
      </c>
      <c r="N11" s="59">
        <f t="shared" si="4"/>
        <v>7.2237000000000009</v>
      </c>
      <c r="O11" s="59">
        <f t="shared" si="5"/>
        <v>-4.3166500000000001</v>
      </c>
      <c r="P11" s="59">
        <f t="shared" si="6"/>
        <v>-8.8877300000000012</v>
      </c>
      <c r="Q11" s="59">
        <f t="shared" si="7"/>
        <v>0</v>
      </c>
      <c r="R11" s="59">
        <f t="shared" si="8"/>
        <v>15.026299999999999</v>
      </c>
      <c r="S11" s="59">
        <f t="shared" si="9"/>
        <v>0</v>
      </c>
      <c r="T11" s="59">
        <f t="shared" si="10"/>
        <v>2.9106000000000023</v>
      </c>
      <c r="U11" s="14"/>
      <c r="V11" s="27" t="str">
        <f t="shared" si="11"/>
        <v>平衡</v>
      </c>
      <c r="W11" s="59">
        <f>'M1'!B9*1</f>
        <v>54.954000000000001</v>
      </c>
      <c r="X11" s="59">
        <f>'M1'!C9*1</f>
        <v>9.2011900000000004</v>
      </c>
      <c r="Y11" s="59">
        <f>'M1'!D9*1</f>
        <v>16.743500000000001</v>
      </c>
      <c r="Z11" s="59">
        <f>'M1'!E9*1</f>
        <v>50</v>
      </c>
      <c r="AA11" s="59">
        <f>'M1'!F9*1</f>
        <v>38.5214</v>
      </c>
      <c r="AB11" s="59">
        <f>'M1'!G9*1</f>
        <v>100</v>
      </c>
      <c r="AC11" s="59">
        <f>'M1'!H9*1</f>
        <v>74.342799999999997</v>
      </c>
      <c r="AE11" s="27" t="str">
        <f t="shared" si="12"/>
        <v>平衡</v>
      </c>
      <c r="AF11" s="59">
        <f>'M2'!B9*1</f>
        <v>62.177700000000002</v>
      </c>
      <c r="AG11" s="59">
        <f>'M2'!C9*1</f>
        <v>4.8845400000000003</v>
      </c>
      <c r="AH11" s="59">
        <f>'M2'!D9*1</f>
        <v>7.8557699999999997</v>
      </c>
      <c r="AI11" s="59">
        <f>'M2'!E9*1</f>
        <v>50</v>
      </c>
      <c r="AJ11" s="59">
        <f>'M2'!F9*1</f>
        <v>53.547699999999999</v>
      </c>
      <c r="AK11" s="59">
        <f>'M2'!G9*1</f>
        <v>100</v>
      </c>
      <c r="AL11" s="59">
        <f>'M2'!H9*1</f>
        <v>77.253399999999999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8.192499999999999</v>
      </c>
      <c r="D12" s="51">
        <f>N13</f>
        <v>4.2002000000000024</v>
      </c>
      <c r="E12" s="53">
        <f>T13</f>
        <v>7.660699999999995</v>
      </c>
      <c r="F12" s="53">
        <f>P13</f>
        <v>3.0884</v>
      </c>
      <c r="G12" s="73" t="str">
        <f>CONCATENATE(M14,"
(50 ~ 100)")</f>
        <v>自我调节
(50 ~ 100)</v>
      </c>
      <c r="H12" s="24">
        <f>R14</f>
        <v>7.3610000000000042</v>
      </c>
      <c r="I12" s="52">
        <f>N14</f>
        <v>2.6406000000000063</v>
      </c>
      <c r="J12" s="24">
        <f>T14</f>
        <v>1.098399999999998</v>
      </c>
      <c r="K12" s="25">
        <f>P14</f>
        <v>-2.9486400000000001</v>
      </c>
      <c r="L12" s="4"/>
      <c r="M12" s="27" t="str">
        <f>lang!B19</f>
        <v>自信</v>
      </c>
      <c r="N12" s="59">
        <f t="shared" si="4"/>
        <v>-2.7284999999999968</v>
      </c>
      <c r="O12" s="59">
        <f t="shared" si="5"/>
        <v>0.54491000000000001</v>
      </c>
      <c r="P12" s="59">
        <f t="shared" si="6"/>
        <v>0.7634000000000003</v>
      </c>
      <c r="Q12" s="59">
        <f t="shared" si="7"/>
        <v>0</v>
      </c>
      <c r="R12" s="59">
        <f t="shared" si="8"/>
        <v>-0.3282999999999987</v>
      </c>
      <c r="S12" s="59">
        <f t="shared" si="9"/>
        <v>0</v>
      </c>
      <c r="T12" s="59">
        <f t="shared" si="10"/>
        <v>-0.8983999999999952</v>
      </c>
      <c r="U12" s="15"/>
      <c r="V12" s="27" t="str">
        <f t="shared" si="11"/>
        <v>自信</v>
      </c>
      <c r="W12" s="59">
        <f>'M1'!B10*1</f>
        <v>82.375399999999999</v>
      </c>
      <c r="X12" s="59">
        <f>'M1'!C10*1</f>
        <v>1.90541</v>
      </c>
      <c r="Y12" s="59">
        <f>'M1'!D10*1</f>
        <v>2.3130799999999998</v>
      </c>
      <c r="Z12" s="59">
        <f>'M1'!E10*1</f>
        <v>40</v>
      </c>
      <c r="AA12" s="59">
        <f>'M1'!F10*1</f>
        <v>77.144300000000001</v>
      </c>
      <c r="AB12" s="59">
        <f>'M1'!G10*1</f>
        <v>100</v>
      </c>
      <c r="AC12" s="59">
        <f>'M1'!H10*1</f>
        <v>85.068100000000001</v>
      </c>
      <c r="AE12" s="27" t="str">
        <f t="shared" si="12"/>
        <v>自信</v>
      </c>
      <c r="AF12" s="59">
        <f>'M2'!B10*1</f>
        <v>79.646900000000002</v>
      </c>
      <c r="AG12" s="59">
        <f>'M2'!C10*1</f>
        <v>2.4503200000000001</v>
      </c>
      <c r="AH12" s="59">
        <f>'M2'!D10*1</f>
        <v>3.0764800000000001</v>
      </c>
      <c r="AI12" s="59">
        <f>'M2'!E10*1</f>
        <v>40</v>
      </c>
      <c r="AJ12" s="59">
        <f>'M2'!F10*1</f>
        <v>76.816000000000003</v>
      </c>
      <c r="AK12" s="59">
        <f>'M2'!G10*1</f>
        <v>100</v>
      </c>
      <c r="AL12" s="59">
        <f>'M2'!H10*1</f>
        <v>84.169700000000006</v>
      </c>
    </row>
    <row r="13" spans="2:38" ht="25.5" customHeight="1" thickBot="1">
      <c r="B13" s="72" t="str">
        <f>CONCATENATE(M15,"
(10 ~ 25)")</f>
        <v>抑郁
(10 ~ 25)</v>
      </c>
      <c r="C13" s="54">
        <f>R15</f>
        <v>-0.34469999999999956</v>
      </c>
      <c r="D13" s="55">
        <f>N15</f>
        <v>1.6633999999999993</v>
      </c>
      <c r="E13" s="56">
        <f>T15</f>
        <v>-5.6242999999999981</v>
      </c>
      <c r="F13" s="56">
        <f>P15</f>
        <v>-8.4826000000000015</v>
      </c>
      <c r="G13" s="74" t="str">
        <f>CONCATENATE(M16,"
(10 ~ 50)")</f>
        <v>神经质
(10 ~ 50)</v>
      </c>
      <c r="H13" s="54">
        <f>R16</f>
        <v>0.54044999999999987</v>
      </c>
      <c r="I13" s="55">
        <f>N16</f>
        <v>-12.016000000000002</v>
      </c>
      <c r="J13" s="56">
        <f>T16</f>
        <v>-9.1011999999999986</v>
      </c>
      <c r="K13" s="57">
        <f>P16</f>
        <v>28.422099999999997</v>
      </c>
      <c r="M13" s="27" t="str">
        <f>lang!B20</f>
        <v>活力</v>
      </c>
      <c r="N13" s="59">
        <f t="shared" si="4"/>
        <v>4.2002000000000024</v>
      </c>
      <c r="O13" s="59">
        <f t="shared" si="5"/>
        <v>1.31</v>
      </c>
      <c r="P13" s="59">
        <f t="shared" si="6"/>
        <v>3.0884</v>
      </c>
      <c r="Q13" s="59">
        <f t="shared" si="7"/>
        <v>0</v>
      </c>
      <c r="R13" s="59">
        <f t="shared" si="8"/>
        <v>8.192499999999999</v>
      </c>
      <c r="S13" s="59">
        <f t="shared" si="9"/>
        <v>0</v>
      </c>
      <c r="T13" s="59">
        <f t="shared" si="10"/>
        <v>7.660699999999995</v>
      </c>
      <c r="U13" s="14"/>
      <c r="V13" s="27" t="str">
        <f t="shared" si="11"/>
        <v>活力</v>
      </c>
      <c r="W13" s="59">
        <f>'M1'!B11*1</f>
        <v>22.576699999999999</v>
      </c>
      <c r="X13" s="59">
        <f>'M1'!C11*1</f>
        <v>2.5962499999999999</v>
      </c>
      <c r="Y13" s="59">
        <f>'M1'!D11*1</f>
        <v>11.499700000000001</v>
      </c>
      <c r="Z13" s="59">
        <f>'M1'!E11*1</f>
        <v>10</v>
      </c>
      <c r="AA13" s="59">
        <f>'M1'!F11*1</f>
        <v>13.1968</v>
      </c>
      <c r="AB13" s="59">
        <f>'M1'!G11*1</f>
        <v>50</v>
      </c>
      <c r="AC13" s="59">
        <f>'M1'!H11*1</f>
        <v>25.077000000000002</v>
      </c>
      <c r="AE13" s="27" t="str">
        <f t="shared" si="12"/>
        <v>活力</v>
      </c>
      <c r="AF13" s="59">
        <f>'M2'!B11*1</f>
        <v>26.776900000000001</v>
      </c>
      <c r="AG13" s="59">
        <f>'M2'!C11*1</f>
        <v>3.90625</v>
      </c>
      <c r="AH13" s="59">
        <f>'M2'!D11*1</f>
        <v>14.588100000000001</v>
      </c>
      <c r="AI13" s="59">
        <f>'M2'!E11*1</f>
        <v>10</v>
      </c>
      <c r="AJ13" s="59">
        <f>'M2'!F11*1</f>
        <v>21.389299999999999</v>
      </c>
      <c r="AK13" s="59">
        <f>'M2'!G11*1</f>
        <v>50</v>
      </c>
      <c r="AL13" s="59">
        <f>'M2'!H11*1</f>
        <v>32.737699999999997</v>
      </c>
    </row>
    <row r="14" spans="2:38" ht="19.5" customHeight="1" thickBot="1">
      <c r="B14" s="147" t="str">
        <f>lang!B3</f>
        <v>参数表</v>
      </c>
      <c r="C14" s="148"/>
      <c r="D14" s="148"/>
      <c r="E14" s="148"/>
      <c r="F14" s="149"/>
      <c r="G14" s="144" t="str">
        <f>lang!B4</f>
        <v>情感状态分布图</v>
      </c>
      <c r="H14" s="145"/>
      <c r="I14" s="145"/>
      <c r="J14" s="145"/>
      <c r="K14" s="146"/>
      <c r="M14" s="27" t="str">
        <f>lang!B21</f>
        <v>自我调节</v>
      </c>
      <c r="N14" s="59">
        <f t="shared" si="4"/>
        <v>2.6406000000000063</v>
      </c>
      <c r="O14" s="59">
        <f t="shared" si="5"/>
        <v>-1.8897300000000001</v>
      </c>
      <c r="P14" s="59">
        <f t="shared" si="6"/>
        <v>-2.9486400000000001</v>
      </c>
      <c r="Q14" s="59">
        <f t="shared" si="7"/>
        <v>0</v>
      </c>
      <c r="R14" s="59">
        <f t="shared" si="8"/>
        <v>7.3610000000000042</v>
      </c>
      <c r="S14" s="59">
        <f t="shared" si="9"/>
        <v>0</v>
      </c>
      <c r="T14" s="59">
        <f t="shared" si="10"/>
        <v>1.098399999999998</v>
      </c>
      <c r="U14" s="14"/>
      <c r="V14" s="27" t="str">
        <f t="shared" si="11"/>
        <v>自我调节</v>
      </c>
      <c r="W14" s="59">
        <f>'M1'!B12*1</f>
        <v>68.444299999999998</v>
      </c>
      <c r="X14" s="59">
        <f>'M1'!C12*1</f>
        <v>5.3475700000000002</v>
      </c>
      <c r="Y14" s="59">
        <f>'M1'!D12*1</f>
        <v>7.8130300000000004</v>
      </c>
      <c r="Z14" s="59">
        <f>'M1'!E12*1</f>
        <v>50</v>
      </c>
      <c r="AA14" s="59">
        <f>'M1'!F12*1</f>
        <v>58.607500000000002</v>
      </c>
      <c r="AB14" s="59">
        <f>'M1'!G12*1</f>
        <v>100</v>
      </c>
      <c r="AC14" s="59">
        <f>'M1'!H12*1</f>
        <v>79.392600000000002</v>
      </c>
      <c r="AE14" s="27" t="str">
        <f t="shared" si="12"/>
        <v>自我调节</v>
      </c>
      <c r="AF14" s="59">
        <f>'M2'!B12*1</f>
        <v>71.084900000000005</v>
      </c>
      <c r="AG14" s="59">
        <f>'M2'!C12*1</f>
        <v>3.45784</v>
      </c>
      <c r="AH14" s="59">
        <f>'M2'!D12*1</f>
        <v>4.8643900000000002</v>
      </c>
      <c r="AI14" s="59">
        <f>'M2'!E12*1</f>
        <v>50</v>
      </c>
      <c r="AJ14" s="59">
        <f>'M2'!F12*1</f>
        <v>65.968500000000006</v>
      </c>
      <c r="AK14" s="59">
        <f>'M2'!G12*1</f>
        <v>100</v>
      </c>
      <c r="AL14" s="59">
        <f>'M2'!H12*1</f>
        <v>80.491</v>
      </c>
    </row>
    <row r="15" spans="2:38" ht="21" customHeight="1">
      <c r="B15" s="38"/>
      <c r="C15" s="28"/>
      <c r="D15" s="28"/>
      <c r="E15" s="28"/>
      <c r="F15" s="28"/>
      <c r="G15" s="125"/>
      <c r="H15" s="126"/>
      <c r="I15" s="126"/>
      <c r="J15" s="126"/>
      <c r="K15" s="127"/>
      <c r="M15" s="27" t="str">
        <f>lang!B22</f>
        <v>抑郁</v>
      </c>
      <c r="N15" s="59">
        <f t="shared" si="4"/>
        <v>1.6633999999999993</v>
      </c>
      <c r="O15" s="59">
        <f t="shared" si="5"/>
        <v>-1.2016000000000002</v>
      </c>
      <c r="P15" s="59">
        <f t="shared" si="6"/>
        <v>-8.4826000000000015</v>
      </c>
      <c r="Q15" s="59">
        <f t="shared" si="7"/>
        <v>0</v>
      </c>
      <c r="R15" s="59">
        <f t="shared" si="8"/>
        <v>-0.34469999999999956</v>
      </c>
      <c r="S15" s="59">
        <f t="shared" si="9"/>
        <v>0</v>
      </c>
      <c r="T15" s="59">
        <f t="shared" si="10"/>
        <v>-5.6242999999999981</v>
      </c>
      <c r="U15" s="14"/>
      <c r="V15" s="27" t="str">
        <f t="shared" si="11"/>
        <v>抑郁</v>
      </c>
      <c r="W15" s="59">
        <f>'M1'!B13*1</f>
        <v>16.235199999999999</v>
      </c>
      <c r="X15" s="59">
        <f>'M1'!C13*1</f>
        <v>3.0908000000000002</v>
      </c>
      <c r="Y15" s="59">
        <f>'M1'!D13*1</f>
        <v>19.037700000000001</v>
      </c>
      <c r="Z15" s="59">
        <f>'M1'!E13*1</f>
        <v>10</v>
      </c>
      <c r="AA15" s="59">
        <f>'M1'!F13*1</f>
        <v>13.810499999999999</v>
      </c>
      <c r="AB15" s="59">
        <f>'M1'!G13*1</f>
        <v>25</v>
      </c>
      <c r="AC15" s="59">
        <f>'M1'!H13*1</f>
        <v>29.678999999999998</v>
      </c>
      <c r="AE15" s="27" t="str">
        <f t="shared" si="12"/>
        <v>抑郁</v>
      </c>
      <c r="AF15" s="59">
        <f>'M2'!B13*1</f>
        <v>17.898599999999998</v>
      </c>
      <c r="AG15" s="59">
        <f>'M2'!C13*1</f>
        <v>1.8892</v>
      </c>
      <c r="AH15" s="59">
        <f>'M2'!D13*1</f>
        <v>10.555099999999999</v>
      </c>
      <c r="AI15" s="59">
        <f>'M2'!E13*1</f>
        <v>10</v>
      </c>
      <c r="AJ15" s="59">
        <f>'M2'!F13*1</f>
        <v>13.4658</v>
      </c>
      <c r="AK15" s="59">
        <f>'M2'!G13*1</f>
        <v>25</v>
      </c>
      <c r="AL15" s="59">
        <f>'M2'!H13*1</f>
        <v>24.0547</v>
      </c>
    </row>
    <row r="16" spans="2:38" ht="21" customHeight="1">
      <c r="B16" s="29"/>
      <c r="C16" s="32"/>
      <c r="D16" s="32"/>
      <c r="E16" s="32"/>
      <c r="F16" s="32"/>
      <c r="G16" s="128"/>
      <c r="H16" s="129"/>
      <c r="I16" s="129"/>
      <c r="J16" s="129"/>
      <c r="K16" s="130"/>
      <c r="M16" s="27" t="str">
        <f>lang!B23</f>
        <v>神经质</v>
      </c>
      <c r="N16" s="59">
        <f t="shared" si="4"/>
        <v>-12.016000000000002</v>
      </c>
      <c r="O16" s="59">
        <f t="shared" si="5"/>
        <v>2.0080200000000001</v>
      </c>
      <c r="P16" s="59">
        <f t="shared" si="6"/>
        <v>28.422099999999997</v>
      </c>
      <c r="Q16" s="59">
        <f t="shared" si="7"/>
        <v>0</v>
      </c>
      <c r="R16" s="59">
        <f t="shared" si="8"/>
        <v>0.54044999999999987</v>
      </c>
      <c r="S16" s="59">
        <f t="shared" si="9"/>
        <v>0</v>
      </c>
      <c r="T16" s="59">
        <f t="shared" si="10"/>
        <v>-9.1011999999999986</v>
      </c>
      <c r="U16" s="15"/>
      <c r="V16" s="27" t="str">
        <f t="shared" si="11"/>
        <v>神经质</v>
      </c>
      <c r="W16" s="59">
        <f>'M1'!B14*1</f>
        <v>30.908000000000001</v>
      </c>
      <c r="X16" s="59">
        <f>'M1'!C14*1</f>
        <v>8.6466799999999999</v>
      </c>
      <c r="Y16" s="59">
        <f>'M1'!D14*1</f>
        <v>27.9755</v>
      </c>
      <c r="Z16" s="59">
        <f>'M1'!E14*1</f>
        <v>10</v>
      </c>
      <c r="AA16" s="59">
        <f>'M1'!F14*1</f>
        <v>1.4956700000000001</v>
      </c>
      <c r="AB16" s="59">
        <f>'M1'!G14*1</f>
        <v>50</v>
      </c>
      <c r="AC16" s="59">
        <f>'M1'!H14*1</f>
        <v>40.392899999999997</v>
      </c>
      <c r="AE16" s="27" t="str">
        <f t="shared" si="12"/>
        <v>神经质</v>
      </c>
      <c r="AF16" s="59">
        <f>'M2'!B14*1</f>
        <v>18.891999999999999</v>
      </c>
      <c r="AG16" s="59">
        <f>'M2'!C14*1</f>
        <v>10.6547</v>
      </c>
      <c r="AH16" s="59">
        <f>'M2'!D14*1</f>
        <v>56.397599999999997</v>
      </c>
      <c r="AI16" s="59">
        <f>'M2'!E14*1</f>
        <v>10</v>
      </c>
      <c r="AJ16" s="59">
        <f>'M2'!F14*1</f>
        <v>2.0361199999999999</v>
      </c>
      <c r="AK16" s="59">
        <f>'M2'!G14*1</f>
        <v>50</v>
      </c>
      <c r="AL16" s="59">
        <f>'M2'!H14*1</f>
        <v>31.291699999999999</v>
      </c>
    </row>
    <row r="17" spans="2:38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1" t="str">
        <f>lang!B7</f>
        <v>Positive</v>
      </c>
      <c r="N17" s="65">
        <f>SUM(N11:N14)/4</f>
        <v>2.8340000000000032</v>
      </c>
      <c r="O17" s="22">
        <f>N17/(N17+N18+N19)</f>
        <v>-0.83143249011683928</v>
      </c>
      <c r="P17" s="65">
        <f>SUM(P11:P14)/4</f>
        <v>-1.9961425000000002</v>
      </c>
      <c r="Q17" s="22">
        <f>P17/(P17+P18+P19)</f>
        <v>-16.627592669721075</v>
      </c>
      <c r="R17" s="14"/>
      <c r="S17" s="14"/>
      <c r="T17" s="14"/>
      <c r="U17" s="14"/>
      <c r="V17" s="21" t="str">
        <f>M17</f>
        <v>Positive</v>
      </c>
      <c r="W17" s="65">
        <f>SUM(W11:W14)/4</f>
        <v>57.087599999999995</v>
      </c>
      <c r="X17" s="22">
        <f>W17/(W17+W18+W19)</f>
        <v>0.50351089916724046</v>
      </c>
      <c r="Y17" s="65">
        <f>SUM(Y11:Y14)/4</f>
        <v>9.5923274999999997</v>
      </c>
      <c r="Z17" s="22">
        <f>Y17/(Y17+Y18+Y19)</f>
        <v>0.18654720105856865</v>
      </c>
      <c r="AA17" s="14"/>
      <c r="AB17" s="14"/>
      <c r="AC17" s="14"/>
      <c r="AE17" s="21" t="str">
        <f>V17</f>
        <v>Positive</v>
      </c>
      <c r="AF17" s="65">
        <f>SUM(AF11:AF14)/4</f>
        <v>59.921600000000005</v>
      </c>
      <c r="AG17" s="22">
        <f>AF17/(AF17+AF18+AF19)</f>
        <v>0.54488794722220957</v>
      </c>
      <c r="AH17" s="65">
        <f>SUM(AH11:AH14)/4</f>
        <v>7.5961850000000002</v>
      </c>
      <c r="AI17" s="22">
        <f>AH17/(AH17+AH18+AH19)</f>
        <v>0.14738304217596956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lang!B8</f>
        <v>Negative</v>
      </c>
      <c r="N18" s="18">
        <f>SUM(N7:N10)/4</f>
        <v>-1.0662749999999992</v>
      </c>
      <c r="O18" s="22">
        <f>N18/(N17+N18+N19)</f>
        <v>0.31282134029616482</v>
      </c>
      <c r="P18" s="18">
        <f>SUM(P7:P10)/4</f>
        <v>-7.8535574999999991</v>
      </c>
      <c r="Q18" s="22">
        <f>P18/(P17+P18+P19)</f>
        <v>-65.41905456060023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32.719875000000002</v>
      </c>
      <c r="X18" s="22">
        <f>W18/(W17+W18+W19)</f>
        <v>0.2885883043233507</v>
      </c>
      <c r="Y18" s="18">
        <f>SUM(Y7:Y10)/4</f>
        <v>18.321449999999999</v>
      </c>
      <c r="Z18" s="22">
        <f>Y18/(Y17+Y18+Y19)</f>
        <v>0.35630718580391596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31.653600000000001</v>
      </c>
      <c r="AG18" s="22">
        <f>AF18/(AF17+AF18+AF19)</f>
        <v>0.28783719270167907</v>
      </c>
      <c r="AH18" s="18">
        <f>SUM(AH7:AH10)/4</f>
        <v>10.4678925</v>
      </c>
      <c r="AI18" s="22">
        <f>AH18/(AH17+AH18+AH19)</f>
        <v>0.20310061456125875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lang!B9</f>
        <v>Physiological</v>
      </c>
      <c r="N19" s="18">
        <f>(N15+N16)/2</f>
        <v>-5.1763000000000012</v>
      </c>
      <c r="O19" s="22">
        <f>N19/(N17+N18+N19)</f>
        <v>1.5186111498206745</v>
      </c>
      <c r="P19" s="18">
        <f>(P15+P16)/2</f>
        <v>9.9697499999999977</v>
      </c>
      <c r="Q19" s="22">
        <f>P19/(P17+P18+P19)</f>
        <v>83.046647230321298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23.5716</v>
      </c>
      <c r="X19" s="22">
        <f>W19/(W17+W18+W19)</f>
        <v>0.20790079650940882</v>
      </c>
      <c r="Y19" s="18">
        <f>(Y15+Y16)/2</f>
        <v>23.506599999999999</v>
      </c>
      <c r="Z19" s="22">
        <f>Y19/(Y17+Y18+Y19)</f>
        <v>0.45714561313751534</v>
      </c>
      <c r="AA19" s="14"/>
      <c r="AB19" s="14"/>
      <c r="AC19" s="14"/>
      <c r="AE19" s="21" t="str">
        <f t="shared" si="14"/>
        <v>Physiological</v>
      </c>
      <c r="AF19" s="18">
        <f>(AF15+AF16)/2</f>
        <v>18.395299999999999</v>
      </c>
      <c r="AG19" s="22">
        <f>AF19/(AF17+AF18+AF19)</f>
        <v>0.16727486007611128</v>
      </c>
      <c r="AH19" s="18">
        <f>(AH15+AH16)/2</f>
        <v>33.476349999999996</v>
      </c>
      <c r="AI19" s="22">
        <f>AH19/(AH17+AH18+AH19)</f>
        <v>0.64951634326277174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31"/>
      <c r="H22" s="132"/>
      <c r="I22" s="132"/>
      <c r="J22" s="132"/>
      <c r="K22" s="133"/>
      <c r="M22" s="16"/>
      <c r="O22" s="17"/>
      <c r="Q22"/>
      <c r="T22"/>
      <c r="U22" s="19"/>
    </row>
    <row r="23" spans="2:38" ht="17.25" customHeight="1" thickBot="1">
      <c r="B23" s="193" t="str">
        <f>lang!B5</f>
        <v>频率分布直方图</v>
      </c>
      <c r="C23" s="194"/>
      <c r="D23" s="194"/>
      <c r="E23" s="194"/>
      <c r="F23" s="195"/>
      <c r="G23" s="122" t="str">
        <f>lang!B6</f>
        <v xml:space="preserve">心理变化 - 心理基础代谢 </v>
      </c>
      <c r="H23" s="123"/>
      <c r="I23" s="123"/>
      <c r="J23" s="123"/>
      <c r="K23" s="12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1.6/1.91</v>
      </c>
      <c r="D24" s="44" t="str">
        <f>lang!B11</f>
        <v>频率方差</v>
      </c>
      <c r="E24" s="142" t="str">
        <f ca="1">CONCATENATE(ROUND('FH1'!L3,2),"/",ROUND('FH2'!L3,2))</f>
        <v>0.56/0.59</v>
      </c>
      <c r="F24" s="143"/>
      <c r="G24" s="134" t="str">
        <f>lang!B12</f>
        <v>生理变化率</v>
      </c>
      <c r="H24" s="135"/>
      <c r="I24" s="62" t="str">
        <f ca="1">CONCATENATE(info!M7,"-",info!M8)</f>
        <v>40.4-53.7</v>
      </c>
      <c r="J24" s="42" t="str">
        <f>lang!B13</f>
        <v>千卡l/分钟</v>
      </c>
      <c r="K24" s="41" t="str">
        <f ca="1">CONCATENATE(info!M5,"-",info!M6)</f>
        <v>2.8-4.4</v>
      </c>
      <c r="M24" s="16"/>
      <c r="O24" s="17"/>
      <c r="P24" s="17"/>
      <c r="Q24"/>
      <c r="T24"/>
      <c r="U24" s="19"/>
    </row>
    <row r="25" spans="2:38" ht="156.75" customHeight="1" thickBot="1">
      <c r="B25" s="115"/>
      <c r="C25" s="116"/>
      <c r="D25" s="116"/>
      <c r="E25" s="117"/>
      <c r="F25" s="39"/>
      <c r="G25" s="118"/>
      <c r="H25" s="119"/>
      <c r="I25" s="119"/>
      <c r="J25" s="120"/>
      <c r="K25" s="121"/>
      <c r="M25"/>
      <c r="O25" s="17"/>
      <c r="Q25"/>
      <c r="T25"/>
      <c r="U25" s="19"/>
    </row>
    <row r="26" spans="2:38" ht="15" customHeight="1" thickBot="1">
      <c r="B26" s="162" t="str">
        <f>CONCATENATE( lang!B31," ",ROUND(100-FH_info!L2,0),"%]")</f>
        <v>Result [Quality 100%]</v>
      </c>
      <c r="C26" s="163"/>
      <c r="D26" s="163"/>
      <c r="E26" s="163"/>
      <c r="F26" s="163"/>
      <c r="G26" s="163"/>
      <c r="H26" s="163"/>
      <c r="I26" s="163"/>
      <c r="J26" s="163"/>
      <c r="K26" s="164"/>
      <c r="M26"/>
      <c r="Q26"/>
      <c r="T26"/>
    </row>
    <row r="27" spans="2:38" ht="15.75" thickBot="1">
      <c r="B27" s="178" t="str">
        <f>lang!B32</f>
        <v>外向性</v>
      </c>
      <c r="C27" s="179"/>
      <c r="D27" s="180"/>
      <c r="E27" s="162">
        <f>dM!B18*100</f>
        <v>-0.78890000000000349</v>
      </c>
      <c r="F27" s="164"/>
      <c r="G27" s="178" t="str">
        <f>lang!B33</f>
        <v>稳定性</v>
      </c>
      <c r="H27" s="179"/>
      <c r="I27" s="180"/>
      <c r="J27" s="181">
        <f>dM!B19*100</f>
        <v>1.1365999999999987</v>
      </c>
      <c r="K27" s="182"/>
    </row>
    <row r="28" spans="2:38" ht="24.75" customHeight="1">
      <c r="B28" s="165" t="str">
        <f>lang!B34</f>
        <v xml:space="preserve">心理生理状态分析结果： </v>
      </c>
      <c r="C28" s="166"/>
      <c r="D28" s="166"/>
      <c r="E28" s="166"/>
      <c r="F28" s="166"/>
      <c r="G28" s="166"/>
      <c r="H28" s="166"/>
      <c r="I28" s="166"/>
      <c r="J28" s="166"/>
      <c r="K28" s="167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⊡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⊠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83" t="str">
        <f>lang!B37</f>
        <v>意见</v>
      </c>
      <c r="C31" s="184"/>
      <c r="D31" s="185"/>
      <c r="E31" s="185"/>
      <c r="F31" s="185"/>
      <c r="G31" s="185"/>
      <c r="H31" s="185"/>
      <c r="I31" s="185"/>
      <c r="J31" s="185"/>
      <c r="K31" s="186"/>
      <c r="M31"/>
      <c r="Q31"/>
      <c r="T31"/>
      <c r="W31" s="33"/>
      <c r="X31" s="33"/>
    </row>
    <row r="32" spans="2:38" ht="18" customHeight="1">
      <c r="B32" s="156"/>
      <c r="C32" s="157"/>
      <c r="D32" s="157"/>
      <c r="E32" s="157"/>
      <c r="F32" s="157"/>
      <c r="G32" s="157"/>
      <c r="H32" s="157"/>
      <c r="I32" s="157"/>
      <c r="J32" s="157"/>
      <c r="K32" s="158"/>
      <c r="M32"/>
      <c r="Q32"/>
      <c r="T32"/>
      <c r="W32" s="33"/>
      <c r="X32" s="33"/>
    </row>
    <row r="33" spans="2:24" ht="20.25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35.25" customHeight="1" thickBot="1">
      <c r="B34" s="159"/>
      <c r="C34" s="160"/>
      <c r="D34" s="160"/>
      <c r="E34" s="160"/>
      <c r="F34" s="160"/>
      <c r="G34" s="160"/>
      <c r="H34" s="160"/>
      <c r="I34" s="160"/>
      <c r="J34" s="160"/>
      <c r="K34" s="161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  <mergeCell ref="B23:F23"/>
    <mergeCell ref="G23:K23"/>
    <mergeCell ref="E24:F24"/>
    <mergeCell ref="G24:H24"/>
    <mergeCell ref="B25:E25"/>
    <mergeCell ref="G25:K25"/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-0.87201840575270539</v>
      </c>
      <c r="C2">
        <f t="array" aca="1" ref="C2" ca="1">CORREL(FT_E02,FT_PH02)</f>
        <v>-0.76948891635390271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2.7775300000000005</v>
      </c>
      <c r="G2" s="61">
        <f>IF(FT!B2&lt;&gt;"",FT!B2*100,"")</f>
        <v>53.728400000000001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2.8396100000000004</v>
      </c>
      <c r="G3" s="61">
        <f>IF(FT!B3&lt;&gt;"",FT!B3*100,"")</f>
        <v>52.906699999999994</v>
      </c>
      <c r="H3" s="61">
        <f t="shared" ref="H3:H66" si="1">(IF(F3&lt;&gt;"",1,""))</f>
        <v>1</v>
      </c>
      <c r="I3" t="str">
        <f>IF(FT!B3&lt;&gt;"",FT!E3,"")</f>
        <v>1 [0.352983]</v>
      </c>
      <c r="J3">
        <f>IF(FT!B3&lt;&gt;"",FT!C3,"")</f>
        <v>0.35298299999999999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0.43832610810810801</v>
      </c>
      <c r="V3">
        <f ca="1">AVERAGE(OFFSET(FT!B2,info!$L$3/2,0,info!$L$3/2,1))</f>
        <v>0.43609527027027023</v>
      </c>
      <c r="W3">
        <f ca="1">AVERAGE(OFFSET(FT!A2,0,0,info!$L$3/2,1))</f>
        <v>0.33760036486486478</v>
      </c>
      <c r="X3">
        <f ca="1">AVERAGE(OFFSET(FT!A2,info!$L$3/2,0,info!$L$3/2,1))</f>
        <v>0.39700816216216217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2.9009299999999998</v>
      </c>
      <c r="G4" s="61">
        <f>IF(FT!B4&lt;&gt;"",FT!B4*100,"")</f>
        <v>52.112499999999997</v>
      </c>
      <c r="H4" s="61">
        <f t="shared" si="1"/>
        <v>1</v>
      </c>
      <c r="I4" t="str">
        <f>IF(FT!B4&lt;&gt;"",FT!E4,"")</f>
        <v>1 [0.759273]</v>
      </c>
      <c r="J4">
        <f>IF(FT!B4&lt;&gt;"",FT!C4,"")</f>
        <v>0.75927299999999998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14.93615</v>
      </c>
      <c r="V4">
        <f>U4*3</f>
        <v>44.808450000000001</v>
      </c>
      <c r="W4">
        <f>U4</f>
        <v>14.93615</v>
      </c>
      <c r="X4">
        <f>V4</f>
        <v>44.808450000000001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2.9611999999999998</v>
      </c>
      <c r="G5" s="61">
        <f>IF(FT!B5&lt;&gt;"",FT!B5*100,"")</f>
        <v>51.257699999999993</v>
      </c>
      <c r="H5" s="61">
        <f t="shared" si="1"/>
        <v>1</v>
      </c>
      <c r="I5" t="str">
        <f>IF(FT!B5&lt;&gt;"",FT!E5,"")</f>
        <v>1 [1.164528]</v>
      </c>
      <c r="J5">
        <f>IF(FT!B5&lt;&gt;"",FT!C5,"")</f>
        <v>1.1645300000000001</v>
      </c>
      <c r="K5" t="s">
        <v>53</v>
      </c>
      <c r="L5" s="63">
        <f ca="1">MIN(FT_E)</f>
        <v>2.7775300000000005</v>
      </c>
      <c r="M5" s="63">
        <f ca="1">ROUND(L5,1)</f>
        <v>2.8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43.832610810810799</v>
      </c>
      <c r="V5">
        <f ca="1">V3*100</f>
        <v>43.609527027027021</v>
      </c>
      <c r="W5">
        <f ca="1">W3*10</f>
        <v>3.3760036486486475</v>
      </c>
      <c r="X5">
        <f ca="1">X3*10</f>
        <v>3.9700816216216217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3.0193199999999996</v>
      </c>
      <c r="G6" s="61">
        <f>IF(FT!B6&lt;&gt;"",FT!B6*100,"")</f>
        <v>50.339800000000004</v>
      </c>
      <c r="H6" s="61">
        <f t="shared" si="1"/>
        <v>1</v>
      </c>
      <c r="I6" t="str">
        <f>IF(FT!B6&lt;&gt;"",FT!E6,"")</f>
        <v>1 [1.572157]</v>
      </c>
      <c r="J6">
        <f>IF(FT!B6&lt;&gt;"",FT!C6,"")</f>
        <v>1.57216</v>
      </c>
      <c r="K6" t="s">
        <v>54</v>
      </c>
      <c r="L6" s="63">
        <f ca="1">MAX(FT_E)</f>
        <v>4.3580399999999999</v>
      </c>
      <c r="M6" s="63">
        <f ca="1">ROUND(L6,1)</f>
        <v>4.4000000000000004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3.0731999999999999</v>
      </c>
      <c r="G7" s="61">
        <f>IF(FT!B7&lt;&gt;"",FT!B7*100,"")</f>
        <v>49.515500000000003</v>
      </c>
      <c r="H7" s="61">
        <f t="shared" si="1"/>
        <v>1</v>
      </c>
      <c r="I7" t="str">
        <f>IF(FT!B7&lt;&gt;"",FT!E7,"")</f>
        <v>1 [1.975821]</v>
      </c>
      <c r="J7">
        <f>IF(FT!B7&lt;&gt;"",FT!C7,"")</f>
        <v>1.9758199999999999</v>
      </c>
      <c r="K7" t="s">
        <v>55</v>
      </c>
      <c r="L7" s="63">
        <f ca="1">MIN(FT_PH)</f>
        <v>40.360399999999998</v>
      </c>
      <c r="M7" s="63">
        <f ca="1">ROUND(L7,1)</f>
        <v>40.4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645</v>
      </c>
      <c r="D8" s="61">
        <f>FH!B8*1</f>
        <v>645</v>
      </c>
      <c r="E8">
        <f t="shared" si="3"/>
        <v>6</v>
      </c>
      <c r="F8" s="61">
        <f>IF(FT!A8&lt;&gt;"",FT!A8*10,"")</f>
        <v>3.1234899999999999</v>
      </c>
      <c r="G8" s="61">
        <f>IF(FT!B8&lt;&gt;"",FT!B8*100,"")</f>
        <v>48.886499999999998</v>
      </c>
      <c r="H8" s="61">
        <f t="shared" si="1"/>
        <v>1</v>
      </c>
      <c r="I8" t="str">
        <f>IF(FT!B8&lt;&gt;"",FT!E8,"")</f>
        <v>1 [2.386844]</v>
      </c>
      <c r="J8">
        <f>IF(FT!B8&lt;&gt;"",FT!C8,"")</f>
        <v>2.3868399999999999</v>
      </c>
      <c r="K8" t="s">
        <v>56</v>
      </c>
      <c r="L8" s="63">
        <f ca="1">MAX(FT_PH)</f>
        <v>53.728400000000001</v>
      </c>
      <c r="M8" s="63">
        <f ca="1">ROUND(L8,1)</f>
        <v>53.7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3.1676500000000001</v>
      </c>
      <c r="G9" s="61">
        <f>IF(FT!B9&lt;&gt;"",FT!B9*100,"")</f>
        <v>48.407600000000002</v>
      </c>
      <c r="H9" s="61">
        <f t="shared" si="1"/>
        <v>1</v>
      </c>
      <c r="I9" t="str">
        <f>IF(FT!B9&lt;&gt;"",FT!E9,"")</f>
        <v>1 [2.791368]</v>
      </c>
      <c r="J9">
        <f>IF(FT!B9&lt;&gt;"",FT!C9,"")</f>
        <v>2.7913700000000001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1162</v>
      </c>
      <c r="D10" s="61">
        <f>FH!B10*1</f>
        <v>1162</v>
      </c>
      <c r="E10">
        <f t="shared" si="3"/>
        <v>8</v>
      </c>
      <c r="F10" s="61">
        <f>IF(FT!A10&lt;&gt;"",FT!A10*10,"")</f>
        <v>3.2089600000000003</v>
      </c>
      <c r="G10" s="61">
        <f>IF(FT!B10&lt;&gt;"",FT!B10*100,"")</f>
        <v>47.957999999999998</v>
      </c>
      <c r="H10" s="61">
        <f t="shared" si="1"/>
        <v>1</v>
      </c>
      <c r="I10" t="str">
        <f>IF(FT!B10&lt;&gt;"",FT!E10,"")</f>
        <v>1 [3.197665]</v>
      </c>
      <c r="J10">
        <f>IF(FT!B10&lt;&gt;"",FT!C10,"")</f>
        <v>3.1976599999999999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3.2487399999999997</v>
      </c>
      <c r="G11" s="61">
        <f>IF(FT!B11&lt;&gt;"",FT!B11*100,"")</f>
        <v>47.509799999999998</v>
      </c>
      <c r="H11" s="61">
        <f t="shared" si="1"/>
        <v>1</v>
      </c>
      <c r="I11" t="str">
        <f>IF(FT!B11&lt;&gt;"",FT!E11,"")</f>
        <v>1 [3.603161]</v>
      </c>
      <c r="J11">
        <f>IF(FT!B11&lt;&gt;"",FT!C11,"")</f>
        <v>3.6031599999999999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3.28355</v>
      </c>
      <c r="G12" s="61">
        <f>IF(FT!B12&lt;&gt;"",FT!B12*100,"")</f>
        <v>47.057300000000005</v>
      </c>
      <c r="H12" s="61">
        <f t="shared" si="1"/>
        <v>1</v>
      </c>
      <c r="I12" t="str">
        <f>IF(FT!B12&lt;&gt;"",FT!E12,"")</f>
        <v>1 [4.008581]</v>
      </c>
      <c r="J12">
        <f>IF(FT!B12&lt;&gt;"",FT!C12,"")</f>
        <v>4.0085800000000003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680</v>
      </c>
      <c r="D13" s="61">
        <f>FH!B13*1</f>
        <v>680</v>
      </c>
      <c r="E13">
        <f t="shared" si="3"/>
        <v>11</v>
      </c>
      <c r="F13" s="61">
        <f>IF(FT!A13&lt;&gt;"",FT!A13*10,"")</f>
        <v>3.3163499999999999</v>
      </c>
      <c r="G13" s="61">
        <f>IF(FT!B13&lt;&gt;"",FT!B13*100,"")</f>
        <v>46.615400000000001</v>
      </c>
      <c r="H13" s="61">
        <f t="shared" si="1"/>
        <v>1</v>
      </c>
      <c r="I13" t="str">
        <f>IF(FT!B13&lt;&gt;"",FT!E13,"")</f>
        <v>1 [4.414807]</v>
      </c>
      <c r="J13">
        <f>IF(FT!B13&lt;&gt;"",FT!C13,"")</f>
        <v>4.4148100000000001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3.3461600000000002</v>
      </c>
      <c r="G14" s="61">
        <f>IF(FT!B14&lt;&gt;"",FT!B14*100,"")</f>
        <v>46.231200000000001</v>
      </c>
      <c r="H14" s="61">
        <f t="shared" si="1"/>
        <v>1</v>
      </c>
      <c r="I14" t="str">
        <f>IF(FT!B14&lt;&gt;"",FT!E14,"")</f>
        <v>1 [4.817558]</v>
      </c>
      <c r="J14">
        <f>IF(FT!B14&lt;&gt;"",FT!C14,"")</f>
        <v>4.8175600000000003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725</v>
      </c>
      <c r="D15" s="61">
        <f>FH!B15*1</f>
        <v>725</v>
      </c>
      <c r="E15">
        <f t="shared" si="3"/>
        <v>13</v>
      </c>
      <c r="F15" s="61">
        <f>IF(FT!A15&lt;&gt;"",FT!A15*10,"")</f>
        <v>3.3714899999999997</v>
      </c>
      <c r="G15" s="61">
        <f>IF(FT!B15&lt;&gt;"",FT!B15*100,"")</f>
        <v>45.9345</v>
      </c>
      <c r="H15" s="61">
        <f t="shared" si="1"/>
        <v>1</v>
      </c>
      <c r="I15" t="str">
        <f>IF(FT!B15&lt;&gt;"",FT!E15,"")</f>
        <v>1 [5.224365]</v>
      </c>
      <c r="J15">
        <f>IF(FT!B15&lt;&gt;"",FT!C15,"")</f>
        <v>5.2243700000000004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3.3950900000000002</v>
      </c>
      <c r="G16" s="61">
        <f>IF(FT!B16&lt;&gt;"",FT!B16*100,"")</f>
        <v>45.683500000000002</v>
      </c>
      <c r="H16" s="61">
        <f t="shared" si="1"/>
        <v>1</v>
      </c>
      <c r="I16" t="str">
        <f>IF(FT!B16&lt;&gt;"",FT!E16,"")</f>
        <v>1 [5.635711]</v>
      </c>
      <c r="J16">
        <f>IF(FT!B16&lt;&gt;"",FT!C16,"")</f>
        <v>5.6357100000000004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3.4150700000000001</v>
      </c>
      <c r="G17" s="61">
        <f>IF(FT!B17&lt;&gt;"",FT!B17*100,"")</f>
        <v>45.409399999999998</v>
      </c>
      <c r="H17" s="61">
        <f t="shared" si="1"/>
        <v>1</v>
      </c>
      <c r="I17" t="str">
        <f>IF(FT!B17&lt;&gt;"",FT!E17,"")</f>
        <v>1 [6.037084]</v>
      </c>
      <c r="J17">
        <f>IF(FT!B17&lt;&gt;"",FT!C17,"")</f>
        <v>6.0370799999999996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2314</v>
      </c>
      <c r="D18" s="61">
        <f>FH!B18*1</f>
        <v>2314</v>
      </c>
      <c r="E18">
        <f t="shared" si="3"/>
        <v>16</v>
      </c>
      <c r="F18" s="61">
        <f>IF(FT!A18&lt;&gt;"",FT!A18*10,"")</f>
        <v>3.43588</v>
      </c>
      <c r="G18" s="61">
        <f>IF(FT!B18&lt;&gt;"",FT!B18*100,"")</f>
        <v>45.090499999999999</v>
      </c>
      <c r="H18" s="61">
        <f t="shared" si="1"/>
        <v>1</v>
      </c>
      <c r="I18" t="str">
        <f>IF(FT!B18&lt;&gt;"",FT!E18,"")</f>
        <v>1 [6.446953]</v>
      </c>
      <c r="J18">
        <f>IF(FT!B18&lt;&gt;"",FT!C18,"")</f>
        <v>6.4469500000000002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3.45336</v>
      </c>
      <c r="G19" s="61">
        <f>IF(FT!B19&lt;&gt;"",FT!B19*100,"")</f>
        <v>44.771100000000004</v>
      </c>
      <c r="H19" s="61">
        <f t="shared" si="1"/>
        <v>1</v>
      </c>
      <c r="I19" t="str">
        <f>IF(FT!B19&lt;&gt;"",FT!E19,"")</f>
        <v>1 [6.849503]</v>
      </c>
      <c r="J19">
        <f>IF(FT!B19&lt;&gt;"",FT!C19,"")</f>
        <v>6.8494999999999999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3.4685600000000001</v>
      </c>
      <c r="G20" s="61">
        <f>IF(FT!B20&lt;&gt;"",FT!B20*100,"")</f>
        <v>44.431199999999997</v>
      </c>
      <c r="H20" s="61">
        <f t="shared" si="1"/>
        <v>1</v>
      </c>
      <c r="I20" t="str">
        <f>IF(FT!B20&lt;&gt;"",FT!E20,"")</f>
        <v>1 [7.257977]</v>
      </c>
      <c r="J20">
        <f>IF(FT!B20&lt;&gt;"",FT!C20,"")</f>
        <v>7.2579799999999999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3149</v>
      </c>
      <c r="D21" s="61">
        <f>FH!B21*1</f>
        <v>3149</v>
      </c>
      <c r="E21">
        <f t="shared" si="3"/>
        <v>19</v>
      </c>
      <c r="F21" s="61">
        <f>IF(FT!A21&lt;&gt;"",FT!A21*10,"")</f>
        <v>3.48353</v>
      </c>
      <c r="G21" s="61">
        <f>IF(FT!B21&lt;&gt;"",FT!B21*100,"")</f>
        <v>44.095600000000005</v>
      </c>
      <c r="H21" s="61">
        <f t="shared" si="1"/>
        <v>1</v>
      </c>
      <c r="I21" t="str">
        <f>IF(FT!B21&lt;&gt;"",FT!E21,"")</f>
        <v>1 [7.664572]</v>
      </c>
      <c r="J21">
        <f>IF(FT!B21&lt;&gt;"",FT!C21,"")</f>
        <v>7.6645700000000003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3.4954299999999998</v>
      </c>
      <c r="G22" s="61">
        <f>IF(FT!B22&lt;&gt;"",FT!B22*100,"")</f>
        <v>43.786000000000001</v>
      </c>
      <c r="H22" s="61">
        <f t="shared" si="1"/>
        <v>1</v>
      </c>
      <c r="I22" t="str">
        <f>IF(FT!B22&lt;&gt;"",FT!E22,"")</f>
        <v>1 [8.069974]</v>
      </c>
      <c r="J22">
        <f>IF(FT!B22&lt;&gt;"",FT!C22,"")</f>
        <v>8.0699699999999996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4659</v>
      </c>
      <c r="D23" s="61">
        <f>FH!B23*1</f>
        <v>4659</v>
      </c>
      <c r="E23">
        <f t="shared" si="3"/>
        <v>21</v>
      </c>
      <c r="F23" s="61">
        <f>IF(FT!A23&lt;&gt;"",FT!A23*10,"")</f>
        <v>3.5067700000000004</v>
      </c>
      <c r="G23" s="61">
        <f>IF(FT!B23&lt;&gt;"",FT!B23*100,"")</f>
        <v>43.478200000000001</v>
      </c>
      <c r="H23" s="61">
        <f t="shared" si="1"/>
        <v>1</v>
      </c>
      <c r="I23" t="str">
        <f>IF(FT!B23&lt;&gt;"",FT!E23,"")</f>
        <v>1 [8.477754]</v>
      </c>
      <c r="J23">
        <f>IF(FT!B23&lt;&gt;"",FT!C23,"")</f>
        <v>8.4777500000000003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3.51763</v>
      </c>
      <c r="G24" s="61">
        <f>IF(FT!B24&lt;&gt;"",FT!B24*100,"")</f>
        <v>43.183599999999998</v>
      </c>
      <c r="H24" s="61">
        <f t="shared" si="1"/>
        <v>1</v>
      </c>
      <c r="I24" t="str">
        <f>IF(FT!B24&lt;&gt;"",FT!E24,"")</f>
        <v>1 [8.882357]</v>
      </c>
      <c r="J24">
        <f>IF(FT!B24&lt;&gt;"",FT!C24,"")</f>
        <v>8.8823600000000003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3.5301999999999998</v>
      </c>
      <c r="G25" s="61">
        <f>IF(FT!B25&lt;&gt;"",FT!B25*100,"")</f>
        <v>42.869399999999999</v>
      </c>
      <c r="H25" s="61">
        <f t="shared" si="1"/>
        <v>1</v>
      </c>
      <c r="I25" t="str">
        <f>IF(FT!B25&lt;&gt;"",FT!E25,"")</f>
        <v>1 [9.287142]</v>
      </c>
      <c r="J25">
        <f>IF(FT!B25&lt;&gt;"",FT!C25,"")</f>
        <v>9.2871400000000008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9606</v>
      </c>
      <c r="D26" s="61">
        <f>FH!B26*1</f>
        <v>9606</v>
      </c>
      <c r="E26">
        <f t="shared" si="3"/>
        <v>24</v>
      </c>
      <c r="F26" s="61">
        <f>IF(FT!A26&lt;&gt;"",FT!A26*10,"")</f>
        <v>3.5412599999999999</v>
      </c>
      <c r="G26" s="61">
        <f>IF(FT!B26&lt;&gt;"",FT!B26*100,"")</f>
        <v>42.575099999999999</v>
      </c>
      <c r="H26" s="61">
        <f t="shared" si="1"/>
        <v>1</v>
      </c>
      <c r="I26" t="str">
        <f>IF(FT!B26&lt;&gt;"",FT!E26,"")</f>
        <v>1 [9.694969]</v>
      </c>
      <c r="J26">
        <f>IF(FT!B26&lt;&gt;"",FT!C26,"")</f>
        <v>9.6949699999999996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3.5444500000000003</v>
      </c>
      <c r="G27" s="61">
        <f>IF(FT!B27&lt;&gt;"",FT!B27*100,"")</f>
        <v>42.3874</v>
      </c>
      <c r="H27" s="61">
        <f t="shared" si="1"/>
        <v>1</v>
      </c>
      <c r="I27" t="str">
        <f>IF(FT!B27&lt;&gt;"",FT!E27,"")</f>
        <v>1 [10.103580]</v>
      </c>
      <c r="J27">
        <f>IF(FT!B27&lt;&gt;"",FT!C27,"")</f>
        <v>10.1036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18085</v>
      </c>
      <c r="D28" s="61">
        <f>FH!B28*1</f>
        <v>18085</v>
      </c>
      <c r="E28">
        <f t="shared" si="3"/>
        <v>26</v>
      </c>
      <c r="F28" s="61">
        <f>IF(FT!A28&lt;&gt;"",FT!A28*10,"")</f>
        <v>3.54393</v>
      </c>
      <c r="G28" s="61">
        <f>IF(FT!B28&lt;&gt;"",FT!B28*100,"")</f>
        <v>42.258800000000001</v>
      </c>
      <c r="H28" s="61">
        <f t="shared" si="1"/>
        <v>1</v>
      </c>
      <c r="I28" t="str">
        <f>IF(FT!B28&lt;&gt;"",FT!E28,"")</f>
        <v>1 [10.508393]</v>
      </c>
      <c r="J28">
        <f>IF(FT!B28&lt;&gt;"",FT!C28,"")</f>
        <v>10.5084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3.5390800000000002</v>
      </c>
      <c r="G29" s="61">
        <f>IF(FT!B29&lt;&gt;"",FT!B29*100,"")</f>
        <v>42.187200000000004</v>
      </c>
      <c r="H29" s="61">
        <f t="shared" si="1"/>
        <v>1</v>
      </c>
      <c r="I29" t="str">
        <f>IF(FT!B29&lt;&gt;"",FT!E29,"")</f>
        <v>1 [10.912231]</v>
      </c>
      <c r="J29">
        <f>IF(FT!B29&lt;&gt;"",FT!C29,"")</f>
        <v>10.9122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3.5289599999999997</v>
      </c>
      <c r="G30" s="61">
        <f>IF(FT!B30&lt;&gt;"",FT!B30*100,"")</f>
        <v>42.196300000000001</v>
      </c>
      <c r="H30" s="61">
        <f t="shared" si="1"/>
        <v>1</v>
      </c>
      <c r="I30" t="str">
        <f>IF(FT!B30&lt;&gt;"",FT!E30,"")</f>
        <v>1 [11.317938]</v>
      </c>
      <c r="J30">
        <f>IF(FT!B30&lt;&gt;"",FT!C30,"")</f>
        <v>11.3179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30039</v>
      </c>
      <c r="D31" s="61">
        <f>FH!B31*1</f>
        <v>30039</v>
      </c>
      <c r="E31">
        <f t="shared" si="3"/>
        <v>29</v>
      </c>
      <c r="F31" s="61">
        <f>IF(FT!A31&lt;&gt;"",FT!A31*10,"")</f>
        <v>3.5170300000000001</v>
      </c>
      <c r="G31" s="61">
        <f>IF(FT!B31&lt;&gt;"",FT!B31*100,"")</f>
        <v>42.2729</v>
      </c>
      <c r="H31" s="61">
        <f t="shared" si="1"/>
        <v>1</v>
      </c>
      <c r="I31" t="str">
        <f>IF(FT!B31&lt;&gt;"",FT!E31,"")</f>
        <v>1 [11.723700]</v>
      </c>
      <c r="J31">
        <f>IF(FT!B31&lt;&gt;"",FT!C31,"")</f>
        <v>11.723699999999999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3.5104200000000003</v>
      </c>
      <c r="G32" s="61">
        <f>IF(FT!B32&lt;&gt;"",FT!B32*100,"")</f>
        <v>42.319299999999998</v>
      </c>
      <c r="H32" s="61">
        <f t="shared" si="1"/>
        <v>1</v>
      </c>
      <c r="I32" t="str">
        <f>IF(FT!B32&lt;&gt;"",FT!E32,"")</f>
        <v>1 [12.134874]</v>
      </c>
      <c r="J32">
        <f>IF(FT!B32&lt;&gt;"",FT!C32,"")</f>
        <v>12.1349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42976</v>
      </c>
      <c r="D33" s="61">
        <f>FH!B33*1</f>
        <v>42976</v>
      </c>
      <c r="E33">
        <f t="shared" si="3"/>
        <v>31</v>
      </c>
      <c r="F33" s="61">
        <f>IF(FT!A33&lt;&gt;"",FT!A33*10,"")</f>
        <v>3.5063499999999999</v>
      </c>
      <c r="G33" s="61">
        <f>IF(FT!B33&lt;&gt;"",FT!B33*100,"")</f>
        <v>42.311500000000002</v>
      </c>
      <c r="H33" s="61">
        <f t="shared" si="1"/>
        <v>1</v>
      </c>
      <c r="I33" t="str">
        <f>IF(FT!B33&lt;&gt;"",FT!E33,"")</f>
        <v>1 [12.541556]</v>
      </c>
      <c r="J33">
        <f>IF(FT!B33&lt;&gt;"",FT!C33,"")</f>
        <v>12.541600000000001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3.5050999999999997</v>
      </c>
      <c r="G34" s="61">
        <f>IF(FT!B34&lt;&gt;"",FT!B34*100,"")</f>
        <v>42.240600000000001</v>
      </c>
      <c r="H34" s="61">
        <f t="shared" si="1"/>
        <v>1</v>
      </c>
      <c r="I34" t="str">
        <f>IF(FT!B34&lt;&gt;"",FT!E34,"")</f>
        <v>1 [12.947681]</v>
      </c>
      <c r="J34">
        <f>IF(FT!B34&lt;&gt;"",FT!C34,"")</f>
        <v>12.947699999999999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3.50448</v>
      </c>
      <c r="G35" s="61">
        <f>IF(FT!B35&lt;&gt;"",FT!B35*100,"")</f>
        <v>42.128500000000003</v>
      </c>
      <c r="H35" s="61">
        <f t="shared" si="1"/>
        <v>1</v>
      </c>
      <c r="I35" t="str">
        <f>IF(FT!B35&lt;&gt;"",FT!E35,"")</f>
        <v>1 [13.349706]</v>
      </c>
      <c r="J35">
        <f>IF(FT!B35&lt;&gt;"",FT!C35,"")</f>
        <v>13.3497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57312</v>
      </c>
      <c r="D36" s="61">
        <f>FH!B36*1</f>
        <v>57312</v>
      </c>
      <c r="E36">
        <f t="shared" si="3"/>
        <v>34</v>
      </c>
      <c r="F36" s="61">
        <f>IF(FT!A36&lt;&gt;"",FT!A36*10,"")</f>
        <v>3.5010300000000001</v>
      </c>
      <c r="G36" s="61">
        <f>IF(FT!B36&lt;&gt;"",FT!B36*100,"")</f>
        <v>42.052</v>
      </c>
      <c r="H36" s="61">
        <f t="shared" si="1"/>
        <v>1</v>
      </c>
      <c r="I36" t="str">
        <f>IF(FT!B36&lt;&gt;"",FT!E36,"")</f>
        <v>1 [13.754001]</v>
      </c>
      <c r="J36">
        <f>IF(FT!B36&lt;&gt;"",FT!C36,"")</f>
        <v>13.754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3.4962900000000001</v>
      </c>
      <c r="G37" s="61">
        <f>IF(FT!B37&lt;&gt;"",FT!B37*100,"")</f>
        <v>41.992899999999999</v>
      </c>
      <c r="H37" s="61">
        <f t="shared" si="1"/>
        <v>1</v>
      </c>
      <c r="I37" t="str">
        <f>IF(FT!B37&lt;&gt;"",FT!E37,"")</f>
        <v>1 [14.164856]</v>
      </c>
      <c r="J37">
        <f>IF(FT!B37&lt;&gt;"",FT!C37,"")</f>
        <v>14.164899999999999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3.4901200000000001</v>
      </c>
      <c r="G38" s="61">
        <f>IF(FT!B38&lt;&gt;"",FT!B38*100,"")</f>
        <v>41.987400000000001</v>
      </c>
      <c r="H38" s="61">
        <f t="shared" si="1"/>
        <v>1</v>
      </c>
      <c r="I38" t="str">
        <f>IF(FT!B38&lt;&gt;"",FT!E38,"")</f>
        <v>1 [14.573533]</v>
      </c>
      <c r="J38">
        <f>IF(FT!B38&lt;&gt;"",FT!C38,"")</f>
        <v>14.573499999999999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73139</v>
      </c>
      <c r="D39" s="61">
        <f>FH!B39*1</f>
        <v>73139</v>
      </c>
      <c r="E39">
        <f t="shared" si="3"/>
        <v>37</v>
      </c>
      <c r="F39" s="61">
        <f>IF(FT!A39&lt;&gt;"",FT!A39*10,"")</f>
        <v>3.4833399999999997</v>
      </c>
      <c r="G39" s="61">
        <f>IF(FT!B39&lt;&gt;"",FT!B39*100,"")</f>
        <v>42.0212</v>
      </c>
      <c r="H39" s="61">
        <f t="shared" si="1"/>
        <v>1</v>
      </c>
      <c r="I39" t="str">
        <f>IF(FT!B39&lt;&gt;"",FT!E39,"")</f>
        <v>1 [14.975787]</v>
      </c>
      <c r="J39">
        <f>IF(FT!B39&lt;&gt;"",FT!C39,"")</f>
        <v>14.9758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3.4794</v>
      </c>
      <c r="G40" s="61">
        <f>IF(FT!B40&lt;&gt;"",FT!B40*100,"")</f>
        <v>42.032599999999995</v>
      </c>
      <c r="H40" s="61">
        <f t="shared" si="1"/>
        <v>1</v>
      </c>
      <c r="I40" t="str">
        <f>IF(FT!B40&lt;&gt;"",FT!E40,"")</f>
        <v>1 [15.383002]</v>
      </c>
      <c r="J40">
        <f>IF(FT!B40&lt;&gt;"",FT!C40,"")</f>
        <v>15.382999999999999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77338</v>
      </c>
      <c r="D41" s="61">
        <f>FH!B41*1</f>
        <v>77338</v>
      </c>
      <c r="E41">
        <f t="shared" si="3"/>
        <v>39</v>
      </c>
      <c r="F41" s="61">
        <f>IF(FT!A41&lt;&gt;"",FT!A41*10,"")</f>
        <v>3.4760299999999997</v>
      </c>
      <c r="G41" s="61">
        <f>IF(FT!B41&lt;&gt;"",FT!B41*100,"")</f>
        <v>41.974299999999999</v>
      </c>
      <c r="H41" s="61">
        <f t="shared" si="1"/>
        <v>1</v>
      </c>
      <c r="I41" t="str">
        <f>IF(FT!B41&lt;&gt;"",FT!E41,"")</f>
        <v>1 [15.788788]</v>
      </c>
      <c r="J41">
        <f>IF(FT!B41&lt;&gt;"",FT!C41,"")</f>
        <v>15.7888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3.4733499999999999</v>
      </c>
      <c r="G42" s="61">
        <f>IF(FT!B42&lt;&gt;"",FT!B42*100,"")</f>
        <v>41.882999999999996</v>
      </c>
      <c r="H42" s="61">
        <f t="shared" si="1"/>
        <v>1</v>
      </c>
      <c r="I42" t="str">
        <f>IF(FT!B42&lt;&gt;"",FT!E42,"")</f>
        <v>1 [16.194069]</v>
      </c>
      <c r="J42">
        <f>IF(FT!B42&lt;&gt;"",FT!C42,"")</f>
        <v>16.194099999999999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3.4689799999999997</v>
      </c>
      <c r="G43" s="61">
        <f>IF(FT!B43&lt;&gt;"",FT!B43*100,"")</f>
        <v>41.810900000000004</v>
      </c>
      <c r="H43" s="61">
        <f t="shared" si="1"/>
        <v>1</v>
      </c>
      <c r="I43" t="str">
        <f>IF(FT!B43&lt;&gt;"",FT!E43,"")</f>
        <v>1 [16.605220]</v>
      </c>
      <c r="J43">
        <f>IF(FT!B43&lt;&gt;"",FT!C43,"")</f>
        <v>16.6052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85018</v>
      </c>
      <c r="D44" s="61">
        <f>FH!B44*1</f>
        <v>85018</v>
      </c>
      <c r="E44">
        <f t="shared" si="3"/>
        <v>42</v>
      </c>
      <c r="F44" s="61">
        <f>IF(FT!A44&lt;&gt;"",FT!A44*10,"")</f>
        <v>3.4638999999999998</v>
      </c>
      <c r="G44" s="61">
        <f>IF(FT!B44&lt;&gt;"",FT!B44*100,"")</f>
        <v>41.764600000000002</v>
      </c>
      <c r="H44" s="61">
        <f t="shared" si="1"/>
        <v>1</v>
      </c>
      <c r="I44" t="str">
        <f>IF(FT!B44&lt;&gt;"",FT!E44,"")</f>
        <v>1 [17.010464]</v>
      </c>
      <c r="J44">
        <f>IF(FT!B44&lt;&gt;"",FT!C44,"")</f>
        <v>17.0105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3.4584599999999996</v>
      </c>
      <c r="G45" s="61">
        <f>IF(FT!B45&lt;&gt;"",FT!B45*100,"")</f>
        <v>41.775400000000005</v>
      </c>
      <c r="H45" s="61">
        <f t="shared" si="1"/>
        <v>1</v>
      </c>
      <c r="I45" t="str">
        <f>IF(FT!B45&lt;&gt;"",FT!E45,"")</f>
        <v>1 [17.413075]</v>
      </c>
      <c r="J45">
        <f>IF(FT!B45&lt;&gt;"",FT!C45,"")</f>
        <v>17.4131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92429</v>
      </c>
      <c r="D46" s="61">
        <f>FH!B46*1</f>
        <v>92429</v>
      </c>
      <c r="E46">
        <f t="shared" si="3"/>
        <v>44</v>
      </c>
      <c r="F46" s="61">
        <f>IF(FT!A46&lt;&gt;"",FT!A46*10,"")</f>
        <v>3.4516299999999998</v>
      </c>
      <c r="G46" s="61">
        <f>IF(FT!B46&lt;&gt;"",FT!B46*100,"")</f>
        <v>41.810099999999998</v>
      </c>
      <c r="H46" s="61">
        <f t="shared" si="1"/>
        <v>1</v>
      </c>
      <c r="I46" t="str">
        <f>IF(FT!B46&lt;&gt;"",FT!E46,"")</f>
        <v>1 [17.821183]</v>
      </c>
      <c r="J46">
        <f>IF(FT!B46&lt;&gt;"",FT!C46,"")</f>
        <v>17.821200000000001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3.4429799999999999</v>
      </c>
      <c r="G47" s="61">
        <f>IF(FT!B47&lt;&gt;"",FT!B47*100,"")</f>
        <v>41.831299999999999</v>
      </c>
      <c r="H47" s="61">
        <f t="shared" si="1"/>
        <v>1</v>
      </c>
      <c r="I47" t="str">
        <f>IF(FT!B47&lt;&gt;"",FT!E47,"")</f>
        <v>1 [18.224759]</v>
      </c>
      <c r="J47">
        <f>IF(FT!B47&lt;&gt;"",FT!C47,"")</f>
        <v>18.224799999999998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3.4340900000000003</v>
      </c>
      <c r="G48" s="61">
        <f>IF(FT!B48&lt;&gt;"",FT!B48*100,"")</f>
        <v>41.842300000000002</v>
      </c>
      <c r="H48" s="61">
        <f t="shared" si="1"/>
        <v>1</v>
      </c>
      <c r="I48" t="str">
        <f>IF(FT!B48&lt;&gt;"",FT!E48,"")</f>
        <v>1 [18.634756]</v>
      </c>
      <c r="J48">
        <f>IF(FT!B48&lt;&gt;"",FT!C48,"")</f>
        <v>18.634799999999998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100214</v>
      </c>
      <c r="D49" s="61">
        <f>FH!B49*1</f>
        <v>100214</v>
      </c>
      <c r="E49">
        <f t="shared" si="3"/>
        <v>47</v>
      </c>
      <c r="F49" s="61">
        <f>IF(FT!A49&lt;&gt;"",FT!A49*10,"")</f>
        <v>3.42544</v>
      </c>
      <c r="G49" s="61">
        <f>IF(FT!B49&lt;&gt;"",FT!B49*100,"")</f>
        <v>41.813200000000002</v>
      </c>
      <c r="H49" s="61">
        <f t="shared" si="1"/>
        <v>1</v>
      </c>
      <c r="I49" t="str">
        <f>IF(FT!B49&lt;&gt;"",FT!E49,"")</f>
        <v>1 [19.038382]</v>
      </c>
      <c r="J49">
        <f>IF(FT!B49&lt;&gt;"",FT!C49,"")</f>
        <v>19.038399999999999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3.4147499999999997</v>
      </c>
      <c r="G50" s="61">
        <f>IF(FT!B50&lt;&gt;"",FT!B50*100,"")</f>
        <v>41.784999999999997</v>
      </c>
      <c r="H50" s="61">
        <f t="shared" si="1"/>
        <v>1</v>
      </c>
      <c r="I50" t="str">
        <f>IF(FT!B50&lt;&gt;"",FT!E50,"")</f>
        <v>1 [19.445227]</v>
      </c>
      <c r="J50">
        <f>IF(FT!B50&lt;&gt;"",FT!C50,"")</f>
        <v>19.4452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97123</v>
      </c>
      <c r="D51" s="61">
        <f>FH!B51*1</f>
        <v>97123</v>
      </c>
      <c r="E51">
        <f t="shared" si="3"/>
        <v>49</v>
      </c>
      <c r="F51" s="61">
        <f>IF(FT!A51&lt;&gt;"",FT!A51*10,"")</f>
        <v>3.4050000000000002</v>
      </c>
      <c r="G51" s="61">
        <f>IF(FT!B51&lt;&gt;"",FT!B51*100,"")</f>
        <v>41.723700000000001</v>
      </c>
      <c r="H51" s="61">
        <f t="shared" si="1"/>
        <v>1</v>
      </c>
      <c r="I51" t="str">
        <f>IF(FT!B51&lt;&gt;"",FT!E51,"")</f>
        <v>1 [19.850442]</v>
      </c>
      <c r="J51">
        <f>IF(FT!B51&lt;&gt;"",FT!C51,"")</f>
        <v>19.8504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3.3994799999999996</v>
      </c>
      <c r="G52" s="61">
        <f>IF(FT!B52&lt;&gt;"",FT!B52*100,"")</f>
        <v>41.680399999999999</v>
      </c>
      <c r="H52" s="61">
        <f t="shared" si="1"/>
        <v>1</v>
      </c>
      <c r="I52" t="str">
        <f>IF(FT!B52&lt;&gt;"",FT!E52,"")</f>
        <v>1 [20.261175]</v>
      </c>
      <c r="J52">
        <f>IF(FT!B52&lt;&gt;"",FT!C52,"")</f>
        <v>20.261199999999999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3.3922400000000001</v>
      </c>
      <c r="G53" s="61">
        <f>IF(FT!B53&lt;&gt;"",FT!B53*100,"")</f>
        <v>41.639099999999999</v>
      </c>
      <c r="H53" s="61">
        <f t="shared" si="1"/>
        <v>1</v>
      </c>
      <c r="I53" t="str">
        <f>IF(FT!B53&lt;&gt;"",FT!E53,"")</f>
        <v>1 [20.665363]</v>
      </c>
      <c r="J53">
        <f>IF(FT!B53&lt;&gt;"",FT!C53,"")</f>
        <v>20.665400000000002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104503</v>
      </c>
      <c r="D54" s="61">
        <f>FH!B54*1</f>
        <v>104503</v>
      </c>
      <c r="E54">
        <f t="shared" si="3"/>
        <v>52</v>
      </c>
      <c r="F54" s="61">
        <f>IF(FT!A54&lt;&gt;"",FT!A54*10,"")</f>
        <v>3.38687</v>
      </c>
      <c r="G54" s="61">
        <f>IF(FT!B54&lt;&gt;"",FT!B54*100,"")</f>
        <v>41.606900000000003</v>
      </c>
      <c r="H54" s="61">
        <f t="shared" si="1"/>
        <v>1</v>
      </c>
      <c r="I54" t="str">
        <f>IF(FT!B54&lt;&gt;"",FT!E54,"")</f>
        <v>1 [21.073121]</v>
      </c>
      <c r="J54">
        <f>IF(FT!B54&lt;&gt;"",FT!C54,"")</f>
        <v>21.0731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3.38483</v>
      </c>
      <c r="G55" s="61">
        <f>IF(FT!B55&lt;&gt;"",FT!B55*100,"")</f>
        <v>41.510300000000001</v>
      </c>
      <c r="H55" s="61">
        <f t="shared" si="1"/>
        <v>1</v>
      </c>
      <c r="I55" t="str">
        <f>IF(FT!B55&lt;&gt;"",FT!E55,"")</f>
        <v>1 [21.477019]</v>
      </c>
      <c r="J55">
        <f>IF(FT!B55&lt;&gt;"",FT!C55,"")</f>
        <v>21.477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3.3833299999999999</v>
      </c>
      <c r="G56" s="61">
        <f>IF(FT!B56&lt;&gt;"",FT!B56*100,"")</f>
        <v>41.460299999999997</v>
      </c>
      <c r="H56" s="61">
        <f t="shared" si="1"/>
        <v>1</v>
      </c>
      <c r="I56" t="str">
        <f>IF(FT!B56&lt;&gt;"",FT!E56,"")</f>
        <v>1 [21.883179]</v>
      </c>
      <c r="J56">
        <f>IF(FT!B56&lt;&gt;"",FT!C56,"")</f>
        <v>21.883199999999999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109346</v>
      </c>
      <c r="D57" s="61">
        <f>FH!B57*1</f>
        <v>109346</v>
      </c>
      <c r="E57">
        <f t="shared" si="3"/>
        <v>55</v>
      </c>
      <c r="F57" s="61">
        <f>IF(FT!A57&lt;&gt;"",FT!A57*10,"")</f>
        <v>3.37906</v>
      </c>
      <c r="G57" s="61">
        <f>IF(FT!B57&lt;&gt;"",FT!B57*100,"")</f>
        <v>41.475499999999997</v>
      </c>
      <c r="H57" s="61">
        <f t="shared" si="1"/>
        <v>1</v>
      </c>
      <c r="I57" t="str">
        <f>IF(FT!B57&lt;&gt;"",FT!E57,"")</f>
        <v>1 [22.286475]</v>
      </c>
      <c r="J57">
        <f>IF(FT!B57&lt;&gt;"",FT!C57,"")</f>
        <v>22.2865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3.37513</v>
      </c>
      <c r="G58" s="61">
        <f>IF(FT!B58&lt;&gt;"",FT!B58*100,"")</f>
        <v>41.470500000000001</v>
      </c>
      <c r="H58" s="61">
        <f t="shared" si="1"/>
        <v>1</v>
      </c>
      <c r="I58" t="str">
        <f>IF(FT!B58&lt;&gt;"",FT!E58,"")</f>
        <v>1 [22.695636]</v>
      </c>
      <c r="J58">
        <f>IF(FT!B58&lt;&gt;"",FT!C58,"")</f>
        <v>22.695599999999999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114010</v>
      </c>
      <c r="D59" s="61">
        <f>FH!B59*1</f>
        <v>114010</v>
      </c>
      <c r="E59">
        <f t="shared" si="3"/>
        <v>57</v>
      </c>
      <c r="F59" s="61">
        <f>IF(FT!A59&lt;&gt;"",FT!A59*10,"")</f>
        <v>3.3726000000000003</v>
      </c>
      <c r="G59" s="61">
        <f>IF(FT!B59&lt;&gt;"",FT!B59*100,"")</f>
        <v>41.516500000000001</v>
      </c>
      <c r="H59" s="61">
        <f t="shared" si="1"/>
        <v>1</v>
      </c>
      <c r="I59" t="str">
        <f>IF(FT!B59&lt;&gt;"",FT!E59,"")</f>
        <v>1 [23.103911]</v>
      </c>
      <c r="J59">
        <f>IF(FT!B59&lt;&gt;"",FT!C59,"")</f>
        <v>23.103899999999999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3.3662299999999998</v>
      </c>
      <c r="G60" s="61">
        <f>IF(FT!B60&lt;&gt;"",FT!B60*100,"")</f>
        <v>41.705799999999996</v>
      </c>
      <c r="H60" s="61">
        <f t="shared" si="1"/>
        <v>1</v>
      </c>
      <c r="I60" t="str">
        <f>IF(FT!B60&lt;&gt;"",FT!E60,"")</f>
        <v>1 [23.508669]</v>
      </c>
      <c r="J60">
        <f>IF(FT!B60&lt;&gt;"",FT!C60,"")</f>
        <v>23.508700000000001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3.3603199999999998</v>
      </c>
      <c r="G61" s="61">
        <f>IF(FT!B61&lt;&gt;"",FT!B61*100,"")</f>
        <v>41.8718</v>
      </c>
      <c r="H61" s="61">
        <f t="shared" si="1"/>
        <v>1</v>
      </c>
      <c r="I61" t="str">
        <f>IF(FT!B61&lt;&gt;"",FT!E61,"")</f>
        <v>1 [23.912989]</v>
      </c>
      <c r="J61">
        <f>IF(FT!B61&lt;&gt;"",FT!C61,"")</f>
        <v>23.913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115791</v>
      </c>
      <c r="D62" s="61">
        <f>FH!B62*1</f>
        <v>115791</v>
      </c>
      <c r="E62">
        <f t="shared" si="3"/>
        <v>60</v>
      </c>
      <c r="F62" s="61">
        <f>IF(FT!A62&lt;&gt;"",FT!A62*10,"")</f>
        <v>3.3570199999999999</v>
      </c>
      <c r="G62" s="61">
        <f>IF(FT!B62&lt;&gt;"",FT!B62*100,"")</f>
        <v>41.977199999999996</v>
      </c>
      <c r="H62" s="61">
        <f t="shared" si="1"/>
        <v>1</v>
      </c>
      <c r="I62" t="str">
        <f>IF(FT!B62&lt;&gt;"",FT!E62,"")</f>
        <v>1 [24.319856]</v>
      </c>
      <c r="J62">
        <f>IF(FT!B62&lt;&gt;"",FT!C62,"")</f>
        <v>24.319900000000001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3.3565099999999997</v>
      </c>
      <c r="G63" s="61">
        <f>IF(FT!B63&lt;&gt;"",FT!B63*100,"")</f>
        <v>42.0747</v>
      </c>
      <c r="H63" s="61">
        <f t="shared" si="1"/>
        <v>1</v>
      </c>
      <c r="I63" t="str">
        <f>IF(FT!B63&lt;&gt;"",FT!E63,"")</f>
        <v>1 [24.728215]</v>
      </c>
      <c r="J63">
        <f>IF(FT!B63&lt;&gt;"",FT!C63,"")</f>
        <v>24.728200000000001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114213</v>
      </c>
      <c r="D64" s="61">
        <f>FH!B64*1</f>
        <v>114213</v>
      </c>
      <c r="E64">
        <f t="shared" si="3"/>
        <v>62</v>
      </c>
      <c r="F64" s="61">
        <f>IF(FT!A64&lt;&gt;"",FT!A64*10,"")</f>
        <v>3.35758</v>
      </c>
      <c r="G64" s="61">
        <f>IF(FT!B64&lt;&gt;"",FT!B64*100,"")</f>
        <v>42.177399999999999</v>
      </c>
      <c r="H64" s="61">
        <f t="shared" si="1"/>
        <v>1</v>
      </c>
      <c r="I64" t="str">
        <f>IF(FT!B64&lt;&gt;"",FT!E64,"")</f>
        <v>1 [25.133222]</v>
      </c>
      <c r="J64">
        <f>IF(FT!B64&lt;&gt;"",FT!C64,"")</f>
        <v>25.133199999999999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3.35921</v>
      </c>
      <c r="G65" s="61">
        <f>IF(FT!B65&lt;&gt;"",FT!B65*100,"")</f>
        <v>42.279899999999998</v>
      </c>
      <c r="H65" s="61">
        <f t="shared" si="1"/>
        <v>1</v>
      </c>
      <c r="I65" t="str">
        <f>IF(FT!B65&lt;&gt;"",FT!E65,"")</f>
        <v>1 [25.538927]</v>
      </c>
      <c r="J65">
        <f>IF(FT!B65&lt;&gt;"",FT!C65,"")</f>
        <v>25.538900000000002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3.3613599999999999</v>
      </c>
      <c r="G66" s="61">
        <f>IF(FT!B66&lt;&gt;"",FT!B66*100,"")</f>
        <v>42.373100000000001</v>
      </c>
      <c r="H66" s="61">
        <f t="shared" si="1"/>
        <v>1</v>
      </c>
      <c r="I66" t="str">
        <f>IF(FT!B66&lt;&gt;"",FT!E66,"")</f>
        <v>1 [25.944665]</v>
      </c>
      <c r="J66">
        <f>IF(FT!B66&lt;&gt;"",FT!C66,"")</f>
        <v>25.944700000000001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125686</v>
      </c>
      <c r="D67" s="61">
        <f>FH!B67*1</f>
        <v>125686</v>
      </c>
      <c r="E67">
        <f t="shared" si="3"/>
        <v>65</v>
      </c>
      <c r="F67" s="61">
        <f>IF(FT!A67&lt;&gt;"",FT!A67*10,"")</f>
        <v>3.3641900000000002</v>
      </c>
      <c r="G67" s="61">
        <f>IF(FT!B67&lt;&gt;"",FT!B67*100,"")</f>
        <v>42.512299999999996</v>
      </c>
      <c r="H67" s="61">
        <f t="shared" ref="H67:H130" si="9">(IF(F67&lt;&gt;"",1,""))</f>
        <v>1</v>
      </c>
      <c r="I67" t="str">
        <f>IF(FT!B67&lt;&gt;"",FT!E67,"")</f>
        <v>1 [26.350547]</v>
      </c>
      <c r="J67">
        <f>IF(FT!B67&lt;&gt;"",FT!C67,"")</f>
        <v>26.3505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3.3625799999999999</v>
      </c>
      <c r="G68" s="61">
        <f>IF(FT!B68&lt;&gt;"",FT!B68*100,"")</f>
        <v>42.760199999999998</v>
      </c>
      <c r="H68" s="61">
        <f t="shared" si="9"/>
        <v>1</v>
      </c>
      <c r="I68" t="str">
        <f>IF(FT!B68&lt;&gt;"",FT!E68,"")</f>
        <v>1 [26.759116]</v>
      </c>
      <c r="J68">
        <f>IF(FT!B68&lt;&gt;"",FT!C68,"")</f>
        <v>26.7591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120674</v>
      </c>
      <c r="D69" s="61">
        <f>FH!B69*1</f>
        <v>120674</v>
      </c>
      <c r="E69">
        <f t="shared" si="11"/>
        <v>67</v>
      </c>
      <c r="F69" s="61">
        <f>IF(FT!A69&lt;&gt;"",FT!A69*10,"")</f>
        <v>3.3607800000000001</v>
      </c>
      <c r="G69" s="61">
        <f>IF(FT!B69&lt;&gt;"",FT!B69*100,"")</f>
        <v>43.036900000000003</v>
      </c>
      <c r="H69" s="61">
        <f t="shared" si="9"/>
        <v>1</v>
      </c>
      <c r="I69" t="str">
        <f>IF(FT!B69&lt;&gt;"",FT!E69,"")</f>
        <v>1 [27.165054]</v>
      </c>
      <c r="J69">
        <f>IF(FT!B69&lt;&gt;"",FT!C69,"")</f>
        <v>27.165099999999999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3.3593800000000003</v>
      </c>
      <c r="G70" s="61">
        <f>IF(FT!B70&lt;&gt;"",FT!B70*100,"")</f>
        <v>43.308300000000003</v>
      </c>
      <c r="H70" s="61">
        <f t="shared" si="9"/>
        <v>1</v>
      </c>
      <c r="I70" t="str">
        <f>IF(FT!B70&lt;&gt;"",FT!E70,"")</f>
        <v>1 [27.572052]</v>
      </c>
      <c r="J70">
        <f>IF(FT!B70&lt;&gt;"",FT!C70,"")</f>
        <v>27.572099999999999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3.35928</v>
      </c>
      <c r="G71" s="61">
        <f>IF(FT!B71&lt;&gt;"",FT!B71*100,"")</f>
        <v>43.599299999999999</v>
      </c>
      <c r="H71" s="61">
        <f t="shared" si="9"/>
        <v>1</v>
      </c>
      <c r="I71" t="str">
        <f>IF(FT!B71&lt;&gt;"",FT!E71,"")</f>
        <v>1 [27.976468]</v>
      </c>
      <c r="J71">
        <f>IF(FT!B71&lt;&gt;"",FT!C71,"")</f>
        <v>27.976500000000001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124032</v>
      </c>
      <c r="D72" s="61">
        <f>FH!B72*1</f>
        <v>124032</v>
      </c>
      <c r="E72">
        <f t="shared" si="11"/>
        <v>70</v>
      </c>
      <c r="F72" s="61">
        <f>IF(FT!A72&lt;&gt;"",FT!A72*10,"")</f>
        <v>3.3628599999999995</v>
      </c>
      <c r="G72" s="61">
        <f>IF(FT!B72&lt;&gt;"",FT!B72*100,"")</f>
        <v>43.843400000000003</v>
      </c>
      <c r="H72" s="61">
        <f t="shared" si="9"/>
        <v>1</v>
      </c>
      <c r="I72" t="str">
        <f>IF(FT!B72&lt;&gt;"",FT!E72,"")</f>
        <v>1 [28.380398]</v>
      </c>
      <c r="J72">
        <f>IF(FT!B72&lt;&gt;"",FT!C72,"")</f>
        <v>28.380400000000002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3.3673500000000001</v>
      </c>
      <c r="G73" s="61">
        <f>IF(FT!B73&lt;&gt;"",FT!B73*100,"")</f>
        <v>44.130699999999997</v>
      </c>
      <c r="H73" s="61">
        <f t="shared" si="9"/>
        <v>1</v>
      </c>
      <c r="I73" t="str">
        <f>IF(FT!B73&lt;&gt;"",FT!E73,"")</f>
        <v>1 [28.791529]</v>
      </c>
      <c r="J73">
        <f>IF(FT!B73&lt;&gt;"",FT!C73,"")</f>
        <v>28.791499999999999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3.3724599999999998</v>
      </c>
      <c r="G74" s="61">
        <f>IF(FT!B74&lt;&gt;"",FT!B74*100,"")</f>
        <v>44.487700000000004</v>
      </c>
      <c r="H74" s="61">
        <f t="shared" si="9"/>
        <v>1</v>
      </c>
      <c r="I74" t="str">
        <f>IF(FT!B74&lt;&gt;"",FT!E74,"")</f>
        <v>1 [29.193736]</v>
      </c>
      <c r="J74">
        <f>IF(FT!B74&lt;&gt;"",FT!C74,"")</f>
        <v>29.1937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119266</v>
      </c>
      <c r="D75" s="61">
        <f>FH!B75*1</f>
        <v>119266</v>
      </c>
      <c r="E75">
        <f t="shared" si="11"/>
        <v>73</v>
      </c>
      <c r="F75" s="61">
        <f>IF(FT!A75&lt;&gt;"",FT!A75*10,"")</f>
        <v>3.3780700000000001</v>
      </c>
      <c r="G75" s="61">
        <f>IF(FT!B75&lt;&gt;"",FT!B75*100,"")</f>
        <v>44.878099999999996</v>
      </c>
      <c r="H75" s="61">
        <f t="shared" si="9"/>
        <v>1</v>
      </c>
      <c r="I75" t="str">
        <f>IF(FT!B75&lt;&gt;"",FT!E75,"")</f>
        <v>1 [29.609488]</v>
      </c>
      <c r="J75">
        <f>IF(FT!B75&lt;&gt;"",FT!C75,"")</f>
        <v>29.609500000000001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3.3791700000000002</v>
      </c>
      <c r="G76" s="61">
        <f>IF(FT!B76&lt;&gt;"",FT!B76*100,"")</f>
        <v>45.331500000000005</v>
      </c>
      <c r="H76" s="61">
        <f t="shared" si="9"/>
        <v>1</v>
      </c>
      <c r="I76" t="str">
        <f>IF(FT!B76&lt;&gt;"",FT!E76,"")</f>
        <v>2 [30.007308]</v>
      </c>
      <c r="J76">
        <f>IF(FT!B76&lt;&gt;"",FT!C76,"")</f>
        <v>30.007300000000001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124486</v>
      </c>
      <c r="D77" s="61">
        <f>FH!B77*1</f>
        <v>124486</v>
      </c>
      <c r="E77">
        <f t="shared" si="11"/>
        <v>75</v>
      </c>
      <c r="F77" s="61">
        <f>IF(FT!A77&lt;&gt;"",FT!A77*10,"")</f>
        <v>3.3842699999999999</v>
      </c>
      <c r="G77" s="61">
        <f>IF(FT!B77&lt;&gt;"",FT!B77*100,"")</f>
        <v>45.772400000000005</v>
      </c>
      <c r="H77" s="61">
        <f t="shared" si="9"/>
        <v>1</v>
      </c>
      <c r="I77" t="str">
        <f>IF(FT!B77&lt;&gt;"",FT!E77,"")</f>
        <v>2 [30.621475]</v>
      </c>
      <c r="J77">
        <f>IF(FT!B77&lt;&gt;"",FT!C77,"")</f>
        <v>30.621500000000001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3.3909000000000002</v>
      </c>
      <c r="G78" s="61">
        <f>IF(FT!B78&lt;&gt;"",FT!B78*100,"")</f>
        <v>46.061</v>
      </c>
      <c r="H78" s="61">
        <f t="shared" si="9"/>
        <v>1</v>
      </c>
      <c r="I78" t="str">
        <f>IF(FT!B78&lt;&gt;"",FT!E78,"")</f>
        <v>2 [30.993386]</v>
      </c>
      <c r="J78">
        <f>IF(FT!B78&lt;&gt;"",FT!C78,"")</f>
        <v>30.993400000000001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3.4009099999999997</v>
      </c>
      <c r="G79" s="61">
        <f>IF(FT!B79&lt;&gt;"",FT!B79*100,"")</f>
        <v>46.247999999999998</v>
      </c>
      <c r="H79" s="61">
        <f t="shared" si="9"/>
        <v>1</v>
      </c>
      <c r="I79" t="str">
        <f>IF(FT!B79&lt;&gt;"",FT!E79,"")</f>
        <v>2 [31.368886]</v>
      </c>
      <c r="J79">
        <f>IF(FT!B79&lt;&gt;"",FT!C79,"")</f>
        <v>31.3689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123896</v>
      </c>
      <c r="D80" s="61">
        <f>FH!B80*1</f>
        <v>123896</v>
      </c>
      <c r="E80">
        <f t="shared" si="11"/>
        <v>78</v>
      </c>
      <c r="F80" s="61">
        <f>IF(FT!A80&lt;&gt;"",FT!A80*10,"")</f>
        <v>3.4121000000000001</v>
      </c>
      <c r="G80" s="61">
        <f>IF(FT!B80&lt;&gt;"",FT!B80*100,"")</f>
        <v>46.364800000000002</v>
      </c>
      <c r="H80" s="61">
        <f t="shared" si="9"/>
        <v>1</v>
      </c>
      <c r="I80" t="str">
        <f>IF(FT!B80&lt;&gt;"",FT!E80,"")</f>
        <v>2 [31.742236]</v>
      </c>
      <c r="J80">
        <f>IF(FT!B80&lt;&gt;"",FT!C80,"")</f>
        <v>31.7422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3.4189599999999998</v>
      </c>
      <c r="G81" s="61">
        <f>IF(FT!B81&lt;&gt;"",FT!B81*100,"")</f>
        <v>46.461400000000005</v>
      </c>
      <c r="H81" s="61">
        <f t="shared" si="9"/>
        <v>1</v>
      </c>
      <c r="I81" t="str">
        <f>IF(FT!B81&lt;&gt;"",FT!E81,"")</f>
        <v>2 [32.117827]</v>
      </c>
      <c r="J81">
        <f>IF(FT!B81&lt;&gt;"",FT!C81,"")</f>
        <v>32.117800000000003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135036</v>
      </c>
      <c r="D82" s="61">
        <f>FH!B82*1</f>
        <v>135036</v>
      </c>
      <c r="E82">
        <f t="shared" si="11"/>
        <v>80</v>
      </c>
      <c r="F82" s="61">
        <f>IF(FT!A82&lt;&gt;"",FT!A82*10,"")</f>
        <v>3.4236599999999999</v>
      </c>
      <c r="G82" s="61">
        <f>IF(FT!B82&lt;&gt;"",FT!B82*100,"")</f>
        <v>46.595500000000001</v>
      </c>
      <c r="H82" s="61">
        <f t="shared" si="9"/>
        <v>1</v>
      </c>
      <c r="I82" t="str">
        <f>IF(FT!B82&lt;&gt;"",FT!E82,"")</f>
        <v>2 [32.524404]</v>
      </c>
      <c r="J82">
        <f>IF(FT!B82&lt;&gt;"",FT!C82,"")</f>
        <v>32.5244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3.4289700000000001</v>
      </c>
      <c r="G83" s="61">
        <f>IF(FT!B83&lt;&gt;"",FT!B83*100,"")</f>
        <v>46.7729</v>
      </c>
      <c r="H83" s="61">
        <f t="shared" si="9"/>
        <v>1</v>
      </c>
      <c r="I83" t="str">
        <f>IF(FT!B83&lt;&gt;"",FT!E83,"")</f>
        <v>2 [32.929382]</v>
      </c>
      <c r="J83">
        <f>IF(FT!B83&lt;&gt;"",FT!C83,"")</f>
        <v>32.929400000000001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3.4350399999999999</v>
      </c>
      <c r="G84" s="61">
        <f>IF(FT!B84&lt;&gt;"",FT!B84*100,"")</f>
        <v>46.895800000000001</v>
      </c>
      <c r="H84" s="61">
        <f t="shared" si="9"/>
        <v>1</v>
      </c>
      <c r="I84" t="str">
        <f>IF(FT!B84&lt;&gt;"",FT!E84,"")</f>
        <v>2 [33.337480]</v>
      </c>
      <c r="J84">
        <f>IF(FT!B84&lt;&gt;"",FT!C84,"")</f>
        <v>33.337499999999999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134849</v>
      </c>
      <c r="D85" s="61">
        <f>FH!B85*1</f>
        <v>134849</v>
      </c>
      <c r="E85">
        <f t="shared" si="11"/>
        <v>83</v>
      </c>
      <c r="F85" s="61">
        <f>IF(FT!A85&lt;&gt;"",FT!A85*10,"")</f>
        <v>3.4451900000000002</v>
      </c>
      <c r="G85" s="61">
        <f>IF(FT!B85&lt;&gt;"",FT!B85*100,"")</f>
        <v>47.0002</v>
      </c>
      <c r="H85" s="61">
        <f t="shared" si="9"/>
        <v>1</v>
      </c>
      <c r="I85" t="str">
        <f>IF(FT!B85&lt;&gt;"",FT!E85,"")</f>
        <v>2 [33.744721]</v>
      </c>
      <c r="J85">
        <f>IF(FT!B85&lt;&gt;"",FT!C85,"")</f>
        <v>33.744700000000002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3.45669</v>
      </c>
      <c r="G86" s="61">
        <f>IF(FT!B86&lt;&gt;"",FT!B86*100,"")</f>
        <v>47.105000000000004</v>
      </c>
      <c r="H86" s="61">
        <f t="shared" si="9"/>
        <v>1</v>
      </c>
      <c r="I86" t="str">
        <f>IF(FT!B86&lt;&gt;"",FT!E86,"")</f>
        <v>2 [34.149516]</v>
      </c>
      <c r="J86">
        <f>IF(FT!B86&lt;&gt;"",FT!C86,"")</f>
        <v>34.149500000000003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3.4683299999999999</v>
      </c>
      <c r="G87" s="61">
        <f>IF(FT!B87&lt;&gt;"",FT!B87*100,"")</f>
        <v>47.142800000000001</v>
      </c>
      <c r="H87" s="61">
        <f t="shared" si="9"/>
        <v>1</v>
      </c>
      <c r="I87" t="str">
        <f>IF(FT!B87&lt;&gt;"",FT!E87,"")</f>
        <v>2 [34.555958]</v>
      </c>
      <c r="J87">
        <f>IF(FT!B87&lt;&gt;"",FT!C87,"")</f>
        <v>34.555999999999997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139353</v>
      </c>
      <c r="D88" s="61">
        <f>FH!B88*1</f>
        <v>139353</v>
      </c>
      <c r="E88">
        <f t="shared" si="11"/>
        <v>86</v>
      </c>
      <c r="F88" s="61">
        <f>IF(FT!A88&lt;&gt;"",FT!A88*10,"")</f>
        <v>3.4821900000000001</v>
      </c>
      <c r="G88" s="61">
        <f>IF(FT!B88&lt;&gt;"",FT!B88*100,"")</f>
        <v>47.045700000000004</v>
      </c>
      <c r="H88" s="61">
        <f t="shared" si="9"/>
        <v>1</v>
      </c>
      <c r="I88" t="str">
        <f>IF(FT!B88&lt;&gt;"",FT!E88,"")</f>
        <v>2 [34.962167]</v>
      </c>
      <c r="J88">
        <f>IF(FT!B88&lt;&gt;"",FT!C88,"")</f>
        <v>34.962200000000003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3.5009399999999999</v>
      </c>
      <c r="G89" s="61">
        <f>IF(FT!B89&lt;&gt;"",FT!B89*100,"")</f>
        <v>46.819100000000006</v>
      </c>
      <c r="H89" s="61">
        <f t="shared" si="9"/>
        <v>1</v>
      </c>
      <c r="I89" t="str">
        <f>IF(FT!B89&lt;&gt;"",FT!E89,"")</f>
        <v>2 [35.367891]</v>
      </c>
      <c r="J89">
        <f>IF(FT!B89&lt;&gt;"",FT!C89,"")</f>
        <v>35.367899999999999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144740</v>
      </c>
      <c r="D90" s="61">
        <f>FH!B90*1</f>
        <v>144740</v>
      </c>
      <c r="E90">
        <f t="shared" si="11"/>
        <v>88</v>
      </c>
      <c r="F90" s="61">
        <f>IF(FT!A90&lt;&gt;"",FT!A90*10,"")</f>
        <v>3.5189500000000002</v>
      </c>
      <c r="G90" s="61">
        <f>IF(FT!B90&lt;&gt;"",FT!B90*100,"")</f>
        <v>46.636499999999998</v>
      </c>
      <c r="H90" s="61">
        <f t="shared" si="9"/>
        <v>1</v>
      </c>
      <c r="I90" t="str">
        <f>IF(FT!B90&lt;&gt;"",FT!E90,"")</f>
        <v>2 [35.775051]</v>
      </c>
      <c r="J90">
        <f>IF(FT!B90&lt;&gt;"",FT!C90,"")</f>
        <v>35.775100000000002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3.53566</v>
      </c>
      <c r="G91" s="61">
        <f>IF(FT!B91&lt;&gt;"",FT!B91*100,"")</f>
        <v>46.5396</v>
      </c>
      <c r="H91" s="61">
        <f t="shared" si="9"/>
        <v>1</v>
      </c>
      <c r="I91" t="str">
        <f>IF(FT!B91&lt;&gt;"",FT!E91,"")</f>
        <v>2 [36.180429]</v>
      </c>
      <c r="J91">
        <f>IF(FT!B91&lt;&gt;"",FT!C91,"")</f>
        <v>36.180399999999999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3.5574299999999996</v>
      </c>
      <c r="G92" s="61">
        <f>IF(FT!B92&lt;&gt;"",FT!B92*100,"")</f>
        <v>46.343600000000002</v>
      </c>
      <c r="H92" s="61">
        <f t="shared" si="9"/>
        <v>1</v>
      </c>
      <c r="I92" t="str">
        <f>IF(FT!B92&lt;&gt;"",FT!E92,"")</f>
        <v>2 [36.587717]</v>
      </c>
      <c r="J92">
        <f>IF(FT!B92&lt;&gt;"",FT!C92,"")</f>
        <v>36.587699999999998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142060</v>
      </c>
      <c r="D93" s="61">
        <f>FH!B93*1</f>
        <v>142060</v>
      </c>
      <c r="E93">
        <f t="shared" si="11"/>
        <v>91</v>
      </c>
      <c r="F93" s="61">
        <f>IF(FT!A93&lt;&gt;"",FT!A93*10,"")</f>
        <v>3.5829699999999995</v>
      </c>
      <c r="G93" s="61">
        <f>IF(FT!B93&lt;&gt;"",FT!B93*100,"")</f>
        <v>46.095000000000006</v>
      </c>
      <c r="H93" s="61">
        <f t="shared" si="9"/>
        <v>1</v>
      </c>
      <c r="I93" t="str">
        <f>IF(FT!B93&lt;&gt;"",FT!E93,"")</f>
        <v>2 [36.989891]</v>
      </c>
      <c r="J93">
        <f>IF(FT!B93&lt;&gt;"",FT!C93,"")</f>
        <v>36.989899999999999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3.6121399999999997</v>
      </c>
      <c r="G94" s="61">
        <f>IF(FT!B94&lt;&gt;"",FT!B94*100,"")</f>
        <v>45.777299999999997</v>
      </c>
      <c r="H94" s="61">
        <f t="shared" si="9"/>
        <v>1</v>
      </c>
      <c r="I94" t="str">
        <f>IF(FT!B94&lt;&gt;"",FT!E94,"")</f>
        <v>2 [37.400094]</v>
      </c>
      <c r="J94">
        <f>IF(FT!B94&lt;&gt;"",FT!C94,"")</f>
        <v>37.400100000000002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142718</v>
      </c>
      <c r="D95" s="61">
        <f>FH!B95*1</f>
        <v>142718</v>
      </c>
      <c r="E95">
        <f t="shared" si="11"/>
        <v>93</v>
      </c>
      <c r="F95" s="61">
        <f>IF(FT!A95&lt;&gt;"",FT!A95*10,"")</f>
        <v>3.6451899999999999</v>
      </c>
      <c r="G95" s="61">
        <f>IF(FT!B95&lt;&gt;"",FT!B95*100,"")</f>
        <v>45.359899999999996</v>
      </c>
      <c r="H95" s="61">
        <f t="shared" si="9"/>
        <v>1</v>
      </c>
      <c r="I95" t="str">
        <f>IF(FT!B95&lt;&gt;"",FT!E95,"")</f>
        <v>2 [37.807038]</v>
      </c>
      <c r="J95">
        <f>IF(FT!B95&lt;&gt;"",FT!C95,"")</f>
        <v>37.807000000000002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3.6816800000000001</v>
      </c>
      <c r="G96" s="61">
        <f>IF(FT!B96&lt;&gt;"",FT!B96*100,"")</f>
        <v>44.814999999999998</v>
      </c>
      <c r="H96" s="61">
        <f t="shared" si="9"/>
        <v>1</v>
      </c>
      <c r="I96" t="str">
        <f>IF(FT!B96&lt;&gt;"",FT!E96,"")</f>
        <v>2 [38.210584]</v>
      </c>
      <c r="J96">
        <f>IF(FT!B96&lt;&gt;"",FT!C96,"")</f>
        <v>38.210599999999999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3.7190099999999999</v>
      </c>
      <c r="G97" s="61">
        <f>IF(FT!B97&lt;&gt;"",FT!B97*100,"")</f>
        <v>44.270800000000001</v>
      </c>
      <c r="H97" s="61">
        <f t="shared" si="9"/>
        <v>1</v>
      </c>
      <c r="I97" t="str">
        <f>IF(FT!B97&lt;&gt;"",FT!E97,"")</f>
        <v>2 [38.617479]</v>
      </c>
      <c r="J97">
        <f>IF(FT!B97&lt;&gt;"",FT!C97,"")</f>
        <v>38.6175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157711</v>
      </c>
      <c r="D98" s="61">
        <f>FH!B98*1</f>
        <v>157711</v>
      </c>
      <c r="E98">
        <f t="shared" si="11"/>
        <v>96</v>
      </c>
      <c r="F98" s="61">
        <f>IF(FT!A98&lt;&gt;"",FT!A98*10,"")</f>
        <v>3.7548199999999996</v>
      </c>
      <c r="G98" s="61">
        <f>IF(FT!B98&lt;&gt;"",FT!B98*100,"")</f>
        <v>43.745899999999999</v>
      </c>
      <c r="H98" s="61">
        <f t="shared" si="9"/>
        <v>1</v>
      </c>
      <c r="I98" t="str">
        <f>IF(FT!B98&lt;&gt;"",FT!E98,"")</f>
        <v>2 [39.024403]</v>
      </c>
      <c r="J98">
        <f>IF(FT!B98&lt;&gt;"",FT!C98,"")</f>
        <v>39.0244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3.7899400000000001</v>
      </c>
      <c r="G99" s="61">
        <f>IF(FT!B99&lt;&gt;"",FT!B99*100,"")</f>
        <v>43.228100000000005</v>
      </c>
      <c r="H99" s="61">
        <f t="shared" si="9"/>
        <v>1</v>
      </c>
      <c r="I99" t="str">
        <f>IF(FT!B99&lt;&gt;"",FT!E99,"")</f>
        <v>2 [39.428405]</v>
      </c>
      <c r="J99">
        <f>IF(FT!B99&lt;&gt;"",FT!C99,"")</f>
        <v>39.428400000000003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159186</v>
      </c>
      <c r="D100" s="61">
        <f>FH!B100*1</f>
        <v>159186</v>
      </c>
      <c r="E100">
        <f t="shared" si="11"/>
        <v>98</v>
      </c>
      <c r="F100" s="61">
        <f>IF(FT!A100&lt;&gt;"",FT!A100*10,"")</f>
        <v>3.8289299999999997</v>
      </c>
      <c r="G100" s="61">
        <f>IF(FT!B100&lt;&gt;"",FT!B100*100,"")</f>
        <v>42.725299999999997</v>
      </c>
      <c r="H100" s="61">
        <f t="shared" si="9"/>
        <v>1</v>
      </c>
      <c r="I100" t="str">
        <f>IF(FT!B100&lt;&gt;"",FT!E100,"")</f>
        <v>2 [39.837221]</v>
      </c>
      <c r="J100">
        <f>IF(FT!B100&lt;&gt;"",FT!C100,"")</f>
        <v>39.837200000000003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3.8668400000000003</v>
      </c>
      <c r="G101" s="61">
        <f>IF(FT!B101&lt;&gt;"",FT!B101*100,"")</f>
        <v>42.337699999999998</v>
      </c>
      <c r="H101" s="61">
        <f t="shared" si="9"/>
        <v>1</v>
      </c>
      <c r="I101" t="str">
        <f>IF(FT!B101&lt;&gt;"",FT!E101,"")</f>
        <v>2 [40.241952]</v>
      </c>
      <c r="J101">
        <f>IF(FT!B101&lt;&gt;"",FT!C101,"")</f>
        <v>40.241999999999997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3.9046700000000003</v>
      </c>
      <c r="G102" s="61">
        <f>IF(FT!B102&lt;&gt;"",FT!B102*100,"")</f>
        <v>41.912999999999997</v>
      </c>
      <c r="H102" s="61">
        <f t="shared" si="9"/>
        <v>1</v>
      </c>
      <c r="I102" t="str">
        <f>IF(FT!B102&lt;&gt;"",FT!E102,"")</f>
        <v>2 [40.648602]</v>
      </c>
      <c r="J102">
        <f>IF(FT!B102&lt;&gt;"",FT!C102,"")</f>
        <v>40.648600000000002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163878</v>
      </c>
      <c r="D103" s="61">
        <f>FH!B103*1</f>
        <v>163878</v>
      </c>
      <c r="E103">
        <f t="shared" si="11"/>
        <v>101</v>
      </c>
      <c r="F103" s="61">
        <f>IF(FT!A103&lt;&gt;"",FT!A103*10,"")</f>
        <v>3.9453</v>
      </c>
      <c r="G103" s="61">
        <f>IF(FT!B103&lt;&gt;"",FT!B103*100,"")</f>
        <v>41.4191</v>
      </c>
      <c r="H103" s="61">
        <f t="shared" si="9"/>
        <v>1</v>
      </c>
      <c r="I103" t="str">
        <f>IF(FT!B103&lt;&gt;"",FT!E103,"")</f>
        <v>2 [41.052741]</v>
      </c>
      <c r="J103">
        <f>IF(FT!B103&lt;&gt;"",FT!C103,"")</f>
        <v>41.052700000000002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3.9844200000000001</v>
      </c>
      <c r="G104" s="61">
        <f>IF(FT!B104&lt;&gt;"",FT!B104*100,"")</f>
        <v>40.964500000000001</v>
      </c>
      <c r="H104" s="61">
        <f t="shared" si="9"/>
        <v>1</v>
      </c>
      <c r="I104" t="str">
        <f>IF(FT!B104&lt;&gt;"",FT!E104,"")</f>
        <v>2 [41.461624]</v>
      </c>
      <c r="J104">
        <f>IF(FT!B104&lt;&gt;"",FT!C104,"")</f>
        <v>41.461599999999997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4.0222199999999999</v>
      </c>
      <c r="G105" s="61">
        <f>IF(FT!B105&lt;&gt;"",FT!B105*100,"")</f>
        <v>40.6066</v>
      </c>
      <c r="H105" s="61">
        <f t="shared" si="9"/>
        <v>1</v>
      </c>
      <c r="I105" t="str">
        <f>IF(FT!B105&lt;&gt;"",FT!E105,"")</f>
        <v>2 [41.867521]</v>
      </c>
      <c r="J105">
        <f>IF(FT!B105&lt;&gt;"",FT!C105,"")</f>
        <v>41.8675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173040</v>
      </c>
      <c r="D106" s="61">
        <f>FH!B106*1</f>
        <v>173040</v>
      </c>
      <c r="E106">
        <f t="shared" si="11"/>
        <v>104</v>
      </c>
      <c r="F106" s="61">
        <f>IF(FT!A106&lt;&gt;"",FT!A106*10,"")</f>
        <v>4.0595499999999998</v>
      </c>
      <c r="G106" s="61">
        <f>IF(FT!B106&lt;&gt;"",FT!B106*100,"")</f>
        <v>40.450900000000004</v>
      </c>
      <c r="H106" s="61">
        <f t="shared" si="9"/>
        <v>1</v>
      </c>
      <c r="I106" t="str">
        <f>IF(FT!B106&lt;&gt;"",FT!E106,"")</f>
        <v>2 [42.275224]</v>
      </c>
      <c r="J106">
        <f>IF(FT!B106&lt;&gt;"",FT!C106,"")</f>
        <v>42.275199999999998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4.0934900000000001</v>
      </c>
      <c r="G107" s="61">
        <f>IF(FT!B107&lt;&gt;"",FT!B107*100,"")</f>
        <v>40.412300000000002</v>
      </c>
      <c r="H107" s="61">
        <f t="shared" si="9"/>
        <v>1</v>
      </c>
      <c r="I107" t="str">
        <f>IF(FT!B107&lt;&gt;"",FT!E107,"")</f>
        <v>2 [42.678185]</v>
      </c>
      <c r="J107">
        <f>IF(FT!B107&lt;&gt;"",FT!C107,"")</f>
        <v>42.678199999999997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186720</v>
      </c>
      <c r="D108" s="61">
        <f>FH!B108*1</f>
        <v>186720</v>
      </c>
      <c r="E108">
        <f t="shared" si="11"/>
        <v>106</v>
      </c>
      <c r="F108" s="61">
        <f>IF(FT!A108&lt;&gt;"",FT!A108*10,"")</f>
        <v>4.1224600000000002</v>
      </c>
      <c r="G108" s="61">
        <f>IF(FT!B108&lt;&gt;"",FT!B108*100,"")</f>
        <v>40.380000000000003</v>
      </c>
      <c r="H108" s="61">
        <f t="shared" si="9"/>
        <v>1</v>
      </c>
      <c r="I108" t="str">
        <f>IF(FT!B108&lt;&gt;"",FT!E108,"")</f>
        <v>2 [43.085213]</v>
      </c>
      <c r="J108">
        <f>IF(FT!B108&lt;&gt;"",FT!C108,"")</f>
        <v>43.0852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4.1510899999999999</v>
      </c>
      <c r="G109" s="61">
        <f>IF(FT!B109&lt;&gt;"",FT!B109*100,"")</f>
        <v>40.360399999999998</v>
      </c>
      <c r="H109" s="61">
        <f t="shared" si="9"/>
        <v>1</v>
      </c>
      <c r="I109" t="str">
        <f>IF(FT!B109&lt;&gt;"",FT!E109,"")</f>
        <v>2 [43.494538]</v>
      </c>
      <c r="J109">
        <f>IF(FT!B109&lt;&gt;"",FT!C109,"")</f>
        <v>43.494500000000002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4.1776499999999999</v>
      </c>
      <c r="G110" s="61">
        <f>IF(FT!B110&lt;&gt;"",FT!B110*100,"")</f>
        <v>40.361999999999995</v>
      </c>
      <c r="H110" s="61">
        <f t="shared" si="9"/>
        <v>1</v>
      </c>
      <c r="I110" t="str">
        <f>IF(FT!B110&lt;&gt;"",FT!E110,"")</f>
        <v>2 [43.903275]</v>
      </c>
      <c r="J110">
        <f>IF(FT!B110&lt;&gt;"",FT!C110,"")</f>
        <v>43.903300000000002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194310</v>
      </c>
      <c r="D111" s="61">
        <f>FH!B111*1</f>
        <v>194310</v>
      </c>
      <c r="E111">
        <f t="shared" si="11"/>
        <v>109</v>
      </c>
      <c r="F111" s="61">
        <f>IF(FT!A111&lt;&gt;"",FT!A111*10,"")</f>
        <v>4.2043099999999995</v>
      </c>
      <c r="G111" s="61">
        <f>IF(FT!B111&lt;&gt;"",FT!B111*100,"")</f>
        <v>40.368400000000001</v>
      </c>
      <c r="H111" s="61">
        <f t="shared" si="9"/>
        <v>1</v>
      </c>
      <c r="I111" t="str">
        <f>IF(FT!B111&lt;&gt;"",FT!E111,"")</f>
        <v>2 [44.306568]</v>
      </c>
      <c r="J111">
        <f>IF(FT!B111&lt;&gt;"",FT!C111,"")</f>
        <v>44.306600000000003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4.2288800000000002</v>
      </c>
      <c r="G112" s="61">
        <f>IF(FT!B112&lt;&gt;"",FT!B112*100,"")</f>
        <v>40.461799999999997</v>
      </c>
      <c r="H112" s="61">
        <f t="shared" si="9"/>
        <v>1</v>
      </c>
      <c r="I112" t="str">
        <f>IF(FT!B112&lt;&gt;"",FT!E112,"")</f>
        <v>2 [44.712449]</v>
      </c>
      <c r="J112">
        <f>IF(FT!B112&lt;&gt;"",FT!C112,"")</f>
        <v>44.712400000000002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195286</v>
      </c>
      <c r="D113" s="61">
        <f>FH!B113*1</f>
        <v>195286</v>
      </c>
      <c r="E113">
        <f t="shared" si="11"/>
        <v>111</v>
      </c>
      <c r="F113" s="61">
        <f>IF(FT!A113&lt;&gt;"",FT!A113*10,"")</f>
        <v>4.2515599999999996</v>
      </c>
      <c r="G113" s="61">
        <f>IF(FT!B113&lt;&gt;"",FT!B113*100,"")</f>
        <v>40.556399999999996</v>
      </c>
      <c r="H113" s="61">
        <f t="shared" si="9"/>
        <v>1</v>
      </c>
      <c r="I113" t="str">
        <f>IF(FT!B113&lt;&gt;"",FT!E113,"")</f>
        <v>2 [45.116750]</v>
      </c>
      <c r="J113">
        <f>IF(FT!B113&lt;&gt;"",FT!C113,"")</f>
        <v>45.116700000000002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4.2730399999999999</v>
      </c>
      <c r="G114" s="61">
        <f>IF(FT!B114&lt;&gt;"",FT!B114*100,"")</f>
        <v>40.597000000000001</v>
      </c>
      <c r="H114" s="61">
        <f t="shared" si="9"/>
        <v>1</v>
      </c>
      <c r="I114" t="str">
        <f>IF(FT!B114&lt;&gt;"",FT!E114,"")</f>
        <v>2 [45.525393]</v>
      </c>
      <c r="J114">
        <f>IF(FT!B114&lt;&gt;"",FT!C114,"")</f>
        <v>45.525399999999998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4.2934099999999997</v>
      </c>
      <c r="G115" s="61">
        <f>IF(FT!B115&lt;&gt;"",FT!B115*100,"")</f>
        <v>40.697100000000006</v>
      </c>
      <c r="H115" s="61">
        <f t="shared" si="9"/>
        <v>1</v>
      </c>
      <c r="I115" t="str">
        <f>IF(FT!B115&lt;&gt;"",FT!E115,"")</f>
        <v>2 [45.930236]</v>
      </c>
      <c r="J115">
        <f>IF(FT!B115&lt;&gt;"",FT!C115,"")</f>
        <v>45.930199999999999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196041</v>
      </c>
      <c r="D116" s="61">
        <f>FH!B116*1</f>
        <v>196041</v>
      </c>
      <c r="E116">
        <f t="shared" si="11"/>
        <v>114</v>
      </c>
      <c r="F116" s="61">
        <f>IF(FT!A116&lt;&gt;"",FT!A116*10,"")</f>
        <v>4.3130800000000002</v>
      </c>
      <c r="G116" s="61">
        <f>IF(FT!B116&lt;&gt;"",FT!B116*100,"")</f>
        <v>40.8003</v>
      </c>
      <c r="H116" s="61">
        <f t="shared" si="9"/>
        <v>1</v>
      </c>
      <c r="I116" t="str">
        <f>IF(FT!B116&lt;&gt;"",FT!E116,"")</f>
        <v>2 [46.337220]</v>
      </c>
      <c r="J116">
        <f>IF(FT!B116&lt;&gt;"",FT!C116,"")</f>
        <v>46.337200000000003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4.3294899999999998</v>
      </c>
      <c r="G117" s="61">
        <f>IF(FT!B117&lt;&gt;"",FT!B117*100,"")</f>
        <v>40.916499999999999</v>
      </c>
      <c r="H117" s="61">
        <f t="shared" si="9"/>
        <v>1</v>
      </c>
      <c r="I117" t="str">
        <f>IF(FT!B117&lt;&gt;"",FT!E117,"")</f>
        <v>2 [46.740683]</v>
      </c>
      <c r="J117">
        <f>IF(FT!B117&lt;&gt;"",FT!C117,"")</f>
        <v>46.740699999999997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185624</v>
      </c>
      <c r="D118" s="61">
        <f>FH!B118*1</f>
        <v>185624</v>
      </c>
      <c r="E118">
        <f t="shared" si="11"/>
        <v>116</v>
      </c>
      <c r="F118" s="61">
        <f>IF(FT!A118&lt;&gt;"",FT!A118*10,"")</f>
        <v>4.3436900000000005</v>
      </c>
      <c r="G118" s="61">
        <f>IF(FT!B118&lt;&gt;"",FT!B118*100,"")</f>
        <v>41.044499999999999</v>
      </c>
      <c r="H118" s="61">
        <f t="shared" si="9"/>
        <v>1</v>
      </c>
      <c r="I118" t="str">
        <f>IF(FT!B118&lt;&gt;"",FT!E118,"")</f>
        <v>2 [47.147462]</v>
      </c>
      <c r="J118">
        <f>IF(FT!B118&lt;&gt;"",FT!C118,"")</f>
        <v>47.147500000000001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4.3532000000000002</v>
      </c>
      <c r="G119" s="61">
        <f>IF(FT!B119&lt;&gt;"",FT!B119*100,"")</f>
        <v>41.169899999999998</v>
      </c>
      <c r="H119" s="61">
        <f t="shared" si="9"/>
        <v>1</v>
      </c>
      <c r="I119" t="str">
        <f>IF(FT!B119&lt;&gt;"",FT!E119,"")</f>
        <v>2 [47.555611]</v>
      </c>
      <c r="J119">
        <f>IF(FT!B119&lt;&gt;"",FT!C119,"")</f>
        <v>47.555599999999998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4.3580399999999999</v>
      </c>
      <c r="G120" s="61">
        <f>IF(FT!B120&lt;&gt;"",FT!B120*100,"")</f>
        <v>41.323300000000003</v>
      </c>
      <c r="H120" s="61">
        <f t="shared" si="9"/>
        <v>1</v>
      </c>
      <c r="I120" t="str">
        <f>IF(FT!B120&lt;&gt;"",FT!E120,"")</f>
        <v>2 [47.962286]</v>
      </c>
      <c r="J120">
        <f>IF(FT!B120&lt;&gt;"",FT!C120,"")</f>
        <v>47.962299999999999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168601</v>
      </c>
      <c r="D121" s="61">
        <f>FH!B121*1</f>
        <v>168601</v>
      </c>
      <c r="E121">
        <f t="shared" si="11"/>
        <v>119</v>
      </c>
      <c r="F121" s="61">
        <f>IF(FT!A121&lt;&gt;"",FT!A121*10,"")</f>
        <v>4.3568099999999994</v>
      </c>
      <c r="G121" s="61">
        <f>IF(FT!B121&lt;&gt;"",FT!B121*100,"")</f>
        <v>41.475099999999998</v>
      </c>
      <c r="H121" s="61">
        <f t="shared" si="9"/>
        <v>1</v>
      </c>
      <c r="I121" t="str">
        <f>IF(FT!B121&lt;&gt;"",FT!E121,"")</f>
        <v>2 [48.369129]</v>
      </c>
      <c r="J121">
        <f>IF(FT!B121&lt;&gt;"",FT!C121,"")</f>
        <v>48.369100000000003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4.3505799999999999</v>
      </c>
      <c r="G122" s="61">
        <f>IF(FT!B122&lt;&gt;"",FT!B122*100,"")</f>
        <v>41.572499999999998</v>
      </c>
      <c r="H122" s="61">
        <f t="shared" si="9"/>
        <v>1</v>
      </c>
      <c r="I122" t="str">
        <f>IF(FT!B122&lt;&gt;"",FT!E122,"")</f>
        <v>2 [48.773232]</v>
      </c>
      <c r="J122">
        <f>IF(FT!B122&lt;&gt;"",FT!C122,"")</f>
        <v>48.773200000000003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4.3413000000000004</v>
      </c>
      <c r="G123" s="61">
        <f>IF(FT!B123&lt;&gt;"",FT!B123*100,"")</f>
        <v>41.648000000000003</v>
      </c>
      <c r="H123" s="61">
        <f t="shared" si="9"/>
        <v>1</v>
      </c>
      <c r="I123" t="str">
        <f>IF(FT!B123&lt;&gt;"",FT!E123,"")</f>
        <v>2 [49.181434]</v>
      </c>
      <c r="J123">
        <f>IF(FT!B123&lt;&gt;"",FT!C123,"")</f>
        <v>49.181399999999996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153753</v>
      </c>
      <c r="D124" s="61">
        <f>FH!B124*1</f>
        <v>153753</v>
      </c>
      <c r="E124">
        <f t="shared" si="11"/>
        <v>122</v>
      </c>
      <c r="F124" s="61">
        <f>IF(FT!A124&lt;&gt;"",FT!A124*10,"")</f>
        <v>4.3289</v>
      </c>
      <c r="G124" s="61">
        <f>IF(FT!B124&lt;&gt;"",FT!B124*100,"")</f>
        <v>41.736899999999999</v>
      </c>
      <c r="H124" s="61">
        <f t="shared" si="9"/>
        <v>1</v>
      </c>
      <c r="I124" t="str">
        <f>IF(FT!B124&lt;&gt;"",FT!E124,"")</f>
        <v>2 [49.588170]</v>
      </c>
      <c r="J124">
        <f>IF(FT!B124&lt;&gt;"",FT!C124,"")</f>
        <v>49.588200000000001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4.3141699999999998</v>
      </c>
      <c r="G125" s="61">
        <f>IF(FT!B125&lt;&gt;"",FT!B125*100,"")</f>
        <v>41.844500000000004</v>
      </c>
      <c r="H125" s="61">
        <f t="shared" si="9"/>
        <v>1</v>
      </c>
      <c r="I125" t="str">
        <f>IF(FT!B125&lt;&gt;"",FT!E125,"")</f>
        <v>2 [49.994876]</v>
      </c>
      <c r="J125">
        <f>IF(FT!B125&lt;&gt;"",FT!C125,"")</f>
        <v>49.994900000000001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142573</v>
      </c>
      <c r="D126" s="61">
        <f>FH!B126*1</f>
        <v>142573</v>
      </c>
      <c r="E126">
        <f t="shared" si="11"/>
        <v>124</v>
      </c>
      <c r="F126" s="61">
        <f>IF(FT!A126&lt;&gt;"",FT!A126*10,"")</f>
        <v>4.31304</v>
      </c>
      <c r="G126" s="61">
        <f>IF(FT!B126&lt;&gt;"",FT!B126*100,"")</f>
        <v>41.881099999999996</v>
      </c>
      <c r="H126" s="61">
        <f t="shared" si="9"/>
        <v>1</v>
      </c>
      <c r="I126" t="str">
        <f>IF(FT!B126&lt;&gt;"",FT!E126,"")</f>
        <v>2 [50.397768]</v>
      </c>
      <c r="J126">
        <f>IF(FT!B126&lt;&gt;"",FT!C126,"")</f>
        <v>50.397799999999997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4.3101000000000003</v>
      </c>
      <c r="G127" s="61">
        <f>IF(FT!B127&lt;&gt;"",FT!B127*100,"")</f>
        <v>41.960700000000003</v>
      </c>
      <c r="H127" s="61">
        <f t="shared" si="9"/>
        <v>1</v>
      </c>
      <c r="I127" t="str">
        <f>IF(FT!B127&lt;&gt;"",FT!E127,"")</f>
        <v>2 [50.805847]</v>
      </c>
      <c r="J127">
        <f>IF(FT!B127&lt;&gt;"",FT!C127,"")</f>
        <v>50.805799999999998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4.3029000000000002</v>
      </c>
      <c r="G128" s="61">
        <f>IF(FT!B128&lt;&gt;"",FT!B128*100,"")</f>
        <v>42.110799999999998</v>
      </c>
      <c r="H128" s="61">
        <f t="shared" si="9"/>
        <v>1</v>
      </c>
      <c r="I128" t="str">
        <f>IF(FT!B128&lt;&gt;"",FT!E128,"")</f>
        <v>2 [51.210637]</v>
      </c>
      <c r="J128">
        <f>IF(FT!B128&lt;&gt;"",FT!C128,"")</f>
        <v>51.210599999999999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125598</v>
      </c>
      <c r="D129" s="61">
        <f>FH!B129*1</f>
        <v>125598</v>
      </c>
      <c r="E129">
        <f t="shared" si="11"/>
        <v>127</v>
      </c>
      <c r="F129" s="61">
        <f>IF(FT!A129&lt;&gt;"",FT!A129*10,"")</f>
        <v>4.2933599999999998</v>
      </c>
      <c r="G129" s="61">
        <f>IF(FT!B129&lt;&gt;"",FT!B129*100,"")</f>
        <v>42.314599999999999</v>
      </c>
      <c r="H129" s="61">
        <f t="shared" si="9"/>
        <v>1</v>
      </c>
      <c r="I129" t="str">
        <f>IF(FT!B129&lt;&gt;"",FT!E129,"")</f>
        <v>2 [51.618585]</v>
      </c>
      <c r="J129">
        <f>IF(FT!B129&lt;&gt;"",FT!C129,"")</f>
        <v>51.618600000000001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4.28268</v>
      </c>
      <c r="G130" s="61">
        <f>IF(FT!B130&lt;&gt;"",FT!B130*100,"")</f>
        <v>42.524499999999996</v>
      </c>
      <c r="H130" s="61">
        <f t="shared" si="9"/>
        <v>1</v>
      </c>
      <c r="I130" t="str">
        <f>IF(FT!B130&lt;&gt;"",FT!E130,"")</f>
        <v>2 [52.021569]</v>
      </c>
      <c r="J130">
        <f>IF(FT!B130&lt;&gt;"",FT!C130,"")</f>
        <v>52.021599999999999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116069</v>
      </c>
      <c r="D131" s="61">
        <f>FH!B131*1</f>
        <v>116069</v>
      </c>
      <c r="E131">
        <f t="shared" si="11"/>
        <v>129</v>
      </c>
      <c r="F131" s="61">
        <f>IF(FT!A131&lt;&gt;"",FT!A131*10,"")</f>
        <v>4.2729999999999997</v>
      </c>
      <c r="G131" s="61">
        <f>IF(FT!B131&lt;&gt;"",FT!B131*100,"")</f>
        <v>42.688099999999999</v>
      </c>
      <c r="H131" s="61">
        <f t="shared" ref="H131:H194" si="13">(IF(F131&lt;&gt;"",1,""))</f>
        <v>1</v>
      </c>
      <c r="I131" t="str">
        <f>IF(FT!B131&lt;&gt;"",FT!E131,"")</f>
        <v>2 [52.428243]</v>
      </c>
      <c r="J131">
        <f>IF(FT!B131&lt;&gt;"",FT!C131,"")</f>
        <v>52.428199999999997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4.2653099999999995</v>
      </c>
      <c r="G132" s="61">
        <f>IF(FT!B132&lt;&gt;"",FT!B132*100,"")</f>
        <v>42.8401</v>
      </c>
      <c r="H132" s="61">
        <f t="shared" si="13"/>
        <v>1</v>
      </c>
      <c r="I132" t="str">
        <f>IF(FT!B132&lt;&gt;"",FT!E132,"")</f>
        <v>2 [52.836337]</v>
      </c>
      <c r="J132">
        <f>IF(FT!B132&lt;&gt;"",FT!C132,"")</f>
        <v>52.836300000000001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4.2596800000000004</v>
      </c>
      <c r="G133" s="61">
        <f>IF(FT!B133&lt;&gt;"",FT!B133*100,"")</f>
        <v>42.980499999999999</v>
      </c>
      <c r="H133" s="61">
        <f t="shared" si="13"/>
        <v>1</v>
      </c>
      <c r="I133" t="str">
        <f>IF(FT!B133&lt;&gt;"",FT!E133,"")</f>
        <v>2 [53.243786]</v>
      </c>
      <c r="J133">
        <f>IF(FT!B133&lt;&gt;"",FT!C133,"")</f>
        <v>53.2438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106651</v>
      </c>
      <c r="D134" s="61">
        <f>FH!B134*1</f>
        <v>106651</v>
      </c>
      <c r="E134">
        <f t="shared" si="15"/>
        <v>132</v>
      </c>
      <c r="F134" s="61">
        <f>IF(FT!A134&lt;&gt;"",FT!A134*10,"")</f>
        <v>4.25366</v>
      </c>
      <c r="G134" s="61">
        <f>IF(FT!B134&lt;&gt;"",FT!B134*100,"")</f>
        <v>43.1663</v>
      </c>
      <c r="H134" s="61">
        <f t="shared" si="13"/>
        <v>1</v>
      </c>
      <c r="I134" t="str">
        <f>IF(FT!B134&lt;&gt;"",FT!E134,"")</f>
        <v>2 [53.650066]</v>
      </c>
      <c r="J134">
        <f>IF(FT!B134&lt;&gt;"",FT!C134,"")</f>
        <v>53.650100000000002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4.2485900000000001</v>
      </c>
      <c r="G135" s="61">
        <f>IF(FT!B135&lt;&gt;"",FT!B135*100,"")</f>
        <v>43.326100000000004</v>
      </c>
      <c r="H135" s="61">
        <f t="shared" si="13"/>
        <v>1</v>
      </c>
      <c r="I135" t="str">
        <f>IF(FT!B135&lt;&gt;"",FT!E135,"")</f>
        <v>2 [54.055789]</v>
      </c>
      <c r="J135">
        <f>IF(FT!B135&lt;&gt;"",FT!C135,"")</f>
        <v>54.055799999999998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89152</v>
      </c>
      <c r="D136" s="61">
        <f>FH!B136*1</f>
        <v>89152</v>
      </c>
      <c r="E136">
        <f t="shared" si="15"/>
        <v>134</v>
      </c>
      <c r="F136" s="61">
        <f>IF(FT!A136&lt;&gt;"",FT!A136*10,"")</f>
        <v>4.2407000000000004</v>
      </c>
      <c r="G136" s="61">
        <f>IF(FT!B136&lt;&gt;"",FT!B136*100,"")</f>
        <v>43.505000000000003</v>
      </c>
      <c r="H136" s="61">
        <f t="shared" si="13"/>
        <v>1</v>
      </c>
      <c r="I136" t="str">
        <f>IF(FT!B136&lt;&gt;"",FT!E136,"")</f>
        <v>2 [54.461296]</v>
      </c>
      <c r="J136">
        <f>IF(FT!B136&lt;&gt;"",FT!C136,"")</f>
        <v>54.461300000000001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4.2342000000000004</v>
      </c>
      <c r="G137" s="61">
        <f>IF(FT!B137&lt;&gt;"",FT!B137*100,"")</f>
        <v>43.6235</v>
      </c>
      <c r="H137" s="61">
        <f t="shared" si="13"/>
        <v>1</v>
      </c>
      <c r="I137" t="str">
        <f>IF(FT!B137&lt;&gt;"",FT!E137,"")</f>
        <v>2 [54.867805]</v>
      </c>
      <c r="J137">
        <f>IF(FT!B137&lt;&gt;"",FT!C137,"")</f>
        <v>54.867800000000003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4.2240899999999995</v>
      </c>
      <c r="G138" s="61">
        <f>IF(FT!B138&lt;&gt;"",FT!B138*100,"")</f>
        <v>43.780700000000003</v>
      </c>
      <c r="H138" s="61">
        <f t="shared" si="13"/>
        <v>1</v>
      </c>
      <c r="I138" t="str">
        <f>IF(FT!B138&lt;&gt;"",FT!E138,"")</f>
        <v>2 [55.275007]</v>
      </c>
      <c r="J138">
        <f>IF(FT!B138&lt;&gt;"",FT!C138,"")</f>
        <v>55.274999999999999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70115</v>
      </c>
      <c r="D139" s="61">
        <f>FH!B139*1</f>
        <v>70115</v>
      </c>
      <c r="E139">
        <f t="shared" si="15"/>
        <v>137</v>
      </c>
      <c r="F139" s="61">
        <f>IF(FT!A139&lt;&gt;"",FT!A139*10,"")</f>
        <v>4.2079399999999998</v>
      </c>
      <c r="G139" s="61">
        <f>IF(FT!B139&lt;&gt;"",FT!B139*100,"")</f>
        <v>44.062200000000004</v>
      </c>
      <c r="H139" s="61">
        <f t="shared" si="13"/>
        <v>1</v>
      </c>
      <c r="I139" t="str">
        <f>IF(FT!B139&lt;&gt;"",FT!E139,"")</f>
        <v>2 [55.680227]</v>
      </c>
      <c r="J139">
        <f>IF(FT!B139&lt;&gt;"",FT!C139,"")</f>
        <v>55.680199999999999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4.1904200000000005</v>
      </c>
      <c r="G140" s="61">
        <f>IF(FT!B140&lt;&gt;"",FT!B140*100,"")</f>
        <v>44.300800000000002</v>
      </c>
      <c r="H140" s="61">
        <f t="shared" si="13"/>
        <v>1</v>
      </c>
      <c r="I140" t="str">
        <f>IF(FT!B140&lt;&gt;"",FT!E140,"")</f>
        <v>2 [56.085848]</v>
      </c>
      <c r="J140">
        <f>IF(FT!B140&lt;&gt;"",FT!C140,"")</f>
        <v>56.085799999999999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4.1712400000000001</v>
      </c>
      <c r="G141" s="61">
        <f>IF(FT!B141&lt;&gt;"",FT!B141*100,"")</f>
        <v>44.558999999999997</v>
      </c>
      <c r="H141" s="61">
        <f t="shared" si="13"/>
        <v>1</v>
      </c>
      <c r="I141" t="str">
        <f>IF(FT!B141&lt;&gt;"",FT!E141,"")</f>
        <v>2 [56.490943]</v>
      </c>
      <c r="J141">
        <f>IF(FT!B141&lt;&gt;"",FT!C141,"")</f>
        <v>56.490900000000003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57181</v>
      </c>
      <c r="D142" s="61">
        <f>FH!B142*1</f>
        <v>57181</v>
      </c>
      <c r="E142">
        <f t="shared" si="15"/>
        <v>140</v>
      </c>
      <c r="F142" s="61">
        <f>IF(FT!A142&lt;&gt;"",FT!A142*10,"")</f>
        <v>4.1492000000000004</v>
      </c>
      <c r="G142" s="61">
        <f>IF(FT!B142&lt;&gt;"",FT!B142*100,"")</f>
        <v>44.8005</v>
      </c>
      <c r="H142" s="61">
        <f t="shared" si="13"/>
        <v>1</v>
      </c>
      <c r="I142" t="str">
        <f>IF(FT!B142&lt;&gt;"",FT!E142,"")</f>
        <v>2 [56.899236]</v>
      </c>
      <c r="J142">
        <f>IF(FT!B142&lt;&gt;"",FT!C142,"")</f>
        <v>56.8992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4.1251800000000003</v>
      </c>
      <c r="G143" s="61">
        <f>IF(FT!B143&lt;&gt;"",FT!B143*100,"")</f>
        <v>45.066899999999997</v>
      </c>
      <c r="H143" s="61">
        <f t="shared" si="13"/>
        <v>1</v>
      </c>
      <c r="I143" t="str">
        <f>IF(FT!B143&lt;&gt;"",FT!E143,"")</f>
        <v>2 [57.305337]</v>
      </c>
      <c r="J143">
        <f>IF(FT!B143&lt;&gt;"",FT!C143,"")</f>
        <v>57.305300000000003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47137</v>
      </c>
      <c r="D144" s="61">
        <f>FH!B144*1</f>
        <v>47137</v>
      </c>
      <c r="E144">
        <f t="shared" si="15"/>
        <v>142</v>
      </c>
      <c r="F144" s="61">
        <f>IF(FT!A144&lt;&gt;"",FT!A144*10,"")</f>
        <v>4.0986000000000002</v>
      </c>
      <c r="G144" s="61">
        <f>IF(FT!B144&lt;&gt;"",FT!B144*100,"")</f>
        <v>45.269599999999997</v>
      </c>
      <c r="H144" s="61">
        <f t="shared" si="13"/>
        <v>1</v>
      </c>
      <c r="I144" t="str">
        <f>IF(FT!B144&lt;&gt;"",FT!E144,"")</f>
        <v>2 [57.711512]</v>
      </c>
      <c r="J144">
        <f>IF(FT!B144&lt;&gt;"",FT!C144,"")</f>
        <v>57.711500000000001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4.0707399999999998</v>
      </c>
      <c r="G145" s="61">
        <f>IF(FT!B145&lt;&gt;"",FT!B145*100,"")</f>
        <v>45.4133</v>
      </c>
      <c r="H145" s="61">
        <f t="shared" si="13"/>
        <v>1</v>
      </c>
      <c r="I145" t="str">
        <f>IF(FT!B145&lt;&gt;"",FT!E145,"")</f>
        <v>2 [58.118237]</v>
      </c>
      <c r="J145">
        <f>IF(FT!B145&lt;&gt;"",FT!C145,"")</f>
        <v>58.118200000000002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4.0404600000000004</v>
      </c>
      <c r="G146" s="61">
        <f>IF(FT!B146&lt;&gt;"",FT!B146*100,"")</f>
        <v>45.5762</v>
      </c>
      <c r="H146" s="61">
        <f t="shared" si="13"/>
        <v>1</v>
      </c>
      <c r="I146" t="str">
        <f>IF(FT!B146&lt;&gt;"",FT!E146,"")</f>
        <v>2 [58.522958]</v>
      </c>
      <c r="J146">
        <f>IF(FT!B146&lt;&gt;"",FT!C146,"")</f>
        <v>58.523000000000003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38902</v>
      </c>
      <c r="D147" s="61">
        <f>FH!B147*1</f>
        <v>38902</v>
      </c>
      <c r="E147">
        <f t="shared" si="15"/>
        <v>145</v>
      </c>
      <c r="F147" s="61">
        <f>IF(FT!A147&lt;&gt;"",FT!A147*10,"")</f>
        <v>4.0131099999999993</v>
      </c>
      <c r="G147" s="61">
        <f>IF(FT!B147&lt;&gt;"",FT!B147*100,"")</f>
        <v>45.956099999999999</v>
      </c>
      <c r="H147" s="61">
        <f t="shared" si="13"/>
        <v>1</v>
      </c>
      <c r="I147" t="str">
        <f>IF(FT!B147&lt;&gt;"",FT!E147,"")</f>
        <v>2 [58.930716]</v>
      </c>
      <c r="J147">
        <f>IF(FT!B147&lt;&gt;"",FT!C147,"")</f>
        <v>58.930700000000002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3.9954400000000003</v>
      </c>
      <c r="G148" s="61">
        <f>IF(FT!B148&lt;&gt;"",FT!B148*100,"")</f>
        <v>46.364100000000001</v>
      </c>
      <c r="H148" s="61">
        <f t="shared" si="13"/>
        <v>1</v>
      </c>
      <c r="I148" t="str">
        <f>IF(FT!B148&lt;&gt;"",FT!E148,"")</f>
        <v>2 [59.337185]</v>
      </c>
      <c r="J148">
        <f>IF(FT!B148&lt;&gt;"",FT!C148,"")</f>
        <v>59.337200000000003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30690</v>
      </c>
      <c r="D149" s="61">
        <f>FH!B149*1</f>
        <v>30690</v>
      </c>
      <c r="E149">
        <f t="shared" si="15"/>
        <v>147</v>
      </c>
      <c r="F149" s="61">
        <f>IF(FT!A149&lt;&gt;"",FT!A149*10,"")</f>
        <v>4.00021</v>
      </c>
      <c r="G149" s="61">
        <f>IF(FT!B149&lt;&gt;"",FT!B149*100,"")</f>
        <v>46.462499999999999</v>
      </c>
      <c r="H149" s="61">
        <f t="shared" si="13"/>
        <v>1</v>
      </c>
      <c r="I149" t="str">
        <f>IF(FT!B149&lt;&gt;"",FT!E149,"")</f>
        <v>2 [59.744596]</v>
      </c>
      <c r="J149">
        <f>IF(FT!B149&lt;&gt;"",FT!C149,"")</f>
        <v>59.744599999999998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25041</v>
      </c>
      <c r="D152" s="61">
        <f>FH!B152*1</f>
        <v>25041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19964</v>
      </c>
      <c r="D154" s="61">
        <f>FH!B154*1</f>
        <v>19964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16297</v>
      </c>
      <c r="D157" s="61">
        <f>FH!B157*1</f>
        <v>16297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13045</v>
      </c>
      <c r="D160" s="61">
        <f>FH!B160*1</f>
        <v>13045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10391</v>
      </c>
      <c r="D162" s="61">
        <f>FH!B162*1</f>
        <v>10391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6228</v>
      </c>
      <c r="D165" s="61">
        <f>FH!B165*1</f>
        <v>6228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4260</v>
      </c>
      <c r="D167" s="61">
        <f>FH!B167*1</f>
        <v>4260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2742</v>
      </c>
      <c r="D170" s="61">
        <f>FH!B170*1</f>
        <v>2742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1739</v>
      </c>
      <c r="D173" s="61">
        <f>FH!B173*1</f>
        <v>1739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627</v>
      </c>
      <c r="D175" s="61">
        <f>FH!B175*1</f>
        <v>627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162</v>
      </c>
      <c r="D178" s="61">
        <f>FH!B178*1</f>
        <v>162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0</v>
      </c>
      <c r="D180" s="61">
        <f>FH!B180*1</f>
        <v>0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0</v>
      </c>
      <c r="D183" s="61">
        <f>FH!B183*1</f>
        <v>0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0</v>
      </c>
      <c r="D185" s="61">
        <f>FH!B185*1</f>
        <v>0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0</v>
      </c>
      <c r="D188" s="61">
        <f>FH!B188*1</f>
        <v>0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0</v>
      </c>
      <c r="D191" s="61">
        <f>FH!B191*1</f>
        <v>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0</v>
      </c>
      <c r="D193" s="61">
        <f>FH!B193*1</f>
        <v>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43.988999999999997</v>
      </c>
      <c r="C5" s="66">
        <v>5.8302399999999999</v>
      </c>
      <c r="D5" s="66">
        <v>13.2539</v>
      </c>
      <c r="E5" s="66">
        <v>20</v>
      </c>
      <c r="F5" s="66">
        <v>21.9819</v>
      </c>
      <c r="G5" s="66">
        <v>50</v>
      </c>
      <c r="H5" s="66">
        <v>50.019500000000001</v>
      </c>
    </row>
    <row r="6" spans="1:8">
      <c r="A6" s="58" t="s">
        <v>303</v>
      </c>
      <c r="B6" s="66">
        <v>28.4786</v>
      </c>
      <c r="C6" s="66">
        <v>2.3385099999999999</v>
      </c>
      <c r="D6" s="66">
        <v>8.2114499999999992</v>
      </c>
      <c r="E6" s="66">
        <v>20</v>
      </c>
      <c r="F6" s="66">
        <v>24.921299999999999</v>
      </c>
      <c r="G6" s="66">
        <v>40</v>
      </c>
      <c r="H6" s="66">
        <v>36.8078</v>
      </c>
    </row>
    <row r="7" spans="1:8">
      <c r="A7" s="58" t="s">
        <v>304</v>
      </c>
      <c r="B7" s="66">
        <v>23.552399999999999</v>
      </c>
      <c r="C7" s="66">
        <v>8.7065699999999993</v>
      </c>
      <c r="D7" s="66">
        <v>36.966900000000003</v>
      </c>
      <c r="E7" s="66">
        <v>15</v>
      </c>
      <c r="F7" s="66">
        <v>1.8022</v>
      </c>
      <c r="G7" s="66">
        <v>40</v>
      </c>
      <c r="H7" s="66">
        <v>45.381399999999999</v>
      </c>
    </row>
    <row r="8" spans="1:8">
      <c r="A8" s="58" t="s">
        <v>305</v>
      </c>
      <c r="B8" s="66">
        <v>31.621400000000001</v>
      </c>
      <c r="C8" s="66">
        <v>2.2765200000000001</v>
      </c>
      <c r="D8" s="66">
        <v>7.1993099999999997</v>
      </c>
      <c r="E8" s="66">
        <v>20</v>
      </c>
      <c r="F8" s="66">
        <v>25.08</v>
      </c>
      <c r="G8" s="66">
        <v>50</v>
      </c>
      <c r="H8" s="66">
        <v>34.918599999999998</v>
      </c>
    </row>
    <row r="9" spans="1:8">
      <c r="A9" s="58" t="s">
        <v>306</v>
      </c>
      <c r="B9" s="66">
        <v>60.063400000000001</v>
      </c>
      <c r="C9" s="66">
        <v>8.1982599999999994</v>
      </c>
      <c r="D9" s="66">
        <v>13.6493</v>
      </c>
      <c r="E9" s="66">
        <v>50</v>
      </c>
      <c r="F9" s="66">
        <v>38.5214</v>
      </c>
      <c r="G9" s="66">
        <v>100</v>
      </c>
      <c r="H9" s="66">
        <v>77.253399999999999</v>
      </c>
    </row>
    <row r="10" spans="1:8">
      <c r="A10" s="58" t="s">
        <v>307</v>
      </c>
      <c r="B10" s="66">
        <v>81.878399999999999</v>
      </c>
      <c r="C10" s="66">
        <v>2.2725499999999998</v>
      </c>
      <c r="D10" s="66">
        <v>2.7755200000000002</v>
      </c>
      <c r="E10" s="66">
        <v>40</v>
      </c>
      <c r="F10" s="66">
        <v>76.816000000000003</v>
      </c>
      <c r="G10" s="66">
        <v>100</v>
      </c>
      <c r="H10" s="66">
        <v>85.068100000000001</v>
      </c>
    </row>
    <row r="11" spans="1:8">
      <c r="A11" s="58" t="s">
        <v>308</v>
      </c>
      <c r="B11" s="66">
        <v>23.425000000000001</v>
      </c>
      <c r="C11" s="66">
        <v>4.2423700000000002</v>
      </c>
      <c r="D11" s="66">
        <v>18.110499999999998</v>
      </c>
      <c r="E11" s="66">
        <v>10</v>
      </c>
      <c r="F11" s="66">
        <v>13.1968</v>
      </c>
      <c r="G11" s="66">
        <v>50</v>
      </c>
      <c r="H11" s="66">
        <v>32.737699999999997</v>
      </c>
    </row>
    <row r="12" spans="1:8">
      <c r="A12" s="58" t="s">
        <v>309</v>
      </c>
      <c r="B12" s="66">
        <v>70.230900000000005</v>
      </c>
      <c r="C12" s="66">
        <v>4.7477299999999998</v>
      </c>
      <c r="D12" s="66">
        <v>6.7601699999999996</v>
      </c>
      <c r="E12" s="66">
        <v>50</v>
      </c>
      <c r="F12" s="66">
        <v>58.607500000000002</v>
      </c>
      <c r="G12" s="66">
        <v>100</v>
      </c>
      <c r="H12" s="66">
        <v>80.491</v>
      </c>
    </row>
    <row r="13" spans="1:8">
      <c r="A13" s="58" t="s">
        <v>310</v>
      </c>
      <c r="B13" s="66">
        <v>17.4453</v>
      </c>
      <c r="C13" s="66">
        <v>2.6118199999999998</v>
      </c>
      <c r="D13" s="66">
        <v>14.971399999999999</v>
      </c>
      <c r="E13" s="66">
        <v>10</v>
      </c>
      <c r="F13" s="66">
        <v>13.4658</v>
      </c>
      <c r="G13" s="66">
        <v>25</v>
      </c>
      <c r="H13" s="66">
        <v>29.678999999999998</v>
      </c>
    </row>
    <row r="14" spans="1:8">
      <c r="A14" s="58" t="s">
        <v>311</v>
      </c>
      <c r="B14" s="66">
        <v>26.118200000000002</v>
      </c>
      <c r="C14" s="66">
        <v>10.239800000000001</v>
      </c>
      <c r="D14" s="66">
        <v>39.205599999999997</v>
      </c>
      <c r="E14" s="66">
        <v>10</v>
      </c>
      <c r="F14" s="66">
        <v>1.4956700000000001</v>
      </c>
      <c r="G14" s="66">
        <v>50</v>
      </c>
      <c r="H14" s="66">
        <v>40.392899999999997</v>
      </c>
    </row>
    <row r="15" spans="1:8">
      <c r="A15" s="58" t="s">
        <v>312</v>
      </c>
      <c r="B15" s="66">
        <v>-3.4049000000000003E-2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-3.1975099999999999E-2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16.110399999999998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0.539192</v>
      </c>
      <c r="C18" s="66">
        <v>1.45024E-3</v>
      </c>
      <c r="D18" s="66">
        <v>2.68966E-3</v>
      </c>
      <c r="E18" s="66">
        <v>0</v>
      </c>
      <c r="F18" s="66">
        <v>0.53774200000000005</v>
      </c>
      <c r="G18" s="66">
        <v>0</v>
      </c>
      <c r="H18" s="66">
        <v>0.54064199999999996</v>
      </c>
    </row>
    <row r="19" spans="1:8">
      <c r="A19" s="58" t="s">
        <v>316</v>
      </c>
      <c r="B19" s="66">
        <v>0.51698999999999995</v>
      </c>
      <c r="C19" s="66">
        <v>6.11072E-2</v>
      </c>
      <c r="D19" s="66">
        <v>0.118198</v>
      </c>
      <c r="E19" s="66">
        <v>0</v>
      </c>
      <c r="F19" s="66">
        <v>0.45588200000000001</v>
      </c>
      <c r="G19" s="66">
        <v>0</v>
      </c>
      <c r="H19" s="66">
        <v>0.57809699999999997</v>
      </c>
    </row>
    <row r="20" spans="1:8">
      <c r="A20" s="58" t="s">
        <v>317</v>
      </c>
      <c r="B20" s="66">
        <v>2.0051499999999998E-3</v>
      </c>
      <c r="C20" s="66">
        <v>5.0947300000000001E-2</v>
      </c>
      <c r="D20" s="66">
        <v>25.408200000000001</v>
      </c>
      <c r="E20" s="66">
        <v>0</v>
      </c>
      <c r="F20" s="66">
        <v>6.0791800000000004E-4</v>
      </c>
      <c r="G20" s="66">
        <v>0</v>
      </c>
      <c r="H20" s="66">
        <v>0.68071700000000002</v>
      </c>
    </row>
    <row r="21" spans="1:8">
      <c r="A21" s="58" t="s">
        <v>318</v>
      </c>
      <c r="B21" s="66">
        <v>9.3427899999999994E-2</v>
      </c>
      <c r="C21" s="66">
        <v>0.43180600000000002</v>
      </c>
      <c r="D21" s="66">
        <v>4.6218199999999996</v>
      </c>
      <c r="E21" s="66">
        <v>0</v>
      </c>
      <c r="F21" s="66">
        <v>4.1398199999999998E-3</v>
      </c>
      <c r="G21" s="66">
        <v>0</v>
      </c>
      <c r="H21" s="66">
        <v>4.5263400000000003</v>
      </c>
    </row>
    <row r="22" spans="1:8">
      <c r="A22" s="58" t="s">
        <v>319</v>
      </c>
      <c r="B22" s="66">
        <v>23.200600000000001</v>
      </c>
      <c r="C22" s="66">
        <v>14.9085</v>
      </c>
      <c r="D22" s="66">
        <v>0.64258999999999999</v>
      </c>
      <c r="E22" s="66">
        <v>0</v>
      </c>
      <c r="F22" s="66">
        <v>13.3711</v>
      </c>
      <c r="G22" s="66">
        <v>0</v>
      </c>
      <c r="H22" s="66">
        <v>112.931</v>
      </c>
    </row>
    <row r="23" spans="1:8">
      <c r="A23" s="58" t="s">
        <v>320</v>
      </c>
      <c r="B23" s="66">
        <v>14.514699999999999</v>
      </c>
      <c r="C23" s="66">
        <v>2.3377699999999999</v>
      </c>
      <c r="D23" s="66">
        <v>0.16106300000000001</v>
      </c>
      <c r="E23" s="66">
        <v>0</v>
      </c>
      <c r="F23" s="66">
        <v>9.5799199999999995</v>
      </c>
      <c r="G23" s="66">
        <v>0</v>
      </c>
      <c r="H23" s="66">
        <v>18.8749</v>
      </c>
    </row>
    <row r="24" spans="1:8">
      <c r="A24" s="58" t="s">
        <v>321</v>
      </c>
      <c r="B24" s="66">
        <v>2.4161500000000002E-3</v>
      </c>
      <c r="C24" s="66">
        <v>4.7211700000000002E-2</v>
      </c>
      <c r="D24" s="66">
        <v>19.540099999999999</v>
      </c>
      <c r="E24" s="66">
        <v>0</v>
      </c>
      <c r="F24" s="66">
        <v>8.7530599999999996E-4</v>
      </c>
      <c r="G24" s="66">
        <v>0</v>
      </c>
      <c r="H24" s="66">
        <v>0.60354200000000002</v>
      </c>
    </row>
    <row r="25" spans="1:8">
      <c r="A25" s="58" t="s">
        <v>322</v>
      </c>
      <c r="B25" s="66">
        <v>0.113993</v>
      </c>
      <c r="C25" s="66">
        <v>0.29275099999999998</v>
      </c>
      <c r="D25" s="66">
        <v>2.5681500000000002</v>
      </c>
      <c r="E25" s="66">
        <v>0</v>
      </c>
      <c r="F25" s="66">
        <v>3.79134E-2</v>
      </c>
      <c r="G25" s="66">
        <v>0</v>
      </c>
      <c r="H25" s="66">
        <v>1.91259</v>
      </c>
    </row>
    <row r="26" spans="1:8">
      <c r="A26" s="58" t="s">
        <v>323</v>
      </c>
      <c r="B26" s="66">
        <v>7.5827200000000005E-4</v>
      </c>
      <c r="C26" s="66">
        <v>7.3702000000000004E-3</v>
      </c>
      <c r="D26" s="66">
        <v>9.7197300000000002</v>
      </c>
      <c r="E26" s="66">
        <v>0</v>
      </c>
      <c r="F26" s="66">
        <v>2.06801E-4</v>
      </c>
      <c r="G26" s="66">
        <v>0</v>
      </c>
      <c r="H26" s="66">
        <v>8.4128800000000004E-2</v>
      </c>
    </row>
    <row r="27" spans="1:8">
      <c r="A27" s="58" t="s">
        <v>324</v>
      </c>
      <c r="B27" s="196">
        <v>-3.2825599999999999E-6</v>
      </c>
      <c r="C27" s="66">
        <v>1.13141E-3</v>
      </c>
      <c r="D27" s="66">
        <v>-344.673</v>
      </c>
      <c r="E27" s="66">
        <v>0</v>
      </c>
      <c r="F27" s="66">
        <v>-1.26937E-2</v>
      </c>
      <c r="G27" s="66">
        <v>0</v>
      </c>
      <c r="H27" s="66">
        <v>8.9745299999999997E-3</v>
      </c>
    </row>
    <row r="28" spans="1:8">
      <c r="A28" s="58" t="s">
        <v>325</v>
      </c>
      <c r="B28" s="66">
        <v>2.3266599999999998E-2</v>
      </c>
      <c r="C28" s="66">
        <v>2.72336E-2</v>
      </c>
      <c r="D28" s="66">
        <v>1.1705000000000001</v>
      </c>
      <c r="E28" s="66">
        <v>0</v>
      </c>
      <c r="F28" s="66">
        <v>1.74154E-3</v>
      </c>
      <c r="G28" s="66">
        <v>0</v>
      </c>
      <c r="H28" s="66">
        <v>0.20172499999999999</v>
      </c>
    </row>
    <row r="29" spans="1:8">
      <c r="A29" s="58" t="s">
        <v>326</v>
      </c>
      <c r="B29" s="66">
        <v>70.857200000000006</v>
      </c>
      <c r="C29" s="66">
        <v>9.8965399999999999</v>
      </c>
      <c r="D29" s="66">
        <v>0.13966899999999999</v>
      </c>
      <c r="E29" s="66">
        <v>0</v>
      </c>
      <c r="F29" s="66">
        <v>55.180500000000002</v>
      </c>
      <c r="G29" s="66">
        <v>0</v>
      </c>
      <c r="H29" s="66">
        <v>116.188</v>
      </c>
    </row>
    <row r="30" spans="1:8">
      <c r="A30" s="58" t="s">
        <v>327</v>
      </c>
      <c r="B30" s="66">
        <v>31.438099999999999</v>
      </c>
      <c r="C30" s="66">
        <v>3.9711699999999999</v>
      </c>
      <c r="D30" s="66">
        <v>0.12631700000000001</v>
      </c>
      <c r="E30" s="66">
        <v>0</v>
      </c>
      <c r="F30" s="66">
        <v>19.884799999999998</v>
      </c>
      <c r="G30" s="66">
        <v>0</v>
      </c>
      <c r="H30" s="66">
        <v>36.921900000000001</v>
      </c>
    </row>
    <row r="31" spans="1:8">
      <c r="A31" s="58" t="s">
        <v>328</v>
      </c>
      <c r="B31" s="66">
        <v>105.367</v>
      </c>
      <c r="C31" s="66">
        <v>24.814800000000002</v>
      </c>
      <c r="D31" s="66">
        <v>0.235509</v>
      </c>
      <c r="E31" s="66">
        <v>0</v>
      </c>
      <c r="F31" s="66">
        <v>74.588700000000003</v>
      </c>
      <c r="G31" s="66">
        <v>0</v>
      </c>
      <c r="H31" s="66">
        <v>177.57599999999999</v>
      </c>
    </row>
    <row r="32" spans="1:8">
      <c r="A32" s="58" t="s">
        <v>329</v>
      </c>
      <c r="B32" s="66">
        <v>0.23552400000000001</v>
      </c>
      <c r="C32" s="66">
        <v>8.7065699999999996E-2</v>
      </c>
      <c r="D32" s="66">
        <v>0.36966900000000003</v>
      </c>
      <c r="E32" s="66">
        <v>0.15</v>
      </c>
      <c r="F32" s="66">
        <v>1.8022E-2</v>
      </c>
      <c r="G32" s="66">
        <v>0.4</v>
      </c>
      <c r="H32" s="66">
        <v>0.453814</v>
      </c>
    </row>
    <row r="33" spans="1:8">
      <c r="A33" s="58" t="s">
        <v>330</v>
      </c>
      <c r="B33" s="66">
        <v>0.23363100000000001</v>
      </c>
      <c r="C33" s="66">
        <v>4.5630799999999999E-2</v>
      </c>
      <c r="D33" s="66">
        <v>0.19531100000000001</v>
      </c>
      <c r="E33" s="66">
        <v>0</v>
      </c>
      <c r="F33" s="66">
        <v>0.17616599999999999</v>
      </c>
      <c r="G33" s="66">
        <v>0</v>
      </c>
      <c r="H33" s="66">
        <v>0.36587799999999998</v>
      </c>
    </row>
    <row r="34" spans="1:8">
      <c r="A34" s="58" t="s">
        <v>331</v>
      </c>
      <c r="B34" s="66">
        <v>0.174453</v>
      </c>
      <c r="C34" s="66">
        <v>2.6118200000000001E-2</v>
      </c>
      <c r="D34" s="66">
        <v>0.14971400000000001</v>
      </c>
      <c r="E34" s="66">
        <v>0.1</v>
      </c>
      <c r="F34" s="66">
        <v>0.134658</v>
      </c>
      <c r="G34" s="66">
        <v>0.25</v>
      </c>
      <c r="H34" s="66">
        <v>0.29679</v>
      </c>
    </row>
    <row r="35" spans="1:8">
      <c r="A35" s="58" t="s">
        <v>332</v>
      </c>
      <c r="B35" s="66">
        <v>7.0668800000000004E-2</v>
      </c>
      <c r="C35" s="66">
        <v>2.3808099999999999E-2</v>
      </c>
      <c r="D35" s="66">
        <v>0.336897</v>
      </c>
      <c r="E35" s="66">
        <v>0</v>
      </c>
      <c r="F35" s="66">
        <v>1.93131E-2</v>
      </c>
      <c r="G35" s="66">
        <v>0</v>
      </c>
      <c r="H35" s="66">
        <v>0.15335699999999999</v>
      </c>
    </row>
    <row r="36" spans="1:8">
      <c r="A36" s="58" t="s">
        <v>333</v>
      </c>
      <c r="B36" s="66">
        <v>0.14690300000000001</v>
      </c>
      <c r="C36" s="66">
        <v>7.9836400000000002E-2</v>
      </c>
      <c r="D36" s="66">
        <v>0.54346300000000003</v>
      </c>
      <c r="E36" s="66">
        <v>0</v>
      </c>
      <c r="F36" s="66">
        <v>3.6233300000000003E-2</v>
      </c>
      <c r="G36" s="66">
        <v>0</v>
      </c>
      <c r="H36" s="66">
        <v>0.53731300000000004</v>
      </c>
    </row>
    <row r="37" spans="1:8">
      <c r="A37" s="58" t="s">
        <v>334</v>
      </c>
      <c r="B37" s="66">
        <v>0.26118200000000003</v>
      </c>
      <c r="C37" s="66">
        <v>0.102398</v>
      </c>
      <c r="D37" s="66">
        <v>0.39205600000000002</v>
      </c>
      <c r="E37" s="66">
        <v>0.1</v>
      </c>
      <c r="F37" s="66">
        <v>1.49567E-2</v>
      </c>
      <c r="G37" s="66">
        <v>0.5</v>
      </c>
      <c r="H37" s="66">
        <v>0.40392899999999998</v>
      </c>
    </row>
    <row r="38" spans="1:8">
      <c r="A38" s="58" t="s">
        <v>335</v>
      </c>
      <c r="B38" s="66">
        <v>-7.2341600000000001</v>
      </c>
      <c r="C38" s="66">
        <v>39.697600000000001</v>
      </c>
      <c r="D38" s="66">
        <v>-5.48752</v>
      </c>
      <c r="E38" s="66">
        <v>0</v>
      </c>
      <c r="F38" s="66">
        <v>-121.625</v>
      </c>
      <c r="G38" s="66">
        <v>0</v>
      </c>
      <c r="H38" s="66">
        <v>249.751</v>
      </c>
    </row>
    <row r="39" spans="1:8">
      <c r="A39" s="58" t="s">
        <v>336</v>
      </c>
      <c r="B39" s="66">
        <v>-3.7362199999999999</v>
      </c>
      <c r="C39" s="66">
        <v>2.9458600000000001</v>
      </c>
      <c r="D39" s="66">
        <v>-0.78845900000000002</v>
      </c>
      <c r="E39" s="66">
        <v>0</v>
      </c>
      <c r="F39" s="66">
        <v>-13.5319</v>
      </c>
      <c r="G39" s="66">
        <v>0</v>
      </c>
      <c r="H39" s="66">
        <v>6.4552699999999996</v>
      </c>
    </row>
    <row r="40" spans="1:8">
      <c r="A40" s="58" t="s">
        <v>337</v>
      </c>
      <c r="B40" s="66">
        <v>-1.9626600000000001</v>
      </c>
      <c r="C40" s="66">
        <v>0.40600199999999997</v>
      </c>
      <c r="D40" s="66">
        <v>-0.20686299999999999</v>
      </c>
      <c r="E40" s="66">
        <v>0</v>
      </c>
      <c r="F40" s="66">
        <v>-2.7176399999999998</v>
      </c>
      <c r="G40" s="66">
        <v>0</v>
      </c>
      <c r="H40" s="66">
        <v>-0.85767000000000004</v>
      </c>
    </row>
    <row r="41" spans="1:8">
      <c r="A41" s="58" t="s">
        <v>338</v>
      </c>
      <c r="B41" s="66">
        <v>-0.16317899999999999</v>
      </c>
      <c r="C41" s="66">
        <v>0.33599000000000001</v>
      </c>
      <c r="D41" s="66">
        <v>-2.0590199999999999</v>
      </c>
      <c r="E41" s="66">
        <v>0</v>
      </c>
      <c r="F41" s="66">
        <v>-0.89830500000000002</v>
      </c>
      <c r="G41" s="66">
        <v>0</v>
      </c>
      <c r="H41" s="66">
        <v>1</v>
      </c>
    </row>
    <row r="42" spans="1:8">
      <c r="A42" s="58" t="s">
        <v>339</v>
      </c>
      <c r="B42" s="66">
        <v>-0.19869400000000001</v>
      </c>
      <c r="C42" s="66">
        <v>0.10807</v>
      </c>
      <c r="D42" s="66">
        <v>-0.54390300000000003</v>
      </c>
      <c r="E42" s="66">
        <v>0</v>
      </c>
      <c r="F42" s="66">
        <v>-0.51826700000000003</v>
      </c>
      <c r="G42" s="66">
        <v>0</v>
      </c>
      <c r="H42" s="66">
        <v>8.6326700000000006E-2</v>
      </c>
    </row>
    <row r="43" spans="1:8">
      <c r="A43" s="58" t="s">
        <v>340</v>
      </c>
      <c r="B43" s="66">
        <v>-9.7519300000000003E-2</v>
      </c>
      <c r="C43" s="66">
        <v>4.2503699999999998E-2</v>
      </c>
      <c r="D43" s="66">
        <v>-0.43584899999999999</v>
      </c>
      <c r="E43" s="66">
        <v>0</v>
      </c>
      <c r="F43" s="66">
        <v>-0.24288499999999999</v>
      </c>
      <c r="G43" s="66">
        <v>0</v>
      </c>
      <c r="H43" s="66">
        <v>-4.0128799999999999E-2</v>
      </c>
    </row>
    <row r="44" spans="1:8">
      <c r="A44" s="58" t="s">
        <v>341</v>
      </c>
      <c r="B44" s="66">
        <v>-4.0698800000000004</v>
      </c>
      <c r="C44" s="66">
        <v>9.9816699999999994</v>
      </c>
      <c r="D44" s="66">
        <v>-2.4525700000000001</v>
      </c>
      <c r="E44" s="66">
        <v>0</v>
      </c>
      <c r="F44" s="66">
        <v>-22.388000000000002</v>
      </c>
      <c r="G44" s="66">
        <v>0</v>
      </c>
      <c r="H44" s="66">
        <v>13.9041</v>
      </c>
    </row>
    <row r="45" spans="1:8">
      <c r="A45" s="58" t="s">
        <v>342</v>
      </c>
      <c r="B45" s="66">
        <v>52.700200000000002</v>
      </c>
      <c r="C45" s="66">
        <v>8.1914300000000004</v>
      </c>
      <c r="D45" s="66">
        <v>0.15543499999999999</v>
      </c>
      <c r="E45" s="66">
        <v>0</v>
      </c>
      <c r="F45" s="66">
        <v>33.498699999999999</v>
      </c>
      <c r="G45" s="66">
        <v>0</v>
      </c>
      <c r="H45" s="66">
        <v>80.500200000000007</v>
      </c>
    </row>
    <row r="46" spans="1:8">
      <c r="A46" s="58" t="s">
        <v>343</v>
      </c>
      <c r="B46" s="66">
        <v>29.015599999999999</v>
      </c>
      <c r="C46" s="66">
        <v>4.5491299999999999</v>
      </c>
      <c r="D46" s="66">
        <v>0.156782</v>
      </c>
      <c r="E46" s="66">
        <v>0</v>
      </c>
      <c r="F46" s="66">
        <v>13.8064</v>
      </c>
      <c r="G46" s="66">
        <v>0</v>
      </c>
      <c r="H46" s="66">
        <v>34.765300000000003</v>
      </c>
    </row>
    <row r="47" spans="1:8">
      <c r="A47" s="58" t="s">
        <v>344</v>
      </c>
      <c r="B47" s="66">
        <v>1.1258300000000001</v>
      </c>
      <c r="C47" s="66">
        <v>0.704121</v>
      </c>
      <c r="D47" s="66">
        <v>0.62542500000000001</v>
      </c>
      <c r="E47" s="66">
        <v>0</v>
      </c>
      <c r="F47" s="66">
        <v>0.51193299999999997</v>
      </c>
      <c r="G47" s="66">
        <v>0</v>
      </c>
      <c r="H47" s="66">
        <v>6.8158399999999997</v>
      </c>
    </row>
    <row r="48" spans="1:8">
      <c r="A48" s="58" t="s">
        <v>345</v>
      </c>
      <c r="B48" s="66">
        <v>1.1577999999999999</v>
      </c>
      <c r="C48" s="66">
        <v>0.18151999999999999</v>
      </c>
      <c r="D48" s="66">
        <v>0.15678</v>
      </c>
      <c r="E48" s="66">
        <v>0</v>
      </c>
      <c r="F48" s="66">
        <v>0.783887</v>
      </c>
      <c r="G48" s="66">
        <v>0</v>
      </c>
      <c r="H48" s="66">
        <v>1.63263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1.7103999999999999</v>
      </c>
      <c r="C5" s="66">
        <f>'M2'!C5-'M1'!C5</f>
        <v>-3.68133</v>
      </c>
      <c r="D5" s="66">
        <f>'M2'!D5-'M1'!D5</f>
        <v>-8.7486299999999986</v>
      </c>
      <c r="E5" s="66">
        <f>'M2'!E5-'M1'!E5</f>
        <v>0</v>
      </c>
      <c r="F5" s="66">
        <f>'M2'!F5-'M1'!F5</f>
        <v>14.013999999999999</v>
      </c>
      <c r="G5" s="66">
        <f>'M2'!G5-'M1'!G5</f>
        <v>0</v>
      </c>
      <c r="H5" s="66">
        <f>'M2'!H5-'M1'!H5</f>
        <v>2.530300000000004</v>
      </c>
    </row>
    <row r="6" spans="1:8">
      <c r="A6" s="66" t="s">
        <v>244</v>
      </c>
      <c r="B6" s="66">
        <f>'M2'!B6-'M1'!B6</f>
        <v>-1.2213999999999992</v>
      </c>
      <c r="C6" s="66">
        <f>'M2'!C6-'M1'!C6</f>
        <v>-0.51451000000000002</v>
      </c>
      <c r="D6" s="66">
        <f>'M2'!D6-'M1'!D6</f>
        <v>-1.4820799999999998</v>
      </c>
      <c r="E6" s="66">
        <f>'M2'!E6-'M1'!E6</f>
        <v>0</v>
      </c>
      <c r="F6" s="66">
        <f>'M2'!F6-'M1'!F6</f>
        <v>3.2800000000001717E-2</v>
      </c>
      <c r="G6" s="66">
        <f>'M2'!G6-'M1'!G6</f>
        <v>0</v>
      </c>
      <c r="H6" s="66">
        <f>'M2'!H6-'M1'!H6</f>
        <v>-5.5168999999999997</v>
      </c>
    </row>
    <row r="7" spans="1:8">
      <c r="A7" s="66" t="s">
        <v>245</v>
      </c>
      <c r="B7" s="66">
        <f>'M2'!B7-'M1'!B7</f>
        <v>-4.0789999999999971</v>
      </c>
      <c r="C7" s="66">
        <f>'M2'!C7-'M1'!C7</f>
        <v>-6.1650299999999998</v>
      </c>
      <c r="D7" s="66">
        <f>'M2'!D7-'M1'!D7</f>
        <v>-19.893999999999998</v>
      </c>
      <c r="E7" s="66">
        <f>'M2'!E7-'M1'!E7</f>
        <v>0</v>
      </c>
      <c r="F7" s="66">
        <f>'M2'!F7-'M1'!F7</f>
        <v>7.8965799999999993</v>
      </c>
      <c r="G7" s="66">
        <f>'M2'!G7-'M1'!G7</f>
        <v>0</v>
      </c>
      <c r="H7" s="66">
        <f>'M2'!H7-'M1'!H7</f>
        <v>-11.325699999999998</v>
      </c>
    </row>
    <row r="8" spans="1:8">
      <c r="A8" s="66" t="s">
        <v>246</v>
      </c>
      <c r="B8" s="66">
        <f>'M2'!B8-'M1'!B8</f>
        <v>-0.67510000000000048</v>
      </c>
      <c r="C8" s="66">
        <f>'M2'!C8-'M1'!C8</f>
        <v>-0.45723000000000003</v>
      </c>
      <c r="D8" s="66">
        <f>'M2'!D8-'M1'!D8</f>
        <v>-1.2895200000000004</v>
      </c>
      <c r="E8" s="66">
        <f>'M2'!E8-'M1'!E8</f>
        <v>0</v>
      </c>
      <c r="F8" s="66">
        <f>'M2'!F8-'M1'!F8</f>
        <v>3.1737000000000002</v>
      </c>
      <c r="G8" s="66">
        <f>'M2'!G8-'M1'!G8</f>
        <v>0</v>
      </c>
      <c r="H8" s="66">
        <f>'M2'!H8-'M1'!H8</f>
        <v>-0.27779999999999916</v>
      </c>
    </row>
    <row r="9" spans="1:8">
      <c r="A9" s="66" t="s">
        <v>247</v>
      </c>
      <c r="B9" s="66">
        <f>'M2'!B9-'M1'!B9</f>
        <v>7.2237000000000009</v>
      </c>
      <c r="C9" s="66">
        <f>'M2'!C9-'M1'!C9</f>
        <v>-4.3166500000000001</v>
      </c>
      <c r="D9" s="66">
        <f>'M2'!D9-'M1'!D9</f>
        <v>-8.8877300000000012</v>
      </c>
      <c r="E9" s="66">
        <f>'M2'!E9-'M1'!E9</f>
        <v>0</v>
      </c>
      <c r="F9" s="66">
        <f>'M2'!F9-'M1'!F9</f>
        <v>15.026299999999999</v>
      </c>
      <c r="G9" s="66">
        <f>'M2'!G9-'M1'!G9</f>
        <v>0</v>
      </c>
      <c r="H9" s="66">
        <f>'M2'!H9-'M1'!H9</f>
        <v>2.9106000000000023</v>
      </c>
    </row>
    <row r="10" spans="1:8">
      <c r="A10" s="66" t="s">
        <v>248</v>
      </c>
      <c r="B10" s="66">
        <f>'M2'!B10-'M1'!B10</f>
        <v>-2.7284999999999968</v>
      </c>
      <c r="C10" s="66">
        <f>'M2'!C10-'M1'!C10</f>
        <v>0.54491000000000001</v>
      </c>
      <c r="D10" s="66">
        <f>'M2'!D10-'M1'!D10</f>
        <v>0.7634000000000003</v>
      </c>
      <c r="E10" s="66">
        <f>'M2'!E10-'M1'!E10</f>
        <v>0</v>
      </c>
      <c r="F10" s="66">
        <f>'M2'!F10-'M1'!F10</f>
        <v>-0.3282999999999987</v>
      </c>
      <c r="G10" s="66">
        <f>'M2'!G10-'M1'!G10</f>
        <v>0</v>
      </c>
      <c r="H10" s="66">
        <f>'M2'!H10-'M1'!H10</f>
        <v>-0.8983999999999952</v>
      </c>
    </row>
    <row r="11" spans="1:8">
      <c r="A11" s="66" t="s">
        <v>249</v>
      </c>
      <c r="B11" s="66">
        <f>'M2'!B11-'M1'!B11</f>
        <v>4.2002000000000024</v>
      </c>
      <c r="C11" s="66">
        <f>'M2'!C11-'M1'!C11</f>
        <v>1.31</v>
      </c>
      <c r="D11" s="66">
        <f>'M2'!D11-'M1'!D11</f>
        <v>3.0884</v>
      </c>
      <c r="E11" s="66">
        <f>'M2'!E11-'M1'!E11</f>
        <v>0</v>
      </c>
      <c r="F11" s="66">
        <f>'M2'!F11-'M1'!F11</f>
        <v>8.192499999999999</v>
      </c>
      <c r="G11" s="66">
        <f>'M2'!G11-'M1'!G11</f>
        <v>0</v>
      </c>
      <c r="H11" s="66">
        <f>'M2'!H11-'M1'!H11</f>
        <v>7.660699999999995</v>
      </c>
    </row>
    <row r="12" spans="1:8">
      <c r="A12" s="66" t="s">
        <v>250</v>
      </c>
      <c r="B12" s="66">
        <f>'M2'!B12-'M1'!B12</f>
        <v>2.6406000000000063</v>
      </c>
      <c r="C12" s="66">
        <f>'M2'!C12-'M1'!C12</f>
        <v>-1.8897300000000001</v>
      </c>
      <c r="D12" s="66">
        <f>'M2'!D12-'M1'!D12</f>
        <v>-2.9486400000000001</v>
      </c>
      <c r="E12" s="66">
        <f>'M2'!E12-'M1'!E12</f>
        <v>0</v>
      </c>
      <c r="F12" s="66">
        <f>'M2'!F12-'M1'!F12</f>
        <v>7.3610000000000042</v>
      </c>
      <c r="G12" s="66">
        <f>'M2'!G12-'M1'!G12</f>
        <v>0</v>
      </c>
      <c r="H12" s="66">
        <f>'M2'!H12-'M1'!H12</f>
        <v>1.098399999999998</v>
      </c>
    </row>
    <row r="13" spans="1:8">
      <c r="A13" s="66" t="s">
        <v>251</v>
      </c>
      <c r="B13" s="66">
        <f>'M2'!B13-'M1'!B13</f>
        <v>1.6633999999999993</v>
      </c>
      <c r="C13" s="66">
        <f>'M2'!C13-'M1'!C13</f>
        <v>-1.2016000000000002</v>
      </c>
      <c r="D13" s="66">
        <f>'M2'!D13-'M1'!D13</f>
        <v>-8.4826000000000015</v>
      </c>
      <c r="E13" s="66">
        <f>'M2'!E13-'M1'!E13</f>
        <v>0</v>
      </c>
      <c r="F13" s="66">
        <f>'M2'!F13-'M1'!F13</f>
        <v>-0.34469999999999956</v>
      </c>
      <c r="G13" s="66">
        <f>'M2'!G13-'M1'!G13</f>
        <v>0</v>
      </c>
      <c r="H13" s="66">
        <f>'M2'!H13-'M1'!H13</f>
        <v>-5.6242999999999981</v>
      </c>
    </row>
    <row r="14" spans="1:8">
      <c r="A14" s="66" t="s">
        <v>252</v>
      </c>
      <c r="B14" s="66">
        <f>'M2'!B14-'M1'!B14</f>
        <v>-12.016000000000002</v>
      </c>
      <c r="C14" s="66">
        <f>'M2'!C14-'M1'!C14</f>
        <v>2.0080200000000001</v>
      </c>
      <c r="D14" s="66">
        <f>'M2'!D14-'M1'!D14</f>
        <v>28.422099999999997</v>
      </c>
      <c r="E14" s="66">
        <f>'M2'!E14-'M1'!E14</f>
        <v>0</v>
      </c>
      <c r="F14" s="66">
        <f>'M2'!F14-'M1'!F14</f>
        <v>0.54044999999999987</v>
      </c>
      <c r="G14" s="66">
        <f>'M2'!G14-'M1'!G14</f>
        <v>0</v>
      </c>
      <c r="H14" s="66">
        <f>'M2'!H14-'M1'!H14</f>
        <v>-9.1011999999999986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-7.8890000000000349E-3</v>
      </c>
      <c r="C18" s="66">
        <f>'M2'!C18-'M1'!C18</f>
        <v>1.45024E-3</v>
      </c>
      <c r="D18" s="66">
        <f>'M2'!D18-'M1'!D18</f>
        <v>2.68966E-3</v>
      </c>
      <c r="E18" s="66">
        <f>'M2'!E18-'M1'!E18</f>
        <v>0</v>
      </c>
      <c r="F18" s="66">
        <f>'M2'!F18-'M1'!F18</f>
        <v>0.53774200000000005</v>
      </c>
      <c r="G18" s="66">
        <f>'M2'!G18-'M1'!G18</f>
        <v>0</v>
      </c>
      <c r="H18" s="66">
        <f>'M2'!H18-'M1'!H18</f>
        <v>0.54064199999999996</v>
      </c>
    </row>
    <row r="19" spans="1:8">
      <c r="A19" s="66" t="s">
        <v>256</v>
      </c>
      <c r="B19" s="66">
        <f>'M2'!B19-'M1'!B19</f>
        <v>1.1365999999999987E-2</v>
      </c>
      <c r="C19" s="66">
        <f>'M2'!C19-'M1'!C19</f>
        <v>6.11072E-2</v>
      </c>
      <c r="D19" s="66">
        <f>'M2'!D19-'M1'!D19</f>
        <v>0.118198</v>
      </c>
      <c r="E19" s="66">
        <f>'M2'!E19-'M1'!E19</f>
        <v>0</v>
      </c>
      <c r="F19" s="66">
        <f>'M2'!F19-'M1'!F19</f>
        <v>0.45588200000000001</v>
      </c>
      <c r="G19" s="66">
        <f>'M2'!G19-'M1'!G19</f>
        <v>0</v>
      </c>
      <c r="H19" s="66">
        <f>'M2'!H19-'M1'!H19</f>
        <v>0.57809699999999997</v>
      </c>
    </row>
    <row r="20" spans="1:8">
      <c r="A20" s="66" t="s">
        <v>63</v>
      </c>
      <c r="B20" s="66">
        <f>'M2'!B20-'M1'!B20</f>
        <v>8.5683000000000005E-4</v>
      </c>
      <c r="C20" s="66">
        <f>'M2'!C20-'M1'!C20</f>
        <v>-6.0241799999999998E-2</v>
      </c>
      <c r="D20" s="66">
        <f>'M2'!D20-'M1'!D20</f>
        <v>-40.068539999999999</v>
      </c>
      <c r="E20" s="66">
        <f>'M2'!E20-'M1'!E20</f>
        <v>0</v>
      </c>
      <c r="F20" s="66">
        <f>'M2'!F20-'M1'!F20</f>
        <v>7.1569999999999316E-6</v>
      </c>
      <c r="G20" s="66">
        <f>'M2'!G20-'M1'!G20</f>
        <v>0</v>
      </c>
      <c r="H20" s="66">
        <f>'M2'!H20-'M1'!H20</f>
        <v>-0.59719410000000006</v>
      </c>
    </row>
    <row r="21" spans="1:8">
      <c r="A21" s="66" t="s">
        <v>64</v>
      </c>
      <c r="B21" s="66">
        <f>'M2'!B21-'M1'!B21</f>
        <v>4.8488199999999995E-2</v>
      </c>
      <c r="C21" s="66">
        <f>'M2'!C21-'M1'!C21</f>
        <v>-0.39968700000000001</v>
      </c>
      <c r="D21" s="66">
        <f>'M2'!D21-'M1'!D21</f>
        <v>-6.502600000000001</v>
      </c>
      <c r="E21" s="66">
        <f>'M2'!E21-'M1'!E21</f>
        <v>0</v>
      </c>
      <c r="F21" s="66">
        <f>'M2'!F21-'M1'!F21</f>
        <v>3.5825400000000004E-3</v>
      </c>
      <c r="G21" s="66">
        <f>'M2'!G21-'M1'!G21</f>
        <v>0</v>
      </c>
      <c r="H21" s="66">
        <f>'M2'!H21-'M1'!H21</f>
        <v>-3.5365070000000003</v>
      </c>
    </row>
    <row r="22" spans="1:8">
      <c r="A22" s="66" t="s">
        <v>65</v>
      </c>
      <c r="B22" s="66">
        <f>'M2'!B22-'M1'!B22</f>
        <v>4.5421000000000014</v>
      </c>
      <c r="C22" s="66">
        <f>'M2'!C22-'M1'!C22</f>
        <v>-11.844659999999998</v>
      </c>
      <c r="D22" s="66">
        <f>'M2'!D22-'M1'!D22</f>
        <v>-0.615178</v>
      </c>
      <c r="E22" s="66">
        <f>'M2'!E22-'M1'!E22</f>
        <v>0</v>
      </c>
      <c r="F22" s="66">
        <f>'M2'!F22-'M1'!F22</f>
        <v>0.93520000000000003</v>
      </c>
      <c r="G22" s="66">
        <f>'M2'!G22-'M1'!G22</f>
        <v>0</v>
      </c>
      <c r="H22" s="66">
        <f>'M2'!H22-'M1'!H22</f>
        <v>-58.261499999999998</v>
      </c>
    </row>
    <row r="23" spans="1:8">
      <c r="A23" s="66" t="s">
        <v>66</v>
      </c>
      <c r="B23" s="66">
        <f>'M2'!B23-'M1'!B23</f>
        <v>2.9999000000000002</v>
      </c>
      <c r="C23" s="66">
        <f>'M2'!C23-'M1'!C23</f>
        <v>-0.11058000000000012</v>
      </c>
      <c r="D23" s="66">
        <f>'M2'!D23-'M1'!D23</f>
        <v>-3.6530999999999994E-2</v>
      </c>
      <c r="E23" s="66">
        <f>'M2'!E23-'M1'!E23</f>
        <v>0</v>
      </c>
      <c r="F23" s="66">
        <f>'M2'!F23-'M1'!F23</f>
        <v>3.2965800000000005</v>
      </c>
      <c r="G23" s="66">
        <f>'M2'!G23-'M1'!G23</f>
        <v>0</v>
      </c>
      <c r="H23" s="66">
        <f>'M2'!H23-'M1'!H23</f>
        <v>2.2707000000000015</v>
      </c>
    </row>
    <row r="24" spans="1:8">
      <c r="A24" s="66" t="s">
        <v>67</v>
      </c>
      <c r="B24" s="66">
        <f>'M2'!B24-'M1'!B24</f>
        <v>1.0860399999999999E-3</v>
      </c>
      <c r="C24" s="66">
        <f>'M2'!C24-'M1'!C24</f>
        <v>-5.8180820000000008E-2</v>
      </c>
      <c r="D24" s="66">
        <f>'M2'!D24-'M1'!D24</f>
        <v>-33.446960000000004</v>
      </c>
      <c r="E24" s="66">
        <f>'M2'!E24-'M1'!E24</f>
        <v>0</v>
      </c>
      <c r="F24" s="66">
        <f>'M2'!F24-'M1'!F24</f>
        <v>7.3097000000000049E-5</v>
      </c>
      <c r="G24" s="66">
        <f>'M2'!G24-'M1'!G24</f>
        <v>0</v>
      </c>
      <c r="H24" s="66">
        <f>'M2'!H24-'M1'!H24</f>
        <v>-0.54827650000000006</v>
      </c>
    </row>
    <row r="25" spans="1:8">
      <c r="A25" s="66" t="s">
        <v>68</v>
      </c>
      <c r="B25" s="66">
        <f>'M2'!B25-'M1'!B25</f>
        <v>5.1386299999999996E-2</v>
      </c>
      <c r="C25" s="66">
        <f>'M2'!C25-'M1'!C25</f>
        <v>-0.27683900000000006</v>
      </c>
      <c r="D25" s="66">
        <f>'M2'!D25-'M1'!D25</f>
        <v>-3.4795900000000004</v>
      </c>
      <c r="E25" s="66">
        <f>'M2'!E25-'M1'!E25</f>
        <v>0</v>
      </c>
      <c r="F25" s="66">
        <f>'M2'!F25-'M1'!F25</f>
        <v>-8.176999999999976E-4</v>
      </c>
      <c r="G25" s="66">
        <f>'M2'!G25-'M1'!G25</f>
        <v>0</v>
      </c>
      <c r="H25" s="66">
        <f>'M2'!H25-'M1'!H25</f>
        <v>-1.253682</v>
      </c>
    </row>
    <row r="26" spans="1:8">
      <c r="A26" s="66" t="s">
        <v>69</v>
      </c>
      <c r="B26" s="66">
        <f>'M2'!B26-'M1'!B26</f>
        <v>3.3646299999999995E-4</v>
      </c>
      <c r="C26" s="66">
        <f>'M2'!C26-'M1'!C26</f>
        <v>-7.8272900000000006E-3</v>
      </c>
      <c r="D26" s="66">
        <f>'M2'!D26-'M1'!D26</f>
        <v>-14.69684</v>
      </c>
      <c r="E26" s="66">
        <f>'M2'!E26-'M1'!E26</f>
        <v>0</v>
      </c>
      <c r="F26" s="66">
        <f>'M2'!F26-'M1'!F26</f>
        <v>-3.2830000000000023E-6</v>
      </c>
      <c r="G26" s="66">
        <f>'M2'!G26-'M1'!G26</f>
        <v>0</v>
      </c>
      <c r="H26" s="66">
        <f>'M2'!H26-'M1'!H26</f>
        <v>-6.4417000000000002E-2</v>
      </c>
    </row>
    <row r="27" spans="1:8">
      <c r="A27" s="66" t="s">
        <v>70</v>
      </c>
      <c r="B27" s="66">
        <f>'M2'!B27-'M1'!B27</f>
        <v>0</v>
      </c>
      <c r="C27" s="66">
        <f>'M2'!C27-'M1'!C27</f>
        <v>-6.6852599999999991E-4</v>
      </c>
      <c r="D27" s="66">
        <f>'M2'!D27-'M1'!D27</f>
        <v>203.66</v>
      </c>
      <c r="E27" s="66">
        <f>'M2'!E27-'M1'!E27</f>
        <v>0</v>
      </c>
      <c r="F27" s="66">
        <f>'M2'!F27-'M1'!F27</f>
        <v>8.0029200000000002E-3</v>
      </c>
      <c r="G27" s="66">
        <f>'M2'!G27-'M1'!G27</f>
        <v>0</v>
      </c>
      <c r="H27" s="66">
        <f>'M2'!H27-'M1'!H27</f>
        <v>-5.7608999999999994E-3</v>
      </c>
    </row>
    <row r="28" spans="1:8">
      <c r="A28" s="66" t="s">
        <v>71</v>
      </c>
      <c r="B28" s="66">
        <f>'M2'!B28-'M1'!B28</f>
        <v>5.388999999999998E-3</v>
      </c>
      <c r="C28" s="66">
        <f>'M2'!C28-'M1'!C28</f>
        <v>-1.2269499999999996E-2</v>
      </c>
      <c r="D28" s="66">
        <f>'M2'!D28-'M1'!D28</f>
        <v>-0.84063200000000005</v>
      </c>
      <c r="E28" s="66">
        <f>'M2'!E28-'M1'!E28</f>
        <v>0</v>
      </c>
      <c r="F28" s="66">
        <f>'M2'!F28-'M1'!F28</f>
        <v>8.7239000000000001E-4</v>
      </c>
      <c r="G28" s="66">
        <f>'M2'!G28-'M1'!G28</f>
        <v>0</v>
      </c>
      <c r="H28" s="66">
        <f>'M2'!H28-'M1'!H28</f>
        <v>-0.10204079999999999</v>
      </c>
    </row>
    <row r="29" spans="1:8">
      <c r="A29" s="66" t="s">
        <v>72</v>
      </c>
      <c r="B29" s="66">
        <f>'M2'!B29-'M1'!B29</f>
        <v>1.7531000000000034</v>
      </c>
      <c r="C29" s="66">
        <f>'M2'!C29-'M1'!C29</f>
        <v>-3.4060100000000002</v>
      </c>
      <c r="D29" s="66">
        <f>'M2'!D29-'M1'!D29</f>
        <v>-5.1427000000000014E-2</v>
      </c>
      <c r="E29" s="66">
        <f>'M2'!E29-'M1'!E29</f>
        <v>0</v>
      </c>
      <c r="F29" s="66">
        <f>'M2'!F29-'M1'!F29</f>
        <v>2.0745999999999967</v>
      </c>
      <c r="G29" s="66">
        <f>'M2'!G29-'M1'!G29</f>
        <v>0</v>
      </c>
      <c r="H29" s="66">
        <f>'M2'!H29-'M1'!H29</f>
        <v>-15.578000000000003</v>
      </c>
    </row>
    <row r="30" spans="1:8">
      <c r="A30" s="66" t="s">
        <v>73</v>
      </c>
      <c r="B30" s="66">
        <f>'M2'!B30-'M1'!B30</f>
        <v>5.1758999999999986</v>
      </c>
      <c r="C30" s="66">
        <f>'M2'!C30-'M1'!C30</f>
        <v>-1.1300600000000003</v>
      </c>
      <c r="D30" s="66">
        <f>'M2'!D30-'M1'!D30</f>
        <v>-5.5235099999999981E-2</v>
      </c>
      <c r="E30" s="66">
        <f>'M2'!E30-'M1'!E30</f>
        <v>0</v>
      </c>
      <c r="F30" s="66">
        <f>'M2'!F30-'M1'!F30</f>
        <v>7.6122000000000014</v>
      </c>
      <c r="G30" s="66">
        <f>'M2'!G30-'M1'!G30</f>
        <v>0</v>
      </c>
      <c r="H30" s="66">
        <f>'M2'!H30-'M1'!H30</f>
        <v>2.3278000000000034</v>
      </c>
    </row>
    <row r="31" spans="1:8">
      <c r="A31" s="66" t="s">
        <v>74</v>
      </c>
      <c r="B31" s="66">
        <f>'M2'!B31-'M1'!B31</f>
        <v>33.069100000000006</v>
      </c>
      <c r="C31" s="66">
        <f>'M2'!C31-'M1'!C31</f>
        <v>11.6974</v>
      </c>
      <c r="D31" s="66">
        <f>'M2'!D31-'M1'!D31</f>
        <v>6.4457E-2</v>
      </c>
      <c r="E31" s="66">
        <f>'M2'!E31-'M1'!E31</f>
        <v>0</v>
      </c>
      <c r="F31" s="66">
        <f>'M2'!F31-'M1'!F31</f>
        <v>21.322599999999994</v>
      </c>
      <c r="G31" s="66">
        <f>'M2'!G31-'M1'!G31</f>
        <v>0</v>
      </c>
      <c r="H31" s="66">
        <f>'M2'!H31-'M1'!H31</f>
        <v>61.500999999999991</v>
      </c>
    </row>
    <row r="32" spans="1:8">
      <c r="A32" s="66" t="s">
        <v>75</v>
      </c>
      <c r="B32" s="66">
        <f>'M2'!B32-'M1'!B32</f>
        <v>-4.0790000000000021E-2</v>
      </c>
      <c r="C32" s="66">
        <f>'M2'!C32-'M1'!C32</f>
        <v>-6.1650299999999991E-2</v>
      </c>
      <c r="D32" s="66">
        <f>'M2'!D32-'M1'!D32</f>
        <v>-0.19893999999999998</v>
      </c>
      <c r="E32" s="66">
        <f>'M2'!E32-'M1'!E32</f>
        <v>0</v>
      </c>
      <c r="F32" s="66">
        <f>'M2'!F32-'M1'!F32</f>
        <v>7.8965800000000003E-2</v>
      </c>
      <c r="G32" s="66">
        <f>'M2'!G32-'M1'!G32</f>
        <v>0</v>
      </c>
      <c r="H32" s="66">
        <f>'M2'!H32-'M1'!H32</f>
        <v>-0.113257</v>
      </c>
    </row>
    <row r="33" spans="1:8">
      <c r="A33" s="66" t="s">
        <v>76</v>
      </c>
      <c r="B33" s="66">
        <f>'M2'!B33-'M1'!B33</f>
        <v>-2.962999999999999E-2</v>
      </c>
      <c r="C33" s="66">
        <f>'M2'!C33-'M1'!C33</f>
        <v>2.28574E-2</v>
      </c>
      <c r="D33" s="66">
        <f>'M2'!D33-'M1'!D33</f>
        <v>0.13098099999999999</v>
      </c>
      <c r="E33" s="66">
        <f>'M2'!E33-'M1'!E33</f>
        <v>0</v>
      </c>
      <c r="F33" s="66">
        <f>'M2'!F33-'M1'!F33</f>
        <v>-9.4099999999999739E-4</v>
      </c>
      <c r="G33" s="66">
        <f>'M2'!G33-'M1'!G33</f>
        <v>0</v>
      </c>
      <c r="H33" s="66">
        <f>'M2'!H33-'M1'!H33</f>
        <v>2.2397E-2</v>
      </c>
    </row>
    <row r="34" spans="1:8">
      <c r="A34" s="66" t="s">
        <v>77</v>
      </c>
      <c r="B34" s="66">
        <f>'M2'!B34-'M1'!B34</f>
        <v>1.663400000000001E-2</v>
      </c>
      <c r="C34" s="66">
        <f>'M2'!C34-'M1'!C34</f>
        <v>-1.2016000000000002E-2</v>
      </c>
      <c r="D34" s="66">
        <f>'M2'!D34-'M1'!D34</f>
        <v>-8.4825999999999985E-2</v>
      </c>
      <c r="E34" s="66">
        <f>'M2'!E34-'M1'!E34</f>
        <v>0</v>
      </c>
      <c r="F34" s="66">
        <f>'M2'!F34-'M1'!F34</f>
        <v>-3.4470000000000056E-3</v>
      </c>
      <c r="G34" s="66">
        <f>'M2'!G34-'M1'!G34</f>
        <v>0</v>
      </c>
      <c r="H34" s="66">
        <f>'M2'!H34-'M1'!H34</f>
        <v>-5.6242999999999987E-2</v>
      </c>
    </row>
    <row r="35" spans="1:8">
      <c r="A35" s="66" t="s">
        <v>78</v>
      </c>
      <c r="B35" s="66">
        <f>'M2'!B35-'M1'!B35</f>
        <v>9.7585000000000033E-3</v>
      </c>
      <c r="C35" s="66">
        <f>'M2'!C35-'M1'!C35</f>
        <v>-1.4387099999999998E-2</v>
      </c>
      <c r="D35" s="66">
        <f>'M2'!D35-'M1'!D35</f>
        <v>-0.25026399999999999</v>
      </c>
      <c r="E35" s="66">
        <f>'M2'!E35-'M1'!E35</f>
        <v>0</v>
      </c>
      <c r="F35" s="66">
        <f>'M2'!F35-'M1'!F35</f>
        <v>2.4075699999999998E-2</v>
      </c>
      <c r="G35" s="66">
        <f>'M2'!G35-'M1'!G35</f>
        <v>0</v>
      </c>
      <c r="H35" s="66">
        <f>'M2'!H35-'M1'!H35</f>
        <v>-4.5770999999999992E-2</v>
      </c>
    </row>
    <row r="36" spans="1:8">
      <c r="A36" s="66" t="s">
        <v>79</v>
      </c>
      <c r="B36" s="66">
        <f>'M2'!B36-'M1'!B36</f>
        <v>1.9264000000000003E-2</v>
      </c>
      <c r="C36" s="66">
        <f>'M2'!C36-'M1'!C36</f>
        <v>1.3230000000000186E-4</v>
      </c>
      <c r="D36" s="66">
        <f>'M2'!D36-'M1'!D36</f>
        <v>-6.741599999999992E-2</v>
      </c>
      <c r="E36" s="66">
        <f>'M2'!E36-'M1'!E36</f>
        <v>0</v>
      </c>
      <c r="F36" s="66">
        <f>'M2'!F36-'M1'!F36</f>
        <v>-1.7118499999999995E-2</v>
      </c>
      <c r="G36" s="66">
        <f>'M2'!G36-'M1'!G36</f>
        <v>0</v>
      </c>
      <c r="H36" s="66">
        <f>'M2'!H36-'M1'!H36</f>
        <v>-8.8306000000000051E-2</v>
      </c>
    </row>
    <row r="37" spans="1:8">
      <c r="A37" s="66" t="s">
        <v>80</v>
      </c>
      <c r="B37" s="66">
        <f>'M2'!B37-'M1'!B37</f>
        <v>-0.12016000000000002</v>
      </c>
      <c r="C37" s="66">
        <f>'M2'!C37-'M1'!C37</f>
        <v>2.0080200000000006E-2</v>
      </c>
      <c r="D37" s="66">
        <f>'M2'!D37-'M1'!D37</f>
        <v>0.28422100000000006</v>
      </c>
      <c r="E37" s="66">
        <f>'M2'!E37-'M1'!E37</f>
        <v>0</v>
      </c>
      <c r="F37" s="66">
        <f>'M2'!F37-'M1'!F37</f>
        <v>5.4044999999999996E-3</v>
      </c>
      <c r="G37" s="66">
        <f>'M2'!G37-'M1'!G37</f>
        <v>0</v>
      </c>
      <c r="H37" s="66">
        <f>'M2'!H37-'M1'!H37</f>
        <v>-9.1011999999999982E-2</v>
      </c>
    </row>
    <row r="38" spans="1:8">
      <c r="A38" s="66" t="s">
        <v>81</v>
      </c>
      <c r="B38" s="66">
        <f>'M2'!B38-'M1'!B38</f>
        <v>4.6752799999999999</v>
      </c>
      <c r="C38" s="66">
        <f>'M2'!C38-'M1'!C38</f>
        <v>-4.4746000000000024</v>
      </c>
      <c r="D38" s="66">
        <f>'M2'!D38-'M1'!D38</f>
        <v>-2.9682399999999998</v>
      </c>
      <c r="E38" s="66">
        <f>'M2'!E38-'M1'!E38</f>
        <v>0</v>
      </c>
      <c r="F38" s="66">
        <f>'M2'!F38-'M1'!F38</f>
        <v>-53.628299999999996</v>
      </c>
      <c r="G38" s="66">
        <f>'M2'!G38-'M1'!G38</f>
        <v>0</v>
      </c>
      <c r="H38" s="66">
        <f>'M2'!H38-'M1'!H38</f>
        <v>-68.468000000000018</v>
      </c>
    </row>
    <row r="39" spans="1:8">
      <c r="A39" s="66" t="s">
        <v>82</v>
      </c>
      <c r="B39" s="66">
        <f>'M2'!B39-'M1'!B39</f>
        <v>2.2964799999999999</v>
      </c>
      <c r="C39" s="66">
        <f>'M2'!C39-'M1'!C39</f>
        <v>0.72671999999999981</v>
      </c>
      <c r="D39" s="66">
        <f>'M2'!D39-'M1'!D39</f>
        <v>-0.73340799999999995</v>
      </c>
      <c r="E39" s="66">
        <f>'M2'!E39-'M1'!E39</f>
        <v>0</v>
      </c>
      <c r="F39" s="66">
        <f>'M2'!F39-'M1'!F39</f>
        <v>4.9441500000000005</v>
      </c>
      <c r="G39" s="66">
        <f>'M2'!G39-'M1'!G39</f>
        <v>0</v>
      </c>
      <c r="H39" s="66">
        <f>'M2'!H39-'M1'!H39</f>
        <v>6.697139</v>
      </c>
    </row>
    <row r="40" spans="1:8">
      <c r="A40" s="66" t="s">
        <v>83</v>
      </c>
      <c r="B40" s="66">
        <f>'M2'!B40-'M1'!B40</f>
        <v>0.56990999999999992</v>
      </c>
      <c r="C40" s="66">
        <f>'M2'!C40-'M1'!C40</f>
        <v>-6.6061000000000036E-2</v>
      </c>
      <c r="D40" s="66">
        <f>'M2'!D40-'M1'!D40</f>
        <v>-1.6097E-2</v>
      </c>
      <c r="E40" s="66">
        <f>'M2'!E40-'M1'!E40</f>
        <v>0</v>
      </c>
      <c r="F40" s="66">
        <f>'M2'!F40-'M1'!F40</f>
        <v>0.55220000000000002</v>
      </c>
      <c r="G40" s="66">
        <f>'M2'!G40-'M1'!G40</f>
        <v>0</v>
      </c>
      <c r="H40" s="66">
        <f>'M2'!H40-'M1'!H40</f>
        <v>0.50979999999999992</v>
      </c>
    </row>
    <row r="41" spans="1:8">
      <c r="A41" s="66" t="s">
        <v>84</v>
      </c>
      <c r="B41" s="66">
        <f>'M2'!B41-'M1'!B41</f>
        <v>9.8810000000000009E-2</v>
      </c>
      <c r="C41" s="66">
        <f>'M2'!C41-'M1'!C41</f>
        <v>-6.5732999999999986E-2</v>
      </c>
      <c r="D41" s="66">
        <f>'M2'!D41-'M1'!D41</f>
        <v>-0.69465999999999983</v>
      </c>
      <c r="E41" s="66">
        <f>'M2'!E41-'M1'!E41</f>
        <v>0</v>
      </c>
      <c r="F41" s="66">
        <f>'M2'!F41-'M1'!F41</f>
        <v>-7.125400000000004E-2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0.10881199999999999</v>
      </c>
      <c r="C42" s="66">
        <f>'M2'!C42-'M1'!C42</f>
        <v>6.513900000000003E-3</v>
      </c>
      <c r="D42" s="66">
        <f>'M2'!D42-'M1'!D42</f>
        <v>-0.36568300000000004</v>
      </c>
      <c r="E42" s="66">
        <f>'M2'!E42-'M1'!E42</f>
        <v>0</v>
      </c>
      <c r="F42" s="66">
        <f>'M2'!F42-'M1'!F42</f>
        <v>0.13378100000000004</v>
      </c>
      <c r="G42" s="66">
        <f>'M2'!G42-'M1'!G42</f>
        <v>0</v>
      </c>
      <c r="H42" s="66">
        <f>'M2'!H42-'M1'!H42</f>
        <v>0.12086000000000001</v>
      </c>
    </row>
    <row r="43" spans="1:8">
      <c r="A43" s="66" t="s">
        <v>86</v>
      </c>
      <c r="B43" s="66">
        <f>'M2'!B43-'M1'!B43</f>
        <v>4.1826999999999989E-2</v>
      </c>
      <c r="C43" s="66">
        <f>'M2'!C43-'M1'!C43</f>
        <v>-2.8368299999999999E-2</v>
      </c>
      <c r="D43" s="66">
        <f>'M2'!D43-'M1'!D43</f>
        <v>0.15643299999999996</v>
      </c>
      <c r="E43" s="66">
        <f>'M2'!E43-'M1'!E43</f>
        <v>0</v>
      </c>
      <c r="F43" s="66">
        <f>'M2'!F43-'M1'!F43</f>
        <v>0.12810299999999999</v>
      </c>
      <c r="G43" s="66">
        <f>'M2'!G43-'M1'!G43</f>
        <v>0</v>
      </c>
      <c r="H43" s="66">
        <f>'M2'!H43-'M1'!H43</f>
        <v>1.8238299999999999E-2</v>
      </c>
    </row>
    <row r="44" spans="1:8">
      <c r="A44" s="66" t="s">
        <v>87</v>
      </c>
      <c r="B44" s="66">
        <f>'M2'!B44-'M1'!B44</f>
        <v>0.96301000000000014</v>
      </c>
      <c r="C44" s="66">
        <f>'M2'!C44-'M1'!C44</f>
        <v>4.7485300000000006</v>
      </c>
      <c r="D44" s="66">
        <f>'M2'!D44-'M1'!D44</f>
        <v>-1.7992900000000003</v>
      </c>
      <c r="E44" s="66">
        <f>'M2'!E44-'M1'!E44</f>
        <v>0</v>
      </c>
      <c r="F44" s="66">
        <f>'M2'!F44-'M1'!F44</f>
        <v>-4.9353000000000016</v>
      </c>
      <c r="G44" s="66">
        <f>'M2'!G44-'M1'!G44</f>
        <v>0</v>
      </c>
      <c r="H44" s="66">
        <f>'M2'!H44-'M1'!H44</f>
        <v>2.8292999999999999</v>
      </c>
    </row>
    <row r="45" spans="1:8">
      <c r="A45" s="66" t="s">
        <v>88</v>
      </c>
      <c r="B45" s="66">
        <f>'M2'!B45-'M1'!B45</f>
        <v>-6.8280999999999992</v>
      </c>
      <c r="C45" s="66">
        <f>'M2'!C45-'M1'!C45</f>
        <v>-3.2333599999999993</v>
      </c>
      <c r="D45" s="66">
        <f>'M2'!D45-'M1'!D45</f>
        <v>-4.2579000000000006E-2</v>
      </c>
      <c r="E45" s="66">
        <f>'M2'!E45-'M1'!E45</f>
        <v>0</v>
      </c>
      <c r="F45" s="66">
        <f>'M2'!F45-'M1'!F45</f>
        <v>2.2897999999999996</v>
      </c>
      <c r="G45" s="66">
        <f>'M2'!G45-'M1'!G45</f>
        <v>0</v>
      </c>
      <c r="H45" s="66">
        <f>'M2'!H45-'M1'!H45</f>
        <v>-16.620700000000006</v>
      </c>
    </row>
    <row r="46" spans="1:8">
      <c r="A46" s="66" t="s">
        <v>89</v>
      </c>
      <c r="B46" s="66">
        <f>'M2'!B46-'M1'!B46</f>
        <v>0.65930000000000177</v>
      </c>
      <c r="C46" s="66">
        <f>'M2'!C46-'M1'!C46</f>
        <v>-2.2876900000000004</v>
      </c>
      <c r="D46" s="66">
        <f>'M2'!D46-'M1'!D46</f>
        <v>-8.2519000000000009E-2</v>
      </c>
      <c r="E46" s="66">
        <f>'M2'!E46-'M1'!E46</f>
        <v>0</v>
      </c>
      <c r="F46" s="66">
        <f>'M2'!F46-'M1'!F46</f>
        <v>10.809899999999999</v>
      </c>
      <c r="G46" s="66">
        <f>'M2'!G46-'M1'!G46</f>
        <v>0</v>
      </c>
      <c r="H46" s="66">
        <f>'M2'!H46-'M1'!H46</f>
        <v>1.1788000000000025</v>
      </c>
    </row>
    <row r="47" spans="1:8">
      <c r="A47" s="66" t="s">
        <v>90</v>
      </c>
      <c r="B47" s="66">
        <f>'M2'!B47-'M1'!B47</f>
        <v>0.29014000000000006</v>
      </c>
      <c r="C47" s="66">
        <f>'M2'!C47-'M1'!C47</f>
        <v>-0.356132</v>
      </c>
      <c r="D47" s="66">
        <f>'M2'!D47-'M1'!D47</f>
        <v>-0.46857999999999994</v>
      </c>
      <c r="E47" s="66">
        <f>'M2'!E47-'M1'!E47</f>
        <v>0</v>
      </c>
      <c r="F47" s="66">
        <f>'M2'!F47-'M1'!F47</f>
        <v>0.141432</v>
      </c>
      <c r="G47" s="66">
        <f>'M2'!G47-'M1'!G47</f>
        <v>0</v>
      </c>
      <c r="H47" s="66">
        <f>'M2'!H47-'M1'!H47</f>
        <v>-3.2826399999999998</v>
      </c>
    </row>
    <row r="48" spans="1:8">
      <c r="A48" s="66" t="s">
        <v>91</v>
      </c>
      <c r="B48" s="66">
        <f>'M2'!B48-'M1'!B48</f>
        <v>0.11854999999999993</v>
      </c>
      <c r="C48" s="66">
        <f>'M2'!C48-'M1'!C48</f>
        <v>8.9799000000000004E-2</v>
      </c>
      <c r="D48" s="66">
        <f>'M2'!D48-'M1'!D48</f>
        <v>6.3055500000000014E-2</v>
      </c>
      <c r="E48" s="66">
        <f>'M2'!E48-'M1'!E48</f>
        <v>0</v>
      </c>
      <c r="F48" s="66">
        <f>'M2'!F48-'M1'!F48</f>
        <v>0.114263</v>
      </c>
      <c r="G48" s="66">
        <f>'M2'!G48-'M1'!G48</f>
        <v>0</v>
      </c>
      <c r="H48" s="66">
        <f>'M2'!H48-'M1'!H48</f>
        <v>0.38522000000000012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43.4664</v>
      </c>
      <c r="C5" s="66">
        <v>6.8881399999999999</v>
      </c>
      <c r="D5" s="66">
        <v>15.847</v>
      </c>
      <c r="E5" s="66">
        <v>20</v>
      </c>
      <c r="F5" s="66">
        <v>21.9819</v>
      </c>
      <c r="G5" s="66">
        <v>50</v>
      </c>
      <c r="H5" s="66">
        <v>47.489199999999997</v>
      </c>
    </row>
    <row r="6" spans="1:8">
      <c r="A6" s="66" t="s">
        <v>358</v>
      </c>
      <c r="B6" s="66">
        <v>28.6554</v>
      </c>
      <c r="C6" s="66">
        <v>2.5318299999999998</v>
      </c>
      <c r="D6" s="66">
        <v>8.8354499999999998</v>
      </c>
      <c r="E6" s="66">
        <v>20</v>
      </c>
      <c r="F6" s="66">
        <v>24.921299999999999</v>
      </c>
      <c r="G6" s="66">
        <v>40</v>
      </c>
      <c r="H6" s="66">
        <v>36.8078</v>
      </c>
    </row>
    <row r="7" spans="1:8">
      <c r="A7" s="66" t="s">
        <v>359</v>
      </c>
      <c r="B7" s="66">
        <v>26.697299999999998</v>
      </c>
      <c r="C7" s="66">
        <v>10.8995</v>
      </c>
      <c r="D7" s="66">
        <v>40.826099999999997</v>
      </c>
      <c r="E7" s="66">
        <v>15</v>
      </c>
      <c r="F7" s="66">
        <v>1.8022</v>
      </c>
      <c r="G7" s="66">
        <v>40</v>
      </c>
      <c r="H7" s="66">
        <v>45.381399999999999</v>
      </c>
    </row>
    <row r="8" spans="1:8">
      <c r="A8" s="66" t="s">
        <v>360</v>
      </c>
      <c r="B8" s="66">
        <v>32.060400000000001</v>
      </c>
      <c r="C8" s="66">
        <v>2.49342</v>
      </c>
      <c r="D8" s="66">
        <v>7.7772500000000004</v>
      </c>
      <c r="E8" s="66">
        <v>20</v>
      </c>
      <c r="F8" s="66">
        <v>25.08</v>
      </c>
      <c r="G8" s="66">
        <v>50</v>
      </c>
      <c r="H8" s="66">
        <v>34.918599999999998</v>
      </c>
    </row>
    <row r="9" spans="1:8">
      <c r="A9" s="66" t="s">
        <v>361</v>
      </c>
      <c r="B9" s="66">
        <v>54.954000000000001</v>
      </c>
      <c r="C9" s="66">
        <v>9.2011900000000004</v>
      </c>
      <c r="D9" s="66">
        <v>16.743500000000001</v>
      </c>
      <c r="E9" s="66">
        <v>50</v>
      </c>
      <c r="F9" s="66">
        <v>38.5214</v>
      </c>
      <c r="G9" s="66">
        <v>100</v>
      </c>
      <c r="H9" s="66">
        <v>74.342799999999997</v>
      </c>
    </row>
    <row r="10" spans="1:8">
      <c r="A10" s="66" t="s">
        <v>362</v>
      </c>
      <c r="B10" s="66">
        <v>82.375399999999999</v>
      </c>
      <c r="C10" s="66">
        <v>1.90541</v>
      </c>
      <c r="D10" s="66">
        <v>2.3130799999999998</v>
      </c>
      <c r="E10" s="66">
        <v>40</v>
      </c>
      <c r="F10" s="66">
        <v>77.144300000000001</v>
      </c>
      <c r="G10" s="66">
        <v>100</v>
      </c>
      <c r="H10" s="66">
        <v>85.068100000000001</v>
      </c>
    </row>
    <row r="11" spans="1:8">
      <c r="A11" s="66" t="s">
        <v>363</v>
      </c>
      <c r="B11" s="66">
        <v>22.576699999999999</v>
      </c>
      <c r="C11" s="66">
        <v>2.5962499999999999</v>
      </c>
      <c r="D11" s="66">
        <v>11.499700000000001</v>
      </c>
      <c r="E11" s="66">
        <v>10</v>
      </c>
      <c r="F11" s="66">
        <v>13.1968</v>
      </c>
      <c r="G11" s="66">
        <v>50</v>
      </c>
      <c r="H11" s="66">
        <v>25.077000000000002</v>
      </c>
    </row>
    <row r="12" spans="1:8">
      <c r="A12" s="66" t="s">
        <v>364</v>
      </c>
      <c r="B12" s="66">
        <v>68.444299999999998</v>
      </c>
      <c r="C12" s="66">
        <v>5.3475700000000002</v>
      </c>
      <c r="D12" s="66">
        <v>7.8130300000000004</v>
      </c>
      <c r="E12" s="66">
        <v>50</v>
      </c>
      <c r="F12" s="66">
        <v>58.607500000000002</v>
      </c>
      <c r="G12" s="66">
        <v>100</v>
      </c>
      <c r="H12" s="66">
        <v>79.392600000000002</v>
      </c>
    </row>
    <row r="13" spans="1:8">
      <c r="A13" s="66" t="s">
        <v>365</v>
      </c>
      <c r="B13" s="66">
        <v>16.235199999999999</v>
      </c>
      <c r="C13" s="66">
        <v>3.0908000000000002</v>
      </c>
      <c r="D13" s="66">
        <v>19.037700000000001</v>
      </c>
      <c r="E13" s="66">
        <v>10</v>
      </c>
      <c r="F13" s="66">
        <v>13.810499999999999</v>
      </c>
      <c r="G13" s="66">
        <v>25</v>
      </c>
      <c r="H13" s="66">
        <v>29.678999999999998</v>
      </c>
    </row>
    <row r="14" spans="1:8">
      <c r="A14" s="66" t="s">
        <v>366</v>
      </c>
      <c r="B14" s="66">
        <v>30.908000000000001</v>
      </c>
      <c r="C14" s="66">
        <v>8.6466799999999999</v>
      </c>
      <c r="D14" s="66">
        <v>27.9755</v>
      </c>
      <c r="E14" s="66">
        <v>10</v>
      </c>
      <c r="F14" s="66">
        <v>1.4956700000000001</v>
      </c>
      <c r="G14" s="66">
        <v>50</v>
      </c>
      <c r="H14" s="66">
        <v>40.392899999999997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0.54708100000000004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371</v>
      </c>
      <c r="B19" s="66">
        <v>0.50562399999999996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372</v>
      </c>
      <c r="B20" s="66">
        <v>1.5965199999999999E-3</v>
      </c>
      <c r="C20" s="66">
        <v>7.0916999999999994E-2</v>
      </c>
      <c r="D20" s="66">
        <v>44.419800000000002</v>
      </c>
      <c r="E20" s="66">
        <v>0</v>
      </c>
      <c r="F20" s="66">
        <v>6.0791800000000004E-4</v>
      </c>
      <c r="G20" s="66">
        <v>0</v>
      </c>
      <c r="H20" s="66">
        <v>0.68071700000000002</v>
      </c>
    </row>
    <row r="21" spans="1:8">
      <c r="A21" s="66" t="s">
        <v>373</v>
      </c>
      <c r="B21" s="66">
        <v>7.2682800000000006E-2</v>
      </c>
      <c r="C21" s="66">
        <v>0.58196300000000001</v>
      </c>
      <c r="D21" s="66">
        <v>8.0068800000000007</v>
      </c>
      <c r="E21" s="66">
        <v>0</v>
      </c>
      <c r="F21" s="66">
        <v>4.1398199999999998E-3</v>
      </c>
      <c r="G21" s="66">
        <v>0</v>
      </c>
      <c r="H21" s="66">
        <v>4.5263400000000003</v>
      </c>
    </row>
    <row r="22" spans="1:8">
      <c r="A22" s="66" t="s">
        <v>374</v>
      </c>
      <c r="B22" s="66">
        <v>21.456299999999999</v>
      </c>
      <c r="C22" s="66">
        <v>19.599599999999999</v>
      </c>
      <c r="D22" s="66">
        <v>0.91346300000000002</v>
      </c>
      <c r="E22" s="66">
        <v>0</v>
      </c>
      <c r="F22" s="66">
        <v>13.3711</v>
      </c>
      <c r="G22" s="66">
        <v>0</v>
      </c>
      <c r="H22" s="66">
        <v>112.931</v>
      </c>
    </row>
    <row r="23" spans="1:8">
      <c r="A23" s="66" t="s">
        <v>375</v>
      </c>
      <c r="B23" s="66">
        <v>12.4427</v>
      </c>
      <c r="C23" s="66">
        <v>1.8812500000000001</v>
      </c>
      <c r="D23" s="66">
        <v>0.15119299999999999</v>
      </c>
      <c r="E23" s="66">
        <v>0</v>
      </c>
      <c r="F23" s="66">
        <v>9.5799199999999995</v>
      </c>
      <c r="G23" s="66">
        <v>0</v>
      </c>
      <c r="H23" s="66">
        <v>16.604199999999999</v>
      </c>
    </row>
    <row r="24" spans="1:8">
      <c r="A24" s="66" t="s">
        <v>376</v>
      </c>
      <c r="B24" s="66">
        <v>1.82614E-3</v>
      </c>
      <c r="C24" s="66">
        <v>6.5951800000000005E-2</v>
      </c>
      <c r="D24" s="66">
        <v>36.115400000000001</v>
      </c>
      <c r="E24" s="66">
        <v>0</v>
      </c>
      <c r="F24" s="66">
        <v>8.7530599999999996E-4</v>
      </c>
      <c r="G24" s="66">
        <v>0</v>
      </c>
      <c r="H24" s="66">
        <v>0.60354200000000002</v>
      </c>
    </row>
    <row r="25" spans="1:8">
      <c r="A25" s="66" t="s">
        <v>377</v>
      </c>
      <c r="B25" s="66">
        <v>9.1781699999999994E-2</v>
      </c>
      <c r="C25" s="66">
        <v>0.39531500000000003</v>
      </c>
      <c r="D25" s="66">
        <v>4.3071200000000003</v>
      </c>
      <c r="E25" s="66">
        <v>0</v>
      </c>
      <c r="F25" s="66">
        <v>3.8731099999999997E-2</v>
      </c>
      <c r="G25" s="66">
        <v>0</v>
      </c>
      <c r="H25" s="66">
        <v>1.91259</v>
      </c>
    </row>
    <row r="26" spans="1:8">
      <c r="A26" s="66" t="s">
        <v>378</v>
      </c>
      <c r="B26" s="66">
        <v>5.8922E-4</v>
      </c>
      <c r="C26" s="66">
        <v>1.01172E-2</v>
      </c>
      <c r="D26" s="66">
        <v>17.1706</v>
      </c>
      <c r="E26" s="66">
        <v>0</v>
      </c>
      <c r="F26" s="66">
        <v>2.10084E-4</v>
      </c>
      <c r="G26" s="66">
        <v>0</v>
      </c>
      <c r="H26" s="66">
        <v>8.4128800000000004E-2</v>
      </c>
    </row>
    <row r="27" spans="1:8">
      <c r="A27" s="66" t="s">
        <v>379</v>
      </c>
      <c r="B27" s="196">
        <v>-3.2825599999999999E-6</v>
      </c>
      <c r="C27" s="66">
        <v>1.4147999999999999E-3</v>
      </c>
      <c r="D27" s="66">
        <v>-431.005</v>
      </c>
      <c r="E27" s="66">
        <v>0</v>
      </c>
      <c r="F27" s="66">
        <v>-1.26937E-2</v>
      </c>
      <c r="G27" s="66">
        <v>0</v>
      </c>
      <c r="H27" s="66">
        <v>8.9745299999999997E-3</v>
      </c>
    </row>
    <row r="28" spans="1:8">
      <c r="A28" s="66" t="s">
        <v>380</v>
      </c>
      <c r="B28" s="66">
        <v>1.9788400000000001E-2</v>
      </c>
      <c r="C28" s="66">
        <v>3.2664199999999997E-2</v>
      </c>
      <c r="D28" s="66">
        <v>1.6506700000000001</v>
      </c>
      <c r="E28" s="66">
        <v>0</v>
      </c>
      <c r="F28" s="66">
        <v>1.74154E-3</v>
      </c>
      <c r="G28" s="66">
        <v>0</v>
      </c>
      <c r="H28" s="66">
        <v>0.20172499999999999</v>
      </c>
    </row>
    <row r="29" spans="1:8">
      <c r="A29" s="66" t="s">
        <v>381</v>
      </c>
      <c r="B29" s="66">
        <v>70.046599999999998</v>
      </c>
      <c r="C29" s="66">
        <v>11.446899999999999</v>
      </c>
      <c r="D29" s="66">
        <v>0.16341800000000001</v>
      </c>
      <c r="E29" s="66">
        <v>0</v>
      </c>
      <c r="F29" s="66">
        <v>55.180500000000002</v>
      </c>
      <c r="G29" s="66">
        <v>0</v>
      </c>
      <c r="H29" s="66">
        <v>116.188</v>
      </c>
    </row>
    <row r="30" spans="1:8">
      <c r="A30" s="66" t="s">
        <v>382</v>
      </c>
      <c r="B30" s="66">
        <v>28.493099999999998</v>
      </c>
      <c r="C30" s="66">
        <v>4.0167700000000002</v>
      </c>
      <c r="D30" s="66">
        <v>0.14097299999999999</v>
      </c>
      <c r="E30" s="66">
        <v>0</v>
      </c>
      <c r="F30" s="66">
        <v>19.884799999999998</v>
      </c>
      <c r="G30" s="66">
        <v>0</v>
      </c>
      <c r="H30" s="66">
        <v>34.594099999999997</v>
      </c>
    </row>
    <row r="31" spans="1:8">
      <c r="A31" s="66" t="s">
        <v>383</v>
      </c>
      <c r="B31" s="66">
        <v>89.151899999999998</v>
      </c>
      <c r="C31" s="66">
        <v>10.2966</v>
      </c>
      <c r="D31" s="66">
        <v>0.115495</v>
      </c>
      <c r="E31" s="66">
        <v>0</v>
      </c>
      <c r="F31" s="66">
        <v>74.588700000000003</v>
      </c>
      <c r="G31" s="66">
        <v>0</v>
      </c>
      <c r="H31" s="66">
        <v>116.075</v>
      </c>
    </row>
    <row r="32" spans="1:8">
      <c r="A32" s="66" t="s">
        <v>384</v>
      </c>
      <c r="B32" s="66">
        <v>0.26697300000000002</v>
      </c>
      <c r="C32" s="66">
        <v>0.10899499999999999</v>
      </c>
      <c r="D32" s="66">
        <v>0.40826099999999999</v>
      </c>
      <c r="E32" s="66">
        <v>0.15</v>
      </c>
      <c r="F32" s="66">
        <v>1.8022E-2</v>
      </c>
      <c r="G32" s="66">
        <v>0.4</v>
      </c>
      <c r="H32" s="66">
        <v>0.453814</v>
      </c>
    </row>
    <row r="33" spans="1:8">
      <c r="A33" s="66" t="s">
        <v>385</v>
      </c>
      <c r="B33" s="66">
        <v>0.235571</v>
      </c>
      <c r="C33" s="66">
        <v>3.27316E-2</v>
      </c>
      <c r="D33" s="66">
        <v>0.13894599999999999</v>
      </c>
      <c r="E33" s="66">
        <v>0</v>
      </c>
      <c r="F33" s="66">
        <v>0.17710699999999999</v>
      </c>
      <c r="G33" s="66">
        <v>0</v>
      </c>
      <c r="H33" s="66">
        <v>0.34348099999999998</v>
      </c>
    </row>
    <row r="34" spans="1:8">
      <c r="A34" s="66" t="s">
        <v>386</v>
      </c>
      <c r="B34" s="66">
        <v>0.162352</v>
      </c>
      <c r="C34" s="66">
        <v>3.0908000000000001E-2</v>
      </c>
      <c r="D34" s="66">
        <v>0.19037699999999999</v>
      </c>
      <c r="E34" s="66">
        <v>0.1</v>
      </c>
      <c r="F34" s="66">
        <v>0.13810500000000001</v>
      </c>
      <c r="G34" s="66">
        <v>0.25</v>
      </c>
      <c r="H34" s="66">
        <v>0.29679</v>
      </c>
    </row>
    <row r="35" spans="1:8">
      <c r="A35" s="66" t="s">
        <v>387</v>
      </c>
      <c r="B35" s="66">
        <v>6.5364099999999994E-2</v>
      </c>
      <c r="C35" s="66">
        <v>2.9561299999999999E-2</v>
      </c>
      <c r="D35" s="66">
        <v>0.45225599999999999</v>
      </c>
      <c r="E35" s="66">
        <v>0</v>
      </c>
      <c r="F35" s="66">
        <v>1.93131E-2</v>
      </c>
      <c r="G35" s="66">
        <v>0</v>
      </c>
      <c r="H35" s="66">
        <v>0.15335699999999999</v>
      </c>
    </row>
    <row r="36" spans="1:8">
      <c r="A36" s="66" t="s">
        <v>388</v>
      </c>
      <c r="B36" s="66">
        <v>0.14065800000000001</v>
      </c>
      <c r="C36" s="66">
        <v>7.9686099999999996E-2</v>
      </c>
      <c r="D36" s="66">
        <v>0.56652499999999995</v>
      </c>
      <c r="E36" s="66">
        <v>0</v>
      </c>
      <c r="F36" s="66">
        <v>5.3351799999999998E-2</v>
      </c>
      <c r="G36" s="66">
        <v>0</v>
      </c>
      <c r="H36" s="66">
        <v>0.53731300000000004</v>
      </c>
    </row>
    <row r="37" spans="1:8">
      <c r="A37" s="66" t="s">
        <v>389</v>
      </c>
      <c r="B37" s="66">
        <v>0.30908000000000002</v>
      </c>
      <c r="C37" s="66">
        <v>8.6466799999999996E-2</v>
      </c>
      <c r="D37" s="66">
        <v>0.27975499999999998</v>
      </c>
      <c r="E37" s="66">
        <v>0.1</v>
      </c>
      <c r="F37" s="66">
        <v>1.49567E-2</v>
      </c>
      <c r="G37" s="66">
        <v>0.5</v>
      </c>
      <c r="H37" s="66">
        <v>0.40392899999999998</v>
      </c>
    </row>
    <row r="38" spans="1:8">
      <c r="A38" s="66" t="s">
        <v>390</v>
      </c>
      <c r="B38" s="66">
        <v>-9.8563799999999997</v>
      </c>
      <c r="C38" s="66">
        <v>41.854500000000002</v>
      </c>
      <c r="D38" s="66">
        <v>-4.2464300000000001</v>
      </c>
      <c r="E38" s="66">
        <v>0</v>
      </c>
      <c r="F38" s="66">
        <v>-67.996700000000004</v>
      </c>
      <c r="G38" s="66">
        <v>0</v>
      </c>
      <c r="H38" s="66">
        <v>249.751</v>
      </c>
    </row>
    <row r="39" spans="1:8">
      <c r="A39" s="66" t="s">
        <v>391</v>
      </c>
      <c r="B39" s="66">
        <v>-4.7740499999999999</v>
      </c>
      <c r="C39" s="66">
        <v>2.26668</v>
      </c>
      <c r="D39" s="66">
        <v>-0.47479199999999999</v>
      </c>
      <c r="E39" s="66">
        <v>0</v>
      </c>
      <c r="F39" s="66">
        <v>-13.5319</v>
      </c>
      <c r="G39" s="66">
        <v>0</v>
      </c>
      <c r="H39" s="66">
        <v>-0.241869</v>
      </c>
    </row>
    <row r="40" spans="1:8">
      <c r="A40" s="66" t="s">
        <v>392</v>
      </c>
      <c r="B40" s="66">
        <v>-2.1670699999999998</v>
      </c>
      <c r="C40" s="66">
        <v>0.34895900000000002</v>
      </c>
      <c r="D40" s="66">
        <v>-0.161028</v>
      </c>
      <c r="E40" s="66">
        <v>0</v>
      </c>
      <c r="F40" s="66">
        <v>-2.7176399999999998</v>
      </c>
      <c r="G40" s="66">
        <v>0</v>
      </c>
      <c r="H40" s="66">
        <v>-1.36747</v>
      </c>
    </row>
    <row r="41" spans="1:8">
      <c r="A41" s="66" t="s">
        <v>393</v>
      </c>
      <c r="B41" s="66">
        <v>-0.230295</v>
      </c>
      <c r="C41" s="66">
        <v>0.36608299999999999</v>
      </c>
      <c r="D41" s="66">
        <v>-1.5896300000000001</v>
      </c>
      <c r="E41" s="66">
        <v>0</v>
      </c>
      <c r="F41" s="66">
        <v>-0.82705099999999998</v>
      </c>
      <c r="G41" s="66">
        <v>0</v>
      </c>
      <c r="H41" s="66">
        <v>1</v>
      </c>
    </row>
    <row r="42" spans="1:8">
      <c r="A42" s="66" t="s">
        <v>394</v>
      </c>
      <c r="B42" s="66">
        <v>-0.241232</v>
      </c>
      <c r="C42" s="66">
        <v>9.29122E-2</v>
      </c>
      <c r="D42" s="66">
        <v>-0.385156</v>
      </c>
      <c r="E42" s="66">
        <v>0</v>
      </c>
      <c r="F42" s="66">
        <v>-0.51826700000000003</v>
      </c>
      <c r="G42" s="66">
        <v>0</v>
      </c>
      <c r="H42" s="66">
        <v>-3.4533300000000003E-2</v>
      </c>
    </row>
    <row r="43" spans="1:8">
      <c r="A43" s="66" t="s">
        <v>395</v>
      </c>
      <c r="B43" s="66">
        <v>-0.12729099999999999</v>
      </c>
      <c r="C43" s="66">
        <v>4.5646199999999998E-2</v>
      </c>
      <c r="D43" s="66">
        <v>-0.35859799999999997</v>
      </c>
      <c r="E43" s="66">
        <v>0</v>
      </c>
      <c r="F43" s="66">
        <v>-0.24288499999999999</v>
      </c>
      <c r="G43" s="66">
        <v>0</v>
      </c>
      <c r="H43" s="66">
        <v>-5.8367099999999998E-2</v>
      </c>
    </row>
    <row r="44" spans="1:8">
      <c r="A44" s="66" t="s">
        <v>396</v>
      </c>
      <c r="B44" s="66">
        <v>-4.4736000000000002</v>
      </c>
      <c r="C44" s="66">
        <v>7.2839700000000001</v>
      </c>
      <c r="D44" s="66">
        <v>-1.6282099999999999</v>
      </c>
      <c r="E44" s="66">
        <v>0</v>
      </c>
      <c r="F44" s="66">
        <v>-17.4527</v>
      </c>
      <c r="G44" s="66">
        <v>0</v>
      </c>
      <c r="H44" s="66">
        <v>11.0748</v>
      </c>
    </row>
    <row r="45" spans="1:8">
      <c r="A45" s="66" t="s">
        <v>397</v>
      </c>
      <c r="B45" s="66">
        <v>57.044499999999999</v>
      </c>
      <c r="C45" s="66">
        <v>9.1496399999999998</v>
      </c>
      <c r="D45" s="66">
        <v>0.16039500000000001</v>
      </c>
      <c r="E45" s="66">
        <v>0</v>
      </c>
      <c r="F45" s="66">
        <v>33.498699999999999</v>
      </c>
      <c r="G45" s="66">
        <v>0</v>
      </c>
      <c r="H45" s="66">
        <v>80.500200000000007</v>
      </c>
    </row>
    <row r="46" spans="1:8">
      <c r="A46" s="66" t="s">
        <v>398</v>
      </c>
      <c r="B46" s="66">
        <v>28.558399999999999</v>
      </c>
      <c r="C46" s="66">
        <v>5.3414200000000003</v>
      </c>
      <c r="D46" s="66">
        <v>0.18703500000000001</v>
      </c>
      <c r="E46" s="66">
        <v>0</v>
      </c>
      <c r="F46" s="66">
        <v>13.8064</v>
      </c>
      <c r="G46" s="66">
        <v>0</v>
      </c>
      <c r="H46" s="66">
        <v>33.586500000000001</v>
      </c>
    </row>
    <row r="47" spans="1:8">
      <c r="A47" s="66" t="s">
        <v>399</v>
      </c>
      <c r="B47" s="66">
        <v>1.00074</v>
      </c>
      <c r="C47" s="66">
        <v>0.857958</v>
      </c>
      <c r="D47" s="66">
        <v>0.85732699999999995</v>
      </c>
      <c r="E47" s="66">
        <v>0</v>
      </c>
      <c r="F47" s="66">
        <v>0.51193299999999997</v>
      </c>
      <c r="G47" s="66">
        <v>0</v>
      </c>
      <c r="H47" s="66">
        <v>6.8158399999999997</v>
      </c>
    </row>
    <row r="48" spans="1:8">
      <c r="A48" s="66" t="s">
        <v>400</v>
      </c>
      <c r="B48" s="66">
        <v>1.1178600000000001</v>
      </c>
      <c r="C48" s="66">
        <v>0.11160299999999999</v>
      </c>
      <c r="D48" s="66">
        <v>9.9836499999999995E-2</v>
      </c>
      <c r="E48" s="66">
        <v>0</v>
      </c>
      <c r="F48" s="66">
        <v>0.783887</v>
      </c>
      <c r="G48" s="66">
        <v>0</v>
      </c>
      <c r="H48" s="66">
        <v>1.2474099999999999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401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45.1768</v>
      </c>
      <c r="C5" s="66">
        <v>3.2068099999999999</v>
      </c>
      <c r="D5" s="66">
        <v>7.0983700000000001</v>
      </c>
      <c r="E5" s="66">
        <v>20</v>
      </c>
      <c r="F5" s="66">
        <v>35.995899999999999</v>
      </c>
      <c r="G5" s="66">
        <v>50</v>
      </c>
      <c r="H5" s="66">
        <v>50.019500000000001</v>
      </c>
    </row>
    <row r="6" spans="1:8">
      <c r="A6" s="66" t="s">
        <v>358</v>
      </c>
      <c r="B6" s="66">
        <v>27.434000000000001</v>
      </c>
      <c r="C6" s="66">
        <v>2.0173199999999998</v>
      </c>
      <c r="D6" s="66">
        <v>7.35337</v>
      </c>
      <c r="E6" s="66">
        <v>20</v>
      </c>
      <c r="F6" s="66">
        <v>24.9541</v>
      </c>
      <c r="G6" s="66">
        <v>40</v>
      </c>
      <c r="H6" s="66">
        <v>31.290900000000001</v>
      </c>
    </row>
    <row r="7" spans="1:8">
      <c r="A7" s="66" t="s">
        <v>359</v>
      </c>
      <c r="B7" s="66">
        <v>22.618300000000001</v>
      </c>
      <c r="C7" s="66">
        <v>4.73447</v>
      </c>
      <c r="D7" s="66">
        <v>20.932099999999998</v>
      </c>
      <c r="E7" s="66">
        <v>15</v>
      </c>
      <c r="F7" s="66">
        <v>9.6987799999999993</v>
      </c>
      <c r="G7" s="66">
        <v>40</v>
      </c>
      <c r="H7" s="66">
        <v>34.055700000000002</v>
      </c>
    </row>
    <row r="8" spans="1:8">
      <c r="A8" s="66" t="s">
        <v>360</v>
      </c>
      <c r="B8" s="66">
        <v>31.385300000000001</v>
      </c>
      <c r="C8" s="66">
        <v>2.0361899999999999</v>
      </c>
      <c r="D8" s="66">
        <v>6.48773</v>
      </c>
      <c r="E8" s="66">
        <v>20</v>
      </c>
      <c r="F8" s="66">
        <v>28.253699999999998</v>
      </c>
      <c r="G8" s="66">
        <v>50</v>
      </c>
      <c r="H8" s="66">
        <v>34.640799999999999</v>
      </c>
    </row>
    <row r="9" spans="1:8">
      <c r="A9" s="66" t="s">
        <v>361</v>
      </c>
      <c r="B9" s="66">
        <v>62.177700000000002</v>
      </c>
      <c r="C9" s="66">
        <v>4.8845400000000003</v>
      </c>
      <c r="D9" s="66">
        <v>7.8557699999999997</v>
      </c>
      <c r="E9" s="66">
        <v>50</v>
      </c>
      <c r="F9" s="66">
        <v>53.547699999999999</v>
      </c>
      <c r="G9" s="66">
        <v>100</v>
      </c>
      <c r="H9" s="66">
        <v>77.253399999999999</v>
      </c>
    </row>
    <row r="10" spans="1:8">
      <c r="A10" s="66" t="s">
        <v>362</v>
      </c>
      <c r="B10" s="66">
        <v>79.646900000000002</v>
      </c>
      <c r="C10" s="66">
        <v>2.4503200000000001</v>
      </c>
      <c r="D10" s="66">
        <v>3.0764800000000001</v>
      </c>
      <c r="E10" s="66">
        <v>40</v>
      </c>
      <c r="F10" s="66">
        <v>76.816000000000003</v>
      </c>
      <c r="G10" s="66">
        <v>100</v>
      </c>
      <c r="H10" s="66">
        <v>84.169700000000006</v>
      </c>
    </row>
    <row r="11" spans="1:8">
      <c r="A11" s="66" t="s">
        <v>363</v>
      </c>
      <c r="B11" s="66">
        <v>26.776900000000001</v>
      </c>
      <c r="C11" s="66">
        <v>3.90625</v>
      </c>
      <c r="D11" s="66">
        <v>14.588100000000001</v>
      </c>
      <c r="E11" s="66">
        <v>10</v>
      </c>
      <c r="F11" s="66">
        <v>21.389299999999999</v>
      </c>
      <c r="G11" s="66">
        <v>50</v>
      </c>
      <c r="H11" s="66">
        <v>32.737699999999997</v>
      </c>
    </row>
    <row r="12" spans="1:8">
      <c r="A12" s="66" t="s">
        <v>364</v>
      </c>
      <c r="B12" s="66">
        <v>71.084900000000005</v>
      </c>
      <c r="C12" s="66">
        <v>3.45784</v>
      </c>
      <c r="D12" s="66">
        <v>4.8643900000000002</v>
      </c>
      <c r="E12" s="66">
        <v>50</v>
      </c>
      <c r="F12" s="66">
        <v>65.968500000000006</v>
      </c>
      <c r="G12" s="66">
        <v>100</v>
      </c>
      <c r="H12" s="66">
        <v>80.491</v>
      </c>
    </row>
    <row r="13" spans="1:8">
      <c r="A13" s="66" t="s">
        <v>365</v>
      </c>
      <c r="B13" s="66">
        <v>17.898599999999998</v>
      </c>
      <c r="C13" s="66">
        <v>1.8892</v>
      </c>
      <c r="D13" s="66">
        <v>10.555099999999999</v>
      </c>
      <c r="E13" s="66">
        <v>10</v>
      </c>
      <c r="F13" s="66">
        <v>13.4658</v>
      </c>
      <c r="G13" s="66">
        <v>25</v>
      </c>
      <c r="H13" s="66">
        <v>24.0547</v>
      </c>
    </row>
    <row r="14" spans="1:8">
      <c r="A14" s="66" t="s">
        <v>366</v>
      </c>
      <c r="B14" s="66">
        <v>18.891999999999999</v>
      </c>
      <c r="C14" s="66">
        <v>10.6547</v>
      </c>
      <c r="D14" s="66">
        <v>56.397599999999997</v>
      </c>
      <c r="E14" s="66">
        <v>10</v>
      </c>
      <c r="F14" s="66">
        <v>2.0361199999999999</v>
      </c>
      <c r="G14" s="66">
        <v>50</v>
      </c>
      <c r="H14" s="66">
        <v>31.291699999999999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0.539192</v>
      </c>
      <c r="C18" s="66">
        <v>1.45024E-3</v>
      </c>
      <c r="D18" s="66">
        <v>2.68966E-3</v>
      </c>
      <c r="E18" s="66">
        <v>0</v>
      </c>
      <c r="F18" s="66">
        <v>0.53774200000000005</v>
      </c>
      <c r="G18" s="66">
        <v>0</v>
      </c>
      <c r="H18" s="66">
        <v>0.54064199999999996</v>
      </c>
    </row>
    <row r="19" spans="1:8">
      <c r="A19" s="66" t="s">
        <v>371</v>
      </c>
      <c r="B19" s="66">
        <v>0.51698999999999995</v>
      </c>
      <c r="C19" s="66">
        <v>6.11072E-2</v>
      </c>
      <c r="D19" s="66">
        <v>0.118198</v>
      </c>
      <c r="E19" s="66">
        <v>0</v>
      </c>
      <c r="F19" s="66">
        <v>0.45588200000000001</v>
      </c>
      <c r="G19" s="66">
        <v>0</v>
      </c>
      <c r="H19" s="66">
        <v>0.57809699999999997</v>
      </c>
    </row>
    <row r="20" spans="1:8">
      <c r="A20" s="66" t="s">
        <v>372</v>
      </c>
      <c r="B20" s="66">
        <v>2.45335E-3</v>
      </c>
      <c r="C20" s="66">
        <v>1.0675199999999999E-2</v>
      </c>
      <c r="D20" s="66">
        <v>4.3512599999999999</v>
      </c>
      <c r="E20" s="66">
        <v>0</v>
      </c>
      <c r="F20" s="66">
        <v>6.1507499999999998E-4</v>
      </c>
      <c r="G20" s="66">
        <v>0</v>
      </c>
      <c r="H20" s="66">
        <v>8.3522899999999997E-2</v>
      </c>
    </row>
    <row r="21" spans="1:8">
      <c r="A21" s="66" t="s">
        <v>373</v>
      </c>
      <c r="B21" s="66">
        <v>0.121171</v>
      </c>
      <c r="C21" s="66">
        <v>0.18227599999999999</v>
      </c>
      <c r="D21" s="66">
        <v>1.5042800000000001</v>
      </c>
      <c r="E21" s="66">
        <v>0</v>
      </c>
      <c r="F21" s="66">
        <v>7.7223600000000002E-3</v>
      </c>
      <c r="G21" s="66">
        <v>0</v>
      </c>
      <c r="H21" s="66">
        <v>0.98983299999999996</v>
      </c>
    </row>
    <row r="22" spans="1:8">
      <c r="A22" s="66" t="s">
        <v>374</v>
      </c>
      <c r="B22" s="66">
        <v>25.9984</v>
      </c>
      <c r="C22" s="66">
        <v>7.7549400000000004</v>
      </c>
      <c r="D22" s="66">
        <v>0.29828500000000002</v>
      </c>
      <c r="E22" s="66">
        <v>0</v>
      </c>
      <c r="F22" s="66">
        <v>14.3063</v>
      </c>
      <c r="G22" s="66">
        <v>0</v>
      </c>
      <c r="H22" s="66">
        <v>54.669499999999999</v>
      </c>
    </row>
    <row r="23" spans="1:8">
      <c r="A23" s="66" t="s">
        <v>375</v>
      </c>
      <c r="B23" s="66">
        <v>15.442600000000001</v>
      </c>
      <c r="C23" s="66">
        <v>1.77067</v>
      </c>
      <c r="D23" s="66">
        <v>0.114662</v>
      </c>
      <c r="E23" s="66">
        <v>0</v>
      </c>
      <c r="F23" s="66">
        <v>12.8765</v>
      </c>
      <c r="G23" s="66">
        <v>0</v>
      </c>
      <c r="H23" s="66">
        <v>18.8749</v>
      </c>
    </row>
    <row r="24" spans="1:8">
      <c r="A24" s="66" t="s">
        <v>376</v>
      </c>
      <c r="B24" s="66">
        <v>2.9121799999999999E-3</v>
      </c>
      <c r="C24" s="66">
        <v>7.7709800000000002E-3</v>
      </c>
      <c r="D24" s="66">
        <v>2.6684399999999999</v>
      </c>
      <c r="E24" s="66">
        <v>0</v>
      </c>
      <c r="F24" s="66">
        <v>9.4840300000000001E-4</v>
      </c>
      <c r="G24" s="66">
        <v>0</v>
      </c>
      <c r="H24" s="66">
        <v>5.5265500000000002E-2</v>
      </c>
    </row>
    <row r="25" spans="1:8">
      <c r="A25" s="66" t="s">
        <v>377</v>
      </c>
      <c r="B25" s="66">
        <v>0.14316799999999999</v>
      </c>
      <c r="C25" s="66">
        <v>0.118476</v>
      </c>
      <c r="D25" s="66">
        <v>0.82752999999999999</v>
      </c>
      <c r="E25" s="66">
        <v>0</v>
      </c>
      <c r="F25" s="66">
        <v>3.79134E-2</v>
      </c>
      <c r="G25" s="66">
        <v>0</v>
      </c>
      <c r="H25" s="66">
        <v>0.65890800000000005</v>
      </c>
    </row>
    <row r="26" spans="1:8">
      <c r="A26" s="66" t="s">
        <v>378</v>
      </c>
      <c r="B26" s="66">
        <v>9.2568299999999995E-4</v>
      </c>
      <c r="C26" s="66">
        <v>2.28991E-3</v>
      </c>
      <c r="D26" s="66">
        <v>2.47376</v>
      </c>
      <c r="E26" s="66">
        <v>0</v>
      </c>
      <c r="F26" s="66">
        <v>2.06801E-4</v>
      </c>
      <c r="G26" s="66">
        <v>0</v>
      </c>
      <c r="H26" s="66">
        <v>1.9711800000000002E-2</v>
      </c>
    </row>
    <row r="27" spans="1:8">
      <c r="A27" s="66" t="s">
        <v>379</v>
      </c>
      <c r="B27" s="196">
        <v>-3.2825599999999999E-6</v>
      </c>
      <c r="C27" s="66">
        <v>7.46274E-4</v>
      </c>
      <c r="D27" s="66">
        <v>-227.345</v>
      </c>
      <c r="E27" s="66">
        <v>0</v>
      </c>
      <c r="F27" s="66">
        <v>-4.6907800000000003E-3</v>
      </c>
      <c r="G27" s="66">
        <v>0</v>
      </c>
      <c r="H27" s="66">
        <v>3.2136299999999999E-3</v>
      </c>
    </row>
    <row r="28" spans="1:8">
      <c r="A28" s="66" t="s">
        <v>380</v>
      </c>
      <c r="B28" s="66">
        <v>2.5177399999999999E-2</v>
      </c>
      <c r="C28" s="66">
        <v>2.0394700000000002E-2</v>
      </c>
      <c r="D28" s="66">
        <v>0.81003800000000004</v>
      </c>
      <c r="E28" s="66">
        <v>0</v>
      </c>
      <c r="F28" s="66">
        <v>2.61393E-3</v>
      </c>
      <c r="G28" s="66">
        <v>0</v>
      </c>
      <c r="H28" s="66">
        <v>9.9684200000000001E-2</v>
      </c>
    </row>
    <row r="29" spans="1:8">
      <c r="A29" s="66" t="s">
        <v>381</v>
      </c>
      <c r="B29" s="66">
        <v>71.799700000000001</v>
      </c>
      <c r="C29" s="66">
        <v>8.0408899999999992</v>
      </c>
      <c r="D29" s="66">
        <v>0.11199099999999999</v>
      </c>
      <c r="E29" s="66">
        <v>0</v>
      </c>
      <c r="F29" s="66">
        <v>57.255099999999999</v>
      </c>
      <c r="G29" s="66">
        <v>0</v>
      </c>
      <c r="H29" s="66">
        <v>100.61</v>
      </c>
    </row>
    <row r="30" spans="1:8">
      <c r="A30" s="66" t="s">
        <v>382</v>
      </c>
      <c r="B30" s="66">
        <v>33.668999999999997</v>
      </c>
      <c r="C30" s="66">
        <v>2.8867099999999999</v>
      </c>
      <c r="D30" s="66">
        <v>8.5737900000000006E-2</v>
      </c>
      <c r="E30" s="66">
        <v>0</v>
      </c>
      <c r="F30" s="66">
        <v>27.497</v>
      </c>
      <c r="G30" s="66">
        <v>0</v>
      </c>
      <c r="H30" s="66">
        <v>36.921900000000001</v>
      </c>
    </row>
    <row r="31" spans="1:8">
      <c r="A31" s="66" t="s">
        <v>383</v>
      </c>
      <c r="B31" s="66">
        <v>122.221</v>
      </c>
      <c r="C31" s="66">
        <v>21.994</v>
      </c>
      <c r="D31" s="66">
        <v>0.179952</v>
      </c>
      <c r="E31" s="66">
        <v>0</v>
      </c>
      <c r="F31" s="66">
        <v>95.911299999999997</v>
      </c>
      <c r="G31" s="66">
        <v>0</v>
      </c>
      <c r="H31" s="66">
        <v>177.57599999999999</v>
      </c>
    </row>
    <row r="32" spans="1:8">
      <c r="A32" s="66" t="s">
        <v>384</v>
      </c>
      <c r="B32" s="66">
        <v>0.226183</v>
      </c>
      <c r="C32" s="66">
        <v>4.7344700000000003E-2</v>
      </c>
      <c r="D32" s="66">
        <v>0.20932100000000001</v>
      </c>
      <c r="E32" s="66">
        <v>0.15</v>
      </c>
      <c r="F32" s="66">
        <v>9.6987799999999999E-2</v>
      </c>
      <c r="G32" s="66">
        <v>0.4</v>
      </c>
      <c r="H32" s="66">
        <v>0.340557</v>
      </c>
    </row>
    <row r="33" spans="1:8">
      <c r="A33" s="66" t="s">
        <v>385</v>
      </c>
      <c r="B33" s="66">
        <v>0.20594100000000001</v>
      </c>
      <c r="C33" s="66">
        <v>5.5589E-2</v>
      </c>
      <c r="D33" s="66">
        <v>0.26992699999999997</v>
      </c>
      <c r="E33" s="66">
        <v>0</v>
      </c>
      <c r="F33" s="66">
        <v>0.17616599999999999</v>
      </c>
      <c r="G33" s="66">
        <v>0</v>
      </c>
      <c r="H33" s="66">
        <v>0.36587799999999998</v>
      </c>
    </row>
    <row r="34" spans="1:8">
      <c r="A34" s="66" t="s">
        <v>386</v>
      </c>
      <c r="B34" s="66">
        <v>0.17898600000000001</v>
      </c>
      <c r="C34" s="66">
        <v>1.8891999999999999E-2</v>
      </c>
      <c r="D34" s="66">
        <v>0.10555100000000001</v>
      </c>
      <c r="E34" s="66">
        <v>0.1</v>
      </c>
      <c r="F34" s="66">
        <v>0.134658</v>
      </c>
      <c r="G34" s="66">
        <v>0.25</v>
      </c>
      <c r="H34" s="66">
        <v>0.24054700000000001</v>
      </c>
    </row>
    <row r="35" spans="1:8">
      <c r="A35" s="66" t="s">
        <v>387</v>
      </c>
      <c r="B35" s="66">
        <v>7.5122599999999998E-2</v>
      </c>
      <c r="C35" s="66">
        <v>1.5174200000000001E-2</v>
      </c>
      <c r="D35" s="66">
        <v>0.201992</v>
      </c>
      <c r="E35" s="66">
        <v>0</v>
      </c>
      <c r="F35" s="66">
        <v>4.3388799999999998E-2</v>
      </c>
      <c r="G35" s="66">
        <v>0</v>
      </c>
      <c r="H35" s="66">
        <v>0.107586</v>
      </c>
    </row>
    <row r="36" spans="1:8">
      <c r="A36" s="66" t="s">
        <v>388</v>
      </c>
      <c r="B36" s="66">
        <v>0.15992200000000001</v>
      </c>
      <c r="C36" s="66">
        <v>7.9818399999999998E-2</v>
      </c>
      <c r="D36" s="66">
        <v>0.49910900000000002</v>
      </c>
      <c r="E36" s="66">
        <v>0</v>
      </c>
      <c r="F36" s="66">
        <v>3.6233300000000003E-2</v>
      </c>
      <c r="G36" s="66">
        <v>0</v>
      </c>
      <c r="H36" s="66">
        <v>0.44900699999999999</v>
      </c>
    </row>
    <row r="37" spans="1:8">
      <c r="A37" s="66" t="s">
        <v>389</v>
      </c>
      <c r="B37" s="66">
        <v>0.18892</v>
      </c>
      <c r="C37" s="66">
        <v>0.106547</v>
      </c>
      <c r="D37" s="66">
        <v>0.56397600000000003</v>
      </c>
      <c r="E37" s="66">
        <v>0.1</v>
      </c>
      <c r="F37" s="66">
        <v>2.0361199999999999E-2</v>
      </c>
      <c r="G37" s="66">
        <v>0.5</v>
      </c>
      <c r="H37" s="66">
        <v>0.312917</v>
      </c>
    </row>
    <row r="38" spans="1:8">
      <c r="A38" s="66" t="s">
        <v>390</v>
      </c>
      <c r="B38" s="66">
        <v>-5.1810999999999998</v>
      </c>
      <c r="C38" s="66">
        <v>37.379899999999999</v>
      </c>
      <c r="D38" s="66">
        <v>-7.2146699999999999</v>
      </c>
      <c r="E38" s="66">
        <v>0</v>
      </c>
      <c r="F38" s="66">
        <v>-121.625</v>
      </c>
      <c r="G38" s="66">
        <v>0</v>
      </c>
      <c r="H38" s="66">
        <v>181.28299999999999</v>
      </c>
    </row>
    <row r="39" spans="1:8">
      <c r="A39" s="66" t="s">
        <v>391</v>
      </c>
      <c r="B39" s="66">
        <v>-2.4775700000000001</v>
      </c>
      <c r="C39" s="66">
        <v>2.9933999999999998</v>
      </c>
      <c r="D39" s="66">
        <v>-1.2081999999999999</v>
      </c>
      <c r="E39" s="66">
        <v>0</v>
      </c>
      <c r="F39" s="66">
        <v>-8.5877499999999998</v>
      </c>
      <c r="G39" s="66">
        <v>0</v>
      </c>
      <c r="H39" s="66">
        <v>6.4552699999999996</v>
      </c>
    </row>
    <row r="40" spans="1:8">
      <c r="A40" s="66" t="s">
        <v>392</v>
      </c>
      <c r="B40" s="66">
        <v>-1.5971599999999999</v>
      </c>
      <c r="C40" s="66">
        <v>0.28289799999999998</v>
      </c>
      <c r="D40" s="66">
        <v>-0.177125</v>
      </c>
      <c r="E40" s="66">
        <v>0</v>
      </c>
      <c r="F40" s="66">
        <v>-2.1654399999999998</v>
      </c>
      <c r="G40" s="66">
        <v>0</v>
      </c>
      <c r="H40" s="66">
        <v>-0.85767000000000004</v>
      </c>
    </row>
    <row r="41" spans="1:8">
      <c r="A41" s="66" t="s">
        <v>393</v>
      </c>
      <c r="B41" s="66">
        <v>-0.13148499999999999</v>
      </c>
      <c r="C41" s="66">
        <v>0.30035000000000001</v>
      </c>
      <c r="D41" s="66">
        <v>-2.2842899999999999</v>
      </c>
      <c r="E41" s="66">
        <v>0</v>
      </c>
      <c r="F41" s="66">
        <v>-0.89830500000000002</v>
      </c>
      <c r="G41" s="66">
        <v>0</v>
      </c>
      <c r="H41" s="66">
        <v>1</v>
      </c>
    </row>
    <row r="42" spans="1:8">
      <c r="A42" s="66" t="s">
        <v>394</v>
      </c>
      <c r="B42" s="66">
        <v>-0.13242000000000001</v>
      </c>
      <c r="C42" s="66">
        <v>9.9426100000000003E-2</v>
      </c>
      <c r="D42" s="66">
        <v>-0.75083900000000003</v>
      </c>
      <c r="E42" s="66">
        <v>0</v>
      </c>
      <c r="F42" s="66">
        <v>-0.38448599999999999</v>
      </c>
      <c r="G42" s="66">
        <v>0</v>
      </c>
      <c r="H42" s="66">
        <v>8.6326700000000006E-2</v>
      </c>
    </row>
    <row r="43" spans="1:8">
      <c r="A43" s="66" t="s">
        <v>395</v>
      </c>
      <c r="B43" s="66">
        <v>-8.5463999999999998E-2</v>
      </c>
      <c r="C43" s="66">
        <v>1.7277899999999999E-2</v>
      </c>
      <c r="D43" s="66">
        <v>-0.20216500000000001</v>
      </c>
      <c r="E43" s="66">
        <v>0</v>
      </c>
      <c r="F43" s="66">
        <v>-0.114782</v>
      </c>
      <c r="G43" s="66">
        <v>0</v>
      </c>
      <c r="H43" s="66">
        <v>-4.0128799999999999E-2</v>
      </c>
    </row>
    <row r="44" spans="1:8">
      <c r="A44" s="66" t="s">
        <v>396</v>
      </c>
      <c r="B44" s="66">
        <v>-3.5105900000000001</v>
      </c>
      <c r="C44" s="66">
        <v>12.032500000000001</v>
      </c>
      <c r="D44" s="66">
        <v>-3.4275000000000002</v>
      </c>
      <c r="E44" s="66">
        <v>0</v>
      </c>
      <c r="F44" s="66">
        <v>-22.388000000000002</v>
      </c>
      <c r="G44" s="66">
        <v>0</v>
      </c>
      <c r="H44" s="66">
        <v>13.9041</v>
      </c>
    </row>
    <row r="45" spans="1:8">
      <c r="A45" s="66" t="s">
        <v>397</v>
      </c>
      <c r="B45" s="66">
        <v>50.2164</v>
      </c>
      <c r="C45" s="66">
        <v>5.9162800000000004</v>
      </c>
      <c r="D45" s="66">
        <v>0.117816</v>
      </c>
      <c r="E45" s="66">
        <v>0</v>
      </c>
      <c r="F45" s="66">
        <v>35.788499999999999</v>
      </c>
      <c r="G45" s="66">
        <v>0</v>
      </c>
      <c r="H45" s="66">
        <v>63.8795</v>
      </c>
    </row>
    <row r="46" spans="1:8">
      <c r="A46" s="66" t="s">
        <v>398</v>
      </c>
      <c r="B46" s="66">
        <v>29.217700000000001</v>
      </c>
      <c r="C46" s="66">
        <v>3.0537299999999998</v>
      </c>
      <c r="D46" s="66">
        <v>0.104516</v>
      </c>
      <c r="E46" s="66">
        <v>0</v>
      </c>
      <c r="F46" s="66">
        <v>24.616299999999999</v>
      </c>
      <c r="G46" s="66">
        <v>0</v>
      </c>
      <c r="H46" s="66">
        <v>34.765300000000003</v>
      </c>
    </row>
    <row r="47" spans="1:8">
      <c r="A47" s="66" t="s">
        <v>399</v>
      </c>
      <c r="B47" s="66">
        <v>1.29088</v>
      </c>
      <c r="C47" s="66">
        <v>0.50182599999999999</v>
      </c>
      <c r="D47" s="66">
        <v>0.38874700000000001</v>
      </c>
      <c r="E47" s="66">
        <v>0</v>
      </c>
      <c r="F47" s="66">
        <v>0.65336499999999997</v>
      </c>
      <c r="G47" s="66">
        <v>0</v>
      </c>
      <c r="H47" s="66">
        <v>3.5331999999999999</v>
      </c>
    </row>
    <row r="48" spans="1:8">
      <c r="A48" s="66" t="s">
        <v>400</v>
      </c>
      <c r="B48" s="66">
        <v>1.23641</v>
      </c>
      <c r="C48" s="66">
        <v>0.201402</v>
      </c>
      <c r="D48" s="66">
        <v>0.16289200000000001</v>
      </c>
      <c r="E48" s="66">
        <v>0</v>
      </c>
      <c r="F48" s="66">
        <v>0.89815</v>
      </c>
      <c r="G48" s="66">
        <v>0</v>
      </c>
      <c r="H48" s="66">
        <v>1.63263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402</v>
      </c>
      <c r="B1" s="60" t="s">
        <v>403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91.532707637593518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1.7672668553333499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0.59628637203402945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645</v>
      </c>
      <c r="B8" s="66">
        <v>645</v>
      </c>
      <c r="D8">
        <f t="shared" si="0"/>
        <v>3.2901280854515129E-3</v>
      </c>
      <c r="E8">
        <f t="shared" si="0"/>
        <v>3.2901280854515129E-3</v>
      </c>
      <c r="G8">
        <f t="shared" ca="1" si="1"/>
        <v>6</v>
      </c>
      <c r="H8">
        <f t="shared" ca="1" si="2"/>
        <v>1.9740768512709075E-2</v>
      </c>
      <c r="I8">
        <f t="shared" ca="1" si="3"/>
        <v>24.07006406263303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1162</v>
      </c>
      <c r="B10" s="66">
        <v>1162</v>
      </c>
      <c r="D10">
        <f t="shared" si="0"/>
        <v>5.927331527588617E-3</v>
      </c>
      <c r="E10">
        <f t="shared" si="0"/>
        <v>5.927331527588617E-3</v>
      </c>
      <c r="G10">
        <f t="shared" ca="1" si="1"/>
        <v>8</v>
      </c>
      <c r="H10">
        <f t="shared" ca="1" si="2"/>
        <v>4.7418652220708936E-2</v>
      </c>
      <c r="I10">
        <f t="shared" ca="1" si="3"/>
        <v>41.359219709147773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680</v>
      </c>
      <c r="B13" s="66">
        <v>680</v>
      </c>
      <c r="D13">
        <f t="shared" si="0"/>
        <v>3.4686621676077965E-3</v>
      </c>
      <c r="E13">
        <f t="shared" si="0"/>
        <v>3.4686621676077965E-3</v>
      </c>
      <c r="G13">
        <f t="shared" ca="1" si="1"/>
        <v>11</v>
      </c>
      <c r="H13">
        <f t="shared" ca="1" si="2"/>
        <v>3.8155283843685758E-2</v>
      </c>
      <c r="I13">
        <f t="shared" ca="1" si="3"/>
        <v>22.496067453342093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725</v>
      </c>
      <c r="B15" s="66">
        <v>725</v>
      </c>
      <c r="D15">
        <f t="shared" si="0"/>
        <v>3.6982059875230182E-3</v>
      </c>
      <c r="E15">
        <f t="shared" si="0"/>
        <v>3.6982059875230182E-3</v>
      </c>
      <c r="G15">
        <f t="shared" ca="1" si="1"/>
        <v>13</v>
      </c>
      <c r="H15">
        <f t="shared" ca="1" si="2"/>
        <v>4.8076677837799238E-2</v>
      </c>
      <c r="I15">
        <f t="shared" ca="1" si="3"/>
        <v>22.808264457162078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2314</v>
      </c>
      <c r="B18" s="66">
        <v>2314</v>
      </c>
      <c r="D18">
        <f t="shared" si="0"/>
        <v>1.1803653317418296E-2</v>
      </c>
      <c r="E18">
        <f t="shared" si="0"/>
        <v>1.1803653317418296E-2</v>
      </c>
      <c r="G18">
        <f t="shared" ca="1" si="1"/>
        <v>16</v>
      </c>
      <c r="H18">
        <f t="shared" ca="1" si="2"/>
        <v>0.18885845307869273</v>
      </c>
      <c r="I18">
        <f t="shared" ca="1" si="3"/>
        <v>67.342083961901523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3149</v>
      </c>
      <c r="B21" s="66">
        <v>3149</v>
      </c>
      <c r="D21">
        <f t="shared" si="0"/>
        <v>1.6062966420289634E-2</v>
      </c>
      <c r="E21">
        <f t="shared" si="0"/>
        <v>1.6062966420289634E-2</v>
      </c>
      <c r="G21">
        <f t="shared" ca="1" si="1"/>
        <v>19</v>
      </c>
      <c r="H21">
        <f t="shared" ca="1" si="2"/>
        <v>0.30519636198550304</v>
      </c>
      <c r="I21">
        <f t="shared" ca="1" si="3"/>
        <v>84.507164774872123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4659</v>
      </c>
      <c r="B23" s="66">
        <v>4659</v>
      </c>
      <c r="D23">
        <f t="shared" si="0"/>
        <v>2.3765436821889297E-2</v>
      </c>
      <c r="E23">
        <f t="shared" si="0"/>
        <v>2.3765436821889297E-2</v>
      </c>
      <c r="G23">
        <f t="shared" ca="1" si="1"/>
        <v>21</v>
      </c>
      <c r="H23">
        <f t="shared" ca="1" si="2"/>
        <v>0.49907417325967524</v>
      </c>
      <c r="I23">
        <f t="shared" ca="1" si="3"/>
        <v>118.22978868058131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9606</v>
      </c>
      <c r="B26" s="66">
        <v>9606</v>
      </c>
      <c r="D26">
        <f t="shared" si="0"/>
        <v>4.8999954091236017E-2</v>
      </c>
      <c r="E26">
        <f t="shared" si="0"/>
        <v>4.8999954091236017E-2</v>
      </c>
      <c r="G26">
        <f t="shared" ca="1" si="1"/>
        <v>24</v>
      </c>
      <c r="H26">
        <f t="shared" ca="1" si="2"/>
        <v>1.1759988981896643</v>
      </c>
      <c r="I26">
        <f t="shared" ca="1" si="3"/>
        <v>223.47245406780283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18085</v>
      </c>
      <c r="B28" s="66">
        <v>18085</v>
      </c>
      <c r="D28">
        <f t="shared" si="0"/>
        <v>9.2251110737039704E-2</v>
      </c>
      <c r="E28">
        <f t="shared" si="0"/>
        <v>9.2251110737039704E-2</v>
      </c>
      <c r="G28">
        <f t="shared" ca="1" si="1"/>
        <v>26</v>
      </c>
      <c r="H28">
        <f t="shared" ca="1" si="2"/>
        <v>2.3985288791630324</v>
      </c>
      <c r="I28">
        <f t="shared" ca="1" si="3"/>
        <v>396.17569491144337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30039</v>
      </c>
      <c r="B31" s="66">
        <v>30039</v>
      </c>
      <c r="D31">
        <f t="shared" si="0"/>
        <v>0.15322815125407441</v>
      </c>
      <c r="E31">
        <f t="shared" si="0"/>
        <v>0.15322815125407441</v>
      </c>
      <c r="G31">
        <f t="shared" ca="1" si="1"/>
        <v>29</v>
      </c>
      <c r="H31">
        <f t="shared" ca="1" si="2"/>
        <v>4.4436163863681575</v>
      </c>
      <c r="I31">
        <f t="shared" ca="1" si="3"/>
        <v>599.17409611314702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42976</v>
      </c>
      <c r="B33" s="66">
        <v>42976</v>
      </c>
      <c r="D33">
        <f t="shared" si="0"/>
        <v>0.21921944899281273</v>
      </c>
      <c r="E33">
        <f t="shared" si="0"/>
        <v>0.21921944899281273</v>
      </c>
      <c r="G33">
        <f t="shared" ca="1" si="1"/>
        <v>31</v>
      </c>
      <c r="H33">
        <f t="shared" ca="1" si="2"/>
        <v>6.7958029187771949</v>
      </c>
      <c r="I33">
        <f t="shared" ca="1" si="3"/>
        <v>803.26581087984403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57312</v>
      </c>
      <c r="B36" s="66">
        <v>57312</v>
      </c>
      <c r="D36">
        <f t="shared" si="0"/>
        <v>0.2923470090440265</v>
      </c>
      <c r="E36">
        <f t="shared" si="0"/>
        <v>0.2923470090440265</v>
      </c>
      <c r="G36">
        <f t="shared" ca="1" si="1"/>
        <v>34</v>
      </c>
      <c r="H36">
        <f t="shared" ca="1" si="2"/>
        <v>9.9397983074969005</v>
      </c>
      <c r="I36">
        <f t="shared" ca="1" si="3"/>
        <v>967.6722391042764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73139</v>
      </c>
      <c r="B39" s="66">
        <v>73139</v>
      </c>
      <c r="D39">
        <f t="shared" si="0"/>
        <v>0.37308012099509796</v>
      </c>
      <c r="E39">
        <f t="shared" si="0"/>
        <v>0.37308012099509796</v>
      </c>
      <c r="G39">
        <f t="shared" ca="1" si="1"/>
        <v>37</v>
      </c>
      <c r="H39">
        <f t="shared" ca="1" si="2"/>
        <v>13.803964476818624</v>
      </c>
      <c r="I39">
        <f t="shared" ca="1" si="3"/>
        <v>1109.47170856651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77338</v>
      </c>
      <c r="B41" s="66">
        <v>77338</v>
      </c>
      <c r="D41">
        <f t="shared" si="0"/>
        <v>0.39449910988007608</v>
      </c>
      <c r="E41">
        <f t="shared" si="0"/>
        <v>0.39449910988007608</v>
      </c>
      <c r="G41">
        <f t="shared" ca="1" si="1"/>
        <v>39</v>
      </c>
      <c r="H41">
        <f t="shared" ca="1" si="2"/>
        <v>15.385465285322967</v>
      </c>
      <c r="I41">
        <f t="shared" ca="1" si="3"/>
        <v>1088.6934226992646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85018</v>
      </c>
      <c r="B44" s="66">
        <v>85018</v>
      </c>
      <c r="D44">
        <f t="shared" si="0"/>
        <v>0.43367458847894064</v>
      </c>
      <c r="E44">
        <f t="shared" si="0"/>
        <v>0.43367458847894064</v>
      </c>
      <c r="G44">
        <f t="shared" ca="1" si="1"/>
        <v>42</v>
      </c>
      <c r="H44">
        <f t="shared" ca="1" si="2"/>
        <v>18.214332716115507</v>
      </c>
      <c r="I44">
        <f t="shared" ca="1" si="3"/>
        <v>1064.0158870171454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92429</v>
      </c>
      <c r="B46" s="66">
        <v>92429</v>
      </c>
      <c r="D46">
        <f t="shared" si="0"/>
        <v>0.4714779051320897</v>
      </c>
      <c r="E46">
        <f t="shared" si="0"/>
        <v>0.4714779051320897</v>
      </c>
      <c r="G46">
        <f t="shared" ca="1" si="1"/>
        <v>44</v>
      </c>
      <c r="H46">
        <f t="shared" ca="1" si="2"/>
        <v>20.745027825811945</v>
      </c>
      <c r="I46">
        <f t="shared" ca="1" si="3"/>
        <v>1065.2375160395857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100214</v>
      </c>
      <c r="B49" s="66">
        <v>100214</v>
      </c>
      <c r="D49">
        <f t="shared" si="0"/>
        <v>0.51118898597742313</v>
      </c>
      <c r="E49">
        <f t="shared" si="0"/>
        <v>0.51118898597742313</v>
      </c>
      <c r="G49">
        <f t="shared" ca="1" si="1"/>
        <v>47</v>
      </c>
      <c r="H49">
        <f t="shared" ca="1" si="2"/>
        <v>24.025882340938885</v>
      </c>
      <c r="I49">
        <f t="shared" ca="1" si="3"/>
        <v>1013.7705971308991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97123</v>
      </c>
      <c r="B51" s="66">
        <v>97123</v>
      </c>
      <c r="D51">
        <f t="shared" si="0"/>
        <v>0.4954218760361353</v>
      </c>
      <c r="E51">
        <f t="shared" si="0"/>
        <v>0.4954218760361353</v>
      </c>
      <c r="G51">
        <f t="shared" ca="1" si="1"/>
        <v>49</v>
      </c>
      <c r="H51">
        <f t="shared" ca="1" si="2"/>
        <v>24.275671925770631</v>
      </c>
      <c r="I51">
        <f t="shared" ca="1" si="3"/>
        <v>896.23364031748838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104503</v>
      </c>
      <c r="B54" s="66">
        <v>104503</v>
      </c>
      <c r="D54">
        <f t="shared" si="0"/>
        <v>0.53306706250223168</v>
      </c>
      <c r="E54">
        <f t="shared" si="0"/>
        <v>0.53306706250223168</v>
      </c>
      <c r="G54">
        <f t="shared" ca="1" si="1"/>
        <v>52</v>
      </c>
      <c r="H54">
        <f t="shared" ca="1" si="2"/>
        <v>27.719487250116046</v>
      </c>
      <c r="I54">
        <f t="shared" ca="1" si="3"/>
        <v>833.09584831785935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109346</v>
      </c>
      <c r="B57" s="66">
        <v>109346</v>
      </c>
      <c r="D57">
        <f t="shared" si="0"/>
        <v>0.55777107849888541</v>
      </c>
      <c r="E57">
        <f t="shared" si="0"/>
        <v>0.55777107849888541</v>
      </c>
      <c r="G57">
        <f t="shared" ca="1" si="1"/>
        <v>55</v>
      </c>
      <c r="H57">
        <f t="shared" ca="1" si="2"/>
        <v>30.677409317438698</v>
      </c>
      <c r="I57">
        <f t="shared" ca="1" si="3"/>
        <v>744.42288235140018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114010</v>
      </c>
      <c r="B59" s="66">
        <v>114010</v>
      </c>
      <c r="D59">
        <f t="shared" si="0"/>
        <v>0.58156202018965419</v>
      </c>
      <c r="E59">
        <f t="shared" si="0"/>
        <v>0.58156202018965419</v>
      </c>
      <c r="G59">
        <f t="shared" ca="1" si="1"/>
        <v>57</v>
      </c>
      <c r="H59">
        <f t="shared" ca="1" si="2"/>
        <v>33.149035150810292</v>
      </c>
      <c r="I59">
        <f t="shared" ca="1" si="3"/>
        <v>693.51730154553354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115791</v>
      </c>
      <c r="B62" s="66">
        <v>115791</v>
      </c>
      <c r="D62">
        <f t="shared" si="0"/>
        <v>0.59064685448452114</v>
      </c>
      <c r="E62">
        <f t="shared" si="0"/>
        <v>0.59064685448452114</v>
      </c>
      <c r="G62">
        <f t="shared" ca="1" si="1"/>
        <v>60</v>
      </c>
      <c r="H62">
        <f t="shared" ca="1" si="2"/>
        <v>35.438811269071266</v>
      </c>
      <c r="I62">
        <f t="shared" ca="1" si="3"/>
        <v>587.28704901562344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114213</v>
      </c>
      <c r="B64" s="66">
        <v>114213</v>
      </c>
      <c r="D64">
        <f t="shared" si="0"/>
        <v>0.58259751786616065</v>
      </c>
      <c r="E64">
        <f t="shared" si="0"/>
        <v>0.58259751786616065</v>
      </c>
      <c r="G64">
        <f t="shared" ca="1" si="1"/>
        <v>62</v>
      </c>
      <c r="H64">
        <f t="shared" ca="1" si="2"/>
        <v>36.121046107701957</v>
      </c>
      <c r="I64">
        <f t="shared" ca="1" si="3"/>
        <v>508.13038109992453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125686</v>
      </c>
      <c r="B67" s="66">
        <v>125686</v>
      </c>
      <c r="D67">
        <f t="shared" ref="D67:E130" si="4">IFERROR( A67/MAX(A$2:A$257), 0 )</f>
        <v>0.64112098999699041</v>
      </c>
      <c r="E67">
        <f t="shared" si="4"/>
        <v>0.64112098999699041</v>
      </c>
      <c r="G67">
        <f t="shared" ref="G67:G130" ca="1" si="5">CELL("row",D67)-2</f>
        <v>65</v>
      </c>
      <c r="H67">
        <f t="shared" ref="H67:H130" ca="1" si="6">D67*G67</f>
        <v>41.672864349804378</v>
      </c>
      <c r="I67">
        <f t="shared" ref="I67:I130" ca="1" si="7">D67*((G67-$L$1)^2)</f>
        <v>451.33928739863052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120674</v>
      </c>
      <c r="B69" s="66">
        <v>120674</v>
      </c>
      <c r="D69">
        <f t="shared" si="4"/>
        <v>0.61555490943221058</v>
      </c>
      <c r="E69">
        <f t="shared" si="4"/>
        <v>0.61555490943221058</v>
      </c>
      <c r="G69">
        <f t="shared" ca="1" si="5"/>
        <v>67</v>
      </c>
      <c r="H69">
        <f t="shared" ca="1" si="6"/>
        <v>41.242178931958108</v>
      </c>
      <c r="I69">
        <f t="shared" ca="1" si="7"/>
        <v>370.47402689883256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124032</v>
      </c>
      <c r="B72" s="66">
        <v>124032</v>
      </c>
      <c r="D72">
        <f t="shared" si="4"/>
        <v>0.6326839793716621</v>
      </c>
      <c r="E72">
        <f t="shared" si="4"/>
        <v>0.6326839793716621</v>
      </c>
      <c r="G72">
        <f t="shared" ca="1" si="5"/>
        <v>70</v>
      </c>
      <c r="H72">
        <f t="shared" ca="1" si="6"/>
        <v>44.287878556016345</v>
      </c>
      <c r="I72">
        <f t="shared" ca="1" si="7"/>
        <v>293.34867103053085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119266</v>
      </c>
      <c r="B75" s="66">
        <v>119266</v>
      </c>
      <c r="D75">
        <f t="shared" si="4"/>
        <v>0.60837273835575212</v>
      </c>
      <c r="E75">
        <f t="shared" si="4"/>
        <v>0.60837273835575212</v>
      </c>
      <c r="G75">
        <f t="shared" ca="1" si="5"/>
        <v>73</v>
      </c>
      <c r="H75">
        <f t="shared" ca="1" si="6"/>
        <v>44.411209899969904</v>
      </c>
      <c r="I75">
        <f t="shared" ca="1" si="7"/>
        <v>208.9524626298313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124486</v>
      </c>
      <c r="B77" s="66">
        <v>124486</v>
      </c>
      <c r="D77">
        <f t="shared" si="4"/>
        <v>0.63499982146591782</v>
      </c>
      <c r="E77">
        <f t="shared" si="4"/>
        <v>0.63499982146591782</v>
      </c>
      <c r="G77">
        <f t="shared" ca="1" si="5"/>
        <v>75</v>
      </c>
      <c r="H77">
        <f t="shared" ca="1" si="6"/>
        <v>47.624986609943839</v>
      </c>
      <c r="I77">
        <f t="shared" ca="1" si="7"/>
        <v>173.56476906334484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123896</v>
      </c>
      <c r="B80" s="66">
        <v>123896</v>
      </c>
      <c r="D80">
        <f t="shared" si="4"/>
        <v>0.63199024693814054</v>
      </c>
      <c r="E80">
        <f t="shared" si="4"/>
        <v>0.63199024693814054</v>
      </c>
      <c r="G80">
        <f t="shared" ca="1" si="5"/>
        <v>78</v>
      </c>
      <c r="H80">
        <f t="shared" ca="1" si="6"/>
        <v>49.295239261174963</v>
      </c>
      <c r="I80">
        <f t="shared" ca="1" si="7"/>
        <v>115.73901311594862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135036</v>
      </c>
      <c r="B82" s="66">
        <v>135036</v>
      </c>
      <c r="D82">
        <f t="shared" si="4"/>
        <v>0.68881509480159764</v>
      </c>
      <c r="E82">
        <f t="shared" si="4"/>
        <v>0.68881509480159764</v>
      </c>
      <c r="G82">
        <f t="shared" ca="1" si="5"/>
        <v>80</v>
      </c>
      <c r="H82">
        <f t="shared" ca="1" si="6"/>
        <v>55.105207584127811</v>
      </c>
      <c r="I82">
        <f t="shared" ca="1" si="7"/>
        <v>91.614712007969814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134849</v>
      </c>
      <c r="B85" s="66">
        <v>134849</v>
      </c>
      <c r="D85">
        <f t="shared" si="4"/>
        <v>0.68786121270550549</v>
      </c>
      <c r="E85">
        <f t="shared" si="4"/>
        <v>0.68786121270550549</v>
      </c>
      <c r="G85">
        <f t="shared" ca="1" si="5"/>
        <v>83</v>
      </c>
      <c r="H85">
        <f t="shared" ca="1" si="6"/>
        <v>57.092480654556958</v>
      </c>
      <c r="I85">
        <f t="shared" ca="1" si="7"/>
        <v>50.081179844131512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139353</v>
      </c>
      <c r="B88" s="66">
        <v>139353</v>
      </c>
      <c r="D88">
        <f t="shared" si="4"/>
        <v>0.7108359985921312</v>
      </c>
      <c r="E88">
        <f t="shared" si="4"/>
        <v>0.7108359985921312</v>
      </c>
      <c r="G88">
        <f t="shared" ca="1" si="5"/>
        <v>86</v>
      </c>
      <c r="H88">
        <f t="shared" ca="1" si="6"/>
        <v>61.131895878923281</v>
      </c>
      <c r="I88">
        <f t="shared" ca="1" si="7"/>
        <v>21.759296830874121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144740</v>
      </c>
      <c r="B90" s="66">
        <v>144740</v>
      </c>
      <c r="D90">
        <f t="shared" si="4"/>
        <v>0.73831494432287126</v>
      </c>
      <c r="E90">
        <f t="shared" si="4"/>
        <v>0.73831494432287126</v>
      </c>
      <c r="G90">
        <f t="shared" ca="1" si="5"/>
        <v>88</v>
      </c>
      <c r="H90">
        <f t="shared" ca="1" si="6"/>
        <v>64.971715100412666</v>
      </c>
      <c r="I90">
        <f t="shared" ca="1" si="7"/>
        <v>9.2141876729738836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142060</v>
      </c>
      <c r="B93" s="66">
        <v>142060</v>
      </c>
      <c r="D93">
        <f t="shared" si="4"/>
        <v>0.72464433460347577</v>
      </c>
      <c r="E93">
        <f t="shared" si="4"/>
        <v>0.72464433460347577</v>
      </c>
      <c r="G93">
        <f t="shared" ca="1" si="5"/>
        <v>91</v>
      </c>
      <c r="H93">
        <f t="shared" ca="1" si="6"/>
        <v>65.942634448916294</v>
      </c>
      <c r="I93">
        <f t="shared" ca="1" si="7"/>
        <v>0.20563770487293628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142718</v>
      </c>
      <c r="B95" s="66">
        <v>142718</v>
      </c>
      <c r="D95">
        <f t="shared" si="4"/>
        <v>0.72800077534801388</v>
      </c>
      <c r="E95">
        <f t="shared" si="4"/>
        <v>0.72800077534801388</v>
      </c>
      <c r="G95">
        <f t="shared" ca="1" si="5"/>
        <v>93</v>
      </c>
      <c r="H95">
        <f t="shared" ca="1" si="6"/>
        <v>67.704072107365292</v>
      </c>
      <c r="I95">
        <f t="shared" ca="1" si="7"/>
        <v>1.5673469955763009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157711</v>
      </c>
      <c r="B98" s="66">
        <v>157711</v>
      </c>
      <c r="D98">
        <f t="shared" si="4"/>
        <v>0.80447967516998997</v>
      </c>
      <c r="E98">
        <f t="shared" si="4"/>
        <v>0.80447967516998997</v>
      </c>
      <c r="G98">
        <f t="shared" ca="1" si="5"/>
        <v>96</v>
      </c>
      <c r="H98">
        <f t="shared" ca="1" si="6"/>
        <v>77.230048816319041</v>
      </c>
      <c r="I98">
        <f t="shared" ca="1" si="7"/>
        <v>16.05476037914627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159186</v>
      </c>
      <c r="B100" s="66">
        <v>159186</v>
      </c>
      <c r="D100">
        <f t="shared" si="4"/>
        <v>0.81200361148943334</v>
      </c>
      <c r="E100">
        <f t="shared" si="4"/>
        <v>0.81200361148943334</v>
      </c>
      <c r="G100">
        <f t="shared" ca="1" si="5"/>
        <v>98</v>
      </c>
      <c r="H100">
        <f t="shared" ca="1" si="6"/>
        <v>79.576353925964469</v>
      </c>
      <c r="I100">
        <f t="shared" ca="1" si="7"/>
        <v>33.962757900372424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163878</v>
      </c>
      <c r="B103" s="66">
        <v>163878</v>
      </c>
      <c r="D103">
        <f t="shared" si="4"/>
        <v>0.83593738044592714</v>
      </c>
      <c r="E103">
        <f t="shared" si="4"/>
        <v>0.83593738044592714</v>
      </c>
      <c r="G103">
        <f t="shared" ca="1" si="5"/>
        <v>101</v>
      </c>
      <c r="H103">
        <f t="shared" ca="1" si="6"/>
        <v>84.429675425038639</v>
      </c>
      <c r="I103">
        <f t="shared" ca="1" si="7"/>
        <v>74.92475366140529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173040</v>
      </c>
      <c r="B106" s="66">
        <v>173040</v>
      </c>
      <c r="D106">
        <f t="shared" si="4"/>
        <v>0.88267250218066629</v>
      </c>
      <c r="E106">
        <f t="shared" si="4"/>
        <v>0.88267250218066629</v>
      </c>
      <c r="G106">
        <f t="shared" ca="1" si="5"/>
        <v>104</v>
      </c>
      <c r="H106">
        <f t="shared" ca="1" si="6"/>
        <v>91.797940226789294</v>
      </c>
      <c r="I106">
        <f t="shared" ca="1" si="7"/>
        <v>137.19676943167693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186720</v>
      </c>
      <c r="B108" s="66">
        <v>186720</v>
      </c>
      <c r="D108">
        <f t="shared" si="4"/>
        <v>0.95245382343489371</v>
      </c>
      <c r="E108">
        <f t="shared" si="4"/>
        <v>0.95245382343489371</v>
      </c>
      <c r="G108">
        <f t="shared" ca="1" si="5"/>
        <v>106</v>
      </c>
      <c r="H108">
        <f t="shared" ca="1" si="6"/>
        <v>100.96010528409873</v>
      </c>
      <c r="I108">
        <f t="shared" ca="1" si="7"/>
        <v>199.35101238237758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194310</v>
      </c>
      <c r="B111" s="66">
        <v>194310</v>
      </c>
      <c r="D111">
        <f t="shared" si="4"/>
        <v>0.99117021439392783</v>
      </c>
      <c r="E111">
        <f t="shared" si="4"/>
        <v>0.99117021439392783</v>
      </c>
      <c r="G111">
        <f t="shared" ca="1" si="5"/>
        <v>109</v>
      </c>
      <c r="H111">
        <f t="shared" ca="1" si="6"/>
        <v>108.03755336893813</v>
      </c>
      <c r="I111">
        <f t="shared" ca="1" si="7"/>
        <v>302.41227923587894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195286</v>
      </c>
      <c r="B113" s="66">
        <v>195286</v>
      </c>
      <c r="D113">
        <f t="shared" si="4"/>
        <v>0.99614876479920011</v>
      </c>
      <c r="E113">
        <f t="shared" si="4"/>
        <v>0.99614876479920011</v>
      </c>
      <c r="G113">
        <f t="shared" ca="1" si="5"/>
        <v>111</v>
      </c>
      <c r="H113">
        <f t="shared" ca="1" si="6"/>
        <v>110.57251289271122</v>
      </c>
      <c r="I113">
        <f t="shared" ca="1" si="7"/>
        <v>377.51594824569861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196041</v>
      </c>
      <c r="B116" s="66">
        <v>196041</v>
      </c>
      <c r="D116">
        <f t="shared" si="4"/>
        <v>1</v>
      </c>
      <c r="E116">
        <f t="shared" si="4"/>
        <v>1</v>
      </c>
      <c r="G116">
        <f t="shared" ca="1" si="5"/>
        <v>114</v>
      </c>
      <c r="H116">
        <f t="shared" ca="1" si="6"/>
        <v>114</v>
      </c>
      <c r="I116">
        <f t="shared" ca="1" si="7"/>
        <v>504.77922609784866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185624</v>
      </c>
      <c r="B118" s="66">
        <v>185624</v>
      </c>
      <c r="D118">
        <f t="shared" si="4"/>
        <v>0.94686315617651406</v>
      </c>
      <c r="E118">
        <f t="shared" si="4"/>
        <v>0.94686315617651406</v>
      </c>
      <c r="G118">
        <f t="shared" ca="1" si="5"/>
        <v>116</v>
      </c>
      <c r="H118">
        <f t="shared" ca="1" si="6"/>
        <v>109.83612611647563</v>
      </c>
      <c r="I118">
        <f t="shared" ca="1" si="7"/>
        <v>566.83810924808802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168601</v>
      </c>
      <c r="B121" s="66">
        <v>168601</v>
      </c>
      <c r="D121">
        <f t="shared" si="4"/>
        <v>0.86002927958947362</v>
      </c>
      <c r="E121">
        <f t="shared" si="4"/>
        <v>0.86002927958947362</v>
      </c>
      <c r="G121">
        <f t="shared" ca="1" si="5"/>
        <v>119</v>
      </c>
      <c r="H121">
        <f t="shared" ca="1" si="6"/>
        <v>102.34348427114736</v>
      </c>
      <c r="I121">
        <f t="shared" ca="1" si="7"/>
        <v>648.85093881006685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153753</v>
      </c>
      <c r="B124" s="66">
        <v>153753</v>
      </c>
      <c r="D124">
        <f t="shared" si="4"/>
        <v>0.78429002096500222</v>
      </c>
      <c r="E124">
        <f t="shared" si="4"/>
        <v>0.78429002096500222</v>
      </c>
      <c r="G124">
        <f t="shared" ca="1" si="5"/>
        <v>122</v>
      </c>
      <c r="H124">
        <f t="shared" ca="1" si="6"/>
        <v>95.683382557730269</v>
      </c>
      <c r="I124">
        <f t="shared" ca="1" si="7"/>
        <v>728.02184232775733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142573</v>
      </c>
      <c r="B126" s="66">
        <v>142573</v>
      </c>
      <c r="D126">
        <f t="shared" si="4"/>
        <v>0.7272611341505093</v>
      </c>
      <c r="E126">
        <f t="shared" si="4"/>
        <v>0.7272611341505093</v>
      </c>
      <c r="G126">
        <f t="shared" ca="1" si="5"/>
        <v>124</v>
      </c>
      <c r="H126">
        <f t="shared" ca="1" si="6"/>
        <v>90.180380634663152</v>
      </c>
      <c r="I126">
        <f t="shared" ca="1" si="7"/>
        <v>766.624196378085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125598</v>
      </c>
      <c r="B129" s="66">
        <v>125598</v>
      </c>
      <c r="D129">
        <f t="shared" si="4"/>
        <v>0.64067210430471178</v>
      </c>
      <c r="E129">
        <f t="shared" si="4"/>
        <v>0.64067210430471178</v>
      </c>
      <c r="G129">
        <f t="shared" ca="1" si="5"/>
        <v>127</v>
      </c>
      <c r="H129">
        <f t="shared" ca="1" si="6"/>
        <v>81.365357246698395</v>
      </c>
      <c r="I129">
        <f t="shared" ca="1" si="7"/>
        <v>805.9199089930645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116069</v>
      </c>
      <c r="B131" s="66">
        <v>116069</v>
      </c>
      <c r="D131">
        <f t="shared" ref="D131:E194" si="8">IFERROR( A131/MAX(A$2:A$257), 0 )</f>
        <v>0.5920649251942196</v>
      </c>
      <c r="E131">
        <f t="shared" si="8"/>
        <v>0.5920649251942196</v>
      </c>
      <c r="G131">
        <f t="shared" ref="G131:G194" ca="1" si="9">CELL("row",D131)-2</f>
        <v>129</v>
      </c>
      <c r="H131">
        <f t="shared" ref="H131:H194" ca="1" si="10">D131*G131</f>
        <v>76.376375350054332</v>
      </c>
      <c r="I131">
        <f t="shared" ref="I131:I194" ca="1" si="11">D131*((G131-$L$1)^2)</f>
        <v>831.13955606386389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106651</v>
      </c>
      <c r="B134" s="66">
        <v>106651</v>
      </c>
      <c r="D134">
        <f t="shared" si="8"/>
        <v>0.54402395417285154</v>
      </c>
      <c r="E134">
        <f t="shared" si="8"/>
        <v>0.54402395417285154</v>
      </c>
      <c r="G134">
        <f t="shared" ca="1" si="9"/>
        <v>132</v>
      </c>
      <c r="H134">
        <f t="shared" ca="1" si="10"/>
        <v>71.811161950816398</v>
      </c>
      <c r="I134">
        <f t="shared" ca="1" si="11"/>
        <v>890.8945800180071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89152</v>
      </c>
      <c r="B136" s="66">
        <v>89152</v>
      </c>
      <c r="D136">
        <f t="shared" si="8"/>
        <v>0.45476201406848565</v>
      </c>
      <c r="E136">
        <f t="shared" si="8"/>
        <v>0.45476201406848565</v>
      </c>
      <c r="G136">
        <f t="shared" ca="1" si="9"/>
        <v>134</v>
      </c>
      <c r="H136">
        <f t="shared" ca="1" si="10"/>
        <v>60.938109885177077</v>
      </c>
      <c r="I136">
        <f t="shared" ca="1" si="11"/>
        <v>820.15006816332243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70115</v>
      </c>
      <c r="B139" s="66">
        <v>70115</v>
      </c>
      <c r="D139">
        <f t="shared" si="8"/>
        <v>0.35765477629679504</v>
      </c>
      <c r="E139">
        <f t="shared" si="8"/>
        <v>0.35765477629679504</v>
      </c>
      <c r="G139">
        <f t="shared" ca="1" si="9"/>
        <v>137</v>
      </c>
      <c r="H139">
        <f t="shared" ca="1" si="10"/>
        <v>48.998704352660923</v>
      </c>
      <c r="I139">
        <f t="shared" ca="1" si="11"/>
        <v>739.37066134837437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57181</v>
      </c>
      <c r="B142" s="66">
        <v>57181</v>
      </c>
      <c r="D142">
        <f t="shared" si="8"/>
        <v>0.29167878147938442</v>
      </c>
      <c r="E142">
        <f t="shared" si="8"/>
        <v>0.29167878147938442</v>
      </c>
      <c r="G142">
        <f t="shared" ca="1" si="9"/>
        <v>140</v>
      </c>
      <c r="H142">
        <f t="shared" ca="1" si="10"/>
        <v>40.835029407113822</v>
      </c>
      <c r="I142">
        <f t="shared" ca="1" si="11"/>
        <v>685.17633375359685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47137</v>
      </c>
      <c r="B144" s="66">
        <v>47137</v>
      </c>
      <c r="D144">
        <f t="shared" si="8"/>
        <v>0.24044460087430691</v>
      </c>
      <c r="E144">
        <f t="shared" si="8"/>
        <v>0.24044460087430691</v>
      </c>
      <c r="G144">
        <f t="shared" ca="1" si="9"/>
        <v>142</v>
      </c>
      <c r="H144">
        <f t="shared" ca="1" si="10"/>
        <v>34.143133324151584</v>
      </c>
      <c r="I144">
        <f t="shared" ca="1" si="11"/>
        <v>612.39979874328606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38902</v>
      </c>
      <c r="B147" s="66">
        <v>38902</v>
      </c>
      <c r="D147">
        <f t="shared" si="8"/>
        <v>0.19843808182982131</v>
      </c>
      <c r="E147">
        <f t="shared" si="8"/>
        <v>0.19843808182982131</v>
      </c>
      <c r="G147">
        <f t="shared" ca="1" si="9"/>
        <v>145</v>
      </c>
      <c r="H147">
        <f t="shared" ca="1" si="10"/>
        <v>28.773521865324089</v>
      </c>
      <c r="I147">
        <f t="shared" ca="1" si="11"/>
        <v>567.2851348318128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30690</v>
      </c>
      <c r="B149" s="66">
        <v>30690</v>
      </c>
      <c r="D149">
        <f t="shared" si="8"/>
        <v>0.15654888518218127</v>
      </c>
      <c r="E149">
        <f t="shared" si="8"/>
        <v>0.15654888518218127</v>
      </c>
      <c r="G149">
        <f t="shared" ca="1" si="9"/>
        <v>147</v>
      </c>
      <c r="H149">
        <f t="shared" ca="1" si="10"/>
        <v>23.012686121780646</v>
      </c>
      <c r="I149">
        <f t="shared" ca="1" si="11"/>
        <v>481.64151285033131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25041</v>
      </c>
      <c r="B152" s="66">
        <v>25041</v>
      </c>
      <c r="D152">
        <f t="shared" si="8"/>
        <v>0.12773348432215709</v>
      </c>
      <c r="E152">
        <f t="shared" si="8"/>
        <v>0.12773348432215709</v>
      </c>
      <c r="G152">
        <f t="shared" ca="1" si="9"/>
        <v>150</v>
      </c>
      <c r="H152">
        <f t="shared" ca="1" si="10"/>
        <v>19.160022648323562</v>
      </c>
      <c r="I152">
        <f t="shared" ca="1" si="11"/>
        <v>436.64724368933906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19964</v>
      </c>
      <c r="B154" s="66">
        <v>19964</v>
      </c>
      <c r="D154">
        <f t="shared" si="8"/>
        <v>0.10183584046194419</v>
      </c>
      <c r="E154">
        <f t="shared" si="8"/>
        <v>0.10183584046194419</v>
      </c>
      <c r="G154">
        <f t="shared" ca="1" si="9"/>
        <v>152</v>
      </c>
      <c r="H154">
        <f t="shared" ca="1" si="10"/>
        <v>15.479047750215516</v>
      </c>
      <c r="I154">
        <f t="shared" ca="1" si="11"/>
        <v>372.34171601232271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16297</v>
      </c>
      <c r="B157" s="66">
        <v>16297</v>
      </c>
      <c r="D157">
        <f t="shared" si="8"/>
        <v>8.3130569625741557E-2</v>
      </c>
      <c r="E157">
        <f t="shared" si="8"/>
        <v>8.3130569625741557E-2</v>
      </c>
      <c r="G157">
        <f t="shared" ca="1" si="9"/>
        <v>155</v>
      </c>
      <c r="H157">
        <f t="shared" ca="1" si="10"/>
        <v>12.885238291989941</v>
      </c>
      <c r="I157">
        <f t="shared" ca="1" si="11"/>
        <v>334.85801472849045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13045</v>
      </c>
      <c r="B160" s="66">
        <v>13045</v>
      </c>
      <c r="D160">
        <f t="shared" si="8"/>
        <v>6.6542202906534856E-2</v>
      </c>
      <c r="E160">
        <f t="shared" si="8"/>
        <v>6.6542202906534856E-2</v>
      </c>
      <c r="G160">
        <f t="shared" ca="1" si="9"/>
        <v>158</v>
      </c>
      <c r="H160">
        <f t="shared" ca="1" si="10"/>
        <v>10.513668059232508</v>
      </c>
      <c r="I160">
        <f t="shared" ca="1" si="11"/>
        <v>293.97686170135114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10391</v>
      </c>
      <c r="B162" s="66">
        <v>10391</v>
      </c>
      <c r="D162">
        <f t="shared" si="8"/>
        <v>5.3004218505312665E-2</v>
      </c>
      <c r="E162">
        <f t="shared" si="8"/>
        <v>5.3004218505312665E-2</v>
      </c>
      <c r="G162">
        <f t="shared" ca="1" si="9"/>
        <v>160</v>
      </c>
      <c r="H162">
        <f t="shared" ca="1" si="10"/>
        <v>8.4806749608500258</v>
      </c>
      <c r="I162">
        <f t="shared" ca="1" si="11"/>
        <v>248.47159192545027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6228</v>
      </c>
      <c r="B165" s="66">
        <v>6228</v>
      </c>
      <c r="D165">
        <f t="shared" si="8"/>
        <v>3.1768864676266696E-2</v>
      </c>
      <c r="E165">
        <f t="shared" si="8"/>
        <v>3.1768864676266696E-2</v>
      </c>
      <c r="G165">
        <f t="shared" ca="1" si="9"/>
        <v>163</v>
      </c>
      <c r="H165">
        <f t="shared" ca="1" si="10"/>
        <v>5.1783249422314714</v>
      </c>
      <c r="I165">
        <f t="shared" ca="1" si="11"/>
        <v>162.26182334194388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4260</v>
      </c>
      <c r="B167" s="66">
        <v>4260</v>
      </c>
      <c r="D167">
        <f t="shared" si="8"/>
        <v>2.1730148285307664E-2</v>
      </c>
      <c r="E167">
        <f t="shared" si="8"/>
        <v>2.1730148285307664E-2</v>
      </c>
      <c r="G167">
        <f t="shared" ca="1" si="9"/>
        <v>165</v>
      </c>
      <c r="H167">
        <f t="shared" ca="1" si="10"/>
        <v>3.5854744670757648</v>
      </c>
      <c r="I167">
        <f t="shared" ca="1" si="11"/>
        <v>117.28723777418855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2742</v>
      </c>
      <c r="B170" s="66">
        <v>2742</v>
      </c>
      <c r="D170">
        <f t="shared" si="8"/>
        <v>1.398687009350085E-2</v>
      </c>
      <c r="E170">
        <f t="shared" si="8"/>
        <v>1.398687009350085E-2</v>
      </c>
      <c r="G170">
        <f t="shared" ca="1" si="9"/>
        <v>168</v>
      </c>
      <c r="H170">
        <f t="shared" ca="1" si="10"/>
        <v>2.3497941757081429</v>
      </c>
      <c r="I170">
        <f t="shared" ca="1" si="11"/>
        <v>81.784681413550771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1739</v>
      </c>
      <c r="B173" s="66">
        <v>1739</v>
      </c>
      <c r="D173">
        <f t="shared" si="8"/>
        <v>8.8705933962793491E-3</v>
      </c>
      <c r="E173">
        <f t="shared" si="8"/>
        <v>8.8705933962793491E-3</v>
      </c>
      <c r="G173">
        <f t="shared" ca="1" si="9"/>
        <v>171</v>
      </c>
      <c r="H173">
        <f t="shared" ca="1" si="10"/>
        <v>1.5168714707637687</v>
      </c>
      <c r="I173">
        <f t="shared" ca="1" si="11"/>
        <v>56.018245754009584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627</v>
      </c>
      <c r="B175" s="66">
        <v>627</v>
      </c>
      <c r="D175">
        <f t="shared" si="8"/>
        <v>3.1983105574854239E-3</v>
      </c>
      <c r="E175">
        <f t="shared" si="8"/>
        <v>3.1983105574854239E-3</v>
      </c>
      <c r="G175">
        <f t="shared" ca="1" si="9"/>
        <v>173</v>
      </c>
      <c r="H175">
        <f t="shared" ca="1" si="10"/>
        <v>0.55330772644497839</v>
      </c>
      <c r="I175">
        <f t="shared" ca="1" si="11"/>
        <v>21.226930425208796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162</v>
      </c>
      <c r="B178" s="66">
        <v>162</v>
      </c>
      <c r="D178">
        <f t="shared" si="8"/>
        <v>8.2635775169479853E-4</v>
      </c>
      <c r="E178">
        <f t="shared" si="8"/>
        <v>8.2635775169479853E-4</v>
      </c>
      <c r="G178">
        <f t="shared" ca="1" si="9"/>
        <v>176</v>
      </c>
      <c r="H178">
        <f t="shared" ca="1" si="10"/>
        <v>0.14543896429828454</v>
      </c>
      <c r="I178">
        <f t="shared" ca="1" si="11"/>
        <v>5.8958340531004891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0</v>
      </c>
      <c r="B180" s="66">
        <v>0</v>
      </c>
      <c r="D180">
        <f t="shared" si="8"/>
        <v>0</v>
      </c>
      <c r="E180">
        <f t="shared" si="8"/>
        <v>0</v>
      </c>
      <c r="G180">
        <f t="shared" ca="1" si="9"/>
        <v>178</v>
      </c>
      <c r="H180">
        <f t="shared" ca="1" si="10"/>
        <v>0</v>
      </c>
      <c r="I180">
        <f t="shared" ca="1" si="11"/>
        <v>0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0</v>
      </c>
      <c r="B183" s="66">
        <v>0</v>
      </c>
      <c r="D183">
        <f t="shared" si="8"/>
        <v>0</v>
      </c>
      <c r="E183">
        <f t="shared" si="8"/>
        <v>0</v>
      </c>
      <c r="G183">
        <f t="shared" ca="1" si="9"/>
        <v>181</v>
      </c>
      <c r="H183">
        <f t="shared" ca="1" si="10"/>
        <v>0</v>
      </c>
      <c r="I183">
        <f t="shared" ca="1" si="11"/>
        <v>0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0</v>
      </c>
      <c r="B185" s="66">
        <v>0</v>
      </c>
      <c r="D185">
        <f t="shared" si="8"/>
        <v>0</v>
      </c>
      <c r="E185">
        <f t="shared" si="8"/>
        <v>0</v>
      </c>
      <c r="G185">
        <f t="shared" ca="1" si="9"/>
        <v>183</v>
      </c>
      <c r="H185">
        <f t="shared" ca="1" si="10"/>
        <v>0</v>
      </c>
      <c r="I185">
        <f t="shared" ca="1" si="11"/>
        <v>0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0</v>
      </c>
      <c r="B188" s="66">
        <v>0</v>
      </c>
      <c r="D188">
        <f t="shared" si="8"/>
        <v>0</v>
      </c>
      <c r="E188">
        <f t="shared" si="8"/>
        <v>0</v>
      </c>
      <c r="G188">
        <f t="shared" ca="1" si="9"/>
        <v>186</v>
      </c>
      <c r="H188">
        <f t="shared" ca="1" si="10"/>
        <v>0</v>
      </c>
      <c r="I188">
        <f t="shared" ca="1" si="11"/>
        <v>0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0</v>
      </c>
      <c r="B191" s="66">
        <v>0</v>
      </c>
      <c r="D191">
        <f t="shared" si="8"/>
        <v>0</v>
      </c>
      <c r="E191">
        <f t="shared" si="8"/>
        <v>0</v>
      </c>
      <c r="G191">
        <f t="shared" ca="1" si="9"/>
        <v>189</v>
      </c>
      <c r="H191">
        <f t="shared" ca="1" si="10"/>
        <v>0</v>
      </c>
      <c r="I191">
        <f t="shared" ca="1" si="11"/>
        <v>0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0</v>
      </c>
      <c r="B193" s="66">
        <v>0</v>
      </c>
      <c r="D193">
        <f t="shared" si="8"/>
        <v>0</v>
      </c>
      <c r="E193">
        <f t="shared" si="8"/>
        <v>0</v>
      </c>
      <c r="G193">
        <f t="shared" ca="1" si="9"/>
        <v>191</v>
      </c>
      <c r="H193">
        <f t="shared" ca="1" si="10"/>
        <v>0</v>
      </c>
      <c r="I193">
        <f t="shared" ca="1" si="11"/>
        <v>0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402</v>
      </c>
      <c r="B1" s="66" t="s">
        <v>403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83.039480508362146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1.6032839558026479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0.56106769184915317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286</v>
      </c>
      <c r="B8" s="66">
        <v>286</v>
      </c>
      <c r="D8">
        <f t="shared" si="0"/>
        <v>0.304657207379948</v>
      </c>
      <c r="E8">
        <f t="shared" si="1"/>
        <v>0.304657207379948</v>
      </c>
      <c r="G8">
        <f t="shared" ca="1" si="2"/>
        <v>6</v>
      </c>
      <c r="H8">
        <f t="shared" ca="1" si="3"/>
        <v>1.8279432442796879</v>
      </c>
      <c r="I8">
        <f t="shared" ca="1" si="4"/>
        <v>1808.1653727273392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666</v>
      </c>
      <c r="B10" s="66">
        <v>666</v>
      </c>
      <c r="D10">
        <f t="shared" si="0"/>
        <v>0.70944650389876007</v>
      </c>
      <c r="E10">
        <f t="shared" si="1"/>
        <v>0.70944650389876007</v>
      </c>
      <c r="G10">
        <f t="shared" ca="1" si="2"/>
        <v>8</v>
      </c>
      <c r="H10">
        <f t="shared" ca="1" si="3"/>
        <v>5.6755720311900806</v>
      </c>
      <c r="I10">
        <f t="shared" ca="1" si="4"/>
        <v>3994.8390865467195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501</v>
      </c>
      <c r="B13" s="66">
        <v>501</v>
      </c>
      <c r="D13">
        <f t="shared" si="0"/>
        <v>0.53368273041032854</v>
      </c>
      <c r="E13">
        <f t="shared" si="1"/>
        <v>0.53368273041032854</v>
      </c>
      <c r="G13">
        <f t="shared" ca="1" si="2"/>
        <v>11</v>
      </c>
      <c r="H13">
        <f t="shared" ca="1" si="3"/>
        <v>5.8705100345136136</v>
      </c>
      <c r="I13">
        <f t="shared" ca="1" si="4"/>
        <v>2769.6461957361412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383</v>
      </c>
      <c r="B15" s="66">
        <v>383</v>
      </c>
      <c r="D15">
        <f t="shared" si="0"/>
        <v>0.40798500149132899</v>
      </c>
      <c r="E15">
        <f t="shared" si="1"/>
        <v>0.40798500149132899</v>
      </c>
      <c r="G15">
        <f t="shared" ca="1" si="2"/>
        <v>13</v>
      </c>
      <c r="H15">
        <f t="shared" ca="1" si="3"/>
        <v>5.3038050193872772</v>
      </c>
      <c r="I15">
        <f t="shared" ca="1" si="4"/>
        <v>2001.3821869748556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1420</v>
      </c>
      <c r="B18" s="66">
        <v>1420</v>
      </c>
      <c r="D18">
        <f t="shared" si="0"/>
        <v>1.5126336869913504</v>
      </c>
      <c r="E18">
        <f t="shared" si="1"/>
        <v>1.5126336869913504</v>
      </c>
      <c r="G18">
        <f t="shared" ca="1" si="2"/>
        <v>16</v>
      </c>
      <c r="H18">
        <f t="shared" ca="1" si="3"/>
        <v>24.202138991861606</v>
      </c>
      <c r="I18">
        <f t="shared" ca="1" si="4"/>
        <v>6798.2173979506133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2735</v>
      </c>
      <c r="B21" s="66">
        <v>2735</v>
      </c>
      <c r="D21">
        <f t="shared" si="0"/>
        <v>2.913417699944608</v>
      </c>
      <c r="E21">
        <f t="shared" si="1"/>
        <v>2.913417699944608</v>
      </c>
      <c r="G21">
        <f t="shared" ca="1" si="2"/>
        <v>19</v>
      </c>
      <c r="H21">
        <f t="shared" ca="1" si="3"/>
        <v>55.35493629894755</v>
      </c>
      <c r="I21">
        <f t="shared" ca="1" si="4"/>
        <v>11948.086411266724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3672</v>
      </c>
      <c r="B23" s="66">
        <v>3672</v>
      </c>
      <c r="D23">
        <f t="shared" si="0"/>
        <v>3.9115428863607313</v>
      </c>
      <c r="E23">
        <f t="shared" si="1"/>
        <v>3.9115428863607313</v>
      </c>
      <c r="G23">
        <f t="shared" ca="1" si="2"/>
        <v>21</v>
      </c>
      <c r="H23">
        <f t="shared" ca="1" si="3"/>
        <v>82.142400613575361</v>
      </c>
      <c r="I23">
        <f t="shared" ca="1" si="4"/>
        <v>15055.126235136377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8122</v>
      </c>
      <c r="B26" s="66">
        <v>8122</v>
      </c>
      <c r="D26">
        <f t="shared" si="0"/>
        <v>8.6518385955941888</v>
      </c>
      <c r="E26">
        <f t="shared" si="1"/>
        <v>8.6518385955941888</v>
      </c>
      <c r="G26">
        <f t="shared" ca="1" si="2"/>
        <v>24</v>
      </c>
      <c r="H26">
        <f t="shared" ca="1" si="3"/>
        <v>207.64412629426053</v>
      </c>
      <c r="I26">
        <f t="shared" ca="1" si="4"/>
        <v>30157.3699573259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15841</v>
      </c>
      <c r="B28" s="66">
        <v>15841</v>
      </c>
      <c r="D28">
        <f t="shared" si="0"/>
        <v>16.874387489880267</v>
      </c>
      <c r="E28">
        <f t="shared" si="1"/>
        <v>16.874387489880267</v>
      </c>
      <c r="G28">
        <f t="shared" ca="1" si="2"/>
        <v>26</v>
      </c>
      <c r="H28">
        <f t="shared" ca="1" si="3"/>
        <v>438.73407473688695</v>
      </c>
      <c r="I28">
        <f t="shared" ca="1" si="4"/>
        <v>54900.859128096265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24498</v>
      </c>
      <c r="B31" s="66">
        <v>24498</v>
      </c>
      <c r="D31">
        <f t="shared" si="0"/>
        <v>26.096126805573309</v>
      </c>
      <c r="E31">
        <f t="shared" si="1"/>
        <v>26.096126805573309</v>
      </c>
      <c r="G31">
        <f t="shared" ca="1" si="2"/>
        <v>29</v>
      </c>
      <c r="H31">
        <f t="shared" ca="1" si="3"/>
        <v>756.78767736162592</v>
      </c>
      <c r="I31">
        <f t="shared" ca="1" si="4"/>
        <v>76207.617583436935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34993</v>
      </c>
      <c r="B33" s="66">
        <v>34993</v>
      </c>
      <c r="D33">
        <f t="shared" si="0"/>
        <v>37.275768034428395</v>
      </c>
      <c r="E33">
        <f t="shared" si="1"/>
        <v>37.275768034428395</v>
      </c>
      <c r="G33">
        <f t="shared" ca="1" si="2"/>
        <v>31</v>
      </c>
      <c r="H33">
        <f t="shared" ca="1" si="3"/>
        <v>1155.5488090672802</v>
      </c>
      <c r="I33">
        <f t="shared" ca="1" si="4"/>
        <v>100946.78815947214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43388</v>
      </c>
      <c r="B36" s="66">
        <v>43388</v>
      </c>
      <c r="D36">
        <f t="shared" si="0"/>
        <v>46.218415782521625</v>
      </c>
      <c r="E36">
        <f t="shared" si="1"/>
        <v>46.218415782521625</v>
      </c>
      <c r="G36">
        <f t="shared" ca="1" si="2"/>
        <v>34</v>
      </c>
      <c r="H36">
        <f t="shared" ca="1" si="3"/>
        <v>1571.4261366057353</v>
      </c>
      <c r="I36">
        <f t="shared" ca="1" si="4"/>
        <v>111149.31153694339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53845</v>
      </c>
      <c r="B39" s="66">
        <v>53845</v>
      </c>
      <c r="D39">
        <f t="shared" si="0"/>
        <v>57.357578081724832</v>
      </c>
      <c r="E39">
        <f t="shared" si="1"/>
        <v>57.357578081724832</v>
      </c>
      <c r="G39">
        <f t="shared" ca="1" si="2"/>
        <v>37</v>
      </c>
      <c r="H39">
        <f t="shared" ca="1" si="3"/>
        <v>2122.2303890238186</v>
      </c>
      <c r="I39">
        <f t="shared" ca="1" si="4"/>
        <v>121577.05920817138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53350</v>
      </c>
      <c r="B41" s="66">
        <v>53350</v>
      </c>
      <c r="D41">
        <f t="shared" si="0"/>
        <v>56.830286761259536</v>
      </c>
      <c r="E41">
        <f t="shared" si="1"/>
        <v>56.830286761259536</v>
      </c>
      <c r="G41">
        <f t="shared" ca="1" si="2"/>
        <v>39</v>
      </c>
      <c r="H41">
        <f t="shared" ca="1" si="3"/>
        <v>2216.3811836891218</v>
      </c>
      <c r="I41">
        <f t="shared" ca="1" si="4"/>
        <v>110220.96834959516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56682</v>
      </c>
      <c r="B44" s="66">
        <v>56682</v>
      </c>
      <c r="D44">
        <f t="shared" si="0"/>
        <v>60.379649750735013</v>
      </c>
      <c r="E44">
        <f t="shared" si="1"/>
        <v>60.379649750735013</v>
      </c>
      <c r="G44">
        <f t="shared" ca="1" si="2"/>
        <v>42</v>
      </c>
      <c r="H44">
        <f t="shared" ca="1" si="3"/>
        <v>2535.9452895308705</v>
      </c>
      <c r="I44">
        <f t="shared" ca="1" si="4"/>
        <v>101693.75852526682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57554</v>
      </c>
      <c r="B46" s="66">
        <v>57554</v>
      </c>
      <c r="D46">
        <f t="shared" si="0"/>
        <v>61.308534662746602</v>
      </c>
      <c r="E46">
        <f t="shared" si="1"/>
        <v>61.308534662746602</v>
      </c>
      <c r="G46">
        <f t="shared" ca="1" si="2"/>
        <v>44</v>
      </c>
      <c r="H46">
        <f t="shared" ca="1" si="3"/>
        <v>2697.5755251608507</v>
      </c>
      <c r="I46">
        <f t="shared" ca="1" si="4"/>
        <v>93439.175169299822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58829</v>
      </c>
      <c r="B49" s="66">
        <v>58829</v>
      </c>
      <c r="D49">
        <f t="shared" si="0"/>
        <v>62.6667092760663</v>
      </c>
      <c r="E49">
        <f t="shared" si="1"/>
        <v>62.6667092760663</v>
      </c>
      <c r="G49">
        <f t="shared" ca="1" si="2"/>
        <v>47</v>
      </c>
      <c r="H49">
        <f t="shared" ca="1" si="3"/>
        <v>2945.3353359751159</v>
      </c>
      <c r="I49">
        <f t="shared" ca="1" si="4"/>
        <v>81394.289075893554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54786</v>
      </c>
      <c r="B51" s="66">
        <v>54786</v>
      </c>
      <c r="D51">
        <f t="shared" si="0"/>
        <v>58.359964208104309</v>
      </c>
      <c r="E51">
        <f t="shared" si="1"/>
        <v>58.359964208104309</v>
      </c>
      <c r="G51">
        <f t="shared" ca="1" si="2"/>
        <v>49</v>
      </c>
      <c r="H51">
        <f t="shared" ca="1" si="3"/>
        <v>2859.6382461971111</v>
      </c>
      <c r="I51">
        <f t="shared" ca="1" si="4"/>
        <v>67620.887102595356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55372</v>
      </c>
      <c r="B54" s="66">
        <v>55372</v>
      </c>
      <c r="D54">
        <f t="shared" si="0"/>
        <v>58.984191912735952</v>
      </c>
      <c r="E54">
        <f t="shared" si="1"/>
        <v>58.984191912735952</v>
      </c>
      <c r="G54">
        <f t="shared" ca="1" si="2"/>
        <v>52</v>
      </c>
      <c r="H54">
        <f t="shared" ca="1" si="3"/>
        <v>3067.1779794622694</v>
      </c>
      <c r="I54">
        <f t="shared" ca="1" si="4"/>
        <v>56828.281372107711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54892</v>
      </c>
      <c r="B57" s="66">
        <v>54892</v>
      </c>
      <c r="D57">
        <f t="shared" si="0"/>
        <v>58.472879117133239</v>
      </c>
      <c r="E57">
        <f t="shared" si="1"/>
        <v>58.472879117133239</v>
      </c>
      <c r="G57">
        <f t="shared" ca="1" si="2"/>
        <v>55</v>
      </c>
      <c r="H57">
        <f t="shared" ca="1" si="3"/>
        <v>3216.0083514423281</v>
      </c>
      <c r="I57">
        <f t="shared" ca="1" si="4"/>
        <v>45972.106553730264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55609</v>
      </c>
      <c r="B59" s="66">
        <v>55609</v>
      </c>
      <c r="D59">
        <f t="shared" si="0"/>
        <v>59.236652605564785</v>
      </c>
      <c r="E59">
        <f t="shared" si="1"/>
        <v>59.236652605564785</v>
      </c>
      <c r="G59">
        <f t="shared" ca="1" si="2"/>
        <v>57</v>
      </c>
      <c r="H59">
        <f t="shared" ca="1" si="3"/>
        <v>3376.4891985171926</v>
      </c>
      <c r="I59">
        <f t="shared" ca="1" si="4"/>
        <v>40165.681538400655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57062</v>
      </c>
      <c r="B62" s="66">
        <v>57062</v>
      </c>
      <c r="D62">
        <f t="shared" si="0"/>
        <v>60.784439047253827</v>
      </c>
      <c r="E62">
        <f t="shared" si="1"/>
        <v>60.784439047253827</v>
      </c>
      <c r="G62">
        <f t="shared" ca="1" si="2"/>
        <v>60</v>
      </c>
      <c r="H62">
        <f t="shared" ca="1" si="3"/>
        <v>3647.0663428352295</v>
      </c>
      <c r="I62">
        <f t="shared" ca="1" si="4"/>
        <v>32265.453826831417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56344</v>
      </c>
      <c r="B64" s="66">
        <v>56344</v>
      </c>
      <c r="D64">
        <f t="shared" si="0"/>
        <v>60.01960032383144</v>
      </c>
      <c r="E64">
        <f t="shared" si="1"/>
        <v>60.01960032383144</v>
      </c>
      <c r="G64">
        <f t="shared" ca="1" si="2"/>
        <v>62</v>
      </c>
      <c r="H64">
        <f t="shared" ca="1" si="3"/>
        <v>3721.2152200775495</v>
      </c>
      <c r="I64">
        <f t="shared" ca="1" si="4"/>
        <v>26568.260677957391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66338</v>
      </c>
      <c r="B67" s="66">
        <v>66338</v>
      </c>
      <c r="D67">
        <f t="shared" ref="D67:D130" si="5">IFERROR( 100*A67/MAX(A$2:A$257), 0 )</f>
        <v>70.665558822276196</v>
      </c>
      <c r="E67">
        <f t="shared" ref="E67:E130" si="6">IFERROR( 100*B67/MAX(B$2:B$257), 0 )</f>
        <v>70.665558822276196</v>
      </c>
      <c r="G67">
        <f t="shared" ref="G67:G130" ca="1" si="7">CELL("row",D67)-2</f>
        <v>65</v>
      </c>
      <c r="H67">
        <f t="shared" ref="H67:H130" ca="1" si="8">D67*G67</f>
        <v>4593.2613234479531</v>
      </c>
      <c r="I67">
        <f t="shared" ref="I67:I130" ca="1" si="9">D67*((G67-$L$1)^2)</f>
        <v>22996.188044264825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61646</v>
      </c>
      <c r="B69" s="66">
        <v>61646</v>
      </c>
      <c r="D69">
        <f t="shared" si="5"/>
        <v>65.667476245259707</v>
      </c>
      <c r="E69">
        <f t="shared" si="6"/>
        <v>65.667476245259707</v>
      </c>
      <c r="G69">
        <f t="shared" ca="1" si="7"/>
        <v>67</v>
      </c>
      <c r="H69">
        <f t="shared" ca="1" si="8"/>
        <v>4399.7209084324004</v>
      </c>
      <c r="I69">
        <f t="shared" ca="1" si="9"/>
        <v>16893.939006414581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64900</v>
      </c>
      <c r="B72" s="66">
        <v>64900</v>
      </c>
      <c r="D72">
        <f t="shared" si="5"/>
        <v>69.133750905449745</v>
      </c>
      <c r="E72">
        <f t="shared" si="6"/>
        <v>69.133750905449745</v>
      </c>
      <c r="G72">
        <f t="shared" ca="1" si="7"/>
        <v>70</v>
      </c>
      <c r="H72">
        <f t="shared" ca="1" si="8"/>
        <v>4839.3625633814818</v>
      </c>
      <c r="I72">
        <f t="shared" ca="1" si="9"/>
        <v>11754.676988926209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60578</v>
      </c>
      <c r="B75" s="66">
        <v>60578</v>
      </c>
      <c r="D75">
        <f t="shared" si="5"/>
        <v>64.529805275043671</v>
      </c>
      <c r="E75">
        <f t="shared" si="6"/>
        <v>64.529805275043671</v>
      </c>
      <c r="G75">
        <f t="shared" ca="1" si="7"/>
        <v>73</v>
      </c>
      <c r="H75">
        <f t="shared" ca="1" si="8"/>
        <v>4710.6757850781878</v>
      </c>
      <c r="I75">
        <f t="shared" ca="1" si="9"/>
        <v>6504.0345011274085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62130</v>
      </c>
      <c r="B77" s="66">
        <v>62130</v>
      </c>
      <c r="D77">
        <f t="shared" si="5"/>
        <v>66.183049980825771</v>
      </c>
      <c r="E77">
        <f t="shared" si="6"/>
        <v>66.183049980825771</v>
      </c>
      <c r="G77">
        <f t="shared" ca="1" si="7"/>
        <v>75</v>
      </c>
      <c r="H77">
        <f t="shared" ca="1" si="8"/>
        <v>4963.7287485619327</v>
      </c>
      <c r="I77">
        <f t="shared" ca="1" si="9"/>
        <v>4277.6254063216647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59497</v>
      </c>
      <c r="B80" s="66">
        <v>59497</v>
      </c>
      <c r="D80">
        <f t="shared" si="5"/>
        <v>63.37828624994674</v>
      </c>
      <c r="E80">
        <f t="shared" si="6"/>
        <v>63.37828624994674</v>
      </c>
      <c r="G80">
        <f t="shared" ca="1" si="7"/>
        <v>78</v>
      </c>
      <c r="H80">
        <f t="shared" ca="1" si="8"/>
        <v>4943.5063274958457</v>
      </c>
      <c r="I80">
        <f t="shared" ca="1" si="9"/>
        <v>1609.5780142541823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67679</v>
      </c>
      <c r="B82" s="66">
        <v>67679</v>
      </c>
      <c r="D82">
        <f t="shared" si="5"/>
        <v>72.094038944991269</v>
      </c>
      <c r="E82">
        <f t="shared" si="6"/>
        <v>72.094038944991269</v>
      </c>
      <c r="G82">
        <f t="shared" ca="1" si="7"/>
        <v>80</v>
      </c>
      <c r="H82">
        <f t="shared" ca="1" si="8"/>
        <v>5767.5231155993015</v>
      </c>
      <c r="I82">
        <f t="shared" ca="1" si="9"/>
        <v>666.03658008790649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67104</v>
      </c>
      <c r="B85" s="66">
        <v>67104</v>
      </c>
      <c r="D85">
        <f t="shared" si="5"/>
        <v>71.481528825258849</v>
      </c>
      <c r="E85">
        <f t="shared" si="6"/>
        <v>71.481528825258849</v>
      </c>
      <c r="G85">
        <f t="shared" ca="1" si="7"/>
        <v>83</v>
      </c>
      <c r="H85">
        <f t="shared" ca="1" si="8"/>
        <v>5932.9668924964844</v>
      </c>
      <c r="I85">
        <f t="shared" ca="1" si="9"/>
        <v>0.11141901243338068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68997</v>
      </c>
      <c r="B88" s="66">
        <v>68997</v>
      </c>
      <c r="D88">
        <f t="shared" si="5"/>
        <v>73.498018662917033</v>
      </c>
      <c r="E88">
        <f t="shared" si="6"/>
        <v>73.498018662917033</v>
      </c>
      <c r="G88">
        <f t="shared" ca="1" si="7"/>
        <v>86</v>
      </c>
      <c r="H88">
        <f t="shared" ca="1" si="8"/>
        <v>6320.8296050108647</v>
      </c>
      <c r="I88">
        <f t="shared" ca="1" si="9"/>
        <v>644.18629526011671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68573</v>
      </c>
      <c r="B90" s="66">
        <v>68573</v>
      </c>
      <c r="D90">
        <f t="shared" si="5"/>
        <v>73.046359026801312</v>
      </c>
      <c r="E90">
        <f t="shared" si="6"/>
        <v>73.046359026801312</v>
      </c>
      <c r="G90">
        <f t="shared" ca="1" si="7"/>
        <v>88</v>
      </c>
      <c r="H90">
        <f t="shared" ca="1" si="8"/>
        <v>6428.0795943585154</v>
      </c>
      <c r="I90">
        <f t="shared" ca="1" si="9"/>
        <v>1797.4337599159758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70168</v>
      </c>
      <c r="B93" s="66">
        <v>70168</v>
      </c>
      <c r="D93">
        <f t="shared" si="5"/>
        <v>74.745408837189487</v>
      </c>
      <c r="E93">
        <f t="shared" si="6"/>
        <v>74.745408837189487</v>
      </c>
      <c r="G93">
        <f t="shared" ca="1" si="7"/>
        <v>91</v>
      </c>
      <c r="H93">
        <f t="shared" ca="1" si="8"/>
        <v>6801.832204184243</v>
      </c>
      <c r="I93">
        <f t="shared" ca="1" si="9"/>
        <v>4736.6068842186787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77126</v>
      </c>
      <c r="B95" s="66">
        <v>77126</v>
      </c>
      <c r="D95">
        <f t="shared" si="5"/>
        <v>82.157313903447104</v>
      </c>
      <c r="E95">
        <f t="shared" si="6"/>
        <v>82.157313903447104</v>
      </c>
      <c r="G95">
        <f t="shared" ca="1" si="7"/>
        <v>93</v>
      </c>
      <c r="H95">
        <f t="shared" ca="1" si="8"/>
        <v>7640.6301930205809</v>
      </c>
      <c r="I95">
        <f t="shared" ca="1" si="9"/>
        <v>8150.9871994443429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85736</v>
      </c>
      <c r="B98" s="66">
        <v>85736</v>
      </c>
      <c r="D98">
        <f t="shared" si="5"/>
        <v>91.328987174570713</v>
      </c>
      <c r="E98">
        <f t="shared" si="6"/>
        <v>91.328987174570713</v>
      </c>
      <c r="G98">
        <f t="shared" ca="1" si="7"/>
        <v>96</v>
      </c>
      <c r="H98">
        <f t="shared" ca="1" si="8"/>
        <v>8767.582768758788</v>
      </c>
      <c r="I98">
        <f t="shared" ca="1" si="9"/>
        <v>15340.992602069264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78668</v>
      </c>
      <c r="B100" s="66">
        <v>78668</v>
      </c>
      <c r="D100">
        <f t="shared" si="5"/>
        <v>83.799906259320807</v>
      </c>
      <c r="E100">
        <f t="shared" si="6"/>
        <v>83.799906259320807</v>
      </c>
      <c r="G100">
        <f t="shared" ca="1" si="7"/>
        <v>98</v>
      </c>
      <c r="H100">
        <f t="shared" ca="1" si="8"/>
        <v>8212.3908134134399</v>
      </c>
      <c r="I100">
        <f t="shared" ca="1" si="9"/>
        <v>18755.855641149818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87629</v>
      </c>
      <c r="B103" s="66">
        <v>87629</v>
      </c>
      <c r="D103">
        <f t="shared" si="5"/>
        <v>93.345477012228898</v>
      </c>
      <c r="E103">
        <f t="shared" si="6"/>
        <v>93.345477012228898</v>
      </c>
      <c r="G103">
        <f t="shared" ca="1" si="7"/>
        <v>101</v>
      </c>
      <c r="H103">
        <f t="shared" ca="1" si="8"/>
        <v>9427.8931782351192</v>
      </c>
      <c r="I103">
        <f t="shared" ca="1" si="9"/>
        <v>30111.408282654098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88987</v>
      </c>
      <c r="B106" s="66">
        <v>88987</v>
      </c>
      <c r="D106">
        <f t="shared" si="5"/>
        <v>94.792066129788225</v>
      </c>
      <c r="E106">
        <f t="shared" si="6"/>
        <v>94.792066129788225</v>
      </c>
      <c r="G106">
        <f t="shared" ca="1" si="7"/>
        <v>104</v>
      </c>
      <c r="H106">
        <f t="shared" ca="1" si="8"/>
        <v>9858.3748774979758</v>
      </c>
      <c r="I106">
        <f t="shared" ca="1" si="9"/>
        <v>41646.266480330145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92344</v>
      </c>
      <c r="B108" s="66">
        <v>92344</v>
      </c>
      <c r="D108">
        <f t="shared" si="5"/>
        <v>98.368059994034681</v>
      </c>
      <c r="E108">
        <f t="shared" si="6"/>
        <v>98.368059994034681</v>
      </c>
      <c r="G108">
        <f t="shared" ca="1" si="7"/>
        <v>106</v>
      </c>
      <c r="H108">
        <f t="shared" ca="1" si="8"/>
        <v>10427.014359367677</v>
      </c>
      <c r="I108">
        <f t="shared" ca="1" si="9"/>
        <v>51858.210497478831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93616</v>
      </c>
      <c r="B111" s="66">
        <v>93616</v>
      </c>
      <c r="D111">
        <f t="shared" si="5"/>
        <v>99.723038902381859</v>
      </c>
      <c r="E111">
        <f t="shared" si="6"/>
        <v>99.723038902381859</v>
      </c>
      <c r="G111">
        <f t="shared" ca="1" si="7"/>
        <v>109</v>
      </c>
      <c r="H111">
        <f t="shared" ca="1" si="8"/>
        <v>10869.811240359622</v>
      </c>
      <c r="I111">
        <f t="shared" ca="1" si="9"/>
        <v>67208.199691255228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93876</v>
      </c>
      <c r="B113" s="66">
        <v>93876</v>
      </c>
      <c r="D113">
        <f t="shared" si="5"/>
        <v>100</v>
      </c>
      <c r="E113">
        <f t="shared" si="6"/>
        <v>100</v>
      </c>
      <c r="G113">
        <f t="shared" ca="1" si="7"/>
        <v>111</v>
      </c>
      <c r="H113">
        <f t="shared" ca="1" si="8"/>
        <v>11100</v>
      </c>
      <c r="I113">
        <f t="shared" ca="1" si="9"/>
        <v>78179.065024226031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85929</v>
      </c>
      <c r="B116" s="66">
        <v>85929</v>
      </c>
      <c r="D116">
        <f t="shared" si="5"/>
        <v>91.534577527802639</v>
      </c>
      <c r="E116">
        <f t="shared" si="6"/>
        <v>91.534577527802639</v>
      </c>
      <c r="G116">
        <f t="shared" ca="1" si="7"/>
        <v>114</v>
      </c>
      <c r="H116">
        <f t="shared" ca="1" si="8"/>
        <v>10434.941838169501</v>
      </c>
      <c r="I116">
        <f t="shared" ca="1" si="9"/>
        <v>87740.814117611415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73708</v>
      </c>
      <c r="B118" s="66">
        <v>73708</v>
      </c>
      <c r="D118">
        <f t="shared" si="5"/>
        <v>78.516340704759472</v>
      </c>
      <c r="E118">
        <f t="shared" si="6"/>
        <v>78.516340704759472</v>
      </c>
      <c r="G118">
        <f t="shared" ca="1" si="7"/>
        <v>116</v>
      </c>
      <c r="H118">
        <f t="shared" ca="1" si="8"/>
        <v>9107.8955217520979</v>
      </c>
      <c r="I118">
        <f t="shared" ca="1" si="9"/>
        <v>85299.82631871081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59549</v>
      </c>
      <c r="B121" s="66">
        <v>59549</v>
      </c>
      <c r="D121">
        <f t="shared" si="5"/>
        <v>63.433678469470365</v>
      </c>
      <c r="E121">
        <f t="shared" si="6"/>
        <v>63.433678469470365</v>
      </c>
      <c r="G121">
        <f t="shared" ca="1" si="7"/>
        <v>119</v>
      </c>
      <c r="H121">
        <f t="shared" ca="1" si="8"/>
        <v>7548.6077378669734</v>
      </c>
      <c r="I121">
        <f t="shared" ca="1" si="9"/>
        <v>82029.829812302443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47078</v>
      </c>
      <c r="B124" s="66">
        <v>47078</v>
      </c>
      <c r="D124">
        <f t="shared" si="5"/>
        <v>50.149132898717454</v>
      </c>
      <c r="E124">
        <f t="shared" si="6"/>
        <v>50.149132898717454</v>
      </c>
      <c r="G124">
        <f t="shared" ca="1" si="7"/>
        <v>122</v>
      </c>
      <c r="H124">
        <f t="shared" ca="1" si="8"/>
        <v>6118.1942136435291</v>
      </c>
      <c r="I124">
        <f t="shared" ca="1" si="9"/>
        <v>76122.476072591846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42710</v>
      </c>
      <c r="B126" s="66">
        <v>42710</v>
      </c>
      <c r="D126">
        <f t="shared" si="5"/>
        <v>45.496186458732794</v>
      </c>
      <c r="E126">
        <f t="shared" si="6"/>
        <v>45.496186458732794</v>
      </c>
      <c r="G126">
        <f t="shared" ca="1" si="7"/>
        <v>124</v>
      </c>
      <c r="H126">
        <f t="shared" ca="1" si="8"/>
        <v>5641.5271208828663</v>
      </c>
      <c r="I126">
        <f t="shared" ca="1" si="9"/>
        <v>76331.870921780966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34981</v>
      </c>
      <c r="B129" s="66">
        <v>34981</v>
      </c>
      <c r="D129">
        <f t="shared" si="5"/>
        <v>37.262985214538325</v>
      </c>
      <c r="E129">
        <f t="shared" si="6"/>
        <v>37.262985214538325</v>
      </c>
      <c r="G129">
        <f t="shared" ca="1" si="7"/>
        <v>127</v>
      </c>
      <c r="H129">
        <f t="shared" ca="1" si="8"/>
        <v>4732.3991222463674</v>
      </c>
      <c r="I129">
        <f t="shared" ca="1" si="9"/>
        <v>72011.735236810244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30354</v>
      </c>
      <c r="B131" s="66">
        <v>30354</v>
      </c>
      <c r="D131">
        <f t="shared" ref="D131:D194" si="10">IFERROR( 100*A131/MAX(A$2:A$257), 0 )</f>
        <v>32.334142911926371</v>
      </c>
      <c r="E131">
        <f t="shared" ref="E131:E194" si="11">IFERROR( 100*B131/MAX(B$2:B$257), 0 )</f>
        <v>32.334142911926371</v>
      </c>
      <c r="G131">
        <f t="shared" ref="G131:G194" ca="1" si="12">CELL("row",D131)-2</f>
        <v>129</v>
      </c>
      <c r="H131">
        <f t="shared" ref="H131:H194" ca="1" si="13">D131*G131</f>
        <v>4171.1044356385019</v>
      </c>
      <c r="I131">
        <f t="shared" ref="I131:I194" ca="1" si="14">D131*((G131-$L$1)^2)</f>
        <v>68301.652508440806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22776</v>
      </c>
      <c r="B134" s="66">
        <v>22776</v>
      </c>
      <c r="D134">
        <f t="shared" si="10"/>
        <v>24.261792151348587</v>
      </c>
      <c r="E134">
        <f t="shared" si="11"/>
        <v>24.261792151348587</v>
      </c>
      <c r="G134">
        <f t="shared" ca="1" si="12"/>
        <v>132</v>
      </c>
      <c r="H134">
        <f t="shared" ca="1" si="13"/>
        <v>3202.5565639780134</v>
      </c>
      <c r="I134">
        <f t="shared" ca="1" si="14"/>
        <v>58158.729719483745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19923</v>
      </c>
      <c r="B136" s="66">
        <v>19923</v>
      </c>
      <c r="D136">
        <f t="shared" si="10"/>
        <v>21.22267672248498</v>
      </c>
      <c r="E136">
        <f t="shared" si="11"/>
        <v>21.22267672248498</v>
      </c>
      <c r="G136">
        <f t="shared" ca="1" si="12"/>
        <v>134</v>
      </c>
      <c r="H136">
        <f t="shared" ca="1" si="13"/>
        <v>2843.8386808129871</v>
      </c>
      <c r="I136">
        <f t="shared" ca="1" si="14"/>
        <v>55114.751264480801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14372</v>
      </c>
      <c r="B139" s="66">
        <v>14372</v>
      </c>
      <c r="D139">
        <f t="shared" si="10"/>
        <v>15.309557288337807</v>
      </c>
      <c r="E139">
        <f t="shared" si="11"/>
        <v>15.309557288337807</v>
      </c>
      <c r="G139">
        <f t="shared" ca="1" si="12"/>
        <v>137</v>
      </c>
      <c r="H139">
        <f t="shared" ca="1" si="13"/>
        <v>2097.4093485022795</v>
      </c>
      <c r="I139">
        <f t="shared" ca="1" si="14"/>
        <v>44577.414572670721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9220</v>
      </c>
      <c r="B142" s="66">
        <v>9220</v>
      </c>
      <c r="D142">
        <f t="shared" si="10"/>
        <v>9.8214666155353871</v>
      </c>
      <c r="E142">
        <f t="shared" si="11"/>
        <v>9.8214666155353871</v>
      </c>
      <c r="G142">
        <f t="shared" ca="1" si="12"/>
        <v>140</v>
      </c>
      <c r="H142">
        <f t="shared" ca="1" si="13"/>
        <v>1375.0053261749542</v>
      </c>
      <c r="I142">
        <f t="shared" ca="1" si="14"/>
        <v>31865.75610228589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5365</v>
      </c>
      <c r="B144" s="66">
        <v>5365</v>
      </c>
      <c r="D144">
        <f t="shared" si="10"/>
        <v>5.7149857258511227</v>
      </c>
      <c r="E144">
        <f t="shared" si="11"/>
        <v>5.7149857258511227</v>
      </c>
      <c r="G144">
        <f t="shared" ca="1" si="12"/>
        <v>142</v>
      </c>
      <c r="H144">
        <f t="shared" ca="1" si="13"/>
        <v>811.52797307085939</v>
      </c>
      <c r="I144">
        <f t="shared" ca="1" si="14"/>
        <v>19867.249815771043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2152</v>
      </c>
      <c r="B147" s="66">
        <v>2152</v>
      </c>
      <c r="D147">
        <f t="shared" si="10"/>
        <v>2.2923857002854828</v>
      </c>
      <c r="E147">
        <f t="shared" si="11"/>
        <v>2.2923857002854828</v>
      </c>
      <c r="G147">
        <f t="shared" ca="1" si="12"/>
        <v>145</v>
      </c>
      <c r="H147">
        <f t="shared" ca="1" si="13"/>
        <v>332.395926541395</v>
      </c>
      <c r="I147">
        <f t="shared" ca="1" si="14"/>
        <v>8800.7116405147863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1277</v>
      </c>
      <c r="B149" s="66">
        <v>1277</v>
      </c>
      <c r="D149">
        <f t="shared" si="10"/>
        <v>1.3603050833013763</v>
      </c>
      <c r="E149">
        <f t="shared" si="11"/>
        <v>1.3603050833013763</v>
      </c>
      <c r="G149">
        <f t="shared" ca="1" si="12"/>
        <v>147</v>
      </c>
      <c r="H149">
        <f t="shared" ca="1" si="13"/>
        <v>199.96484724530231</v>
      </c>
      <c r="I149">
        <f t="shared" ca="1" si="14"/>
        <v>5564.9374328886161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515</v>
      </c>
      <c r="B152" s="66">
        <v>515</v>
      </c>
      <c r="D152">
        <f t="shared" si="10"/>
        <v>0.54859602028207421</v>
      </c>
      <c r="E152">
        <f t="shared" si="11"/>
        <v>0.54859602028207421</v>
      </c>
      <c r="G152">
        <f t="shared" ca="1" si="12"/>
        <v>150</v>
      </c>
      <c r="H152">
        <f t="shared" ca="1" si="13"/>
        <v>82.289403042311136</v>
      </c>
      <c r="I152">
        <f t="shared" ca="1" si="14"/>
        <v>2459.7461042799619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88</v>
      </c>
      <c r="B154" s="66">
        <v>88</v>
      </c>
      <c r="D154">
        <f t="shared" si="10"/>
        <v>9.3740679193830154E-2</v>
      </c>
      <c r="E154">
        <f t="shared" si="11"/>
        <v>9.3740679193830154E-2</v>
      </c>
      <c r="G154">
        <f t="shared" ca="1" si="12"/>
        <v>152</v>
      </c>
      <c r="H154">
        <f t="shared" ca="1" si="13"/>
        <v>14.248583237462183</v>
      </c>
      <c r="I154">
        <f t="shared" ca="1" si="14"/>
        <v>445.78879146211773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62</v>
      </c>
      <c r="B157" s="66">
        <v>62</v>
      </c>
      <c r="D157">
        <f t="shared" si="10"/>
        <v>6.6044569432016698E-2</v>
      </c>
      <c r="E157">
        <f t="shared" si="11"/>
        <v>6.6044569432016698E-2</v>
      </c>
      <c r="G157">
        <f t="shared" ca="1" si="12"/>
        <v>155</v>
      </c>
      <c r="H157">
        <f t="shared" ca="1" si="13"/>
        <v>10.236908261962588</v>
      </c>
      <c r="I157">
        <f t="shared" ca="1" si="14"/>
        <v>341.99967474263525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0</v>
      </c>
      <c r="B160" s="66">
        <v>0</v>
      </c>
      <c r="D160">
        <f t="shared" si="10"/>
        <v>0</v>
      </c>
      <c r="E160">
        <f t="shared" si="11"/>
        <v>0</v>
      </c>
      <c r="G160">
        <f t="shared" ca="1" si="12"/>
        <v>158</v>
      </c>
      <c r="H160">
        <f t="shared" ca="1" si="13"/>
        <v>0</v>
      </c>
      <c r="I160">
        <f t="shared" ca="1" si="14"/>
        <v>0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0</v>
      </c>
      <c r="B162" s="66">
        <v>0</v>
      </c>
      <c r="D162">
        <f t="shared" si="10"/>
        <v>0</v>
      </c>
      <c r="E162">
        <f t="shared" si="11"/>
        <v>0</v>
      </c>
      <c r="G162">
        <f t="shared" ca="1" si="12"/>
        <v>160</v>
      </c>
      <c r="H162">
        <f t="shared" ca="1" si="13"/>
        <v>0</v>
      </c>
      <c r="I162">
        <f t="shared" ca="1" si="14"/>
        <v>0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0</v>
      </c>
      <c r="B165" s="66">
        <v>0</v>
      </c>
      <c r="D165">
        <f t="shared" si="10"/>
        <v>0</v>
      </c>
      <c r="E165">
        <f t="shared" si="11"/>
        <v>0</v>
      </c>
      <c r="G165">
        <f t="shared" ca="1" si="12"/>
        <v>163</v>
      </c>
      <c r="H165">
        <f t="shared" ca="1" si="13"/>
        <v>0</v>
      </c>
      <c r="I165">
        <f t="shared" ca="1" si="14"/>
        <v>0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0</v>
      </c>
      <c r="B167" s="66">
        <v>0</v>
      </c>
      <c r="D167">
        <f t="shared" si="10"/>
        <v>0</v>
      </c>
      <c r="E167">
        <f t="shared" si="11"/>
        <v>0</v>
      </c>
      <c r="G167">
        <f t="shared" ca="1" si="12"/>
        <v>165</v>
      </c>
      <c r="H167">
        <f t="shared" ca="1" si="13"/>
        <v>0</v>
      </c>
      <c r="I167">
        <f t="shared" ca="1" si="14"/>
        <v>0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0</v>
      </c>
      <c r="B170" s="66">
        <v>0</v>
      </c>
      <c r="D170">
        <f t="shared" si="10"/>
        <v>0</v>
      </c>
      <c r="E170">
        <f t="shared" si="11"/>
        <v>0</v>
      </c>
      <c r="G170">
        <f t="shared" ca="1" si="12"/>
        <v>168</v>
      </c>
      <c r="H170">
        <f t="shared" ca="1" si="13"/>
        <v>0</v>
      </c>
      <c r="I170">
        <f t="shared" ca="1" si="14"/>
        <v>0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0</v>
      </c>
      <c r="B173" s="66">
        <v>0</v>
      </c>
      <c r="D173">
        <f t="shared" si="10"/>
        <v>0</v>
      </c>
      <c r="E173">
        <f t="shared" si="11"/>
        <v>0</v>
      </c>
      <c r="G173">
        <f t="shared" ca="1" si="12"/>
        <v>171</v>
      </c>
      <c r="H173">
        <f t="shared" ca="1" si="13"/>
        <v>0</v>
      </c>
      <c r="I173">
        <f t="shared" ca="1" si="14"/>
        <v>0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402</v>
      </c>
      <c r="B1" s="66" t="s">
        <v>403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98.691035664622774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1.905476203535531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0.59013074905027119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363</v>
      </c>
      <c r="B8" s="66">
        <v>363</v>
      </c>
      <c r="D8">
        <f t="shared" si="0"/>
        <v>0.32251186097339946</v>
      </c>
      <c r="E8">
        <f t="shared" si="1"/>
        <v>0.32251186097339946</v>
      </c>
      <c r="G8">
        <f t="shared" ca="1" si="2"/>
        <v>6</v>
      </c>
      <c r="H8">
        <f t="shared" ca="1" si="3"/>
        <v>1.9350711658403967</v>
      </c>
      <c r="I8">
        <f t="shared" ca="1" si="4"/>
        <v>2770.9019649294337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501</v>
      </c>
      <c r="B10" s="66">
        <v>501</v>
      </c>
      <c r="D10">
        <f t="shared" si="0"/>
        <v>0.44511967588890666</v>
      </c>
      <c r="E10">
        <f t="shared" si="1"/>
        <v>0.44511967588890666</v>
      </c>
      <c r="G10">
        <f t="shared" ca="1" si="2"/>
        <v>8</v>
      </c>
      <c r="H10">
        <f t="shared" ca="1" si="3"/>
        <v>3.5609574071112533</v>
      </c>
      <c r="I10">
        <f t="shared" ca="1" si="4"/>
        <v>3661.0487756195803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179</v>
      </c>
      <c r="B13" s="66">
        <v>179</v>
      </c>
      <c r="D13">
        <f t="shared" si="0"/>
        <v>0.15903477441938979</v>
      </c>
      <c r="E13">
        <f t="shared" si="1"/>
        <v>0.15903477441938979</v>
      </c>
      <c r="G13">
        <f t="shared" ca="1" si="2"/>
        <v>11</v>
      </c>
      <c r="H13">
        <f t="shared" ca="1" si="3"/>
        <v>1.7493825186132876</v>
      </c>
      <c r="I13">
        <f t="shared" ca="1" si="4"/>
        <v>1222.9325254830671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342</v>
      </c>
      <c r="B15" s="66">
        <v>342</v>
      </c>
      <c r="D15">
        <f t="shared" si="0"/>
        <v>0.30385415000799615</v>
      </c>
      <c r="E15">
        <f t="shared" si="1"/>
        <v>0.30385415000799615</v>
      </c>
      <c r="G15">
        <f t="shared" ca="1" si="2"/>
        <v>13</v>
      </c>
      <c r="H15">
        <f t="shared" ca="1" si="3"/>
        <v>3.9501039501039501</v>
      </c>
      <c r="I15">
        <f t="shared" ca="1" si="4"/>
        <v>2231.1869226329345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911</v>
      </c>
      <c r="B18" s="66">
        <v>911</v>
      </c>
      <c r="D18">
        <f t="shared" si="0"/>
        <v>0.8093892709277325</v>
      </c>
      <c r="E18">
        <f t="shared" si="1"/>
        <v>0.8093892709277325</v>
      </c>
      <c r="G18">
        <f t="shared" ca="1" si="2"/>
        <v>16</v>
      </c>
      <c r="H18">
        <f t="shared" ca="1" si="3"/>
        <v>12.95022833484372</v>
      </c>
      <c r="I18">
        <f t="shared" ca="1" si="4"/>
        <v>5534.4479294661151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423</v>
      </c>
      <c r="B21" s="66">
        <v>423</v>
      </c>
      <c r="D21">
        <f t="shared" si="0"/>
        <v>0.37581960658883734</v>
      </c>
      <c r="E21">
        <f t="shared" si="1"/>
        <v>0.37581960658883734</v>
      </c>
      <c r="G21">
        <f t="shared" ca="1" si="2"/>
        <v>19</v>
      </c>
      <c r="H21">
        <f t="shared" ca="1" si="3"/>
        <v>7.1405725251879097</v>
      </c>
      <c r="I21">
        <f t="shared" ca="1" si="4"/>
        <v>2386.7029807221206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987</v>
      </c>
      <c r="B23" s="66">
        <v>987</v>
      </c>
      <c r="D23">
        <f t="shared" si="0"/>
        <v>0.87691241537395381</v>
      </c>
      <c r="E23">
        <f t="shared" si="1"/>
        <v>0.87691241537395381</v>
      </c>
      <c r="G23">
        <f t="shared" ca="1" si="2"/>
        <v>21</v>
      </c>
      <c r="H23">
        <f t="shared" ca="1" si="3"/>
        <v>18.415160722853031</v>
      </c>
      <c r="I23">
        <f t="shared" ca="1" si="4"/>
        <v>5292.9530370731791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1493</v>
      </c>
      <c r="B26" s="66">
        <v>1493</v>
      </c>
      <c r="D26">
        <f t="shared" si="0"/>
        <v>1.3264744033974802</v>
      </c>
      <c r="E26">
        <f t="shared" si="1"/>
        <v>1.3264744033974802</v>
      </c>
      <c r="G26">
        <f t="shared" ca="1" si="2"/>
        <v>24</v>
      </c>
      <c r="H26">
        <f t="shared" ca="1" si="3"/>
        <v>31.835385681539528</v>
      </c>
      <c r="I26">
        <f t="shared" ca="1" si="4"/>
        <v>7400.0701506124606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2290</v>
      </c>
      <c r="B28" s="66">
        <v>2290</v>
      </c>
      <c r="D28">
        <f t="shared" si="0"/>
        <v>2.0345789576558806</v>
      </c>
      <c r="E28">
        <f t="shared" si="1"/>
        <v>2.0345789576558806</v>
      </c>
      <c r="G28">
        <f t="shared" ca="1" si="2"/>
        <v>26</v>
      </c>
      <c r="H28">
        <f t="shared" ca="1" si="3"/>
        <v>52.899052899052897</v>
      </c>
      <c r="I28">
        <f t="shared" ca="1" si="4"/>
        <v>10750.688083168616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5628</v>
      </c>
      <c r="B31" s="66">
        <v>5628</v>
      </c>
      <c r="D31">
        <f t="shared" si="0"/>
        <v>5.0002665387280771</v>
      </c>
      <c r="E31">
        <f t="shared" si="1"/>
        <v>5.0002665387280771</v>
      </c>
      <c r="G31">
        <f t="shared" ca="1" si="2"/>
        <v>29</v>
      </c>
      <c r="H31">
        <f t="shared" ca="1" si="3"/>
        <v>145.00772962311424</v>
      </c>
      <c r="I31">
        <f t="shared" ca="1" si="4"/>
        <v>24285.496796115171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8181</v>
      </c>
      <c r="B33" s="66">
        <v>8181</v>
      </c>
      <c r="D33">
        <f t="shared" si="0"/>
        <v>7.2685111146649612</v>
      </c>
      <c r="E33">
        <f t="shared" si="1"/>
        <v>7.2685111146649612</v>
      </c>
      <c r="G33">
        <f t="shared" ca="1" si="2"/>
        <v>31</v>
      </c>
      <c r="H33">
        <f t="shared" ca="1" si="3"/>
        <v>225.3238445546138</v>
      </c>
      <c r="I33">
        <f t="shared" ca="1" si="4"/>
        <v>33304.872582747899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14163</v>
      </c>
      <c r="B36" s="66">
        <v>14163</v>
      </c>
      <c r="D36">
        <f t="shared" si="0"/>
        <v>12.583293352524121</v>
      </c>
      <c r="E36">
        <f t="shared" si="1"/>
        <v>12.583293352524121</v>
      </c>
      <c r="G36">
        <f t="shared" ca="1" si="2"/>
        <v>34</v>
      </c>
      <c r="H36">
        <f t="shared" ca="1" si="3"/>
        <v>427.83197398582013</v>
      </c>
      <c r="I36">
        <f t="shared" ca="1" si="4"/>
        <v>52660.203049740448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19692</v>
      </c>
      <c r="B39" s="66">
        <v>19692</v>
      </c>
      <c r="D39">
        <f t="shared" si="0"/>
        <v>17.495602110986727</v>
      </c>
      <c r="E39">
        <f t="shared" si="1"/>
        <v>17.495602110986727</v>
      </c>
      <c r="G39">
        <f t="shared" ca="1" si="2"/>
        <v>37</v>
      </c>
      <c r="H39">
        <f t="shared" ca="1" si="3"/>
        <v>647.33727810650896</v>
      </c>
      <c r="I39">
        <f t="shared" ca="1" si="4"/>
        <v>66584.480508922003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24424</v>
      </c>
      <c r="B41" s="66">
        <v>24424</v>
      </c>
      <c r="D41">
        <f t="shared" si="0"/>
        <v>21.69980631519093</v>
      </c>
      <c r="E41">
        <f t="shared" si="1"/>
        <v>21.69980631519093</v>
      </c>
      <c r="G41">
        <f t="shared" ca="1" si="2"/>
        <v>39</v>
      </c>
      <c r="H41">
        <f t="shared" ca="1" si="3"/>
        <v>846.29244629244624</v>
      </c>
      <c r="I41">
        <f t="shared" ca="1" si="4"/>
        <v>77316.838227323504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28663</v>
      </c>
      <c r="B44" s="66">
        <v>28663</v>
      </c>
      <c r="D44">
        <f t="shared" si="0"/>
        <v>25.465998542921621</v>
      </c>
      <c r="E44">
        <f t="shared" si="1"/>
        <v>25.465998542921621</v>
      </c>
      <c r="G44">
        <f t="shared" ca="1" si="2"/>
        <v>42</v>
      </c>
      <c r="H44">
        <f t="shared" ca="1" si="3"/>
        <v>1069.571938802708</v>
      </c>
      <c r="I44">
        <f t="shared" ca="1" si="4"/>
        <v>81844.498497845692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35296</v>
      </c>
      <c r="B46" s="66">
        <v>35296</v>
      </c>
      <c r="D46">
        <f t="shared" si="0"/>
        <v>31.359169820708281</v>
      </c>
      <c r="E46">
        <f t="shared" si="1"/>
        <v>31.359169820708281</v>
      </c>
      <c r="G46">
        <f t="shared" ca="1" si="2"/>
        <v>44</v>
      </c>
      <c r="H46">
        <f t="shared" ca="1" si="3"/>
        <v>1379.8034721111644</v>
      </c>
      <c r="I46">
        <f t="shared" ca="1" si="4"/>
        <v>93798.707064616843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41848</v>
      </c>
      <c r="B49" s="66">
        <v>41848</v>
      </c>
      <c r="D49">
        <f t="shared" si="0"/>
        <v>37.180375641914104</v>
      </c>
      <c r="E49">
        <f t="shared" si="1"/>
        <v>37.180375641914104</v>
      </c>
      <c r="G49">
        <f t="shared" ca="1" si="2"/>
        <v>47</v>
      </c>
      <c r="H49">
        <f t="shared" ca="1" si="3"/>
        <v>1747.4776551699629</v>
      </c>
      <c r="I49">
        <f t="shared" ca="1" si="4"/>
        <v>99344.594290621739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42885</v>
      </c>
      <c r="B51" s="66">
        <v>42885</v>
      </c>
      <c r="D51">
        <f t="shared" si="0"/>
        <v>38.101711178634254</v>
      </c>
      <c r="E51">
        <f t="shared" si="1"/>
        <v>38.101711178634254</v>
      </c>
      <c r="G51">
        <f t="shared" ca="1" si="2"/>
        <v>49</v>
      </c>
      <c r="H51">
        <f t="shared" ca="1" si="3"/>
        <v>1866.9838477530784</v>
      </c>
      <c r="I51">
        <f t="shared" ca="1" si="4"/>
        <v>94080.70810922519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49544</v>
      </c>
      <c r="B54" s="66">
        <v>49544</v>
      </c>
      <c r="D54">
        <f t="shared" si="0"/>
        <v>44.017982479520938</v>
      </c>
      <c r="E54">
        <f t="shared" si="1"/>
        <v>44.017982479520938</v>
      </c>
      <c r="G54">
        <f t="shared" ca="1" si="2"/>
        <v>52</v>
      </c>
      <c r="H54">
        <f t="shared" ca="1" si="3"/>
        <v>2288.935088935089</v>
      </c>
      <c r="I54">
        <f t="shared" ca="1" si="4"/>
        <v>95961.526458179535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54753</v>
      </c>
      <c r="B57" s="66">
        <v>54753</v>
      </c>
      <c r="D57">
        <f t="shared" si="0"/>
        <v>48.645983261367874</v>
      </c>
      <c r="E57">
        <f t="shared" si="1"/>
        <v>48.645983261367874</v>
      </c>
      <c r="G57">
        <f t="shared" ca="1" si="2"/>
        <v>55</v>
      </c>
      <c r="H57">
        <f t="shared" ca="1" si="3"/>
        <v>2675.5290793752329</v>
      </c>
      <c r="I57">
        <f t="shared" ca="1" si="4"/>
        <v>92860.638386937964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58757</v>
      </c>
      <c r="B59" s="66">
        <v>58757</v>
      </c>
      <c r="D59">
        <f t="shared" si="0"/>
        <v>52.203386818771435</v>
      </c>
      <c r="E59">
        <f t="shared" si="1"/>
        <v>52.203386818771435</v>
      </c>
      <c r="G59">
        <f t="shared" ca="1" si="2"/>
        <v>57</v>
      </c>
      <c r="H59">
        <f t="shared" ca="1" si="3"/>
        <v>2975.5930486699717</v>
      </c>
      <c r="I59">
        <f t="shared" ca="1" si="4"/>
        <v>90736.922913471179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59219</v>
      </c>
      <c r="B62" s="66">
        <v>59219</v>
      </c>
      <c r="D62">
        <f t="shared" si="0"/>
        <v>52.613856460010304</v>
      </c>
      <c r="E62">
        <f t="shared" si="1"/>
        <v>52.613856460010304</v>
      </c>
      <c r="G62">
        <f t="shared" ca="1" si="2"/>
        <v>60</v>
      </c>
      <c r="H62">
        <f t="shared" ca="1" si="3"/>
        <v>3156.8313876006182</v>
      </c>
      <c r="I62">
        <f t="shared" ca="1" si="4"/>
        <v>78762.745334684703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58156</v>
      </c>
      <c r="B64" s="66">
        <v>58156</v>
      </c>
      <c r="D64">
        <f t="shared" si="0"/>
        <v>51.669420900190133</v>
      </c>
      <c r="E64">
        <f t="shared" si="1"/>
        <v>51.669420900190133</v>
      </c>
      <c r="G64">
        <f t="shared" ca="1" si="2"/>
        <v>62</v>
      </c>
      <c r="H64">
        <f t="shared" ca="1" si="3"/>
        <v>3203.5040958117884</v>
      </c>
      <c r="I64">
        <f t="shared" ca="1" si="4"/>
        <v>69559.03290827712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59754</v>
      </c>
      <c r="B67" s="66">
        <v>59754</v>
      </c>
      <c r="D67">
        <f t="shared" ref="D67:D130" si="5">IFERROR(100*A67/MAX(A$2:A$257), 0 )</f>
        <v>53.089183858414629</v>
      </c>
      <c r="E67">
        <f t="shared" ref="E67:E130" si="6">IFERROR(100*B67/MAX(B$2:B$257), 0 )</f>
        <v>53.089183858414629</v>
      </c>
      <c r="G67">
        <f t="shared" ref="G67:G130" ca="1" si="7">CELL("row",D67)-2</f>
        <v>65</v>
      </c>
      <c r="H67">
        <f t="shared" ref="H67:H130" ca="1" si="8">D67*G67</f>
        <v>3450.796950796951</v>
      </c>
      <c r="I67">
        <f t="shared" ref="I67:I130" ca="1" si="9">D67*((G67-$L$1)^2)</f>
        <v>60260.783198989746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59354</v>
      </c>
      <c r="B69" s="66">
        <v>59354</v>
      </c>
      <c r="D69">
        <f t="shared" si="5"/>
        <v>52.733798887645044</v>
      </c>
      <c r="E69">
        <f t="shared" si="6"/>
        <v>52.733798887645044</v>
      </c>
      <c r="G69">
        <f t="shared" ca="1" si="7"/>
        <v>67</v>
      </c>
      <c r="H69">
        <f t="shared" ca="1" si="8"/>
        <v>3533.164525472218</v>
      </c>
      <c r="I69">
        <f t="shared" ca="1" si="9"/>
        <v>52961.700734560203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59591</v>
      </c>
      <c r="B72" s="66">
        <v>59591</v>
      </c>
      <c r="D72">
        <f t="shared" si="5"/>
        <v>52.944364482826025</v>
      </c>
      <c r="E72">
        <f t="shared" si="6"/>
        <v>52.944364482826025</v>
      </c>
      <c r="G72">
        <f t="shared" ca="1" si="7"/>
        <v>70</v>
      </c>
      <c r="H72">
        <f t="shared" ca="1" si="8"/>
        <v>3706.1055137978219</v>
      </c>
      <c r="I72">
        <f t="shared" ca="1" si="9"/>
        <v>43582.505161760862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59060</v>
      </c>
      <c r="B75" s="66">
        <v>59060</v>
      </c>
      <c r="D75">
        <f t="shared" si="5"/>
        <v>52.472590934129393</v>
      </c>
      <c r="E75">
        <f t="shared" si="6"/>
        <v>52.472590934129393</v>
      </c>
      <c r="G75">
        <f t="shared" ca="1" si="7"/>
        <v>73</v>
      </c>
      <c r="H75">
        <f t="shared" ca="1" si="8"/>
        <v>3830.4991381914456</v>
      </c>
      <c r="I75">
        <f t="shared" ca="1" si="9"/>
        <v>34633.448172917437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62790</v>
      </c>
      <c r="B77" s="66">
        <v>62790</v>
      </c>
      <c r="D77">
        <f t="shared" si="5"/>
        <v>55.786555786555788</v>
      </c>
      <c r="E77">
        <f t="shared" si="6"/>
        <v>55.786555786555788</v>
      </c>
      <c r="G77">
        <f t="shared" ca="1" si="7"/>
        <v>75</v>
      </c>
      <c r="H77">
        <f t="shared" ca="1" si="8"/>
        <v>4183.9916839916841</v>
      </c>
      <c r="I77">
        <f t="shared" ca="1" si="9"/>
        <v>31311.050765367618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64775</v>
      </c>
      <c r="B80" s="66">
        <v>64775</v>
      </c>
      <c r="D80">
        <f t="shared" si="5"/>
        <v>57.550153703999861</v>
      </c>
      <c r="E80">
        <f t="shared" si="6"/>
        <v>57.550153703999861</v>
      </c>
      <c r="G80">
        <f t="shared" ca="1" si="7"/>
        <v>78</v>
      </c>
      <c r="H80">
        <f t="shared" ca="1" si="8"/>
        <v>4488.9119889119893</v>
      </c>
      <c r="I80">
        <f t="shared" ca="1" si="9"/>
        <v>24638.311771734589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67713</v>
      </c>
      <c r="B82" s="66">
        <v>67713</v>
      </c>
      <c r="D82">
        <f t="shared" si="5"/>
        <v>60.160456314302465</v>
      </c>
      <c r="E82">
        <f t="shared" si="6"/>
        <v>60.160456314302465</v>
      </c>
      <c r="G82">
        <f t="shared" ca="1" si="7"/>
        <v>80</v>
      </c>
      <c r="H82">
        <f t="shared" ca="1" si="8"/>
        <v>4812.836505144197</v>
      </c>
      <c r="I82">
        <f t="shared" ca="1" si="9"/>
        <v>21017.345038844986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68071</v>
      </c>
      <c r="B85" s="66">
        <v>68071</v>
      </c>
      <c r="D85">
        <f t="shared" si="5"/>
        <v>60.47852586314125</v>
      </c>
      <c r="E85">
        <f t="shared" si="6"/>
        <v>60.47852586314125</v>
      </c>
      <c r="G85">
        <f t="shared" ca="1" si="7"/>
        <v>83</v>
      </c>
      <c r="H85">
        <f t="shared" ca="1" si="8"/>
        <v>5019.7176466407236</v>
      </c>
      <c r="I85">
        <f t="shared" ca="1" si="9"/>
        <v>14890.333196644957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70854</v>
      </c>
      <c r="B88" s="66">
        <v>70854</v>
      </c>
      <c r="D88">
        <f t="shared" si="5"/>
        <v>62.951116797270643</v>
      </c>
      <c r="E88">
        <f t="shared" si="6"/>
        <v>62.951116797270643</v>
      </c>
      <c r="G88">
        <f t="shared" ca="1" si="7"/>
        <v>86</v>
      </c>
      <c r="H88">
        <f t="shared" ca="1" si="8"/>
        <v>5413.7960445652752</v>
      </c>
      <c r="I88">
        <f t="shared" ca="1" si="9"/>
        <v>10139.057087887135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76593</v>
      </c>
      <c r="B90" s="66">
        <v>76593</v>
      </c>
      <c r="D90">
        <f t="shared" si="5"/>
        <v>68.050002665387282</v>
      </c>
      <c r="E90">
        <f t="shared" si="6"/>
        <v>68.050002665387282</v>
      </c>
      <c r="G90">
        <f t="shared" ca="1" si="7"/>
        <v>88</v>
      </c>
      <c r="H90">
        <f t="shared" ca="1" si="8"/>
        <v>5988.4002345540812</v>
      </c>
      <c r="I90">
        <f t="shared" ca="1" si="9"/>
        <v>7777.9957804202531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72354</v>
      </c>
      <c r="B93" s="66">
        <v>72354</v>
      </c>
      <c r="D93">
        <f t="shared" si="5"/>
        <v>64.283810437656598</v>
      </c>
      <c r="E93">
        <f t="shared" si="6"/>
        <v>64.283810437656598</v>
      </c>
      <c r="G93">
        <f t="shared" ca="1" si="7"/>
        <v>91</v>
      </c>
      <c r="H93">
        <f t="shared" ca="1" si="8"/>
        <v>5849.8267498267505</v>
      </c>
      <c r="I93">
        <f t="shared" ca="1" si="9"/>
        <v>3802.5178574554575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66167</v>
      </c>
      <c r="B95" s="66">
        <v>66167</v>
      </c>
      <c r="D95">
        <f t="shared" si="5"/>
        <v>58.786893402278018</v>
      </c>
      <c r="E95">
        <f t="shared" si="6"/>
        <v>58.786893402278018</v>
      </c>
      <c r="G95">
        <f t="shared" ca="1" si="7"/>
        <v>93</v>
      </c>
      <c r="H95">
        <f t="shared" ca="1" si="8"/>
        <v>5467.1810864118561</v>
      </c>
      <c r="I95">
        <f t="shared" ca="1" si="9"/>
        <v>1903.9832568321574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72535</v>
      </c>
      <c r="B98" s="66">
        <v>72535</v>
      </c>
      <c r="D98">
        <f t="shared" si="5"/>
        <v>64.444622136929823</v>
      </c>
      <c r="E98">
        <f t="shared" si="6"/>
        <v>64.444622136929823</v>
      </c>
      <c r="G98">
        <f t="shared" ca="1" si="7"/>
        <v>96</v>
      </c>
      <c r="H98">
        <f t="shared" ca="1" si="8"/>
        <v>6186.6837251452635</v>
      </c>
      <c r="I98">
        <f t="shared" ca="1" si="9"/>
        <v>466.68687679059855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81070</v>
      </c>
      <c r="B100" s="66">
        <v>81070</v>
      </c>
      <c r="D100">
        <f t="shared" si="5"/>
        <v>72.027648950725876</v>
      </c>
      <c r="E100">
        <f t="shared" si="6"/>
        <v>72.027648950725876</v>
      </c>
      <c r="G100">
        <f t="shared" ca="1" si="7"/>
        <v>98</v>
      </c>
      <c r="H100">
        <f t="shared" ca="1" si="8"/>
        <v>7058.709597171136</v>
      </c>
      <c r="I100">
        <f t="shared" ca="1" si="9"/>
        <v>34.395384075658264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76600</v>
      </c>
      <c r="B103" s="66">
        <v>76600</v>
      </c>
      <c r="D103">
        <f t="shared" si="5"/>
        <v>68.056221902375754</v>
      </c>
      <c r="E103">
        <f t="shared" si="6"/>
        <v>68.056221902375754</v>
      </c>
      <c r="G103">
        <f t="shared" ca="1" si="7"/>
        <v>101</v>
      </c>
      <c r="H103">
        <f t="shared" ca="1" si="8"/>
        <v>6873.6784121399514</v>
      </c>
      <c r="I103">
        <f t="shared" ca="1" si="9"/>
        <v>362.82924528365947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84425</v>
      </c>
      <c r="B106" s="66">
        <v>84425</v>
      </c>
      <c r="D106">
        <f t="shared" si="5"/>
        <v>75.008440393055778</v>
      </c>
      <c r="E106">
        <f t="shared" si="6"/>
        <v>75.008440393055778</v>
      </c>
      <c r="G106">
        <f t="shared" ca="1" si="7"/>
        <v>104</v>
      </c>
      <c r="H106">
        <f t="shared" ca="1" si="8"/>
        <v>7800.8778008778008</v>
      </c>
      <c r="I106">
        <f t="shared" ca="1" si="9"/>
        <v>2114.1205669149012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94939</v>
      </c>
      <c r="B108" s="66">
        <v>94939</v>
      </c>
      <c r="D108">
        <f t="shared" si="5"/>
        <v>84.349734349734348</v>
      </c>
      <c r="E108">
        <f t="shared" si="6"/>
        <v>84.349734349734348</v>
      </c>
      <c r="G108">
        <f t="shared" ca="1" si="7"/>
        <v>106</v>
      </c>
      <c r="H108">
        <f t="shared" ca="1" si="8"/>
        <v>8941.07184107184</v>
      </c>
      <c r="I108">
        <f t="shared" ca="1" si="9"/>
        <v>4506.0437556759771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101326</v>
      </c>
      <c r="B111" s="66">
        <v>101326</v>
      </c>
      <c r="D111">
        <f t="shared" si="5"/>
        <v>90.024343870497717</v>
      </c>
      <c r="E111">
        <f t="shared" si="6"/>
        <v>90.024343870497717</v>
      </c>
      <c r="G111">
        <f t="shared" ca="1" si="7"/>
        <v>109</v>
      </c>
      <c r="H111">
        <f t="shared" ca="1" si="8"/>
        <v>9812.653481884252</v>
      </c>
      <c r="I111">
        <f t="shared" ca="1" si="9"/>
        <v>9567.3142487728874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101969</v>
      </c>
      <c r="B113" s="66">
        <v>101969</v>
      </c>
      <c r="D113">
        <f t="shared" si="5"/>
        <v>90.595625211009832</v>
      </c>
      <c r="E113">
        <f t="shared" si="6"/>
        <v>90.595625211009832</v>
      </c>
      <c r="G113">
        <f t="shared" ca="1" si="7"/>
        <v>111</v>
      </c>
      <c r="H113">
        <f t="shared" ca="1" si="8"/>
        <v>10056.114398422091</v>
      </c>
      <c r="I113">
        <f t="shared" ca="1" si="9"/>
        <v>13726.19780575078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110767</v>
      </c>
      <c r="B116" s="66">
        <v>110767</v>
      </c>
      <c r="D116">
        <f t="shared" si="5"/>
        <v>98.41231764308688</v>
      </c>
      <c r="E116">
        <f t="shared" si="6"/>
        <v>98.41231764308688</v>
      </c>
      <c r="G116">
        <f t="shared" ca="1" si="7"/>
        <v>114</v>
      </c>
      <c r="H116">
        <f t="shared" ca="1" si="8"/>
        <v>11219.004211311903</v>
      </c>
      <c r="I116">
        <f t="shared" ca="1" si="9"/>
        <v>23064.342696646472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112554</v>
      </c>
      <c r="B118" s="66">
        <v>112554</v>
      </c>
      <c r="D118">
        <f t="shared" si="5"/>
        <v>100</v>
      </c>
      <c r="E118">
        <f t="shared" si="6"/>
        <v>100</v>
      </c>
      <c r="G118">
        <f t="shared" ca="1" si="7"/>
        <v>116</v>
      </c>
      <c r="H118">
        <f t="shared" ca="1" si="8"/>
        <v>11600</v>
      </c>
      <c r="I118">
        <f t="shared" ca="1" si="9"/>
        <v>29960.024636336078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109683</v>
      </c>
      <c r="B121" s="66">
        <v>109683</v>
      </c>
      <c r="D121">
        <f t="shared" si="5"/>
        <v>97.449224372301302</v>
      </c>
      <c r="E121">
        <f t="shared" si="6"/>
        <v>97.449224372301302</v>
      </c>
      <c r="G121">
        <f t="shared" ca="1" si="7"/>
        <v>119</v>
      </c>
      <c r="H121">
        <f t="shared" ca="1" si="8"/>
        <v>11596.457700303856</v>
      </c>
      <c r="I121">
        <f t="shared" ca="1" si="9"/>
        <v>40193.325544232619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106999</v>
      </c>
      <c r="B124" s="66">
        <v>106999</v>
      </c>
      <c r="D124">
        <f t="shared" si="5"/>
        <v>95.064591218437371</v>
      </c>
      <c r="E124">
        <f t="shared" si="6"/>
        <v>95.064591218437371</v>
      </c>
      <c r="G124">
        <f t="shared" ca="1" si="7"/>
        <v>122</v>
      </c>
      <c r="H124">
        <f t="shared" ca="1" si="8"/>
        <v>11597.88012864936</v>
      </c>
      <c r="I124">
        <f t="shared" ca="1" si="9"/>
        <v>51649.335660825527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100103</v>
      </c>
      <c r="B126" s="66">
        <v>100103</v>
      </c>
      <c r="D126">
        <f t="shared" si="5"/>
        <v>88.937754322369713</v>
      </c>
      <c r="E126">
        <f t="shared" si="6"/>
        <v>88.937754322369713</v>
      </c>
      <c r="G126">
        <f t="shared" ca="1" si="7"/>
        <v>124</v>
      </c>
      <c r="H126">
        <f t="shared" ca="1" si="8"/>
        <v>11028.281535973845</v>
      </c>
      <c r="I126">
        <f t="shared" ca="1" si="9"/>
        <v>56968.516064768701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90939</v>
      </c>
      <c r="B129" s="66">
        <v>90939</v>
      </c>
      <c r="D129">
        <f t="shared" si="5"/>
        <v>80.795884642038487</v>
      </c>
      <c r="E129">
        <f t="shared" si="6"/>
        <v>80.795884642038487</v>
      </c>
      <c r="G129">
        <f t="shared" ca="1" si="7"/>
        <v>127</v>
      </c>
      <c r="H129">
        <f t="shared" ca="1" si="8"/>
        <v>10261.077349538888</v>
      </c>
      <c r="I129">
        <f t="shared" ca="1" si="9"/>
        <v>64749.616871301594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85973</v>
      </c>
      <c r="B131" s="66">
        <v>85973</v>
      </c>
      <c r="D131">
        <f t="shared" ref="D131:D194" si="10">IFERROR(100*A131/MAX(A$2:A$257), 0 )</f>
        <v>76.383780229934075</v>
      </c>
      <c r="E131">
        <f t="shared" ref="E131:E194" si="11">IFERROR(100*B131/MAX(B$2:B$257), 0 )</f>
        <v>76.383780229934075</v>
      </c>
      <c r="G131">
        <f t="shared" ref="G131:G194" ca="1" si="12">CELL("row",D131)-2</f>
        <v>129</v>
      </c>
      <c r="H131">
        <f t="shared" ref="H131:H194" ca="1" si="13">D131*G131</f>
        <v>9853.5076496614965</v>
      </c>
      <c r="I131">
        <f t="shared" ref="I131:I194" ca="1" si="14">D131*((G131-$L$1)^2)</f>
        <v>70168.685556743658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84079</v>
      </c>
      <c r="B134" s="66">
        <v>84079</v>
      </c>
      <c r="D134">
        <f t="shared" si="10"/>
        <v>74.701032393340085</v>
      </c>
      <c r="E134">
        <f t="shared" si="11"/>
        <v>74.701032393340085</v>
      </c>
      <c r="G134">
        <f t="shared" ca="1" si="12"/>
        <v>132</v>
      </c>
      <c r="H134">
        <f t="shared" ca="1" si="13"/>
        <v>9860.5362759208911</v>
      </c>
      <c r="I134">
        <f t="shared" ca="1" si="14"/>
        <v>82879.832177726988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69491</v>
      </c>
      <c r="B136" s="66">
        <v>69491</v>
      </c>
      <c r="D136">
        <f t="shared" si="10"/>
        <v>61.740142509373278</v>
      </c>
      <c r="E136">
        <f t="shared" si="11"/>
        <v>61.740142509373278</v>
      </c>
      <c r="G136">
        <f t="shared" ca="1" si="12"/>
        <v>134</v>
      </c>
      <c r="H136">
        <f t="shared" ca="1" si="13"/>
        <v>8273.179096256019</v>
      </c>
      <c r="I136">
        <f t="shared" ca="1" si="14"/>
        <v>76972.853370564757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55871</v>
      </c>
      <c r="B139" s="66">
        <v>55871</v>
      </c>
      <c r="D139">
        <f t="shared" si="10"/>
        <v>49.639284254668873</v>
      </c>
      <c r="E139">
        <f t="shared" si="11"/>
        <v>49.639284254668873</v>
      </c>
      <c r="G139">
        <f t="shared" ca="1" si="12"/>
        <v>137</v>
      </c>
      <c r="H139">
        <f t="shared" ca="1" si="13"/>
        <v>6800.5819428896357</v>
      </c>
      <c r="I139">
        <f t="shared" ca="1" si="14"/>
        <v>72849.459381812718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48414</v>
      </c>
      <c r="B142" s="66">
        <v>48414</v>
      </c>
      <c r="D142">
        <f t="shared" si="10"/>
        <v>43.014019937096862</v>
      </c>
      <c r="E142">
        <f t="shared" si="11"/>
        <v>43.014019937096862</v>
      </c>
      <c r="G142">
        <f t="shared" ca="1" si="12"/>
        <v>140</v>
      </c>
      <c r="H142">
        <f t="shared" ca="1" si="13"/>
        <v>6021.9627911935604</v>
      </c>
      <c r="I142">
        <f t="shared" ca="1" si="14"/>
        <v>73400.437030596426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41910</v>
      </c>
      <c r="B144" s="66">
        <v>41910</v>
      </c>
      <c r="D144">
        <f t="shared" si="10"/>
        <v>37.235460312383388</v>
      </c>
      <c r="E144">
        <f t="shared" si="11"/>
        <v>37.235460312383388</v>
      </c>
      <c r="G144">
        <f t="shared" ca="1" si="12"/>
        <v>142</v>
      </c>
      <c r="H144">
        <f t="shared" ca="1" si="13"/>
        <v>5287.4353643584409</v>
      </c>
      <c r="I144">
        <f t="shared" ca="1" si="14"/>
        <v>69841.301491251084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36817</v>
      </c>
      <c r="B147" s="66">
        <v>36817</v>
      </c>
      <c r="D147">
        <f t="shared" si="10"/>
        <v>32.710521172059636</v>
      </c>
      <c r="E147">
        <f t="shared" si="11"/>
        <v>32.710521172059636</v>
      </c>
      <c r="G147">
        <f t="shared" ca="1" si="12"/>
        <v>145</v>
      </c>
      <c r="H147">
        <f t="shared" ca="1" si="13"/>
        <v>4743.025569948647</v>
      </c>
      <c r="I147">
        <f t="shared" ca="1" si="14"/>
        <v>70148.372680334505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29482</v>
      </c>
      <c r="B149" s="66">
        <v>29482</v>
      </c>
      <c r="D149">
        <f t="shared" si="10"/>
        <v>26.193649270572347</v>
      </c>
      <c r="E149">
        <f t="shared" si="11"/>
        <v>26.193649270572347</v>
      </c>
      <c r="G149">
        <f t="shared" ca="1" si="12"/>
        <v>147</v>
      </c>
      <c r="H149">
        <f t="shared" ca="1" si="13"/>
        <v>3850.466442774135</v>
      </c>
      <c r="I149">
        <f t="shared" ca="1" si="14"/>
        <v>61129.58706797738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24526</v>
      </c>
      <c r="B152" s="66">
        <v>24526</v>
      </c>
      <c r="D152">
        <f t="shared" si="10"/>
        <v>21.790429482737174</v>
      </c>
      <c r="E152">
        <f t="shared" si="11"/>
        <v>21.790429482737174</v>
      </c>
      <c r="G152">
        <f t="shared" ca="1" si="12"/>
        <v>150</v>
      </c>
      <c r="H152">
        <f t="shared" ca="1" si="13"/>
        <v>3268.5644224105763</v>
      </c>
      <c r="I152">
        <f t="shared" ca="1" si="14"/>
        <v>57365.698663744683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19876</v>
      </c>
      <c r="B154" s="66">
        <v>19876</v>
      </c>
      <c r="D154">
        <f t="shared" si="10"/>
        <v>17.659079197540738</v>
      </c>
      <c r="E154">
        <f t="shared" si="11"/>
        <v>17.659079197540738</v>
      </c>
      <c r="G154">
        <f t="shared" ca="1" si="12"/>
        <v>152</v>
      </c>
      <c r="H154">
        <f t="shared" ca="1" si="13"/>
        <v>2684.1800380261921</v>
      </c>
      <c r="I154">
        <f t="shared" ca="1" si="14"/>
        <v>50184.377904006185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16235</v>
      </c>
      <c r="B157" s="66">
        <v>16235</v>
      </c>
      <c r="D157">
        <f t="shared" si="10"/>
        <v>14.424187501110579</v>
      </c>
      <c r="E157">
        <f t="shared" si="11"/>
        <v>14.424187501110579</v>
      </c>
      <c r="G157">
        <f t="shared" ca="1" si="12"/>
        <v>155</v>
      </c>
      <c r="H157">
        <f t="shared" ca="1" si="13"/>
        <v>2235.7490626721396</v>
      </c>
      <c r="I157">
        <f t="shared" ca="1" si="14"/>
        <v>45734.763585947549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13045</v>
      </c>
      <c r="B160" s="66">
        <v>13045</v>
      </c>
      <c r="D160">
        <f t="shared" si="10"/>
        <v>11.589992359223128</v>
      </c>
      <c r="E160">
        <f t="shared" si="11"/>
        <v>11.589992359223128</v>
      </c>
      <c r="G160">
        <f t="shared" ca="1" si="12"/>
        <v>158</v>
      </c>
      <c r="H160">
        <f t="shared" ca="1" si="13"/>
        <v>1831.2187927572543</v>
      </c>
      <c r="I160">
        <f t="shared" ca="1" si="14"/>
        <v>40768.415296861684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10391</v>
      </c>
      <c r="B162" s="66">
        <v>10391</v>
      </c>
      <c r="D162">
        <f t="shared" si="10"/>
        <v>9.2320130781669238</v>
      </c>
      <c r="E162">
        <f t="shared" si="11"/>
        <v>9.2320130781669238</v>
      </c>
      <c r="G162">
        <f t="shared" ca="1" si="12"/>
        <v>160</v>
      </c>
      <c r="H162">
        <f t="shared" ca="1" si="13"/>
        <v>1477.1220925067078</v>
      </c>
      <c r="I162">
        <f t="shared" ca="1" si="14"/>
        <v>34701.190201987753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6228</v>
      </c>
      <c r="B165" s="66">
        <v>6228</v>
      </c>
      <c r="D165">
        <f t="shared" si="10"/>
        <v>5.5333439948824568</v>
      </c>
      <c r="E165">
        <f t="shared" si="11"/>
        <v>5.5333439948824568</v>
      </c>
      <c r="G165">
        <f t="shared" ca="1" si="12"/>
        <v>163</v>
      </c>
      <c r="H165">
        <f t="shared" ca="1" si="13"/>
        <v>901.93507116584044</v>
      </c>
      <c r="I165">
        <f t="shared" ca="1" si="14"/>
        <v>22883.934771878008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4260</v>
      </c>
      <c r="B167" s="66">
        <v>4260</v>
      </c>
      <c r="D167">
        <f t="shared" si="10"/>
        <v>3.7848499386960928</v>
      </c>
      <c r="E167">
        <f t="shared" si="11"/>
        <v>3.7848499386960928</v>
      </c>
      <c r="G167">
        <f t="shared" ca="1" si="12"/>
        <v>165</v>
      </c>
      <c r="H167">
        <f t="shared" ca="1" si="13"/>
        <v>624.50023988485532</v>
      </c>
      <c r="I167">
        <f t="shared" ca="1" si="14"/>
        <v>16641.526272048264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2742</v>
      </c>
      <c r="B170" s="66">
        <v>2742</v>
      </c>
      <c r="D170">
        <f t="shared" si="10"/>
        <v>2.4361639746255133</v>
      </c>
      <c r="E170">
        <f t="shared" si="11"/>
        <v>2.4361639746255133</v>
      </c>
      <c r="G170">
        <f t="shared" ca="1" si="12"/>
        <v>168</v>
      </c>
      <c r="H170">
        <f t="shared" ca="1" si="13"/>
        <v>409.27554773708624</v>
      </c>
      <c r="I170">
        <f t="shared" ca="1" si="14"/>
        <v>11702.680150966815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1739</v>
      </c>
      <c r="B173" s="66">
        <v>1739</v>
      </c>
      <c r="D173">
        <f t="shared" si="10"/>
        <v>1.5450361604207759</v>
      </c>
      <c r="E173">
        <f t="shared" si="11"/>
        <v>1.5450361604207759</v>
      </c>
      <c r="G173">
        <f t="shared" ca="1" si="12"/>
        <v>171</v>
      </c>
      <c r="H173">
        <f t="shared" ca="1" si="13"/>
        <v>264.20118343195264</v>
      </c>
      <c r="I173">
        <f t="shared" ca="1" si="14"/>
        <v>8078.3549373102633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627</v>
      </c>
      <c r="B175" s="66">
        <v>627</v>
      </c>
      <c r="D175">
        <f t="shared" si="10"/>
        <v>0.55706594168132628</v>
      </c>
      <c r="E175">
        <f t="shared" si="11"/>
        <v>0.55706594168132628</v>
      </c>
      <c r="G175">
        <f t="shared" ca="1" si="12"/>
        <v>173</v>
      </c>
      <c r="H175">
        <f t="shared" ca="1" si="13"/>
        <v>96.372407910869441</v>
      </c>
      <c r="I175">
        <f t="shared" ca="1" si="14"/>
        <v>3076.0190728307484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162</v>
      </c>
      <c r="B178" s="66">
        <v>162</v>
      </c>
      <c r="D178">
        <f t="shared" si="10"/>
        <v>0.14393091316168238</v>
      </c>
      <c r="E178">
        <f t="shared" si="11"/>
        <v>0.14393091316168238</v>
      </c>
      <c r="G178">
        <f t="shared" ca="1" si="12"/>
        <v>176</v>
      </c>
      <c r="H178">
        <f t="shared" ca="1" si="13"/>
        <v>25.331840716456099</v>
      </c>
      <c r="I178">
        <f t="shared" ca="1" si="14"/>
        <v>860.22842954546059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404</v>
      </c>
      <c r="B1" s="68" t="s">
        <v>405</v>
      </c>
      <c r="C1" s="32" t="s">
        <v>406</v>
      </c>
      <c r="D1" s="32" t="s">
        <v>407</v>
      </c>
      <c r="E1" s="32" t="s">
        <v>408</v>
      </c>
    </row>
    <row r="2" spans="1:5">
      <c r="A2" s="68">
        <v>0.27775300000000003</v>
      </c>
      <c r="B2" s="68">
        <v>0.53728399999999998</v>
      </c>
      <c r="C2" s="68">
        <v>0</v>
      </c>
      <c r="D2" s="68">
        <v>1</v>
      </c>
      <c r="E2" s="68" t="s">
        <v>409</v>
      </c>
    </row>
    <row r="3" spans="1:5">
      <c r="A3" s="68">
        <v>0.28396100000000002</v>
      </c>
      <c r="B3" s="68">
        <v>0.52906699999999995</v>
      </c>
      <c r="C3" s="68">
        <v>0.35298299999999999</v>
      </c>
      <c r="D3" s="89">
        <v>1</v>
      </c>
      <c r="E3" s="68" t="s">
        <v>410</v>
      </c>
    </row>
    <row r="4" spans="1:5">
      <c r="A4" s="68">
        <v>0.29009299999999999</v>
      </c>
      <c r="B4" s="68">
        <v>0.52112499999999995</v>
      </c>
      <c r="C4" s="68">
        <v>0.75927299999999998</v>
      </c>
      <c r="D4" s="89">
        <v>1</v>
      </c>
      <c r="E4" s="68" t="s">
        <v>411</v>
      </c>
    </row>
    <row r="5" spans="1:5">
      <c r="A5" s="89">
        <v>0.29611999999999999</v>
      </c>
      <c r="B5" s="89">
        <v>0.51257699999999995</v>
      </c>
      <c r="C5" s="89">
        <v>1.1645300000000001</v>
      </c>
      <c r="D5" s="89">
        <v>1</v>
      </c>
      <c r="E5" s="68" t="s">
        <v>412</v>
      </c>
    </row>
    <row r="6" spans="1:5">
      <c r="A6" s="68">
        <v>0.30193199999999998</v>
      </c>
      <c r="B6" s="68">
        <v>0.50339800000000001</v>
      </c>
      <c r="C6" s="68">
        <v>1.57216</v>
      </c>
      <c r="D6" s="68">
        <v>1</v>
      </c>
      <c r="E6" s="68" t="s">
        <v>413</v>
      </c>
    </row>
    <row r="7" spans="1:5">
      <c r="A7" s="68">
        <v>0.30731999999999998</v>
      </c>
      <c r="B7" s="68">
        <v>0.49515500000000001</v>
      </c>
      <c r="C7" s="68">
        <v>1.9758199999999999</v>
      </c>
      <c r="D7" s="68">
        <v>1</v>
      </c>
      <c r="E7" s="68" t="s">
        <v>414</v>
      </c>
    </row>
    <row r="8" spans="1:5">
      <c r="A8" s="68">
        <v>0.31234899999999999</v>
      </c>
      <c r="B8" s="68">
        <v>0.48886499999999999</v>
      </c>
      <c r="C8" s="68">
        <v>2.3868399999999999</v>
      </c>
      <c r="D8" s="68">
        <v>1</v>
      </c>
      <c r="E8" s="68" t="s">
        <v>415</v>
      </c>
    </row>
    <row r="9" spans="1:5">
      <c r="A9" s="68">
        <v>0.31676500000000002</v>
      </c>
      <c r="B9" s="68">
        <v>0.48407600000000001</v>
      </c>
      <c r="C9" s="68">
        <v>2.7913700000000001</v>
      </c>
      <c r="D9" s="68">
        <v>1</v>
      </c>
      <c r="E9" s="68" t="s">
        <v>416</v>
      </c>
    </row>
    <row r="10" spans="1:5">
      <c r="A10" s="68">
        <v>0.32089600000000001</v>
      </c>
      <c r="B10" s="68">
        <v>0.47958000000000001</v>
      </c>
      <c r="C10" s="68">
        <v>3.1976599999999999</v>
      </c>
      <c r="D10" s="68">
        <v>1</v>
      </c>
      <c r="E10" s="68" t="s">
        <v>417</v>
      </c>
    </row>
    <row r="11" spans="1:5">
      <c r="A11" s="68">
        <v>0.324874</v>
      </c>
      <c r="B11" s="68">
        <v>0.47509800000000002</v>
      </c>
      <c r="C11" s="68">
        <v>3.6031599999999999</v>
      </c>
      <c r="D11" s="68">
        <v>1</v>
      </c>
      <c r="E11" s="68" t="s">
        <v>418</v>
      </c>
    </row>
    <row r="12" spans="1:5">
      <c r="A12" s="68">
        <v>0.32835500000000001</v>
      </c>
      <c r="B12" s="68">
        <v>0.47057300000000002</v>
      </c>
      <c r="C12" s="68">
        <v>4.0085800000000003</v>
      </c>
      <c r="D12" s="68">
        <v>1</v>
      </c>
      <c r="E12" s="68" t="s">
        <v>419</v>
      </c>
    </row>
    <row r="13" spans="1:5">
      <c r="A13" s="68">
        <v>0.33163500000000001</v>
      </c>
      <c r="B13" s="68">
        <v>0.46615400000000001</v>
      </c>
      <c r="C13" s="68">
        <v>4.4148100000000001</v>
      </c>
      <c r="D13" s="68">
        <v>1</v>
      </c>
      <c r="E13" s="68" t="s">
        <v>420</v>
      </c>
    </row>
    <row r="14" spans="1:5">
      <c r="A14" s="68">
        <v>0.33461600000000002</v>
      </c>
      <c r="B14" s="68">
        <v>0.462312</v>
      </c>
      <c r="C14" s="68">
        <v>4.8175600000000003</v>
      </c>
      <c r="D14" s="68">
        <v>1</v>
      </c>
      <c r="E14" s="68" t="s">
        <v>421</v>
      </c>
    </row>
    <row r="15" spans="1:5">
      <c r="A15" s="68">
        <v>0.33714899999999998</v>
      </c>
      <c r="B15" s="68">
        <v>0.459345</v>
      </c>
      <c r="C15" s="68">
        <v>5.2243700000000004</v>
      </c>
      <c r="D15" s="68">
        <v>1</v>
      </c>
      <c r="E15" s="68" t="s">
        <v>422</v>
      </c>
    </row>
    <row r="16" spans="1:5">
      <c r="A16" s="68">
        <v>0.33950900000000001</v>
      </c>
      <c r="B16" s="68">
        <v>0.45683499999999999</v>
      </c>
      <c r="C16" s="68">
        <v>5.6357100000000004</v>
      </c>
      <c r="D16" s="68">
        <v>1</v>
      </c>
      <c r="E16" s="68" t="s">
        <v>423</v>
      </c>
    </row>
    <row r="17" spans="1:5">
      <c r="A17" s="68">
        <v>0.34150700000000001</v>
      </c>
      <c r="B17" s="68">
        <v>0.454094</v>
      </c>
      <c r="C17" s="68">
        <v>6.0370799999999996</v>
      </c>
      <c r="D17" s="68">
        <v>1</v>
      </c>
      <c r="E17" s="68" t="s">
        <v>424</v>
      </c>
    </row>
    <row r="18" spans="1:5">
      <c r="A18" s="68">
        <v>0.343588</v>
      </c>
      <c r="B18" s="68">
        <v>0.450905</v>
      </c>
      <c r="C18" s="68">
        <v>6.4469500000000002</v>
      </c>
      <c r="D18" s="68">
        <v>1</v>
      </c>
      <c r="E18" s="68" t="s">
        <v>425</v>
      </c>
    </row>
    <row r="19" spans="1:5">
      <c r="A19" s="68">
        <v>0.34533599999999998</v>
      </c>
      <c r="B19" s="68">
        <v>0.44771100000000003</v>
      </c>
      <c r="C19" s="68">
        <v>6.8494999999999999</v>
      </c>
      <c r="D19" s="68">
        <v>1</v>
      </c>
      <c r="E19" s="68" t="s">
        <v>426</v>
      </c>
    </row>
    <row r="20" spans="1:5">
      <c r="A20" s="68">
        <v>0.346856</v>
      </c>
      <c r="B20" s="68">
        <v>0.44431199999999998</v>
      </c>
      <c r="C20" s="68">
        <v>7.2579799999999999</v>
      </c>
      <c r="D20" s="68">
        <v>1</v>
      </c>
      <c r="E20" s="68" t="s">
        <v>427</v>
      </c>
    </row>
    <row r="21" spans="1:5">
      <c r="A21" s="68">
        <v>0.34835300000000002</v>
      </c>
      <c r="B21" s="68">
        <v>0.44095600000000001</v>
      </c>
      <c r="C21" s="68">
        <v>7.6645700000000003</v>
      </c>
      <c r="D21" s="68">
        <v>1</v>
      </c>
      <c r="E21" s="68" t="s">
        <v>428</v>
      </c>
    </row>
    <row r="22" spans="1:5">
      <c r="A22" s="68">
        <v>0.34954299999999999</v>
      </c>
      <c r="B22" s="68">
        <v>0.43786000000000003</v>
      </c>
      <c r="C22" s="68">
        <v>8.0699699999999996</v>
      </c>
      <c r="D22" s="68">
        <v>1</v>
      </c>
      <c r="E22" s="68" t="s">
        <v>429</v>
      </c>
    </row>
    <row r="23" spans="1:5">
      <c r="A23" s="68">
        <v>0.35067700000000002</v>
      </c>
      <c r="B23" s="68">
        <v>0.434782</v>
      </c>
      <c r="C23" s="68">
        <v>8.4777500000000003</v>
      </c>
      <c r="D23" s="68">
        <v>1</v>
      </c>
      <c r="E23" s="68" t="s">
        <v>430</v>
      </c>
    </row>
    <row r="24" spans="1:5">
      <c r="A24" s="68">
        <v>0.35176299999999999</v>
      </c>
      <c r="B24" s="68">
        <v>0.431836</v>
      </c>
      <c r="C24" s="68">
        <v>8.8823600000000003</v>
      </c>
      <c r="D24" s="68">
        <v>1</v>
      </c>
      <c r="E24" s="68" t="s">
        <v>431</v>
      </c>
    </row>
    <row r="25" spans="1:5">
      <c r="A25" s="68">
        <v>0.35302</v>
      </c>
      <c r="B25" s="68">
        <v>0.42869400000000002</v>
      </c>
      <c r="C25" s="68">
        <v>9.2871400000000008</v>
      </c>
      <c r="D25" s="68">
        <v>1</v>
      </c>
      <c r="E25" s="68" t="s">
        <v>432</v>
      </c>
    </row>
    <row r="26" spans="1:5">
      <c r="A26" s="68">
        <v>0.354126</v>
      </c>
      <c r="B26" s="68">
        <v>0.42575099999999999</v>
      </c>
      <c r="C26" s="68">
        <v>9.6949699999999996</v>
      </c>
      <c r="D26" s="68">
        <v>1</v>
      </c>
      <c r="E26" s="68" t="s">
        <v>433</v>
      </c>
    </row>
    <row r="27" spans="1:5">
      <c r="A27" s="68">
        <v>0.35444500000000001</v>
      </c>
      <c r="B27" s="68">
        <v>0.42387399999999997</v>
      </c>
      <c r="C27" s="68">
        <v>10.1036</v>
      </c>
      <c r="D27" s="68">
        <v>1</v>
      </c>
      <c r="E27" s="68" t="s">
        <v>434</v>
      </c>
    </row>
    <row r="28" spans="1:5">
      <c r="A28" s="68">
        <v>0.35439300000000001</v>
      </c>
      <c r="B28" s="68">
        <v>0.42258800000000002</v>
      </c>
      <c r="C28" s="68">
        <v>10.5084</v>
      </c>
      <c r="D28" s="68">
        <v>1</v>
      </c>
      <c r="E28" s="68" t="s">
        <v>435</v>
      </c>
    </row>
    <row r="29" spans="1:5">
      <c r="A29" s="68">
        <v>0.353908</v>
      </c>
      <c r="B29" s="68">
        <v>0.42187200000000002</v>
      </c>
      <c r="C29" s="68">
        <v>10.9122</v>
      </c>
      <c r="D29" s="68">
        <v>1</v>
      </c>
      <c r="E29" s="68" t="s">
        <v>436</v>
      </c>
    </row>
    <row r="30" spans="1:5">
      <c r="A30" s="68">
        <v>0.35289599999999999</v>
      </c>
      <c r="B30" s="68">
        <v>0.42196299999999998</v>
      </c>
      <c r="C30" s="68">
        <v>11.3179</v>
      </c>
      <c r="D30" s="68">
        <v>1</v>
      </c>
      <c r="E30" s="68" t="s">
        <v>437</v>
      </c>
    </row>
    <row r="31" spans="1:5">
      <c r="A31" s="68">
        <v>0.35170299999999999</v>
      </c>
      <c r="B31" s="68">
        <v>0.42272900000000002</v>
      </c>
      <c r="C31" s="68">
        <v>11.723699999999999</v>
      </c>
      <c r="D31" s="68">
        <v>1</v>
      </c>
      <c r="E31" s="68" t="s">
        <v>438</v>
      </c>
    </row>
    <row r="32" spans="1:5">
      <c r="A32" s="68">
        <v>0.35104200000000002</v>
      </c>
      <c r="B32" s="68">
        <v>0.42319299999999999</v>
      </c>
      <c r="C32" s="68">
        <v>12.1349</v>
      </c>
      <c r="D32" s="68">
        <v>1</v>
      </c>
      <c r="E32" s="68" t="s">
        <v>439</v>
      </c>
    </row>
    <row r="33" spans="1:5">
      <c r="A33" s="68">
        <v>0.35063499999999997</v>
      </c>
      <c r="B33" s="68">
        <v>0.42311500000000002</v>
      </c>
      <c r="C33" s="68">
        <v>12.541600000000001</v>
      </c>
      <c r="D33" s="68">
        <v>1</v>
      </c>
      <c r="E33" s="68" t="s">
        <v>440</v>
      </c>
    </row>
    <row r="34" spans="1:5">
      <c r="A34" s="68">
        <v>0.35050999999999999</v>
      </c>
      <c r="B34" s="68">
        <v>0.422406</v>
      </c>
      <c r="C34" s="68">
        <v>12.947699999999999</v>
      </c>
      <c r="D34" s="68">
        <v>1</v>
      </c>
      <c r="E34" s="68" t="s">
        <v>441</v>
      </c>
    </row>
    <row r="35" spans="1:5">
      <c r="A35" s="68">
        <v>0.35044799999999998</v>
      </c>
      <c r="B35" s="68">
        <v>0.42128500000000002</v>
      </c>
      <c r="C35" s="68">
        <v>13.3497</v>
      </c>
      <c r="D35" s="68">
        <v>1</v>
      </c>
      <c r="E35" s="68" t="s">
        <v>442</v>
      </c>
    </row>
    <row r="36" spans="1:5">
      <c r="A36" s="68">
        <v>0.350103</v>
      </c>
      <c r="B36" s="68">
        <v>0.42052</v>
      </c>
      <c r="C36" s="68">
        <v>13.754</v>
      </c>
      <c r="D36" s="68">
        <v>1</v>
      </c>
      <c r="E36" s="68" t="s">
        <v>443</v>
      </c>
    </row>
    <row r="37" spans="1:5">
      <c r="A37" s="68">
        <v>0.34962900000000002</v>
      </c>
      <c r="B37" s="68">
        <v>0.419929</v>
      </c>
      <c r="C37" s="68">
        <v>14.164899999999999</v>
      </c>
      <c r="D37" s="68">
        <v>1</v>
      </c>
      <c r="E37" s="68" t="s">
        <v>444</v>
      </c>
    </row>
    <row r="38" spans="1:5">
      <c r="A38" s="68">
        <v>0.34901199999999999</v>
      </c>
      <c r="B38" s="68">
        <v>0.41987400000000002</v>
      </c>
      <c r="C38" s="68">
        <v>14.573499999999999</v>
      </c>
      <c r="D38" s="68">
        <v>1</v>
      </c>
      <c r="E38" s="68" t="s">
        <v>445</v>
      </c>
    </row>
    <row r="39" spans="1:5">
      <c r="A39" s="68">
        <v>0.34833399999999998</v>
      </c>
      <c r="B39" s="68">
        <v>0.42021199999999997</v>
      </c>
      <c r="C39" s="68">
        <v>14.9758</v>
      </c>
      <c r="D39" s="68">
        <v>1</v>
      </c>
      <c r="E39" s="68" t="s">
        <v>446</v>
      </c>
    </row>
    <row r="40" spans="1:5">
      <c r="A40" s="68">
        <v>0.34794000000000003</v>
      </c>
      <c r="B40" s="68">
        <v>0.42032599999999998</v>
      </c>
      <c r="C40" s="68">
        <v>15.382999999999999</v>
      </c>
      <c r="D40" s="68">
        <v>1</v>
      </c>
      <c r="E40" s="68" t="s">
        <v>447</v>
      </c>
    </row>
    <row r="41" spans="1:5">
      <c r="A41" s="68">
        <v>0.347603</v>
      </c>
      <c r="B41" s="68">
        <v>0.41974299999999998</v>
      </c>
      <c r="C41" s="68">
        <v>15.7888</v>
      </c>
      <c r="D41" s="68">
        <v>1</v>
      </c>
      <c r="E41" s="68" t="s">
        <v>448</v>
      </c>
    </row>
    <row r="42" spans="1:5">
      <c r="A42" s="68">
        <v>0.347335</v>
      </c>
      <c r="B42" s="68">
        <v>0.41882999999999998</v>
      </c>
      <c r="C42" s="68">
        <v>16.194099999999999</v>
      </c>
      <c r="D42" s="68">
        <v>1</v>
      </c>
      <c r="E42" s="68" t="s">
        <v>449</v>
      </c>
    </row>
    <row r="43" spans="1:5">
      <c r="A43" s="68">
        <v>0.34689799999999998</v>
      </c>
      <c r="B43" s="68">
        <v>0.41810900000000001</v>
      </c>
      <c r="C43" s="68">
        <v>16.6052</v>
      </c>
      <c r="D43" s="68">
        <v>1</v>
      </c>
      <c r="E43" s="68" t="s">
        <v>450</v>
      </c>
    </row>
    <row r="44" spans="1:5">
      <c r="A44" s="68">
        <v>0.34638999999999998</v>
      </c>
      <c r="B44" s="68">
        <v>0.41764600000000002</v>
      </c>
      <c r="C44" s="68">
        <v>17.0105</v>
      </c>
      <c r="D44" s="68">
        <v>1</v>
      </c>
      <c r="E44" s="68" t="s">
        <v>451</v>
      </c>
    </row>
    <row r="45" spans="1:5">
      <c r="A45" s="68">
        <v>0.34584599999999999</v>
      </c>
      <c r="B45" s="68">
        <v>0.41775400000000001</v>
      </c>
      <c r="C45" s="68">
        <v>17.4131</v>
      </c>
      <c r="D45" s="68">
        <v>1</v>
      </c>
      <c r="E45" s="68" t="s">
        <v>452</v>
      </c>
    </row>
    <row r="46" spans="1:5">
      <c r="A46" s="68">
        <v>0.345163</v>
      </c>
      <c r="B46" s="68">
        <v>0.418101</v>
      </c>
      <c r="C46" s="68">
        <v>17.821200000000001</v>
      </c>
      <c r="D46" s="68">
        <v>1</v>
      </c>
      <c r="E46" s="68" t="s">
        <v>453</v>
      </c>
    </row>
    <row r="47" spans="1:5">
      <c r="A47" s="68">
        <v>0.34429799999999999</v>
      </c>
      <c r="B47" s="68">
        <v>0.41831299999999999</v>
      </c>
      <c r="C47" s="68">
        <v>18.224799999999998</v>
      </c>
      <c r="D47" s="68">
        <v>1</v>
      </c>
      <c r="E47" s="68" t="s">
        <v>454</v>
      </c>
    </row>
    <row r="48" spans="1:5">
      <c r="A48" s="68">
        <v>0.34340900000000002</v>
      </c>
      <c r="B48" s="68">
        <v>0.41842299999999999</v>
      </c>
      <c r="C48" s="68">
        <v>18.634799999999998</v>
      </c>
      <c r="D48" s="68">
        <v>1</v>
      </c>
      <c r="E48" s="68" t="s">
        <v>455</v>
      </c>
    </row>
    <row r="49" spans="1:5">
      <c r="A49" s="68">
        <v>0.34254400000000002</v>
      </c>
      <c r="B49" s="68">
        <v>0.418132</v>
      </c>
      <c r="C49" s="68">
        <v>19.038399999999999</v>
      </c>
      <c r="D49" s="68">
        <v>1</v>
      </c>
      <c r="E49" s="68" t="s">
        <v>456</v>
      </c>
    </row>
    <row r="50" spans="1:5">
      <c r="A50" s="68">
        <v>0.34147499999999997</v>
      </c>
      <c r="B50" s="68">
        <v>0.41785</v>
      </c>
      <c r="C50" s="68">
        <v>19.4452</v>
      </c>
      <c r="D50" s="68">
        <v>1</v>
      </c>
      <c r="E50" s="68" t="s">
        <v>457</v>
      </c>
    </row>
    <row r="51" spans="1:5">
      <c r="A51" s="68">
        <v>0.34050000000000002</v>
      </c>
      <c r="B51" s="68">
        <v>0.41723700000000002</v>
      </c>
      <c r="C51" s="68">
        <v>19.8504</v>
      </c>
      <c r="D51" s="68">
        <v>1</v>
      </c>
      <c r="E51" s="68" t="s">
        <v>458</v>
      </c>
    </row>
    <row r="52" spans="1:5">
      <c r="A52" s="68">
        <v>0.33994799999999997</v>
      </c>
      <c r="B52" s="68">
        <v>0.41680400000000001</v>
      </c>
      <c r="C52" s="68">
        <v>20.261199999999999</v>
      </c>
      <c r="D52" s="68">
        <v>1</v>
      </c>
      <c r="E52" s="68" t="s">
        <v>459</v>
      </c>
    </row>
    <row r="53" spans="1:5">
      <c r="A53" s="68">
        <v>0.33922400000000003</v>
      </c>
      <c r="B53" s="68">
        <v>0.41639100000000001</v>
      </c>
      <c r="C53" s="68">
        <v>20.665400000000002</v>
      </c>
      <c r="D53" s="68">
        <v>1</v>
      </c>
      <c r="E53" s="68" t="s">
        <v>460</v>
      </c>
    </row>
    <row r="54" spans="1:5">
      <c r="A54" s="68">
        <v>0.33868700000000002</v>
      </c>
      <c r="B54" s="68">
        <v>0.41606900000000002</v>
      </c>
      <c r="C54" s="68">
        <v>21.0731</v>
      </c>
      <c r="D54" s="68">
        <v>1</v>
      </c>
      <c r="E54" s="68" t="s">
        <v>461</v>
      </c>
    </row>
    <row r="55" spans="1:5">
      <c r="A55" s="68">
        <v>0.33848299999999998</v>
      </c>
      <c r="B55" s="68">
        <v>0.415103</v>
      </c>
      <c r="C55" s="68">
        <v>21.477</v>
      </c>
      <c r="D55" s="68">
        <v>1</v>
      </c>
      <c r="E55" s="68" t="s">
        <v>462</v>
      </c>
    </row>
    <row r="56" spans="1:5">
      <c r="A56" s="68">
        <v>0.33833299999999999</v>
      </c>
      <c r="B56" s="68">
        <v>0.414603</v>
      </c>
      <c r="C56" s="68">
        <v>21.883199999999999</v>
      </c>
      <c r="D56" s="68">
        <v>1</v>
      </c>
      <c r="E56" s="68" t="s">
        <v>463</v>
      </c>
    </row>
    <row r="57" spans="1:5">
      <c r="A57" s="68">
        <v>0.33790599999999998</v>
      </c>
      <c r="B57" s="68">
        <v>0.41475499999999998</v>
      </c>
      <c r="C57" s="68">
        <v>22.2865</v>
      </c>
      <c r="D57" s="68">
        <v>1</v>
      </c>
      <c r="E57" s="68" t="s">
        <v>464</v>
      </c>
    </row>
    <row r="58" spans="1:5">
      <c r="A58" s="68">
        <v>0.33751300000000001</v>
      </c>
      <c r="B58" s="68">
        <v>0.41470499999999999</v>
      </c>
      <c r="C58" s="68">
        <v>22.695599999999999</v>
      </c>
      <c r="D58" s="68">
        <v>1</v>
      </c>
      <c r="E58" s="68" t="s">
        <v>465</v>
      </c>
    </row>
    <row r="59" spans="1:5">
      <c r="A59" s="68">
        <v>0.33726</v>
      </c>
      <c r="B59" s="68">
        <v>0.41516500000000001</v>
      </c>
      <c r="C59" s="68">
        <v>23.103899999999999</v>
      </c>
      <c r="D59" s="68">
        <v>1</v>
      </c>
      <c r="E59" s="68" t="s">
        <v>466</v>
      </c>
    </row>
    <row r="60" spans="1:5">
      <c r="A60" s="68">
        <v>0.33662300000000001</v>
      </c>
      <c r="B60" s="68">
        <v>0.41705799999999998</v>
      </c>
      <c r="C60" s="68">
        <v>23.508700000000001</v>
      </c>
      <c r="D60" s="68">
        <v>1</v>
      </c>
      <c r="E60" s="68" t="s">
        <v>467</v>
      </c>
    </row>
    <row r="61" spans="1:5">
      <c r="A61" s="68">
        <v>0.336032</v>
      </c>
      <c r="B61" s="68">
        <v>0.41871799999999998</v>
      </c>
      <c r="C61" s="68">
        <v>23.913</v>
      </c>
      <c r="D61" s="68">
        <v>1</v>
      </c>
      <c r="E61" s="68" t="s">
        <v>468</v>
      </c>
    </row>
    <row r="62" spans="1:5">
      <c r="A62" s="68">
        <v>0.335702</v>
      </c>
      <c r="B62" s="68">
        <v>0.41977199999999998</v>
      </c>
      <c r="C62" s="68">
        <v>24.319900000000001</v>
      </c>
      <c r="D62" s="68">
        <v>1</v>
      </c>
      <c r="E62" s="68" t="s">
        <v>469</v>
      </c>
    </row>
    <row r="63" spans="1:5">
      <c r="A63" s="68">
        <v>0.33565099999999998</v>
      </c>
      <c r="B63" s="68">
        <v>0.42074699999999998</v>
      </c>
      <c r="C63" s="68">
        <v>24.728200000000001</v>
      </c>
      <c r="D63" s="68">
        <v>1</v>
      </c>
      <c r="E63" s="68" t="s">
        <v>470</v>
      </c>
    </row>
    <row r="64" spans="1:5">
      <c r="A64" s="68">
        <v>0.335758</v>
      </c>
      <c r="B64" s="68">
        <v>0.42177399999999998</v>
      </c>
      <c r="C64" s="68">
        <v>25.133199999999999</v>
      </c>
      <c r="D64" s="68">
        <v>1</v>
      </c>
      <c r="E64" s="68" t="s">
        <v>471</v>
      </c>
    </row>
    <row r="65" spans="1:5">
      <c r="A65" s="68">
        <v>0.33592100000000003</v>
      </c>
      <c r="B65" s="68">
        <v>0.42279899999999998</v>
      </c>
      <c r="C65" s="68">
        <v>25.538900000000002</v>
      </c>
      <c r="D65" s="68">
        <v>1</v>
      </c>
      <c r="E65" s="68" t="s">
        <v>472</v>
      </c>
    </row>
    <row r="66" spans="1:5">
      <c r="A66" s="68">
        <v>0.33613599999999999</v>
      </c>
      <c r="B66" s="68">
        <v>0.42373100000000002</v>
      </c>
      <c r="C66" s="68">
        <v>25.944700000000001</v>
      </c>
      <c r="D66" s="68">
        <v>1</v>
      </c>
      <c r="E66" s="68" t="s">
        <v>473</v>
      </c>
    </row>
    <row r="67" spans="1:5">
      <c r="A67" s="68">
        <v>0.33641900000000002</v>
      </c>
      <c r="B67" s="68">
        <v>0.42512299999999997</v>
      </c>
      <c r="C67" s="68">
        <v>26.3505</v>
      </c>
      <c r="D67" s="68">
        <v>1</v>
      </c>
      <c r="E67" s="68" t="s">
        <v>474</v>
      </c>
    </row>
    <row r="68" spans="1:5">
      <c r="A68" s="68">
        <v>0.336258</v>
      </c>
      <c r="B68" s="68">
        <v>0.42760199999999998</v>
      </c>
      <c r="C68" s="68">
        <v>26.7591</v>
      </c>
      <c r="D68" s="68">
        <v>1</v>
      </c>
      <c r="E68" s="68" t="s">
        <v>475</v>
      </c>
    </row>
    <row r="69" spans="1:5">
      <c r="A69" s="68">
        <v>0.33607799999999999</v>
      </c>
      <c r="B69" s="68">
        <v>0.430369</v>
      </c>
      <c r="C69" s="68">
        <v>27.165099999999999</v>
      </c>
      <c r="D69" s="68">
        <v>1</v>
      </c>
      <c r="E69" s="68" t="s">
        <v>476</v>
      </c>
    </row>
    <row r="70" spans="1:5">
      <c r="A70" s="68">
        <v>0.33593800000000001</v>
      </c>
      <c r="B70" s="68">
        <v>0.433083</v>
      </c>
      <c r="C70" s="68">
        <v>27.572099999999999</v>
      </c>
      <c r="D70" s="68">
        <v>1</v>
      </c>
      <c r="E70" s="68" t="s">
        <v>477</v>
      </c>
    </row>
    <row r="71" spans="1:5">
      <c r="A71" s="68">
        <v>0.335928</v>
      </c>
      <c r="B71" s="68">
        <v>0.43599300000000002</v>
      </c>
      <c r="C71" s="68">
        <v>27.976500000000001</v>
      </c>
      <c r="D71" s="68">
        <v>1</v>
      </c>
      <c r="E71" s="68" t="s">
        <v>478</v>
      </c>
    </row>
    <row r="72" spans="1:5">
      <c r="A72" s="68">
        <v>0.33628599999999997</v>
      </c>
      <c r="B72" s="68">
        <v>0.43843399999999999</v>
      </c>
      <c r="C72" s="68">
        <v>28.380400000000002</v>
      </c>
      <c r="D72" s="68">
        <v>1</v>
      </c>
      <c r="E72" s="68" t="s">
        <v>479</v>
      </c>
    </row>
    <row r="73" spans="1:5">
      <c r="A73" s="68">
        <v>0.33673500000000001</v>
      </c>
      <c r="B73" s="68">
        <v>0.441307</v>
      </c>
      <c r="C73" s="68">
        <v>28.791499999999999</v>
      </c>
      <c r="D73" s="68">
        <v>1</v>
      </c>
      <c r="E73" s="68" t="s">
        <v>480</v>
      </c>
    </row>
    <row r="74" spans="1:5">
      <c r="A74" s="68">
        <v>0.33724599999999999</v>
      </c>
      <c r="B74" s="68">
        <v>0.44487700000000002</v>
      </c>
      <c r="C74" s="68">
        <v>29.1937</v>
      </c>
      <c r="D74" s="68">
        <v>1</v>
      </c>
      <c r="E74" s="68" t="s">
        <v>481</v>
      </c>
    </row>
    <row r="75" spans="1:5">
      <c r="A75" s="68">
        <v>0.33780700000000002</v>
      </c>
      <c r="B75" s="68">
        <v>0.44878099999999999</v>
      </c>
      <c r="C75" s="68">
        <v>29.609500000000001</v>
      </c>
      <c r="D75" s="68">
        <v>1</v>
      </c>
      <c r="E75" s="68" t="s">
        <v>482</v>
      </c>
    </row>
    <row r="76" spans="1:5">
      <c r="A76" s="68">
        <v>0.33791700000000002</v>
      </c>
      <c r="B76" s="68">
        <v>0.45331500000000002</v>
      </c>
      <c r="C76" s="68">
        <v>30.007300000000001</v>
      </c>
      <c r="D76" s="68">
        <v>2</v>
      </c>
      <c r="E76" s="68" t="s">
        <v>483</v>
      </c>
    </row>
    <row r="77" spans="1:5">
      <c r="A77" s="68">
        <v>0.33842699999999998</v>
      </c>
      <c r="B77" s="68">
        <v>0.45772400000000002</v>
      </c>
      <c r="C77" s="68">
        <v>30.621500000000001</v>
      </c>
      <c r="D77" s="68">
        <v>2</v>
      </c>
      <c r="E77" s="68" t="s">
        <v>484</v>
      </c>
    </row>
    <row r="78" spans="1:5">
      <c r="A78" s="68">
        <v>0.33909</v>
      </c>
      <c r="B78" s="68">
        <v>0.46061000000000002</v>
      </c>
      <c r="C78" s="68">
        <v>30.993400000000001</v>
      </c>
      <c r="D78" s="68">
        <v>2</v>
      </c>
      <c r="E78" s="68" t="s">
        <v>485</v>
      </c>
    </row>
    <row r="79" spans="1:5">
      <c r="A79" s="68">
        <v>0.34009099999999998</v>
      </c>
      <c r="B79" s="68">
        <v>0.46248</v>
      </c>
      <c r="C79" s="68">
        <v>31.3689</v>
      </c>
      <c r="D79" s="68">
        <v>2</v>
      </c>
      <c r="E79" s="68" t="s">
        <v>486</v>
      </c>
    </row>
    <row r="80" spans="1:5">
      <c r="A80" s="68">
        <v>0.34121000000000001</v>
      </c>
      <c r="B80" s="68">
        <v>0.463648</v>
      </c>
      <c r="C80" s="68">
        <v>31.7422</v>
      </c>
      <c r="D80" s="68">
        <v>2</v>
      </c>
      <c r="E80" s="68" t="s">
        <v>487</v>
      </c>
    </row>
    <row r="81" spans="1:5">
      <c r="A81" s="68">
        <v>0.34189599999999998</v>
      </c>
      <c r="B81" s="68">
        <v>0.46461400000000003</v>
      </c>
      <c r="C81" s="68">
        <v>32.117800000000003</v>
      </c>
      <c r="D81" s="68">
        <v>2</v>
      </c>
      <c r="E81" s="68" t="s">
        <v>488</v>
      </c>
    </row>
    <row r="82" spans="1:5">
      <c r="A82" s="68">
        <v>0.342366</v>
      </c>
      <c r="B82" s="68">
        <v>0.46595500000000001</v>
      </c>
      <c r="C82" s="68">
        <v>32.5244</v>
      </c>
      <c r="D82" s="68">
        <v>2</v>
      </c>
      <c r="E82" s="68" t="s">
        <v>489</v>
      </c>
    </row>
    <row r="83" spans="1:5">
      <c r="A83" s="68">
        <v>0.34289700000000001</v>
      </c>
      <c r="B83" s="68">
        <v>0.46772900000000001</v>
      </c>
      <c r="C83" s="68">
        <v>32.929400000000001</v>
      </c>
      <c r="D83" s="68">
        <v>2</v>
      </c>
      <c r="E83" s="68" t="s">
        <v>490</v>
      </c>
    </row>
    <row r="84" spans="1:5">
      <c r="A84" s="68">
        <v>0.34350399999999998</v>
      </c>
      <c r="B84" s="68">
        <v>0.46895799999999999</v>
      </c>
      <c r="C84" s="68">
        <v>33.337499999999999</v>
      </c>
      <c r="D84" s="68">
        <v>2</v>
      </c>
      <c r="E84" s="68" t="s">
        <v>491</v>
      </c>
    </row>
    <row r="85" spans="1:5">
      <c r="A85" s="68">
        <v>0.34451900000000002</v>
      </c>
      <c r="B85" s="68">
        <v>0.47000199999999998</v>
      </c>
      <c r="C85" s="68">
        <v>33.744700000000002</v>
      </c>
      <c r="D85" s="68">
        <v>2</v>
      </c>
      <c r="E85" s="68" t="s">
        <v>492</v>
      </c>
    </row>
    <row r="86" spans="1:5">
      <c r="A86" s="68">
        <v>0.345669</v>
      </c>
      <c r="B86" s="68">
        <v>0.47105000000000002</v>
      </c>
      <c r="C86" s="68">
        <v>34.149500000000003</v>
      </c>
      <c r="D86" s="68">
        <v>2</v>
      </c>
      <c r="E86" s="68" t="s">
        <v>493</v>
      </c>
    </row>
    <row r="87" spans="1:5">
      <c r="A87" s="68">
        <v>0.346833</v>
      </c>
      <c r="B87" s="68">
        <v>0.47142800000000001</v>
      </c>
      <c r="C87" s="68">
        <v>34.555999999999997</v>
      </c>
      <c r="D87" s="68">
        <v>2</v>
      </c>
      <c r="E87" s="68" t="s">
        <v>494</v>
      </c>
    </row>
    <row r="88" spans="1:5">
      <c r="A88" s="68">
        <v>0.348219</v>
      </c>
      <c r="B88" s="68">
        <v>0.47045700000000001</v>
      </c>
      <c r="C88" s="68">
        <v>34.962200000000003</v>
      </c>
      <c r="D88" s="68">
        <v>2</v>
      </c>
      <c r="E88" s="68" t="s">
        <v>495</v>
      </c>
    </row>
    <row r="89" spans="1:5">
      <c r="A89" s="68">
        <v>0.35009400000000002</v>
      </c>
      <c r="B89" s="68">
        <v>0.46819100000000002</v>
      </c>
      <c r="C89" s="68">
        <v>35.367899999999999</v>
      </c>
      <c r="D89" s="68">
        <v>2</v>
      </c>
      <c r="E89" s="68" t="s">
        <v>496</v>
      </c>
    </row>
    <row r="90" spans="1:5">
      <c r="A90" s="68">
        <v>0.35189500000000001</v>
      </c>
      <c r="B90" s="68">
        <v>0.46636499999999997</v>
      </c>
      <c r="C90" s="68">
        <v>35.775100000000002</v>
      </c>
      <c r="D90" s="68">
        <v>2</v>
      </c>
      <c r="E90" s="68" t="s">
        <v>497</v>
      </c>
    </row>
    <row r="91" spans="1:5">
      <c r="A91" s="68">
        <v>0.35356599999999999</v>
      </c>
      <c r="B91" s="68">
        <v>0.46539599999999998</v>
      </c>
      <c r="C91" s="68">
        <v>36.180399999999999</v>
      </c>
      <c r="D91" s="68">
        <v>2</v>
      </c>
      <c r="E91" s="68" t="s">
        <v>498</v>
      </c>
    </row>
    <row r="92" spans="1:5">
      <c r="A92" s="68">
        <v>0.35574299999999998</v>
      </c>
      <c r="B92" s="68">
        <v>0.46343600000000001</v>
      </c>
      <c r="C92" s="68">
        <v>36.587699999999998</v>
      </c>
      <c r="D92" s="68">
        <v>2</v>
      </c>
      <c r="E92" s="68" t="s">
        <v>499</v>
      </c>
    </row>
    <row r="93" spans="1:5">
      <c r="A93" s="68">
        <v>0.35829699999999998</v>
      </c>
      <c r="B93" s="68">
        <v>0.46095000000000003</v>
      </c>
      <c r="C93" s="68">
        <v>36.989899999999999</v>
      </c>
      <c r="D93" s="68">
        <v>2</v>
      </c>
      <c r="E93" s="68" t="s">
        <v>500</v>
      </c>
    </row>
    <row r="94" spans="1:5">
      <c r="A94" s="68">
        <v>0.36121399999999998</v>
      </c>
      <c r="B94" s="68">
        <v>0.45777299999999999</v>
      </c>
      <c r="C94" s="68">
        <v>37.400100000000002</v>
      </c>
      <c r="D94" s="68">
        <v>2</v>
      </c>
      <c r="E94" s="68" t="s">
        <v>501</v>
      </c>
    </row>
    <row r="95" spans="1:5">
      <c r="A95" s="68">
        <v>0.36451899999999998</v>
      </c>
      <c r="B95" s="68">
        <v>0.45359899999999997</v>
      </c>
      <c r="C95" s="68">
        <v>37.807000000000002</v>
      </c>
      <c r="D95" s="68">
        <v>2</v>
      </c>
      <c r="E95" s="68" t="s">
        <v>502</v>
      </c>
    </row>
    <row r="96" spans="1:5">
      <c r="A96" s="68">
        <v>0.368168</v>
      </c>
      <c r="B96" s="68">
        <v>0.44814999999999999</v>
      </c>
      <c r="C96" s="68">
        <v>38.210599999999999</v>
      </c>
      <c r="D96" s="68">
        <v>2</v>
      </c>
      <c r="E96" s="68" t="s">
        <v>503</v>
      </c>
    </row>
    <row r="97" spans="1:5">
      <c r="A97" s="68">
        <v>0.37190099999999998</v>
      </c>
      <c r="B97" s="68">
        <v>0.44270799999999999</v>
      </c>
      <c r="C97" s="68">
        <v>38.6175</v>
      </c>
      <c r="D97" s="68">
        <v>2</v>
      </c>
      <c r="E97" s="68" t="s">
        <v>504</v>
      </c>
    </row>
    <row r="98" spans="1:5">
      <c r="A98" s="68">
        <v>0.37548199999999998</v>
      </c>
      <c r="B98" s="68">
        <v>0.43745899999999999</v>
      </c>
      <c r="C98" s="68">
        <v>39.0244</v>
      </c>
      <c r="D98" s="68">
        <v>2</v>
      </c>
      <c r="E98" s="68" t="s">
        <v>505</v>
      </c>
    </row>
    <row r="99" spans="1:5">
      <c r="A99" s="68">
        <v>0.378994</v>
      </c>
      <c r="B99" s="68">
        <v>0.43228100000000003</v>
      </c>
      <c r="C99" s="68">
        <v>39.428400000000003</v>
      </c>
      <c r="D99" s="68">
        <v>2</v>
      </c>
      <c r="E99" s="68" t="s">
        <v>506</v>
      </c>
    </row>
    <row r="100" spans="1:5">
      <c r="A100" s="68">
        <v>0.38289299999999998</v>
      </c>
      <c r="B100" s="68">
        <v>0.42725299999999999</v>
      </c>
      <c r="C100" s="68">
        <v>39.837200000000003</v>
      </c>
      <c r="D100" s="68">
        <v>2</v>
      </c>
      <c r="E100" s="68" t="s">
        <v>507</v>
      </c>
    </row>
    <row r="101" spans="1:5">
      <c r="A101" s="68">
        <v>0.38668400000000003</v>
      </c>
      <c r="B101" s="68">
        <v>0.423377</v>
      </c>
      <c r="C101" s="68">
        <v>40.241999999999997</v>
      </c>
      <c r="D101" s="68">
        <v>2</v>
      </c>
      <c r="E101" s="68" t="s">
        <v>508</v>
      </c>
    </row>
    <row r="102" spans="1:5">
      <c r="A102" s="68">
        <v>0.39046700000000001</v>
      </c>
      <c r="B102" s="68">
        <v>0.41913</v>
      </c>
      <c r="C102" s="68">
        <v>40.648600000000002</v>
      </c>
      <c r="D102" s="68">
        <v>2</v>
      </c>
      <c r="E102" s="68" t="s">
        <v>509</v>
      </c>
    </row>
    <row r="103" spans="1:5">
      <c r="A103" s="68">
        <v>0.39452999999999999</v>
      </c>
      <c r="B103" s="68">
        <v>0.41419099999999998</v>
      </c>
      <c r="C103" s="68">
        <v>41.052700000000002</v>
      </c>
      <c r="D103" s="68">
        <v>2</v>
      </c>
      <c r="E103" s="68" t="s">
        <v>510</v>
      </c>
    </row>
    <row r="104" spans="1:5">
      <c r="A104" s="68">
        <v>0.39844200000000002</v>
      </c>
      <c r="B104" s="68">
        <v>0.40964499999999998</v>
      </c>
      <c r="C104" s="68">
        <v>41.461599999999997</v>
      </c>
      <c r="D104" s="68">
        <v>2</v>
      </c>
      <c r="E104" s="68" t="s">
        <v>511</v>
      </c>
    </row>
    <row r="105" spans="1:5">
      <c r="A105" s="68">
        <v>0.40222200000000002</v>
      </c>
      <c r="B105" s="68">
        <v>0.40606599999999998</v>
      </c>
      <c r="C105" s="68">
        <v>41.8675</v>
      </c>
      <c r="D105" s="68">
        <v>2</v>
      </c>
      <c r="E105" s="68" t="s">
        <v>512</v>
      </c>
    </row>
    <row r="106" spans="1:5">
      <c r="A106" s="68">
        <v>0.40595500000000001</v>
      </c>
      <c r="B106" s="68">
        <v>0.40450900000000001</v>
      </c>
      <c r="C106" s="68">
        <v>42.275199999999998</v>
      </c>
      <c r="D106" s="68">
        <v>2</v>
      </c>
      <c r="E106" s="68" t="s">
        <v>513</v>
      </c>
    </row>
    <row r="107" spans="1:5">
      <c r="A107" s="68">
        <v>0.40934900000000002</v>
      </c>
      <c r="B107" s="68">
        <v>0.40412300000000001</v>
      </c>
      <c r="C107" s="68">
        <v>42.678199999999997</v>
      </c>
      <c r="D107" s="68">
        <v>2</v>
      </c>
      <c r="E107" s="68" t="s">
        <v>514</v>
      </c>
    </row>
    <row r="108" spans="1:5">
      <c r="A108" s="68">
        <v>0.412246</v>
      </c>
      <c r="B108" s="68">
        <v>0.40379999999999999</v>
      </c>
      <c r="C108" s="68">
        <v>43.0852</v>
      </c>
      <c r="D108" s="68">
        <v>2</v>
      </c>
      <c r="E108" s="68" t="s">
        <v>515</v>
      </c>
    </row>
    <row r="109" spans="1:5">
      <c r="A109" s="68">
        <v>0.41510900000000001</v>
      </c>
      <c r="B109" s="68">
        <v>0.40360400000000002</v>
      </c>
      <c r="C109" s="68">
        <v>43.494500000000002</v>
      </c>
      <c r="D109" s="68">
        <v>2</v>
      </c>
      <c r="E109" s="68" t="s">
        <v>516</v>
      </c>
    </row>
    <row r="110" spans="1:5">
      <c r="A110" s="68">
        <v>0.417765</v>
      </c>
      <c r="B110" s="68">
        <v>0.40361999999999998</v>
      </c>
      <c r="C110" s="68">
        <v>43.903300000000002</v>
      </c>
      <c r="D110" s="68">
        <v>2</v>
      </c>
      <c r="E110" s="68" t="s">
        <v>517</v>
      </c>
    </row>
    <row r="111" spans="1:5">
      <c r="A111" s="68">
        <v>0.420431</v>
      </c>
      <c r="B111" s="68">
        <v>0.40368399999999999</v>
      </c>
      <c r="C111" s="68">
        <v>44.306600000000003</v>
      </c>
      <c r="D111" s="68">
        <v>2</v>
      </c>
      <c r="E111" s="68" t="s">
        <v>518</v>
      </c>
    </row>
    <row r="112" spans="1:5">
      <c r="A112" s="68">
        <v>0.42288799999999999</v>
      </c>
      <c r="B112" s="68">
        <v>0.40461799999999998</v>
      </c>
      <c r="C112" s="68">
        <v>44.712400000000002</v>
      </c>
      <c r="D112" s="68">
        <v>2</v>
      </c>
      <c r="E112" s="68" t="s">
        <v>519</v>
      </c>
    </row>
    <row r="113" spans="1:5">
      <c r="A113" s="68">
        <v>0.42515599999999998</v>
      </c>
      <c r="B113" s="68">
        <v>0.40556399999999998</v>
      </c>
      <c r="C113" s="68">
        <v>45.116700000000002</v>
      </c>
      <c r="D113" s="68">
        <v>2</v>
      </c>
      <c r="E113" s="68" t="s">
        <v>520</v>
      </c>
    </row>
    <row r="114" spans="1:5">
      <c r="A114" s="68">
        <v>0.42730400000000002</v>
      </c>
      <c r="B114" s="68">
        <v>0.40597</v>
      </c>
      <c r="C114" s="68">
        <v>45.525399999999998</v>
      </c>
      <c r="D114" s="68">
        <v>2</v>
      </c>
      <c r="E114" s="68" t="s">
        <v>521</v>
      </c>
    </row>
    <row r="115" spans="1:5">
      <c r="A115" s="68">
        <v>0.42934099999999997</v>
      </c>
      <c r="B115" s="68">
        <v>0.40697100000000003</v>
      </c>
      <c r="C115" s="68">
        <v>45.930199999999999</v>
      </c>
      <c r="D115" s="68">
        <v>2</v>
      </c>
      <c r="E115" s="68" t="s">
        <v>522</v>
      </c>
    </row>
    <row r="116" spans="1:5">
      <c r="A116" s="68">
        <v>0.43130800000000002</v>
      </c>
      <c r="B116" s="68">
        <v>0.408003</v>
      </c>
      <c r="C116" s="68">
        <v>46.337200000000003</v>
      </c>
      <c r="D116" s="68">
        <v>2</v>
      </c>
      <c r="E116" s="68" t="s">
        <v>523</v>
      </c>
    </row>
    <row r="117" spans="1:5">
      <c r="A117" s="68">
        <v>0.43294899999999997</v>
      </c>
      <c r="B117" s="68">
        <v>0.409165</v>
      </c>
      <c r="C117" s="68">
        <v>46.740699999999997</v>
      </c>
      <c r="D117" s="68">
        <v>2</v>
      </c>
      <c r="E117" s="68" t="s">
        <v>524</v>
      </c>
    </row>
    <row r="118" spans="1:5">
      <c r="A118" s="68">
        <v>0.43436900000000001</v>
      </c>
      <c r="B118" s="68">
        <v>0.410445</v>
      </c>
      <c r="C118" s="68">
        <v>47.147500000000001</v>
      </c>
      <c r="D118" s="68">
        <v>2</v>
      </c>
      <c r="E118" s="68" t="s">
        <v>525</v>
      </c>
    </row>
    <row r="119" spans="1:5">
      <c r="A119" s="68">
        <v>0.43531999999999998</v>
      </c>
      <c r="B119" s="68">
        <v>0.41169899999999998</v>
      </c>
      <c r="C119" s="68">
        <v>47.555599999999998</v>
      </c>
      <c r="D119" s="68">
        <v>2</v>
      </c>
      <c r="E119" s="68" t="s">
        <v>526</v>
      </c>
    </row>
    <row r="120" spans="1:5">
      <c r="A120" s="68">
        <v>0.43580400000000002</v>
      </c>
      <c r="B120" s="68">
        <v>0.41323300000000002</v>
      </c>
      <c r="C120" s="68">
        <v>47.962299999999999</v>
      </c>
      <c r="D120" s="68">
        <v>2</v>
      </c>
      <c r="E120" s="68" t="s">
        <v>527</v>
      </c>
    </row>
    <row r="121" spans="1:5">
      <c r="A121" s="68">
        <v>0.43568099999999998</v>
      </c>
      <c r="B121" s="68">
        <v>0.41475099999999998</v>
      </c>
      <c r="C121" s="68">
        <v>48.369100000000003</v>
      </c>
      <c r="D121" s="68">
        <v>2</v>
      </c>
      <c r="E121" s="68" t="s">
        <v>528</v>
      </c>
    </row>
    <row r="122" spans="1:5">
      <c r="A122" s="68">
        <v>0.435058</v>
      </c>
      <c r="B122" s="68">
        <v>0.41572500000000001</v>
      </c>
      <c r="C122" s="68">
        <v>48.773200000000003</v>
      </c>
      <c r="D122" s="68">
        <v>2</v>
      </c>
      <c r="E122" s="68" t="s">
        <v>529</v>
      </c>
    </row>
    <row r="123" spans="1:5">
      <c r="A123" s="68">
        <v>0.43413000000000002</v>
      </c>
      <c r="B123" s="68">
        <v>0.41648000000000002</v>
      </c>
      <c r="C123" s="68">
        <v>49.181399999999996</v>
      </c>
      <c r="D123" s="68">
        <v>2</v>
      </c>
      <c r="E123" s="68" t="s">
        <v>530</v>
      </c>
    </row>
    <row r="124" spans="1:5">
      <c r="A124" s="68">
        <v>0.43289</v>
      </c>
      <c r="B124" s="68">
        <v>0.41736899999999999</v>
      </c>
      <c r="C124" s="68">
        <v>49.588200000000001</v>
      </c>
      <c r="D124" s="68">
        <v>2</v>
      </c>
      <c r="E124" s="68" t="s">
        <v>531</v>
      </c>
    </row>
    <row r="125" spans="1:5">
      <c r="A125" s="68">
        <v>0.43141699999999999</v>
      </c>
      <c r="B125" s="68">
        <v>0.41844500000000001</v>
      </c>
      <c r="C125" s="68">
        <v>49.994900000000001</v>
      </c>
      <c r="D125" s="68">
        <v>2</v>
      </c>
      <c r="E125" s="68" t="s">
        <v>532</v>
      </c>
    </row>
    <row r="126" spans="1:5">
      <c r="A126" s="68">
        <v>0.43130400000000002</v>
      </c>
      <c r="B126" s="68">
        <v>0.41881099999999999</v>
      </c>
      <c r="C126" s="68">
        <v>50.397799999999997</v>
      </c>
      <c r="D126" s="68">
        <v>2</v>
      </c>
      <c r="E126" s="68" t="s">
        <v>533</v>
      </c>
    </row>
    <row r="127" spans="1:5">
      <c r="A127" s="68">
        <v>0.43101</v>
      </c>
      <c r="B127" s="68">
        <v>0.41960700000000001</v>
      </c>
      <c r="C127" s="68">
        <v>50.805799999999998</v>
      </c>
      <c r="D127" s="68">
        <v>2</v>
      </c>
      <c r="E127" s="68" t="s">
        <v>534</v>
      </c>
    </row>
    <row r="128" spans="1:5">
      <c r="A128" s="68">
        <v>0.43029000000000001</v>
      </c>
      <c r="B128" s="68">
        <v>0.42110799999999998</v>
      </c>
      <c r="C128" s="68">
        <v>51.210599999999999</v>
      </c>
      <c r="D128" s="68">
        <v>2</v>
      </c>
      <c r="E128" s="68" t="s">
        <v>535</v>
      </c>
    </row>
    <row r="129" spans="1:5">
      <c r="A129" s="68">
        <v>0.429336</v>
      </c>
      <c r="B129" s="68">
        <v>0.42314600000000002</v>
      </c>
      <c r="C129" s="68">
        <v>51.618600000000001</v>
      </c>
      <c r="D129" s="68">
        <v>2</v>
      </c>
      <c r="E129" s="68" t="s">
        <v>536</v>
      </c>
    </row>
    <row r="130" spans="1:5">
      <c r="A130" s="68">
        <v>0.42826799999999998</v>
      </c>
      <c r="B130" s="68">
        <v>0.42524499999999998</v>
      </c>
      <c r="C130" s="68">
        <v>52.021599999999999</v>
      </c>
      <c r="D130" s="68">
        <v>2</v>
      </c>
      <c r="E130" s="68" t="s">
        <v>537</v>
      </c>
    </row>
    <row r="131" spans="1:5">
      <c r="A131" s="68">
        <v>0.42730000000000001</v>
      </c>
      <c r="B131" s="68">
        <v>0.42688100000000001</v>
      </c>
      <c r="C131" s="68">
        <v>52.428199999999997</v>
      </c>
      <c r="D131" s="68">
        <v>2</v>
      </c>
      <c r="E131" s="68" t="s">
        <v>538</v>
      </c>
    </row>
    <row r="132" spans="1:5">
      <c r="A132" s="68">
        <v>0.42653099999999999</v>
      </c>
      <c r="B132" s="68">
        <v>0.42840099999999998</v>
      </c>
      <c r="C132" s="68">
        <v>52.836300000000001</v>
      </c>
      <c r="D132" s="68">
        <v>2</v>
      </c>
      <c r="E132" s="68" t="s">
        <v>539</v>
      </c>
    </row>
    <row r="133" spans="1:5">
      <c r="A133" s="68">
        <v>0.42596800000000001</v>
      </c>
      <c r="B133" s="68">
        <v>0.42980499999999999</v>
      </c>
      <c r="C133" s="68">
        <v>53.2438</v>
      </c>
      <c r="D133" s="68">
        <v>2</v>
      </c>
      <c r="E133" s="68" t="s">
        <v>540</v>
      </c>
    </row>
    <row r="134" spans="1:5">
      <c r="A134" s="68">
        <v>0.42536600000000002</v>
      </c>
      <c r="B134" s="68">
        <v>0.43166300000000002</v>
      </c>
      <c r="C134" s="68">
        <v>53.650100000000002</v>
      </c>
      <c r="D134" s="68">
        <v>2</v>
      </c>
      <c r="E134" s="68" t="s">
        <v>541</v>
      </c>
    </row>
    <row r="135" spans="1:5">
      <c r="A135" s="68">
        <v>0.42485899999999999</v>
      </c>
      <c r="B135" s="68">
        <v>0.43326100000000001</v>
      </c>
      <c r="C135" s="68">
        <v>54.055799999999998</v>
      </c>
      <c r="D135" s="68">
        <v>2</v>
      </c>
      <c r="E135" s="68" t="s">
        <v>542</v>
      </c>
    </row>
    <row r="136" spans="1:5">
      <c r="A136" s="68">
        <v>0.42407</v>
      </c>
      <c r="B136" s="68">
        <v>0.43504999999999999</v>
      </c>
      <c r="C136" s="68">
        <v>54.461300000000001</v>
      </c>
      <c r="D136" s="68">
        <v>2</v>
      </c>
      <c r="E136" s="68" t="s">
        <v>543</v>
      </c>
    </row>
    <row r="137" spans="1:5">
      <c r="A137" s="68">
        <v>0.42342000000000002</v>
      </c>
      <c r="B137" s="68">
        <v>0.43623499999999998</v>
      </c>
      <c r="C137" s="68">
        <v>54.867800000000003</v>
      </c>
      <c r="D137" s="68">
        <v>2</v>
      </c>
      <c r="E137" s="68" t="s">
        <v>544</v>
      </c>
    </row>
    <row r="138" spans="1:5">
      <c r="A138" s="68">
        <v>0.42240899999999998</v>
      </c>
      <c r="B138" s="68">
        <v>0.437807</v>
      </c>
      <c r="C138" s="68">
        <v>55.274999999999999</v>
      </c>
      <c r="D138" s="68">
        <v>2</v>
      </c>
      <c r="E138" s="68" t="s">
        <v>545</v>
      </c>
    </row>
    <row r="139" spans="1:5">
      <c r="A139" s="68">
        <v>0.420794</v>
      </c>
      <c r="B139" s="68">
        <v>0.44062200000000001</v>
      </c>
      <c r="C139" s="68">
        <v>55.680199999999999</v>
      </c>
      <c r="D139" s="68">
        <v>2</v>
      </c>
      <c r="E139" s="68" t="s">
        <v>546</v>
      </c>
    </row>
    <row r="140" spans="1:5">
      <c r="A140" s="68">
        <v>0.41904200000000003</v>
      </c>
      <c r="B140" s="68">
        <v>0.44300800000000001</v>
      </c>
      <c r="C140" s="68">
        <v>56.085799999999999</v>
      </c>
      <c r="D140" s="68">
        <v>2</v>
      </c>
      <c r="E140" s="68" t="s">
        <v>547</v>
      </c>
    </row>
    <row r="141" spans="1:5">
      <c r="A141" s="68">
        <v>0.41712399999999999</v>
      </c>
      <c r="B141" s="68">
        <v>0.44558999999999999</v>
      </c>
      <c r="C141" s="68">
        <v>56.490900000000003</v>
      </c>
      <c r="D141" s="68">
        <v>2</v>
      </c>
      <c r="E141" s="68" t="s">
        <v>548</v>
      </c>
    </row>
    <row r="142" spans="1:5">
      <c r="A142" s="68">
        <v>0.41492000000000001</v>
      </c>
      <c r="B142" s="68">
        <v>0.44800499999999999</v>
      </c>
      <c r="C142" s="68">
        <v>56.8992</v>
      </c>
      <c r="D142" s="68">
        <v>2</v>
      </c>
      <c r="E142" s="68" t="s">
        <v>549</v>
      </c>
    </row>
    <row r="143" spans="1:5">
      <c r="A143" s="68">
        <v>0.412518</v>
      </c>
      <c r="B143" s="68">
        <v>0.45066899999999999</v>
      </c>
      <c r="C143" s="68">
        <v>57.305300000000003</v>
      </c>
      <c r="D143" s="68">
        <v>2</v>
      </c>
      <c r="E143" s="68" t="s">
        <v>550</v>
      </c>
    </row>
    <row r="144" spans="1:5">
      <c r="A144" s="68">
        <v>0.40986</v>
      </c>
      <c r="B144" s="68">
        <v>0.45269599999999999</v>
      </c>
      <c r="C144" s="68">
        <v>57.711500000000001</v>
      </c>
      <c r="D144" s="68">
        <v>2</v>
      </c>
      <c r="E144" s="68" t="s">
        <v>551</v>
      </c>
    </row>
    <row r="145" spans="1:5">
      <c r="A145" s="68">
        <v>0.40707399999999999</v>
      </c>
      <c r="B145" s="68">
        <v>0.45413300000000001</v>
      </c>
      <c r="C145" s="68">
        <v>58.118200000000002</v>
      </c>
      <c r="D145" s="68">
        <v>2</v>
      </c>
      <c r="E145" s="68" t="s">
        <v>552</v>
      </c>
    </row>
    <row r="146" spans="1:5">
      <c r="A146" s="68">
        <v>0.40404600000000002</v>
      </c>
      <c r="B146" s="68">
        <v>0.455762</v>
      </c>
      <c r="C146" s="68">
        <v>58.523000000000003</v>
      </c>
      <c r="D146" s="68">
        <v>2</v>
      </c>
      <c r="E146" s="68" t="s">
        <v>553</v>
      </c>
    </row>
    <row r="147" spans="1:5">
      <c r="A147" s="68">
        <v>0.40131099999999997</v>
      </c>
      <c r="B147" s="68">
        <v>0.459561</v>
      </c>
      <c r="C147" s="68">
        <v>58.930700000000002</v>
      </c>
      <c r="D147" s="68">
        <v>2</v>
      </c>
      <c r="E147" s="68" t="s">
        <v>554</v>
      </c>
    </row>
    <row r="148" spans="1:5">
      <c r="A148" s="68">
        <v>0.39954400000000001</v>
      </c>
      <c r="B148" s="68">
        <v>0.46364100000000003</v>
      </c>
      <c r="C148" s="68">
        <v>59.337200000000003</v>
      </c>
      <c r="D148" s="68">
        <v>2</v>
      </c>
      <c r="E148" s="68" t="s">
        <v>555</v>
      </c>
    </row>
    <row r="149" spans="1:5">
      <c r="A149" s="68">
        <v>0.40002100000000002</v>
      </c>
      <c r="B149" s="68">
        <v>0.46462500000000001</v>
      </c>
      <c r="C149" s="68">
        <v>59.744599999999998</v>
      </c>
      <c r="D149" s="68">
        <v>2</v>
      </c>
      <c r="E149" s="68" t="s">
        <v>556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406</v>
      </c>
      <c r="B1" s="66" t="s">
        <v>557</v>
      </c>
      <c r="C1" s="66" t="s">
        <v>559</v>
      </c>
      <c r="D1" s="66" t="s">
        <v>560</v>
      </c>
      <c r="E1" s="66" t="s">
        <v>561</v>
      </c>
      <c r="F1" s="66" t="s">
        <v>348</v>
      </c>
      <c r="G1" s="66" t="s">
        <v>349</v>
      </c>
      <c r="H1" s="66" t="s">
        <v>562</v>
      </c>
      <c r="I1" s="66" t="s">
        <v>563</v>
      </c>
      <c r="J1" s="66" t="s">
        <v>564</v>
      </c>
      <c r="K1" s="66" t="s">
        <v>565</v>
      </c>
      <c r="L1" s="66" t="s">
        <v>566</v>
      </c>
      <c r="M1" s="66" t="s">
        <v>567</v>
      </c>
      <c r="N1" s="66"/>
    </row>
    <row r="2" spans="1:14">
      <c r="A2" s="75">
        <v>43621.374479166669</v>
      </c>
      <c r="B2" s="66" t="s">
        <v>558</v>
      </c>
      <c r="C2" s="66"/>
      <c r="D2" s="66"/>
      <c r="E2" s="66">
        <v>4.9234099999999996</v>
      </c>
      <c r="F2" s="66">
        <v>1.9053500000000001</v>
      </c>
      <c r="G2" s="66">
        <v>0.59030800000000005</v>
      </c>
      <c r="H2" s="66">
        <v>0</v>
      </c>
      <c r="I2" s="66">
        <v>112554</v>
      </c>
      <c r="J2" s="66">
        <v>116</v>
      </c>
      <c r="K2" s="66">
        <v>116</v>
      </c>
      <c r="L2" s="66">
        <v>0</v>
      </c>
      <c r="M2" s="66" t="s">
        <v>568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2019-06-05T01:00:06Z</cp:lastPrinted>
  <dcterms:created xsi:type="dcterms:W3CDTF">2010-10-29T12:53:05Z</dcterms:created>
  <dcterms:modified xsi:type="dcterms:W3CDTF">2019-06-05T01:00:27Z</dcterms:modified>
</cp:coreProperties>
</file>