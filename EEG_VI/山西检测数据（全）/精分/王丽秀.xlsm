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<sst xmlns="http://schemas.openxmlformats.org/spreadsheetml/2006/main" count="627" uniqueCount="498">
  <si>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</si>
  <si>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</si>
  <si>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</si>
  <si>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</si>
  <si>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</si>
  <si>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</si>
  <si>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</si>
  <si>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</si>
  <si>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</si>
  <si>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</si>
  <si>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</si>
  <si>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</si>
  <si>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</si>
  <si>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</si>
  <si>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</si>
  <si>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</si>
  <si>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</si>
  <si>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</si>
  <si>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</si>
  <si>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</si>
  <si>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</si>
  <si>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</si>
  <si>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</si>
  <si>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</si>
  <si>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</si>
  <si>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</si>
  <si>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</si>
  <si>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</si>
  <si>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</si>
  <si>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</si>
  <si>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</si>
  <si>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</si>
  <si>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</si>
  <si>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</si>
  <si>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</si>
  <si>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</si>
  <si>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</si>
  <si>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</si>
  <si>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</si>
  <si>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</si>
  <si>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</si>
  <si>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</si>
  <si>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</si>
  <si>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</si>
  <si>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</si>
  <si>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</si>
  <si>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</si>
  <si>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</si>
  <si>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</si>
  <si>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</si>
  <si>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</si>
  <si>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</si>
  <si>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</si>
  <si>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</si>
  <si>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</si>
  <si>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</si>
  <si>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</si>
  <si>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</si>
  <si>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</si>
  <si>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</si>
  <si>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</si>
  <si>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</si>
  <si>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</si>
  <si>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</si>
  <si>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</si>
  <si>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</si>
  <si>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</si>
  <si>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</si>
  <si>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</si>
  <si>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</si>
  <si>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</si>
  <si>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</si>
  <si>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</si>
  <si>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</si>
  <si>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</si>
  <si>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</si>
  <si>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</si>
  <si>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</si>
  <si>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</si>
  <si>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</si>
  <si>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</si>
  <si>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</si>
  <si>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</si>
  <si>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</si>
  <si>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</si>
  <si>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</si>
  <si>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</si>
  <si>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</si>
  <si>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</si>
  <si>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</si>
  <si>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</si>
  <si>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</si>
  <si>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</si>
  <si>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</si>
  <si>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</si>
  <si>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</si>
  <si>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</si>
  <si>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</si>
  <si>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</si>
  <si>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</si>
  <si>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</si>
  <si>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</si>
  <si>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</si>
  <si>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</si>
  <si>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</si>
  <si>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</si>
  <si>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</si>
  <si>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</si>
  <si>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</si>
  <si>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</si>
  <si>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</si>
  <si>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</si>
  <si>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</si>
  <si>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</si>
  <si>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</si>
  <si>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</si>
  <si>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</si>
  <si>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</si>
  <si>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</si>
  <si>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</si>
  <si>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</si>
  <si>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</si>
  <si>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</si>
  <si>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</si>
  <si>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</si>
  <si>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</si>
  <si>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</si>
  <si>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</si>
  <si>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</si>
  <si>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</si>
  <si>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</si>
  <si>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</si>
  <si>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</si>
  <si>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</si>
  <si>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</si>
  <si>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</si>
  <si>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</si>
  <si>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</si>
  <si>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</si>
  <si>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</si>
  <si>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</si>
  <si>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</si>
  <si>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</si>
  <si>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</si>
  <si>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</si>
  <si>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</si>
  <si>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</si>
  <si>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</si>
  <si>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</si>
  <si>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</si>
  <si>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</si>
  <si>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</si>
  <si>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</si>
  <si>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</si>
  <si>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</si>
  <si>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</si>
  <si>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</si>
  <si>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</si>
  <si>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</si>
  <si>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</si>
  <si>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</si>
  <si>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</si>
  <si>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</si>
  <si>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</si>
  <si>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</si>
  <si>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</si>
  <si>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</si>
  <si>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</si>
  <si>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</si>
  <si>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</si>
  <si>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</si>
  <si>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</si>
  <si>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</si>
  <si>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</si>
  <si>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</si>
  <si>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</si>
  <si>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</si>
  <si>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</si>
  <si>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</si>
  <si>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</si>
  <si>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</si>
  <si>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</si>
  <si>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</si>
  <si>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</si>
  <si>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</si>
  <si>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</si>
  <si>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</si>
  <si>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</si>
  <si>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</si>
  <si>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</si>
  <si>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</si>
  <si>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</si>
  <si>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</si>
  <si>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</si>
  <si>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</si>
  <si>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</si>
  <si>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</si>
  <si>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</si>
  <si>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</si>
  <si>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</si>
  <si>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</si>
  <si>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</si>
  <si>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</si>
  <si>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</si>
  <si>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</si>
  <si>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</si>
  <si>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</si>
  <si>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</si>
  <si>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</si>
  <si>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</si>
  <si>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</si>
  <si>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</si>
  <si>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</si>
  <si>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</si>
  <si>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</si>
  <si>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</si>
  <si>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</si>
  <si>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</si>
  <si>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</si>
  <si>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</si>
  <si>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</si>
  <si>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</si>
  <si>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</si>
  <si>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</si>
  <si>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</si>
  <si>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</si>
  <si>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</si>
  <si>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</si>
  <si>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</si>
  <si>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</si>
  <si>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</si>
  <si>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</si>
  <si>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</si>
  <si>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</si>
  <si>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</si>
  <si>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</si>
  <si>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</si>
  <si>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</si>
  <si>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</si>
  <si>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</si>
  <si>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</si>
  <si>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</si>
  <si>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</si>
  <si>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</si>
  <si>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</si>
  <si>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</si>
  <si>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</si>
  <si>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</si>
  <si>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</si>
  <si>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</si>
  <si>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</si>
  <si>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</si>
  <si>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</si>
  <si>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</si>
  <si>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</si>
  <si>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</si>
  <si>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</si>
  <si>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</si>
  <si>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</si>
  <si>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</si>
  <si>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</si>
  <si>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</si>
  <si>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</si>
  <si>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</si>
  <si>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</si>
  <si>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</si>
  <si>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</si>
  <si>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</si>
  <si>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</si>
  <si>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</si>
  <si>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</si>
  <si>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</si>
  <si>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</si>
  <si>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</si>
  <si>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</si>
  <si>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</si>
  <si>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</si>
  <si>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</si>
  <si>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</si>
  <si>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</si>
  <si>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</si>
  <si>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</si>
  <si>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</si>
  <si>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</si>
  <si>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</si>
  <si>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</si>
  <si>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</si>
  <si>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</si>
  <si>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</si>
  <si>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</si>
  <si>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</si>
  <si>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</si>
  <si>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</si>
  <si>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</si>
  <si>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</si>
  <si>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</si>
  <si>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</si>
  <si>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</si>
  <si>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</si>
  <si>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</si>
  <si>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</si>
  <si>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</si>
  <si>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</si>
  <si>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</si>
  <si>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</si>
  <si>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</si>
  <si>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</si>
  <si>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</si>
  <si>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</si>
  <si>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</si>
  <si>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</si>
  <si>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</si>
  <si>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</si>
  <si>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</si>
  <si>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</si>
  <si>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</si>
  <si>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</si>
  <si>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</si>
  <si>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</si>
  <si>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</si>
  <si>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</si>
  <si>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</si>
  <si>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</si>
  <si>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</si>
  <si>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</si>
  <si>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</si>
  <si>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</si>
  <si>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</si>
  <si>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</si>
  <si>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</si>
  <si>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</si>
  <si>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</si>
  <si>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</si>
  <si>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</si>
  <si>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</si>
  <si>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</si>
  <si>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</si>
  <si>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</si>
  <si>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</si>
  <si>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</si>
  <si>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</si>
  <si>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</si>
  <si>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</si>
  <si>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</si>
  <si>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</si>
  <si>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</si>
  <si>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</si>
  <si>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</si>
  <si>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</si>
  <si>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</si>
  <si>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</si>
  <si>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</si>
  <si>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</si>
  <si>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</si>
  <si>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</si>
  <si>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</si>
  <si>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</si>
  <si>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</si>
  <si>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</si>
  <si>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</si>
  <si>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</si>
  <si>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</si>
  <si>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</si>
  <si>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</si>
  <si>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</si>
  <si>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</si>
  <si>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</si>
  <si>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</si>
  <si>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</si>
  <si>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</si>
  <si>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</si>
  <si>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</si>
  <si>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</si>
  <si>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</si>
  <si>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</si>
  <si>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</si>
  <si>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</si>
  <si>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</si>
  <si>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</si>
  <si>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</si>
  <si>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</si>
  <si>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</si>
  <si>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</si>
  <si>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</si>
  <si>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</si>
  <si>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</si>
  <si>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</si>
  <si>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</si>
  <si>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</si>
  <si>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</si>
  <si>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</si>
  <si>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</si>
  <si>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</si>
  <si>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</si>
  <si>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</si>
  <si>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</si>
  <si>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</si>
  <si>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</si>
  <si>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</si>
  <si>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</si>
  <si>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</si>
  <si>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</si>
  <si>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</si>
  <si>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</si>
  <si>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</si>
  <si>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</si>
  <si>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</si>
  <si>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</si>
  <si>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</si>
  <si>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[0.404363]</t>
  </si>
  <si>
    <t>1 [0.808898]</t>
  </si>
  <si>
    <t>1 [1.214744]</t>
  </si>
  <si>
    <t>1 [1.626596]</t>
  </si>
  <si>
    <t>1 [2.029596]</t>
  </si>
  <si>
    <t>1 [2.436012]</t>
  </si>
  <si>
    <t>1 [2.839556]</t>
  </si>
  <si>
    <t>1 [3.247234]</t>
  </si>
  <si>
    <t>1 [3.655253]</t>
  </si>
  <si>
    <t>1 [4.060102]</t>
  </si>
  <si>
    <t>1 [4.464951]</t>
  </si>
  <si>
    <t>1 [4.872001]</t>
  </si>
  <si>
    <t>1 [5.280884]</t>
  </si>
  <si>
    <t>1 [5.687795]</t>
  </si>
  <si>
    <t>1 [6.091726]</t>
  </si>
  <si>
    <t>1 [6.497610]</t>
  </si>
  <si>
    <t>1 [6.903864]</t>
  </si>
  <si>
    <t>1 [7.313422]</t>
  </si>
  <si>
    <t>1 [7.713262]</t>
  </si>
  <si>
    <t>1 [8.125216]</t>
  </si>
  <si>
    <t>1 [8.528095]</t>
  </si>
  <si>
    <t>1 [8.935356]</t>
  </si>
  <si>
    <t>1 [9.338933]</t>
  </si>
  <si>
    <t>1 [9.749824]</t>
  </si>
  <si>
    <t>1 [10.154738]</t>
  </si>
  <si>
    <t>1 [10.561735]</t>
  </si>
  <si>
    <t>1 [10.969680]</t>
  </si>
  <si>
    <t>1 [11.376471]</t>
  </si>
  <si>
    <t>1 [11.778414]</t>
  </si>
  <si>
    <t>1 [12.185497]</t>
  </si>
  <si>
    <t>1 [12.596372]</t>
  </si>
  <si>
    <t>1 [13.001185]</t>
  </si>
  <si>
    <t>1 [13.406095]</t>
  </si>
  <si>
    <t>1 [13.809982]</t>
  </si>
  <si>
    <t>1 [14.217003]</t>
  </si>
  <si>
    <t>1 [14.625831]</t>
  </si>
  <si>
    <t>2 [15.030783]</t>
  </si>
  <si>
    <t>2 [15.561374]</t>
  </si>
  <si>
    <t>2 [15.934404]</t>
  </si>
  <si>
    <t>2 [16.310470]</t>
  </si>
  <si>
    <t>2 [16.702559]</t>
  </si>
  <si>
    <t>2 [17.104391]</t>
  </si>
  <si>
    <t>2 [17.514188]</t>
  </si>
  <si>
    <t>2 [17.921063]</t>
  </si>
  <si>
    <t>2 [18.327903]</t>
  </si>
  <si>
    <t>2 [18.733924]</t>
  </si>
  <si>
    <t>2 [19.138787]</t>
  </si>
  <si>
    <t>2 [19.541848]</t>
  </si>
  <si>
    <t>2 [19.955524]</t>
  </si>
  <si>
    <t>2 [20.359489]</t>
  </si>
  <si>
    <t>2 [20.763466]</t>
  </si>
  <si>
    <t>2 [21.168321]</t>
  </si>
  <si>
    <t>2 [21.576335]</t>
  </si>
  <si>
    <t>2 [21.984307]</t>
  </si>
  <si>
    <t>2 [22.391119]</t>
  </si>
  <si>
    <t>2 [22.795154]</t>
  </si>
  <si>
    <t>2 [23.199873]</t>
  </si>
  <si>
    <t>2 [23.605954]</t>
  </si>
  <si>
    <t>2 [24.013787]</t>
  </si>
  <si>
    <t>2 [24.421590]</t>
  </si>
  <si>
    <t>2 [24.824520]</t>
  </si>
  <si>
    <t>2 [25.232404]</t>
  </si>
  <si>
    <t>2 [25.637425]</t>
  </si>
  <si>
    <t>2 [26.043252]</t>
  </si>
  <si>
    <t>2 [26.454738]</t>
  </si>
  <si>
    <t>2 [26.856207]</t>
  </si>
  <si>
    <t>2 [27.265055]</t>
  </si>
  <si>
    <t>2 [27.676097]</t>
  </si>
  <si>
    <t>2 [28.075982]</t>
  </si>
  <si>
    <t>2 [28.484030]</t>
  </si>
  <si>
    <t>2 [28.893820]</t>
  </si>
  <si>
    <t>2 [29.300685]</t>
  </si>
  <si>
    <t>2 [29.702953]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</si>
  <si>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</si>
  <si>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</si>
  <si>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</si>
  <si>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</si>
  <si>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</si>
  <si>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</si>
  <si>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</si>
  <si>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</si>
  <si>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</si>
  <si>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</si>
  <si>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</si>
  <si>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</si>
  <si>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</si>
  <si>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</si>
  <si>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</si>
  <si>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王丽秀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</si>
</sst>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30.503499999999999</c:v>
                </c:pt>
                <c:pt idx="1">
                  <c:v>37.327399999999997</c:v>
                </c:pt>
                <c:pt idx="2">
                  <c:v>24.223500000000001</c:v>
                </c:pt>
                <c:pt idx="3">
                  <c:v>29.2043</c:v>
                </c:pt>
                <c:pt idx="4">
                  <c:v>52.633499999999998</c:v>
                </c:pt>
                <c:pt idx="5">
                  <c:v>75.795699999999997</c:v>
                </c:pt>
                <c:pt idx="6">
                  <c:v>6.6829499999999999</c:v>
                </c:pt>
                <c:pt idx="7">
                  <c:v>63.867899999999999</c:v>
                </c:pt>
                <c:pt idx="8">
                  <c:v>20.439800000000002</c:v>
                </c:pt>
                <c:pt idx="9">
                  <c:v>27.547799999999999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0.47807155430518367</c:v>
                </c:pt>
                <c:pt idx="1">
                  <c:v>0.291337423937857</c:v>
                </c:pt>
                <c:pt idx="2">
                  <c:v>0.23059102175695939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7525</c:v>
                </c:pt>
                <c:pt idx="7">
                  <c:v>0</c:v>
                </c:pt>
                <c:pt idx="8">
                  <c:v>14719</c:v>
                </c:pt>
                <c:pt idx="9">
                  <c:v>0</c:v>
                </c:pt>
                <c:pt idx="10">
                  <c:v>0</c:v>
                </c:pt>
                <c:pt idx="11">
                  <c:v>27656</c:v>
                </c:pt>
                <c:pt idx="12">
                  <c:v>0</c:v>
                </c:pt>
                <c:pt idx="13">
                  <c:v>39213</c:v>
                </c:pt>
                <c:pt idx="14">
                  <c:v>0</c:v>
                </c:pt>
                <c:pt idx="15">
                  <c:v>0</c:v>
                </c:pt>
                <c:pt idx="16">
                  <c:v>54026</c:v>
                </c:pt>
                <c:pt idx="17">
                  <c:v>0</c:v>
                </c:pt>
                <c:pt idx="18">
                  <c:v>0</c:v>
                </c:pt>
                <c:pt idx="19">
                  <c:v>61374</c:v>
                </c:pt>
                <c:pt idx="20">
                  <c:v>0</c:v>
                </c:pt>
                <c:pt idx="21">
                  <c:v>68736</c:v>
                </c:pt>
                <c:pt idx="22">
                  <c:v>0</c:v>
                </c:pt>
                <c:pt idx="23">
                  <c:v>0</c:v>
                </c:pt>
                <c:pt idx="24">
                  <c:v>76978</c:v>
                </c:pt>
                <c:pt idx="25">
                  <c:v>0</c:v>
                </c:pt>
                <c:pt idx="26">
                  <c:v>80787</c:v>
                </c:pt>
                <c:pt idx="27">
                  <c:v>0</c:v>
                </c:pt>
                <c:pt idx="28">
                  <c:v>0</c:v>
                </c:pt>
                <c:pt idx="29">
                  <c:v>84385</c:v>
                </c:pt>
                <c:pt idx="30">
                  <c:v>0</c:v>
                </c:pt>
                <c:pt idx="31">
                  <c:v>80278</c:v>
                </c:pt>
                <c:pt idx="32">
                  <c:v>0</c:v>
                </c:pt>
                <c:pt idx="33">
                  <c:v>0</c:v>
                </c:pt>
                <c:pt idx="34">
                  <c:v>85078</c:v>
                </c:pt>
                <c:pt idx="35">
                  <c:v>0</c:v>
                </c:pt>
                <c:pt idx="36">
                  <c:v>0</c:v>
                </c:pt>
                <c:pt idx="37">
                  <c:v>85617</c:v>
                </c:pt>
                <c:pt idx="38">
                  <c:v>0</c:v>
                </c:pt>
                <c:pt idx="39">
                  <c:v>87952</c:v>
                </c:pt>
                <c:pt idx="40">
                  <c:v>0</c:v>
                </c:pt>
                <c:pt idx="41">
                  <c:v>0</c:v>
                </c:pt>
                <c:pt idx="42">
                  <c:v>72854</c:v>
                </c:pt>
                <c:pt idx="43">
                  <c:v>0</c:v>
                </c:pt>
                <c:pt idx="44">
                  <c:v>63999</c:v>
                </c:pt>
                <c:pt idx="45">
                  <c:v>0</c:v>
                </c:pt>
                <c:pt idx="46">
                  <c:v>0</c:v>
                </c:pt>
                <c:pt idx="47">
                  <c:v>54387</c:v>
                </c:pt>
                <c:pt idx="48">
                  <c:v>0</c:v>
                </c:pt>
                <c:pt idx="49">
                  <c:v>46624</c:v>
                </c:pt>
                <c:pt idx="50">
                  <c:v>0</c:v>
                </c:pt>
                <c:pt idx="51">
                  <c:v>0</c:v>
                </c:pt>
                <c:pt idx="52">
                  <c:v>40933</c:v>
                </c:pt>
                <c:pt idx="53">
                  <c:v>0</c:v>
                </c:pt>
                <c:pt idx="54">
                  <c:v>0</c:v>
                </c:pt>
                <c:pt idx="55">
                  <c:v>39354</c:v>
                </c:pt>
                <c:pt idx="56">
                  <c:v>0</c:v>
                </c:pt>
                <c:pt idx="57">
                  <c:v>36252</c:v>
                </c:pt>
                <c:pt idx="58">
                  <c:v>0</c:v>
                </c:pt>
                <c:pt idx="59">
                  <c:v>0</c:v>
                </c:pt>
                <c:pt idx="60">
                  <c:v>35710</c:v>
                </c:pt>
                <c:pt idx="61">
                  <c:v>0</c:v>
                </c:pt>
                <c:pt idx="62">
                  <c:v>32988</c:v>
                </c:pt>
                <c:pt idx="63">
                  <c:v>0</c:v>
                </c:pt>
                <c:pt idx="64">
                  <c:v>0</c:v>
                </c:pt>
                <c:pt idx="65">
                  <c:v>24995</c:v>
                </c:pt>
                <c:pt idx="66">
                  <c:v>0</c:v>
                </c:pt>
                <c:pt idx="67">
                  <c:v>25131</c:v>
                </c:pt>
                <c:pt idx="68">
                  <c:v>0</c:v>
                </c:pt>
                <c:pt idx="69">
                  <c:v>0</c:v>
                </c:pt>
                <c:pt idx="70">
                  <c:v>22783</c:v>
                </c:pt>
                <c:pt idx="71">
                  <c:v>0</c:v>
                </c:pt>
                <c:pt idx="72">
                  <c:v>0</c:v>
                </c:pt>
                <c:pt idx="73">
                  <c:v>20619</c:v>
                </c:pt>
                <c:pt idx="74">
                  <c:v>0</c:v>
                </c:pt>
                <c:pt idx="75">
                  <c:v>17076</c:v>
                </c:pt>
                <c:pt idx="76">
                  <c:v>0</c:v>
                </c:pt>
                <c:pt idx="77">
                  <c:v>0</c:v>
                </c:pt>
                <c:pt idx="78">
                  <c:v>15536</c:v>
                </c:pt>
                <c:pt idx="79">
                  <c:v>0</c:v>
                </c:pt>
                <c:pt idx="80">
                  <c:v>14088</c:v>
                </c:pt>
                <c:pt idx="81">
                  <c:v>0</c:v>
                </c:pt>
                <c:pt idx="82">
                  <c:v>0</c:v>
                </c:pt>
                <c:pt idx="83">
                  <c:v>13567</c:v>
                </c:pt>
                <c:pt idx="84">
                  <c:v>0</c:v>
                </c:pt>
                <c:pt idx="85">
                  <c:v>0</c:v>
                </c:pt>
                <c:pt idx="86">
                  <c:v>10966</c:v>
                </c:pt>
                <c:pt idx="87">
                  <c:v>0</c:v>
                </c:pt>
                <c:pt idx="88">
                  <c:v>11863</c:v>
                </c:pt>
                <c:pt idx="89">
                  <c:v>0</c:v>
                </c:pt>
                <c:pt idx="90">
                  <c:v>0</c:v>
                </c:pt>
                <c:pt idx="91">
                  <c:v>8601</c:v>
                </c:pt>
                <c:pt idx="92">
                  <c:v>0</c:v>
                </c:pt>
                <c:pt idx="93">
                  <c:v>8237</c:v>
                </c:pt>
                <c:pt idx="94">
                  <c:v>0</c:v>
                </c:pt>
                <c:pt idx="95">
                  <c:v>0</c:v>
                </c:pt>
                <c:pt idx="96">
                  <c:v>8945</c:v>
                </c:pt>
                <c:pt idx="97">
                  <c:v>0</c:v>
                </c:pt>
                <c:pt idx="98">
                  <c:v>8147</c:v>
                </c:pt>
                <c:pt idx="99">
                  <c:v>0</c:v>
                </c:pt>
                <c:pt idx="100">
                  <c:v>0</c:v>
                </c:pt>
                <c:pt idx="101">
                  <c:v>7133</c:v>
                </c:pt>
                <c:pt idx="102">
                  <c:v>0</c:v>
                </c:pt>
                <c:pt idx="103">
                  <c:v>0</c:v>
                </c:pt>
                <c:pt idx="104">
                  <c:v>10273</c:v>
                </c:pt>
                <c:pt idx="105">
                  <c:v>0</c:v>
                </c:pt>
                <c:pt idx="106">
                  <c:v>8588</c:v>
                </c:pt>
                <c:pt idx="107">
                  <c:v>0</c:v>
                </c:pt>
                <c:pt idx="108">
                  <c:v>0</c:v>
                </c:pt>
                <c:pt idx="109">
                  <c:v>7396</c:v>
                </c:pt>
                <c:pt idx="110">
                  <c:v>0</c:v>
                </c:pt>
                <c:pt idx="111">
                  <c:v>9317</c:v>
                </c:pt>
                <c:pt idx="112">
                  <c:v>0</c:v>
                </c:pt>
                <c:pt idx="113">
                  <c:v>0</c:v>
                </c:pt>
                <c:pt idx="114">
                  <c:v>7670</c:v>
                </c:pt>
                <c:pt idx="115">
                  <c:v>0</c:v>
                </c:pt>
                <c:pt idx="116">
                  <c:v>5986</c:v>
                </c:pt>
                <c:pt idx="117">
                  <c:v>0</c:v>
                </c:pt>
                <c:pt idx="118">
                  <c:v>0</c:v>
                </c:pt>
                <c:pt idx="119">
                  <c:v>6326</c:v>
                </c:pt>
                <c:pt idx="120">
                  <c:v>0</c:v>
                </c:pt>
                <c:pt idx="121">
                  <c:v>0</c:v>
                </c:pt>
                <c:pt idx="122">
                  <c:v>8065</c:v>
                </c:pt>
                <c:pt idx="123">
                  <c:v>0</c:v>
                </c:pt>
                <c:pt idx="124">
                  <c:v>6783</c:v>
                </c:pt>
                <c:pt idx="125">
                  <c:v>0</c:v>
                </c:pt>
                <c:pt idx="126">
                  <c:v>0</c:v>
                </c:pt>
                <c:pt idx="127">
                  <c:v>8779</c:v>
                </c:pt>
                <c:pt idx="128">
                  <c:v>0</c:v>
                </c:pt>
                <c:pt idx="129">
                  <c:v>6700</c:v>
                </c:pt>
                <c:pt idx="130">
                  <c:v>0</c:v>
                </c:pt>
                <c:pt idx="131">
                  <c:v>0</c:v>
                </c:pt>
                <c:pt idx="132">
                  <c:v>4846</c:v>
                </c:pt>
                <c:pt idx="133">
                  <c:v>0</c:v>
                </c:pt>
                <c:pt idx="134">
                  <c:v>4465</c:v>
                </c:pt>
                <c:pt idx="135">
                  <c:v>0</c:v>
                </c:pt>
                <c:pt idx="136">
                  <c:v>0</c:v>
                </c:pt>
                <c:pt idx="137">
                  <c:v>4192</c:v>
                </c:pt>
                <c:pt idx="138">
                  <c:v>0</c:v>
                </c:pt>
                <c:pt idx="139">
                  <c:v>0</c:v>
                </c:pt>
                <c:pt idx="140">
                  <c:v>3963</c:v>
                </c:pt>
                <c:pt idx="141">
                  <c:v>0</c:v>
                </c:pt>
                <c:pt idx="142">
                  <c:v>2320</c:v>
                </c:pt>
                <c:pt idx="143">
                  <c:v>0</c:v>
                </c:pt>
                <c:pt idx="144">
                  <c:v>0</c:v>
                </c:pt>
                <c:pt idx="145">
                  <c:v>1003</c:v>
                </c:pt>
                <c:pt idx="146">
                  <c:v>0</c:v>
                </c:pt>
                <c:pt idx="147">
                  <c:v>773</c:v>
                </c:pt>
                <c:pt idx="148">
                  <c:v>0</c:v>
                </c:pt>
                <c:pt idx="149">
                  <c:v>0</c:v>
                </c:pt>
                <c:pt idx="150">
                  <c:v>1091</c:v>
                </c:pt>
                <c:pt idx="151">
                  <c:v>0</c:v>
                </c:pt>
                <c:pt idx="152">
                  <c:v>1071</c:v>
                </c:pt>
                <c:pt idx="153">
                  <c:v>0</c:v>
                </c:pt>
                <c:pt idx="154">
                  <c:v>0</c:v>
                </c:pt>
                <c:pt idx="155">
                  <c:v>829</c:v>
                </c:pt>
                <c:pt idx="156">
                  <c:v>0</c:v>
                </c:pt>
                <c:pt idx="157">
                  <c:v>0</c:v>
                </c:pt>
                <c:pt idx="158">
                  <c:v>1237</c:v>
                </c:pt>
                <c:pt idx="159">
                  <c:v>0</c:v>
                </c:pt>
                <c:pt idx="160">
                  <c:v>527</c:v>
                </c:pt>
                <c:pt idx="161">
                  <c:v>0</c:v>
                </c:pt>
                <c:pt idx="162">
                  <c:v>0</c:v>
                </c:pt>
                <c:pt idx="163">
                  <c:v>579</c:v>
                </c:pt>
                <c:pt idx="164">
                  <c:v>0</c:v>
                </c:pt>
                <c:pt idx="165">
                  <c:v>293</c:v>
                </c:pt>
                <c:pt idx="166">
                  <c:v>0</c:v>
                </c:pt>
                <c:pt idx="167">
                  <c:v>0</c:v>
                </c:pt>
                <c:pt idx="168">
                  <c:v>444</c:v>
                </c:pt>
                <c:pt idx="169">
                  <c:v>0</c:v>
                </c:pt>
                <c:pt idx="170">
                  <c:v>0</c:v>
                </c:pt>
                <c:pt idx="171">
                  <c:v>200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  <c:pt idx="37">
                  <c:v>1.9364999999999999</c:v>
                </c:pt>
                <c:pt idx="38">
                  <c:v>1.9428400000000001</c:v>
                </c:pt>
                <c:pt idx="39">
                  <c:v>1.9501599999999999</c:v>
                </c:pt>
                <c:pt idx="40">
                  <c:v>1.9598399999999998</c:v>
                </c:pt>
                <c:pt idx="41">
                  <c:v>1.96957</c:v>
                </c:pt>
                <c:pt idx="42">
                  <c:v>1.98183</c:v>
                </c:pt>
                <c:pt idx="43">
                  <c:v>1.99526</c:v>
                </c:pt>
                <c:pt idx="44">
                  <c:v>2.0092699999999999</c:v>
                </c:pt>
                <c:pt idx="45">
                  <c:v>2.0250900000000001</c:v>
                </c:pt>
                <c:pt idx="46">
                  <c:v>2.04501</c:v>
                </c:pt>
                <c:pt idx="47">
                  <c:v>2.0672799999999998</c:v>
                </c:pt>
                <c:pt idx="48">
                  <c:v>2.0906099999999999</c:v>
                </c:pt>
                <c:pt idx="49">
                  <c:v>2.11469</c:v>
                </c:pt>
                <c:pt idx="50">
                  <c:v>2.1398600000000001</c:v>
                </c:pt>
                <c:pt idx="51">
                  <c:v>2.1658200000000001</c:v>
                </c:pt>
                <c:pt idx="52">
                  <c:v>2.1863700000000001</c:v>
                </c:pt>
                <c:pt idx="53">
                  <c:v>2.1986600000000003</c:v>
                </c:pt>
                <c:pt idx="54">
                  <c:v>2.2110500000000002</c:v>
                </c:pt>
                <c:pt idx="55">
                  <c:v>2.2237399999999998</c:v>
                </c:pt>
                <c:pt idx="56">
                  <c:v>2.2376299999999998</c:v>
                </c:pt>
                <c:pt idx="57">
                  <c:v>2.2519900000000002</c:v>
                </c:pt>
                <c:pt idx="58">
                  <c:v>2.2665899999999999</c:v>
                </c:pt>
                <c:pt idx="59">
                  <c:v>2.2814100000000002</c:v>
                </c:pt>
                <c:pt idx="60">
                  <c:v>2.2958500000000002</c:v>
                </c:pt>
                <c:pt idx="61">
                  <c:v>2.31073</c:v>
                </c:pt>
                <c:pt idx="62">
                  <c:v>2.3247800000000001</c:v>
                </c:pt>
                <c:pt idx="63">
                  <c:v>2.33839</c:v>
                </c:pt>
                <c:pt idx="64">
                  <c:v>2.3507500000000001</c:v>
                </c:pt>
                <c:pt idx="65">
                  <c:v>2.36416</c:v>
                </c:pt>
                <c:pt idx="66">
                  <c:v>2.3817200000000001</c:v>
                </c:pt>
                <c:pt idx="67">
                  <c:v>2.40421</c:v>
                </c:pt>
                <c:pt idx="68">
                  <c:v>2.4289900000000002</c:v>
                </c:pt>
                <c:pt idx="69">
                  <c:v>2.4475799999999999</c:v>
                </c:pt>
                <c:pt idx="70">
                  <c:v>2.4634499999999999</c:v>
                </c:pt>
                <c:pt idx="71">
                  <c:v>2.48786</c:v>
                </c:pt>
                <c:pt idx="72">
                  <c:v>2.5052200000000004</c:v>
                </c:pt>
                <c:pt idx="73">
                  <c:v>2.5287500000000001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  <c:pt idx="37">
                  <c:v>39.3416</c:v>
                </c:pt>
                <c:pt idx="38">
                  <c:v>39.623699999999999</c:v>
                </c:pt>
                <c:pt idx="39">
                  <c:v>39.843899999999998</c:v>
                </c:pt>
                <c:pt idx="40">
                  <c:v>40.088900000000002</c:v>
                </c:pt>
                <c:pt idx="41">
                  <c:v>40.442499999999995</c:v>
                </c:pt>
                <c:pt idx="42">
                  <c:v>40.816400000000002</c:v>
                </c:pt>
                <c:pt idx="43">
                  <c:v>41.147300000000001</c:v>
                </c:pt>
                <c:pt idx="44">
                  <c:v>41.513800000000003</c:v>
                </c:pt>
                <c:pt idx="45">
                  <c:v>41.793200000000006</c:v>
                </c:pt>
                <c:pt idx="46">
                  <c:v>41.938700000000004</c:v>
                </c:pt>
                <c:pt idx="47">
                  <c:v>42.04</c:v>
                </c:pt>
                <c:pt idx="48">
                  <c:v>42.176400000000001</c:v>
                </c:pt>
                <c:pt idx="49">
                  <c:v>42.265599999999999</c:v>
                </c:pt>
                <c:pt idx="50">
                  <c:v>42.234999999999999</c:v>
                </c:pt>
                <c:pt idx="51">
                  <c:v>42.163800000000002</c:v>
                </c:pt>
                <c:pt idx="52">
                  <c:v>42.157299999999999</c:v>
                </c:pt>
                <c:pt idx="53">
                  <c:v>42.242899999999999</c:v>
                </c:pt>
                <c:pt idx="54">
                  <c:v>42.283999999999999</c:v>
                </c:pt>
                <c:pt idx="55">
                  <c:v>42.298400000000001</c:v>
                </c:pt>
                <c:pt idx="56">
                  <c:v>42.289700000000003</c:v>
                </c:pt>
                <c:pt idx="57">
                  <c:v>42.276699999999998</c:v>
                </c:pt>
                <c:pt idx="58">
                  <c:v>42.2072</c:v>
                </c:pt>
                <c:pt idx="59">
                  <c:v>42.193100000000001</c:v>
                </c:pt>
                <c:pt idx="60">
                  <c:v>42.235799999999998</c:v>
                </c:pt>
                <c:pt idx="61">
                  <c:v>42.384999999999998</c:v>
                </c:pt>
                <c:pt idx="62">
                  <c:v>42.550699999999999</c:v>
                </c:pt>
                <c:pt idx="63">
                  <c:v>42.672600000000003</c:v>
                </c:pt>
                <c:pt idx="64">
                  <c:v>42.599499999999999</c:v>
                </c:pt>
                <c:pt idx="65">
                  <c:v>42.5486</c:v>
                </c:pt>
                <c:pt idx="66">
                  <c:v>42.471800000000002</c:v>
                </c:pt>
                <c:pt idx="67">
                  <c:v>42.404599999999995</c:v>
                </c:pt>
                <c:pt idx="68">
                  <c:v>42.470999999999997</c:v>
                </c:pt>
                <c:pt idx="69">
                  <c:v>42.548900000000003</c:v>
                </c:pt>
                <c:pt idx="70">
                  <c:v>42.520099999999999</c:v>
                </c:pt>
                <c:pt idx="71">
                  <c:v>42.3491</c:v>
                </c:pt>
                <c:pt idx="72">
                  <c:v>41.768999999999998</c:v>
                </c:pt>
                <c:pt idx="73">
                  <c:v>41.588799999999999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1.9312</c:v>
                </c:pt>
                <c:pt idx="1">
                  <c:v>1.9364999999999999</c:v>
                </c:pt>
                <c:pt idx="2">
                  <c:v>1.9428400000000001</c:v>
                </c:pt>
                <c:pt idx="3">
                  <c:v>1.9501599999999999</c:v>
                </c:pt>
                <c:pt idx="4">
                  <c:v>1.9598399999999998</c:v>
                </c:pt>
                <c:pt idx="5">
                  <c:v>1.96957</c:v>
                </c:pt>
                <c:pt idx="6">
                  <c:v>1.98183</c:v>
                </c:pt>
                <c:pt idx="7">
                  <c:v>1.99526</c:v>
                </c:pt>
                <c:pt idx="8">
                  <c:v>2.0092699999999999</c:v>
                </c:pt>
                <c:pt idx="9">
                  <c:v>2.0250900000000001</c:v>
                </c:pt>
                <c:pt idx="10">
                  <c:v>2.04501</c:v>
                </c:pt>
                <c:pt idx="11">
                  <c:v>2.0672799999999998</c:v>
                </c:pt>
                <c:pt idx="12">
                  <c:v>2.0906099999999999</c:v>
                </c:pt>
                <c:pt idx="13">
                  <c:v>2.11469</c:v>
                </c:pt>
                <c:pt idx="14">
                  <c:v>2.1398600000000001</c:v>
                </c:pt>
                <c:pt idx="15">
                  <c:v>2.1658200000000001</c:v>
                </c:pt>
                <c:pt idx="16">
                  <c:v>2.1863700000000001</c:v>
                </c:pt>
                <c:pt idx="17">
                  <c:v>2.1986600000000003</c:v>
                </c:pt>
                <c:pt idx="18">
                  <c:v>2.2110500000000002</c:v>
                </c:pt>
                <c:pt idx="19">
                  <c:v>2.2237399999999998</c:v>
                </c:pt>
                <c:pt idx="20">
                  <c:v>2.2376299999999998</c:v>
                </c:pt>
                <c:pt idx="21">
                  <c:v>2.2519900000000002</c:v>
                </c:pt>
                <c:pt idx="22">
                  <c:v>2.2665899999999999</c:v>
                </c:pt>
                <c:pt idx="23">
                  <c:v>2.2814100000000002</c:v>
                </c:pt>
                <c:pt idx="24">
                  <c:v>2.2958500000000002</c:v>
                </c:pt>
                <c:pt idx="25">
                  <c:v>2.31073</c:v>
                </c:pt>
                <c:pt idx="26">
                  <c:v>2.3247800000000001</c:v>
                </c:pt>
                <c:pt idx="27">
                  <c:v>2.33839</c:v>
                </c:pt>
                <c:pt idx="28">
                  <c:v>2.3507500000000001</c:v>
                </c:pt>
                <c:pt idx="29">
                  <c:v>2.36416</c:v>
                </c:pt>
                <c:pt idx="30">
                  <c:v>2.3817200000000001</c:v>
                </c:pt>
                <c:pt idx="31">
                  <c:v>2.40421</c:v>
                </c:pt>
                <c:pt idx="32">
                  <c:v>2.4289900000000002</c:v>
                </c:pt>
                <c:pt idx="33">
                  <c:v>2.4475799999999999</c:v>
                </c:pt>
                <c:pt idx="34">
                  <c:v>2.4634499999999999</c:v>
                </c:pt>
                <c:pt idx="35">
                  <c:v>2.48786</c:v>
                </c:pt>
                <c:pt idx="36">
                  <c:v>2.5052200000000004</c:v>
                </c:pt>
                <c:pt idx="37">
                  <c:v>2.5287500000000001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39.017000000000003</c:v>
                </c:pt>
                <c:pt idx="1">
                  <c:v>39.3416</c:v>
                </c:pt>
                <c:pt idx="2">
                  <c:v>39.623699999999999</c:v>
                </c:pt>
                <c:pt idx="3">
                  <c:v>39.843899999999998</c:v>
                </c:pt>
                <c:pt idx="4">
                  <c:v>40.088900000000002</c:v>
                </c:pt>
                <c:pt idx="5">
                  <c:v>40.442499999999995</c:v>
                </c:pt>
                <c:pt idx="6">
                  <c:v>40.816400000000002</c:v>
                </c:pt>
                <c:pt idx="7">
                  <c:v>41.147300000000001</c:v>
                </c:pt>
                <c:pt idx="8">
                  <c:v>41.513800000000003</c:v>
                </c:pt>
                <c:pt idx="9">
                  <c:v>41.793200000000006</c:v>
                </c:pt>
                <c:pt idx="10">
                  <c:v>41.938700000000004</c:v>
                </c:pt>
                <c:pt idx="11">
                  <c:v>42.04</c:v>
                </c:pt>
                <c:pt idx="12">
                  <c:v>42.176400000000001</c:v>
                </c:pt>
                <c:pt idx="13">
                  <c:v>42.265599999999999</c:v>
                </c:pt>
                <c:pt idx="14">
                  <c:v>42.234999999999999</c:v>
                </c:pt>
                <c:pt idx="15">
                  <c:v>42.163800000000002</c:v>
                </c:pt>
                <c:pt idx="16">
                  <c:v>42.157299999999999</c:v>
                </c:pt>
                <c:pt idx="17">
                  <c:v>42.242899999999999</c:v>
                </c:pt>
                <c:pt idx="18">
                  <c:v>42.283999999999999</c:v>
                </c:pt>
                <c:pt idx="19">
                  <c:v>42.298400000000001</c:v>
                </c:pt>
                <c:pt idx="20">
                  <c:v>42.289700000000003</c:v>
                </c:pt>
                <c:pt idx="21">
                  <c:v>42.276699999999998</c:v>
                </c:pt>
                <c:pt idx="22">
                  <c:v>42.2072</c:v>
                </c:pt>
                <c:pt idx="23">
                  <c:v>42.193100000000001</c:v>
                </c:pt>
                <c:pt idx="24">
                  <c:v>42.235799999999998</c:v>
                </c:pt>
                <c:pt idx="25">
                  <c:v>42.384999999999998</c:v>
                </c:pt>
                <c:pt idx="26">
                  <c:v>42.550699999999999</c:v>
                </c:pt>
                <c:pt idx="27">
                  <c:v>42.672600000000003</c:v>
                </c:pt>
                <c:pt idx="28">
                  <c:v>42.599499999999999</c:v>
                </c:pt>
                <c:pt idx="29">
                  <c:v>42.5486</c:v>
                </c:pt>
                <c:pt idx="30">
                  <c:v>42.471800000000002</c:v>
                </c:pt>
                <c:pt idx="31">
                  <c:v>42.404599999999995</c:v>
                </c:pt>
                <c:pt idx="32">
                  <c:v>42.470999999999997</c:v>
                </c:pt>
                <c:pt idx="33">
                  <c:v>42.548900000000003</c:v>
                </c:pt>
                <c:pt idx="34">
                  <c:v>42.520099999999999</c:v>
                </c:pt>
                <c:pt idx="35">
                  <c:v>42.3491</c:v>
                </c:pt>
                <c:pt idx="36">
                  <c:v>41.768999999999998</c:v>
                </c:pt>
                <c:pt idx="37">
                  <c:v>41.588799999999999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1.24962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1.6794881081081079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47.939067567567562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2.2130678378378383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41.851232432432447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2.2130678378378383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41.851232432432447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0.31912330506205705</c:v>
                </c:pt>
                <c:pt idx="1">
                  <c:v>0.31735440734968767</c:v>
                </c:pt>
                <c:pt idx="2">
                  <c:v>0.36352228758825522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15.030799999999999</c:v>
                </c:pt>
                <c:pt idx="38">
                  <c:v>15.561400000000001</c:v>
                </c:pt>
                <c:pt idx="39">
                  <c:v>15.9344</c:v>
                </c:pt>
                <c:pt idx="40">
                  <c:v>16.310500000000001</c:v>
                </c:pt>
                <c:pt idx="41">
                  <c:v>16.7026</c:v>
                </c:pt>
                <c:pt idx="42">
                  <c:v>17.104399999999998</c:v>
                </c:pt>
                <c:pt idx="43">
                  <c:v>17.514199999999999</c:v>
                </c:pt>
                <c:pt idx="44">
                  <c:v>17.921099999999999</c:v>
                </c:pt>
                <c:pt idx="45">
                  <c:v>18.3279</c:v>
                </c:pt>
                <c:pt idx="46">
                  <c:v>18.733899999999998</c:v>
                </c:pt>
                <c:pt idx="47">
                  <c:v>19.1388</c:v>
                </c:pt>
                <c:pt idx="48">
                  <c:v>19.541799999999999</c:v>
                </c:pt>
                <c:pt idx="49">
                  <c:v>19.955500000000001</c:v>
                </c:pt>
                <c:pt idx="50">
                  <c:v>20.359500000000001</c:v>
                </c:pt>
                <c:pt idx="51">
                  <c:v>20.763500000000001</c:v>
                </c:pt>
                <c:pt idx="52">
                  <c:v>21.168299999999999</c:v>
                </c:pt>
                <c:pt idx="53">
                  <c:v>21.5763</c:v>
                </c:pt>
                <c:pt idx="54">
                  <c:v>21.984300000000001</c:v>
                </c:pt>
                <c:pt idx="55">
                  <c:v>22.391100000000002</c:v>
                </c:pt>
                <c:pt idx="56">
                  <c:v>22.795200000000001</c:v>
                </c:pt>
                <c:pt idx="57">
                  <c:v>23.1999</c:v>
                </c:pt>
                <c:pt idx="58">
                  <c:v>23.606000000000002</c:v>
                </c:pt>
                <c:pt idx="59">
                  <c:v>24.0138</c:v>
                </c:pt>
                <c:pt idx="60">
                  <c:v>24.421600000000002</c:v>
                </c:pt>
                <c:pt idx="61">
                  <c:v>24.8245</c:v>
                </c:pt>
                <c:pt idx="62">
                  <c:v>25.232399999999998</c:v>
                </c:pt>
                <c:pt idx="63">
                  <c:v>25.6374</c:v>
                </c:pt>
                <c:pt idx="64">
                  <c:v>26.043299999999999</c:v>
                </c:pt>
                <c:pt idx="65">
                  <c:v>26.454699999999999</c:v>
                </c:pt>
                <c:pt idx="66">
                  <c:v>26.856200000000001</c:v>
                </c:pt>
                <c:pt idx="67">
                  <c:v>27.2651</c:v>
                </c:pt>
                <c:pt idx="68">
                  <c:v>27.676100000000002</c:v>
                </c:pt>
                <c:pt idx="69">
                  <c:v>28.076000000000001</c:v>
                </c:pt>
                <c:pt idx="70">
                  <c:v>28.484000000000002</c:v>
                </c:pt>
                <c:pt idx="71">
                  <c:v>28.893799999999999</c:v>
                </c:pt>
                <c:pt idx="72">
                  <c:v>29.300699999999999</c:v>
                </c:pt>
                <c:pt idx="73">
                  <c:v>29.702999999999999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  <c:pt idx="37">
                  <c:v>1.9364999999999999</c:v>
                </c:pt>
                <c:pt idx="38">
                  <c:v>1.9428400000000001</c:v>
                </c:pt>
                <c:pt idx="39">
                  <c:v>1.9501599999999999</c:v>
                </c:pt>
                <c:pt idx="40">
                  <c:v>1.9598399999999998</c:v>
                </c:pt>
                <c:pt idx="41">
                  <c:v>1.96957</c:v>
                </c:pt>
                <c:pt idx="42">
                  <c:v>1.98183</c:v>
                </c:pt>
                <c:pt idx="43">
                  <c:v>1.99526</c:v>
                </c:pt>
                <c:pt idx="44">
                  <c:v>2.0092699999999999</c:v>
                </c:pt>
                <c:pt idx="45">
                  <c:v>2.0250900000000001</c:v>
                </c:pt>
                <c:pt idx="46">
                  <c:v>2.04501</c:v>
                </c:pt>
                <c:pt idx="47">
                  <c:v>2.0672799999999998</c:v>
                </c:pt>
                <c:pt idx="48">
                  <c:v>2.0906099999999999</c:v>
                </c:pt>
                <c:pt idx="49">
                  <c:v>2.11469</c:v>
                </c:pt>
                <c:pt idx="50">
                  <c:v>2.1398600000000001</c:v>
                </c:pt>
                <c:pt idx="51">
                  <c:v>2.1658200000000001</c:v>
                </c:pt>
                <c:pt idx="52">
                  <c:v>2.1863700000000001</c:v>
                </c:pt>
                <c:pt idx="53">
                  <c:v>2.1986600000000003</c:v>
                </c:pt>
                <c:pt idx="54">
                  <c:v>2.2110500000000002</c:v>
                </c:pt>
                <c:pt idx="55">
                  <c:v>2.2237399999999998</c:v>
                </c:pt>
                <c:pt idx="56">
                  <c:v>2.2376299999999998</c:v>
                </c:pt>
                <c:pt idx="57">
                  <c:v>2.2519900000000002</c:v>
                </c:pt>
                <c:pt idx="58">
                  <c:v>2.2665899999999999</c:v>
                </c:pt>
                <c:pt idx="59">
                  <c:v>2.2814100000000002</c:v>
                </c:pt>
                <c:pt idx="60">
                  <c:v>2.2958500000000002</c:v>
                </c:pt>
                <c:pt idx="61">
                  <c:v>2.31073</c:v>
                </c:pt>
                <c:pt idx="62">
                  <c:v>2.3247800000000001</c:v>
                </c:pt>
                <c:pt idx="63">
                  <c:v>2.33839</c:v>
                </c:pt>
                <c:pt idx="64">
                  <c:v>2.3507500000000001</c:v>
                </c:pt>
                <c:pt idx="65">
                  <c:v>2.36416</c:v>
                </c:pt>
                <c:pt idx="66">
                  <c:v>2.3817200000000001</c:v>
                </c:pt>
                <c:pt idx="67">
                  <c:v>2.40421</c:v>
                </c:pt>
                <c:pt idx="68">
                  <c:v>2.4289900000000002</c:v>
                </c:pt>
                <c:pt idx="69">
                  <c:v>2.4475799999999999</c:v>
                </c:pt>
                <c:pt idx="70">
                  <c:v>2.4634499999999999</c:v>
                </c:pt>
                <c:pt idx="71">
                  <c:v>2.48786</c:v>
                </c:pt>
                <c:pt idx="72">
                  <c:v>2.5052200000000004</c:v>
                </c:pt>
                <c:pt idx="73">
                  <c:v>2.5287500000000001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15.030799999999999</c:v>
                </c:pt>
                <c:pt idx="2">
                  <c:v>15.561400000000001</c:v>
                </c:pt>
                <c:pt idx="3">
                  <c:v>15.9344</c:v>
                </c:pt>
                <c:pt idx="4">
                  <c:v>16.310500000000001</c:v>
                </c:pt>
                <c:pt idx="5">
                  <c:v>16.7026</c:v>
                </c:pt>
                <c:pt idx="6">
                  <c:v>17.104399999999998</c:v>
                </c:pt>
                <c:pt idx="7">
                  <c:v>17.514199999999999</c:v>
                </c:pt>
                <c:pt idx="8">
                  <c:v>17.921099999999999</c:v>
                </c:pt>
                <c:pt idx="9">
                  <c:v>18.3279</c:v>
                </c:pt>
                <c:pt idx="10">
                  <c:v>18.733899999999998</c:v>
                </c:pt>
                <c:pt idx="11">
                  <c:v>19.1388</c:v>
                </c:pt>
                <c:pt idx="12">
                  <c:v>19.541799999999999</c:v>
                </c:pt>
                <c:pt idx="13">
                  <c:v>19.955500000000001</c:v>
                </c:pt>
                <c:pt idx="14">
                  <c:v>20.359500000000001</c:v>
                </c:pt>
                <c:pt idx="15">
                  <c:v>20.763500000000001</c:v>
                </c:pt>
                <c:pt idx="16">
                  <c:v>21.168299999999999</c:v>
                </c:pt>
                <c:pt idx="17">
                  <c:v>21.5763</c:v>
                </c:pt>
                <c:pt idx="18">
                  <c:v>21.984300000000001</c:v>
                </c:pt>
                <c:pt idx="19">
                  <c:v>22.391100000000002</c:v>
                </c:pt>
                <c:pt idx="20">
                  <c:v>22.795200000000001</c:v>
                </c:pt>
                <c:pt idx="21">
                  <c:v>23.1999</c:v>
                </c:pt>
                <c:pt idx="22">
                  <c:v>23.606000000000002</c:v>
                </c:pt>
                <c:pt idx="23">
                  <c:v>24.0138</c:v>
                </c:pt>
                <c:pt idx="24">
                  <c:v>24.421600000000002</c:v>
                </c:pt>
                <c:pt idx="25">
                  <c:v>24.8245</c:v>
                </c:pt>
                <c:pt idx="26">
                  <c:v>25.232399999999998</c:v>
                </c:pt>
                <c:pt idx="27">
                  <c:v>25.6374</c:v>
                </c:pt>
                <c:pt idx="28">
                  <c:v>26.043299999999999</c:v>
                </c:pt>
                <c:pt idx="29">
                  <c:v>26.454699999999999</c:v>
                </c:pt>
                <c:pt idx="30">
                  <c:v>26.856200000000001</c:v>
                </c:pt>
                <c:pt idx="31">
                  <c:v>27.2651</c:v>
                </c:pt>
                <c:pt idx="32">
                  <c:v>27.676100000000002</c:v>
                </c:pt>
                <c:pt idx="33">
                  <c:v>28.076000000000001</c:v>
                </c:pt>
                <c:pt idx="34">
                  <c:v>28.484000000000002</c:v>
                </c:pt>
                <c:pt idx="35">
                  <c:v>28.893799999999999</c:v>
                </c:pt>
                <c:pt idx="36">
                  <c:v>29.300699999999999</c:v>
                </c:pt>
                <c:pt idx="37">
                  <c:v>29.702999999999999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1.9312</c:v>
                </c:pt>
                <c:pt idx="1">
                  <c:v>1.9364999999999999</c:v>
                </c:pt>
                <c:pt idx="2">
                  <c:v>1.9428400000000001</c:v>
                </c:pt>
                <c:pt idx="3">
                  <c:v>1.9501599999999999</c:v>
                </c:pt>
                <c:pt idx="4">
                  <c:v>1.9598399999999998</c:v>
                </c:pt>
                <c:pt idx="5">
                  <c:v>1.96957</c:v>
                </c:pt>
                <c:pt idx="6">
                  <c:v>1.98183</c:v>
                </c:pt>
                <c:pt idx="7">
                  <c:v>1.99526</c:v>
                </c:pt>
                <c:pt idx="8">
                  <c:v>2.0092699999999999</c:v>
                </c:pt>
                <c:pt idx="9">
                  <c:v>2.0250900000000001</c:v>
                </c:pt>
                <c:pt idx="10">
                  <c:v>2.04501</c:v>
                </c:pt>
                <c:pt idx="11">
                  <c:v>2.0672799999999998</c:v>
                </c:pt>
                <c:pt idx="12">
                  <c:v>2.0906099999999999</c:v>
                </c:pt>
                <c:pt idx="13">
                  <c:v>2.11469</c:v>
                </c:pt>
                <c:pt idx="14">
                  <c:v>2.1398600000000001</c:v>
                </c:pt>
                <c:pt idx="15">
                  <c:v>2.1658200000000001</c:v>
                </c:pt>
                <c:pt idx="16">
                  <c:v>2.1863700000000001</c:v>
                </c:pt>
                <c:pt idx="17">
                  <c:v>2.1986600000000003</c:v>
                </c:pt>
                <c:pt idx="18">
                  <c:v>2.2110500000000002</c:v>
                </c:pt>
                <c:pt idx="19">
                  <c:v>2.2237399999999998</c:v>
                </c:pt>
                <c:pt idx="20">
                  <c:v>2.2376299999999998</c:v>
                </c:pt>
                <c:pt idx="21">
                  <c:v>2.2519900000000002</c:v>
                </c:pt>
                <c:pt idx="22">
                  <c:v>2.2665899999999999</c:v>
                </c:pt>
                <c:pt idx="23">
                  <c:v>2.2814100000000002</c:v>
                </c:pt>
                <c:pt idx="24">
                  <c:v>2.2958500000000002</c:v>
                </c:pt>
                <c:pt idx="25">
                  <c:v>2.31073</c:v>
                </c:pt>
                <c:pt idx="26">
                  <c:v>2.3247800000000001</c:v>
                </c:pt>
                <c:pt idx="27">
                  <c:v>2.33839</c:v>
                </c:pt>
                <c:pt idx="28">
                  <c:v>2.3507500000000001</c:v>
                </c:pt>
                <c:pt idx="29">
                  <c:v>2.36416</c:v>
                </c:pt>
                <c:pt idx="30">
                  <c:v>2.3817200000000001</c:v>
                </c:pt>
                <c:pt idx="31">
                  <c:v>2.40421</c:v>
                </c:pt>
                <c:pt idx="32">
                  <c:v>2.4289900000000002</c:v>
                </c:pt>
                <c:pt idx="33">
                  <c:v>2.4475799999999999</c:v>
                </c:pt>
                <c:pt idx="34">
                  <c:v>2.4634499999999999</c:v>
                </c:pt>
                <c:pt idx="35">
                  <c:v>2.48786</c:v>
                </c:pt>
                <c:pt idx="36">
                  <c:v>2.5052200000000004</c:v>
                </c:pt>
                <c:pt idx="37">
                  <c:v>2.5287500000000001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7.4257499999999999</c:v>
                </c:pt>
                <c:pt idx="1">
                  <c:v>22.277249999999999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1.6794881081081079</c:v>
                </c:pt>
                <c:pt idx="1">
                  <c:v>2.2130678378378383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15.030799999999999</c:v>
                </c:pt>
                <c:pt idx="38">
                  <c:v>15.561400000000001</c:v>
                </c:pt>
                <c:pt idx="39">
                  <c:v>15.9344</c:v>
                </c:pt>
                <c:pt idx="40">
                  <c:v>16.310500000000001</c:v>
                </c:pt>
                <c:pt idx="41">
                  <c:v>16.7026</c:v>
                </c:pt>
                <c:pt idx="42">
                  <c:v>17.104399999999998</c:v>
                </c:pt>
                <c:pt idx="43">
                  <c:v>17.514199999999999</c:v>
                </c:pt>
                <c:pt idx="44">
                  <c:v>17.921099999999999</c:v>
                </c:pt>
                <c:pt idx="45">
                  <c:v>18.3279</c:v>
                </c:pt>
                <c:pt idx="46">
                  <c:v>18.733899999999998</c:v>
                </c:pt>
                <c:pt idx="47">
                  <c:v>19.1388</c:v>
                </c:pt>
                <c:pt idx="48">
                  <c:v>19.541799999999999</c:v>
                </c:pt>
                <c:pt idx="49">
                  <c:v>19.955500000000001</c:v>
                </c:pt>
                <c:pt idx="50">
                  <c:v>20.359500000000001</c:v>
                </c:pt>
                <c:pt idx="51">
                  <c:v>20.763500000000001</c:v>
                </c:pt>
                <c:pt idx="52">
                  <c:v>21.168299999999999</c:v>
                </c:pt>
                <c:pt idx="53">
                  <c:v>21.5763</c:v>
                </c:pt>
                <c:pt idx="54">
                  <c:v>21.984300000000001</c:v>
                </c:pt>
                <c:pt idx="55">
                  <c:v>22.391100000000002</c:v>
                </c:pt>
                <c:pt idx="56">
                  <c:v>22.795200000000001</c:v>
                </c:pt>
                <c:pt idx="57">
                  <c:v>23.1999</c:v>
                </c:pt>
                <c:pt idx="58">
                  <c:v>23.606000000000002</c:v>
                </c:pt>
                <c:pt idx="59">
                  <c:v>24.0138</c:v>
                </c:pt>
                <c:pt idx="60">
                  <c:v>24.421600000000002</c:v>
                </c:pt>
                <c:pt idx="61">
                  <c:v>24.8245</c:v>
                </c:pt>
                <c:pt idx="62">
                  <c:v>25.232399999999998</c:v>
                </c:pt>
                <c:pt idx="63">
                  <c:v>25.6374</c:v>
                </c:pt>
                <c:pt idx="64">
                  <c:v>26.043299999999999</c:v>
                </c:pt>
                <c:pt idx="65">
                  <c:v>26.454699999999999</c:v>
                </c:pt>
                <c:pt idx="66">
                  <c:v>26.856200000000001</c:v>
                </c:pt>
                <c:pt idx="67">
                  <c:v>27.2651</c:v>
                </c:pt>
                <c:pt idx="68">
                  <c:v>27.676100000000002</c:v>
                </c:pt>
                <c:pt idx="69">
                  <c:v>28.076000000000001</c:v>
                </c:pt>
                <c:pt idx="70">
                  <c:v>28.484000000000002</c:v>
                </c:pt>
                <c:pt idx="71">
                  <c:v>28.893799999999999</c:v>
                </c:pt>
                <c:pt idx="72">
                  <c:v>29.300699999999999</c:v>
                </c:pt>
                <c:pt idx="73">
                  <c:v>29.702999999999999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  <c:pt idx="37">
                  <c:v>39.3416</c:v>
                </c:pt>
                <c:pt idx="38">
                  <c:v>39.623699999999999</c:v>
                </c:pt>
                <c:pt idx="39">
                  <c:v>39.843899999999998</c:v>
                </c:pt>
                <c:pt idx="40">
                  <c:v>40.088900000000002</c:v>
                </c:pt>
                <c:pt idx="41">
                  <c:v>40.442499999999995</c:v>
                </c:pt>
                <c:pt idx="42">
                  <c:v>40.816400000000002</c:v>
                </c:pt>
                <c:pt idx="43">
                  <c:v>41.147300000000001</c:v>
                </c:pt>
                <c:pt idx="44">
                  <c:v>41.513800000000003</c:v>
                </c:pt>
                <c:pt idx="45">
                  <c:v>41.793200000000006</c:v>
                </c:pt>
                <c:pt idx="46">
                  <c:v>41.938700000000004</c:v>
                </c:pt>
                <c:pt idx="47">
                  <c:v>42.04</c:v>
                </c:pt>
                <c:pt idx="48">
                  <c:v>42.176400000000001</c:v>
                </c:pt>
                <c:pt idx="49">
                  <c:v>42.265599999999999</c:v>
                </c:pt>
                <c:pt idx="50">
                  <c:v>42.234999999999999</c:v>
                </c:pt>
                <c:pt idx="51">
                  <c:v>42.163800000000002</c:v>
                </c:pt>
                <c:pt idx="52">
                  <c:v>42.157299999999999</c:v>
                </c:pt>
                <c:pt idx="53">
                  <c:v>42.242899999999999</c:v>
                </c:pt>
                <c:pt idx="54">
                  <c:v>42.283999999999999</c:v>
                </c:pt>
                <c:pt idx="55">
                  <c:v>42.298400000000001</c:v>
                </c:pt>
                <c:pt idx="56">
                  <c:v>42.289700000000003</c:v>
                </c:pt>
                <c:pt idx="57">
                  <c:v>42.276699999999998</c:v>
                </c:pt>
                <c:pt idx="58">
                  <c:v>42.2072</c:v>
                </c:pt>
                <c:pt idx="59">
                  <c:v>42.193100000000001</c:v>
                </c:pt>
                <c:pt idx="60">
                  <c:v>42.235799999999998</c:v>
                </c:pt>
                <c:pt idx="61">
                  <c:v>42.384999999999998</c:v>
                </c:pt>
                <c:pt idx="62">
                  <c:v>42.550699999999999</c:v>
                </c:pt>
                <c:pt idx="63">
                  <c:v>42.672600000000003</c:v>
                </c:pt>
                <c:pt idx="64">
                  <c:v>42.599499999999999</c:v>
                </c:pt>
                <c:pt idx="65">
                  <c:v>42.5486</c:v>
                </c:pt>
                <c:pt idx="66">
                  <c:v>42.471800000000002</c:v>
                </c:pt>
                <c:pt idx="67">
                  <c:v>42.404599999999995</c:v>
                </c:pt>
                <c:pt idx="68">
                  <c:v>42.470999999999997</c:v>
                </c:pt>
                <c:pt idx="69">
                  <c:v>42.548900000000003</c:v>
                </c:pt>
                <c:pt idx="70">
                  <c:v>42.520099999999999</c:v>
                </c:pt>
                <c:pt idx="71">
                  <c:v>42.3491</c:v>
                </c:pt>
                <c:pt idx="72">
                  <c:v>41.768999999999998</c:v>
                </c:pt>
                <c:pt idx="73">
                  <c:v>41.588799999999999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15.030799999999999</c:v>
                </c:pt>
                <c:pt idx="2">
                  <c:v>15.561400000000001</c:v>
                </c:pt>
                <c:pt idx="3">
                  <c:v>15.9344</c:v>
                </c:pt>
                <c:pt idx="4">
                  <c:v>16.310500000000001</c:v>
                </c:pt>
                <c:pt idx="5">
                  <c:v>16.7026</c:v>
                </c:pt>
                <c:pt idx="6">
                  <c:v>17.104399999999998</c:v>
                </c:pt>
                <c:pt idx="7">
                  <c:v>17.514199999999999</c:v>
                </c:pt>
                <c:pt idx="8">
                  <c:v>17.921099999999999</c:v>
                </c:pt>
                <c:pt idx="9">
                  <c:v>18.3279</c:v>
                </c:pt>
                <c:pt idx="10">
                  <c:v>18.733899999999998</c:v>
                </c:pt>
                <c:pt idx="11">
                  <c:v>19.1388</c:v>
                </c:pt>
                <c:pt idx="12">
                  <c:v>19.541799999999999</c:v>
                </c:pt>
                <c:pt idx="13">
                  <c:v>19.955500000000001</c:v>
                </c:pt>
                <c:pt idx="14">
                  <c:v>20.359500000000001</c:v>
                </c:pt>
                <c:pt idx="15">
                  <c:v>20.763500000000001</c:v>
                </c:pt>
                <c:pt idx="16">
                  <c:v>21.168299999999999</c:v>
                </c:pt>
                <c:pt idx="17">
                  <c:v>21.5763</c:v>
                </c:pt>
                <c:pt idx="18">
                  <c:v>21.984300000000001</c:v>
                </c:pt>
                <c:pt idx="19">
                  <c:v>22.391100000000002</c:v>
                </c:pt>
                <c:pt idx="20">
                  <c:v>22.795200000000001</c:v>
                </c:pt>
                <c:pt idx="21">
                  <c:v>23.1999</c:v>
                </c:pt>
                <c:pt idx="22">
                  <c:v>23.606000000000002</c:v>
                </c:pt>
                <c:pt idx="23">
                  <c:v>24.0138</c:v>
                </c:pt>
                <c:pt idx="24">
                  <c:v>24.421600000000002</c:v>
                </c:pt>
                <c:pt idx="25">
                  <c:v>24.8245</c:v>
                </c:pt>
                <c:pt idx="26">
                  <c:v>25.232399999999998</c:v>
                </c:pt>
                <c:pt idx="27">
                  <c:v>25.6374</c:v>
                </c:pt>
                <c:pt idx="28">
                  <c:v>26.043299999999999</c:v>
                </c:pt>
                <c:pt idx="29">
                  <c:v>26.454699999999999</c:v>
                </c:pt>
                <c:pt idx="30">
                  <c:v>26.856200000000001</c:v>
                </c:pt>
                <c:pt idx="31">
                  <c:v>27.2651</c:v>
                </c:pt>
                <c:pt idx="32">
                  <c:v>27.676100000000002</c:v>
                </c:pt>
                <c:pt idx="33">
                  <c:v>28.076000000000001</c:v>
                </c:pt>
                <c:pt idx="34">
                  <c:v>28.484000000000002</c:v>
                </c:pt>
                <c:pt idx="35">
                  <c:v>28.893799999999999</c:v>
                </c:pt>
                <c:pt idx="36">
                  <c:v>29.300699999999999</c:v>
                </c:pt>
                <c:pt idx="37">
                  <c:v>29.702999999999999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39.017000000000003</c:v>
                </c:pt>
                <c:pt idx="1">
                  <c:v>39.3416</c:v>
                </c:pt>
                <c:pt idx="2">
                  <c:v>39.623699999999999</c:v>
                </c:pt>
                <c:pt idx="3">
                  <c:v>39.843899999999998</c:v>
                </c:pt>
                <c:pt idx="4">
                  <c:v>40.088900000000002</c:v>
                </c:pt>
                <c:pt idx="5">
                  <c:v>40.442499999999995</c:v>
                </c:pt>
                <c:pt idx="6">
                  <c:v>40.816400000000002</c:v>
                </c:pt>
                <c:pt idx="7">
                  <c:v>41.147300000000001</c:v>
                </c:pt>
                <c:pt idx="8">
                  <c:v>41.513800000000003</c:v>
                </c:pt>
                <c:pt idx="9">
                  <c:v>41.793200000000006</c:v>
                </c:pt>
                <c:pt idx="10">
                  <c:v>41.938700000000004</c:v>
                </c:pt>
                <c:pt idx="11">
                  <c:v>42.04</c:v>
                </c:pt>
                <c:pt idx="12">
                  <c:v>42.176400000000001</c:v>
                </c:pt>
                <c:pt idx="13">
                  <c:v>42.265599999999999</c:v>
                </c:pt>
                <c:pt idx="14">
                  <c:v>42.234999999999999</c:v>
                </c:pt>
                <c:pt idx="15">
                  <c:v>42.163800000000002</c:v>
                </c:pt>
                <c:pt idx="16">
                  <c:v>42.157299999999999</c:v>
                </c:pt>
                <c:pt idx="17">
                  <c:v>42.242899999999999</c:v>
                </c:pt>
                <c:pt idx="18">
                  <c:v>42.283999999999999</c:v>
                </c:pt>
                <c:pt idx="19">
                  <c:v>42.298400000000001</c:v>
                </c:pt>
                <c:pt idx="20">
                  <c:v>42.289700000000003</c:v>
                </c:pt>
                <c:pt idx="21">
                  <c:v>42.276699999999998</c:v>
                </c:pt>
                <c:pt idx="22">
                  <c:v>42.2072</c:v>
                </c:pt>
                <c:pt idx="23">
                  <c:v>42.193100000000001</c:v>
                </c:pt>
                <c:pt idx="24">
                  <c:v>42.235799999999998</c:v>
                </c:pt>
                <c:pt idx="25">
                  <c:v>42.384999999999998</c:v>
                </c:pt>
                <c:pt idx="26">
                  <c:v>42.550699999999999</c:v>
                </c:pt>
                <c:pt idx="27">
                  <c:v>42.672600000000003</c:v>
                </c:pt>
                <c:pt idx="28">
                  <c:v>42.599499999999999</c:v>
                </c:pt>
                <c:pt idx="29">
                  <c:v>42.5486</c:v>
                </c:pt>
                <c:pt idx="30">
                  <c:v>42.471800000000002</c:v>
                </c:pt>
                <c:pt idx="31">
                  <c:v>42.404599999999995</c:v>
                </c:pt>
                <c:pt idx="32">
                  <c:v>42.470999999999997</c:v>
                </c:pt>
                <c:pt idx="33">
                  <c:v>42.548900000000003</c:v>
                </c:pt>
                <c:pt idx="34">
                  <c:v>42.520099999999999</c:v>
                </c:pt>
                <c:pt idx="35">
                  <c:v>42.3491</c:v>
                </c:pt>
                <c:pt idx="36">
                  <c:v>41.768999999999998</c:v>
                </c:pt>
                <c:pt idx="37">
                  <c:v>41.588799999999999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7.4257499999999999</c:v>
                </c:pt>
                <c:pt idx="1">
                  <c:v>22.277249999999999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47.939067567567562</c:v>
                </c:pt>
                <c:pt idx="1">
                  <c:v>41.851232432432447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21.286799999999999</c:v>
                </c:pt>
                <c:pt idx="1">
                  <c:v>36.4223</c:v>
                </c:pt>
                <c:pt idx="2">
                  <c:v>23.656700000000001</c:v>
                </c:pt>
                <c:pt idx="3">
                  <c:v>27.7563</c:v>
                </c:pt>
                <c:pt idx="4">
                  <c:v>53.972700000000003</c:v>
                </c:pt>
                <c:pt idx="5">
                  <c:v>74.2804</c:v>
                </c:pt>
                <c:pt idx="6">
                  <c:v>6.2576200000000002</c:v>
                </c:pt>
                <c:pt idx="7">
                  <c:v>63.889800000000001</c:v>
                </c:pt>
                <c:pt idx="8">
                  <c:v>21.095300000000002</c:v>
                </c:pt>
                <c:pt idx="9">
                  <c:v>21.8093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31.6982</c:v>
                </c:pt>
                <c:pt idx="1">
                  <c:v>38.035800000000002</c:v>
                </c:pt>
                <c:pt idx="2">
                  <c:v>33.311300000000003</c:v>
                </c:pt>
                <c:pt idx="3">
                  <c:v>34.024900000000002</c:v>
                </c:pt>
                <c:pt idx="4">
                  <c:v>49.009700000000002</c:v>
                </c:pt>
                <c:pt idx="5">
                  <c:v>77.921199999999999</c:v>
                </c:pt>
                <c:pt idx="6">
                  <c:v>8.3669100000000007</c:v>
                </c:pt>
                <c:pt idx="7">
                  <c:v>63.353299999999997</c:v>
                </c:pt>
                <c:pt idx="8">
                  <c:v>19.847200000000001</c:v>
                </c:pt>
                <c:pt idx="9">
                  <c:v>31.8719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0.50441004239118015</c:v>
                </c:pt>
                <c:pt idx="1">
                  <c:v>0.27743013519729987</c:v>
                </c:pt>
                <c:pt idx="2">
                  <c:v>0.21815982241152013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5125</c:v>
                </c:pt>
                <c:pt idx="7">
                  <c:v>0</c:v>
                </c:pt>
                <c:pt idx="8">
                  <c:v>9926</c:v>
                </c:pt>
                <c:pt idx="9">
                  <c:v>0</c:v>
                </c:pt>
                <c:pt idx="10">
                  <c:v>0</c:v>
                </c:pt>
                <c:pt idx="11">
                  <c:v>17787</c:v>
                </c:pt>
                <c:pt idx="12">
                  <c:v>0</c:v>
                </c:pt>
                <c:pt idx="13">
                  <c:v>26722</c:v>
                </c:pt>
                <c:pt idx="14">
                  <c:v>0</c:v>
                </c:pt>
                <c:pt idx="15">
                  <c:v>0</c:v>
                </c:pt>
                <c:pt idx="16">
                  <c:v>36955</c:v>
                </c:pt>
                <c:pt idx="17">
                  <c:v>0</c:v>
                </c:pt>
                <c:pt idx="18">
                  <c:v>0</c:v>
                </c:pt>
                <c:pt idx="19">
                  <c:v>36924</c:v>
                </c:pt>
                <c:pt idx="20">
                  <c:v>0</c:v>
                </c:pt>
                <c:pt idx="21">
                  <c:v>40419</c:v>
                </c:pt>
                <c:pt idx="22">
                  <c:v>0</c:v>
                </c:pt>
                <c:pt idx="23">
                  <c:v>0</c:v>
                </c:pt>
                <c:pt idx="24">
                  <c:v>44837</c:v>
                </c:pt>
                <c:pt idx="25">
                  <c:v>0</c:v>
                </c:pt>
                <c:pt idx="26">
                  <c:v>46093</c:v>
                </c:pt>
                <c:pt idx="27">
                  <c:v>0</c:v>
                </c:pt>
                <c:pt idx="28">
                  <c:v>0</c:v>
                </c:pt>
                <c:pt idx="29">
                  <c:v>45503</c:v>
                </c:pt>
                <c:pt idx="30">
                  <c:v>0</c:v>
                </c:pt>
                <c:pt idx="31">
                  <c:v>45780</c:v>
                </c:pt>
                <c:pt idx="32">
                  <c:v>0</c:v>
                </c:pt>
                <c:pt idx="33">
                  <c:v>0</c:v>
                </c:pt>
                <c:pt idx="34">
                  <c:v>44363</c:v>
                </c:pt>
                <c:pt idx="35">
                  <c:v>0</c:v>
                </c:pt>
                <c:pt idx="36">
                  <c:v>0</c:v>
                </c:pt>
                <c:pt idx="37">
                  <c:v>39998</c:v>
                </c:pt>
                <c:pt idx="38">
                  <c:v>0</c:v>
                </c:pt>
                <c:pt idx="39">
                  <c:v>40388</c:v>
                </c:pt>
                <c:pt idx="40">
                  <c:v>0</c:v>
                </c:pt>
                <c:pt idx="41">
                  <c:v>0</c:v>
                </c:pt>
                <c:pt idx="42">
                  <c:v>25843</c:v>
                </c:pt>
                <c:pt idx="43">
                  <c:v>0</c:v>
                </c:pt>
                <c:pt idx="44">
                  <c:v>21514</c:v>
                </c:pt>
                <c:pt idx="45">
                  <c:v>0</c:v>
                </c:pt>
                <c:pt idx="46">
                  <c:v>0</c:v>
                </c:pt>
                <c:pt idx="47">
                  <c:v>16591</c:v>
                </c:pt>
                <c:pt idx="48">
                  <c:v>0</c:v>
                </c:pt>
                <c:pt idx="49">
                  <c:v>12616</c:v>
                </c:pt>
                <c:pt idx="50">
                  <c:v>0</c:v>
                </c:pt>
                <c:pt idx="51">
                  <c:v>0</c:v>
                </c:pt>
                <c:pt idx="52">
                  <c:v>12253</c:v>
                </c:pt>
                <c:pt idx="53">
                  <c:v>0</c:v>
                </c:pt>
                <c:pt idx="54">
                  <c:v>0</c:v>
                </c:pt>
                <c:pt idx="55">
                  <c:v>11223</c:v>
                </c:pt>
                <c:pt idx="56">
                  <c:v>0</c:v>
                </c:pt>
                <c:pt idx="57">
                  <c:v>10390</c:v>
                </c:pt>
                <c:pt idx="58">
                  <c:v>0</c:v>
                </c:pt>
                <c:pt idx="59">
                  <c:v>0</c:v>
                </c:pt>
                <c:pt idx="60">
                  <c:v>11255</c:v>
                </c:pt>
                <c:pt idx="61">
                  <c:v>0</c:v>
                </c:pt>
                <c:pt idx="62">
                  <c:v>10749</c:v>
                </c:pt>
                <c:pt idx="63">
                  <c:v>0</c:v>
                </c:pt>
                <c:pt idx="64">
                  <c:v>0</c:v>
                </c:pt>
                <c:pt idx="65">
                  <c:v>6024</c:v>
                </c:pt>
                <c:pt idx="66">
                  <c:v>0</c:v>
                </c:pt>
                <c:pt idx="67">
                  <c:v>6556</c:v>
                </c:pt>
                <c:pt idx="68">
                  <c:v>0</c:v>
                </c:pt>
                <c:pt idx="69">
                  <c:v>0</c:v>
                </c:pt>
                <c:pt idx="70">
                  <c:v>6544</c:v>
                </c:pt>
                <c:pt idx="71">
                  <c:v>0</c:v>
                </c:pt>
                <c:pt idx="72">
                  <c:v>0</c:v>
                </c:pt>
                <c:pt idx="73">
                  <c:v>5751</c:v>
                </c:pt>
                <c:pt idx="74">
                  <c:v>0</c:v>
                </c:pt>
                <c:pt idx="75">
                  <c:v>4704</c:v>
                </c:pt>
                <c:pt idx="76">
                  <c:v>0</c:v>
                </c:pt>
                <c:pt idx="77">
                  <c:v>0</c:v>
                </c:pt>
                <c:pt idx="78">
                  <c:v>4252</c:v>
                </c:pt>
                <c:pt idx="79">
                  <c:v>0</c:v>
                </c:pt>
                <c:pt idx="80">
                  <c:v>4250</c:v>
                </c:pt>
                <c:pt idx="81">
                  <c:v>0</c:v>
                </c:pt>
                <c:pt idx="82">
                  <c:v>0</c:v>
                </c:pt>
                <c:pt idx="83">
                  <c:v>4150</c:v>
                </c:pt>
                <c:pt idx="84">
                  <c:v>0</c:v>
                </c:pt>
                <c:pt idx="85">
                  <c:v>0</c:v>
                </c:pt>
                <c:pt idx="86">
                  <c:v>2369</c:v>
                </c:pt>
                <c:pt idx="87">
                  <c:v>0</c:v>
                </c:pt>
                <c:pt idx="88">
                  <c:v>3089</c:v>
                </c:pt>
                <c:pt idx="89">
                  <c:v>0</c:v>
                </c:pt>
                <c:pt idx="90">
                  <c:v>0</c:v>
                </c:pt>
                <c:pt idx="91">
                  <c:v>2728</c:v>
                </c:pt>
                <c:pt idx="92">
                  <c:v>0</c:v>
                </c:pt>
                <c:pt idx="93">
                  <c:v>2073</c:v>
                </c:pt>
                <c:pt idx="94">
                  <c:v>0</c:v>
                </c:pt>
                <c:pt idx="95">
                  <c:v>0</c:v>
                </c:pt>
                <c:pt idx="96">
                  <c:v>1978</c:v>
                </c:pt>
                <c:pt idx="97">
                  <c:v>0</c:v>
                </c:pt>
                <c:pt idx="98">
                  <c:v>2239</c:v>
                </c:pt>
                <c:pt idx="99">
                  <c:v>0</c:v>
                </c:pt>
                <c:pt idx="100">
                  <c:v>0</c:v>
                </c:pt>
                <c:pt idx="101">
                  <c:v>1715</c:v>
                </c:pt>
                <c:pt idx="102">
                  <c:v>0</c:v>
                </c:pt>
                <c:pt idx="103">
                  <c:v>0</c:v>
                </c:pt>
                <c:pt idx="104">
                  <c:v>3251</c:v>
                </c:pt>
                <c:pt idx="105">
                  <c:v>0</c:v>
                </c:pt>
                <c:pt idx="106">
                  <c:v>2649</c:v>
                </c:pt>
                <c:pt idx="107">
                  <c:v>0</c:v>
                </c:pt>
                <c:pt idx="108">
                  <c:v>0</c:v>
                </c:pt>
                <c:pt idx="109">
                  <c:v>1941</c:v>
                </c:pt>
                <c:pt idx="110">
                  <c:v>0</c:v>
                </c:pt>
                <c:pt idx="111">
                  <c:v>2120</c:v>
                </c:pt>
                <c:pt idx="112">
                  <c:v>0</c:v>
                </c:pt>
                <c:pt idx="113">
                  <c:v>0</c:v>
                </c:pt>
                <c:pt idx="114">
                  <c:v>1977</c:v>
                </c:pt>
                <c:pt idx="115">
                  <c:v>0</c:v>
                </c:pt>
                <c:pt idx="116">
                  <c:v>1347</c:v>
                </c:pt>
                <c:pt idx="117">
                  <c:v>0</c:v>
                </c:pt>
                <c:pt idx="118">
                  <c:v>0</c:v>
                </c:pt>
                <c:pt idx="119">
                  <c:v>1371</c:v>
                </c:pt>
                <c:pt idx="120">
                  <c:v>0</c:v>
                </c:pt>
                <c:pt idx="121">
                  <c:v>0</c:v>
                </c:pt>
                <c:pt idx="122">
                  <c:v>1764</c:v>
                </c:pt>
                <c:pt idx="123">
                  <c:v>0</c:v>
                </c:pt>
                <c:pt idx="124">
                  <c:v>1464</c:v>
                </c:pt>
                <c:pt idx="125">
                  <c:v>0</c:v>
                </c:pt>
                <c:pt idx="126">
                  <c:v>0</c:v>
                </c:pt>
                <c:pt idx="127">
                  <c:v>1355</c:v>
                </c:pt>
                <c:pt idx="128">
                  <c:v>0</c:v>
                </c:pt>
                <c:pt idx="129">
                  <c:v>999</c:v>
                </c:pt>
                <c:pt idx="130">
                  <c:v>0</c:v>
                </c:pt>
                <c:pt idx="131">
                  <c:v>0</c:v>
                </c:pt>
                <c:pt idx="132">
                  <c:v>664</c:v>
                </c:pt>
                <c:pt idx="133">
                  <c:v>0</c:v>
                </c:pt>
                <c:pt idx="134">
                  <c:v>505</c:v>
                </c:pt>
                <c:pt idx="135">
                  <c:v>0</c:v>
                </c:pt>
                <c:pt idx="136">
                  <c:v>0</c:v>
                </c:pt>
                <c:pt idx="137">
                  <c:v>216</c:v>
                </c:pt>
                <c:pt idx="138">
                  <c:v>0</c:v>
                </c:pt>
                <c:pt idx="139">
                  <c:v>0</c:v>
                </c:pt>
                <c:pt idx="140">
                  <c:v>503</c:v>
                </c:pt>
                <c:pt idx="141">
                  <c:v>0</c:v>
                </c:pt>
                <c:pt idx="142">
                  <c:v>338</c:v>
                </c:pt>
                <c:pt idx="143">
                  <c:v>0</c:v>
                </c:pt>
                <c:pt idx="144">
                  <c:v>0</c:v>
                </c:pt>
                <c:pt idx="145">
                  <c:v>130</c:v>
                </c:pt>
                <c:pt idx="146">
                  <c:v>0</c:v>
                </c:pt>
                <c:pt idx="147">
                  <c:v>133</c:v>
                </c:pt>
                <c:pt idx="148">
                  <c:v>0</c:v>
                </c:pt>
                <c:pt idx="149">
                  <c:v>0</c:v>
                </c:pt>
                <c:pt idx="150">
                  <c:v>225</c:v>
                </c:pt>
                <c:pt idx="151">
                  <c:v>0</c:v>
                </c:pt>
                <c:pt idx="152">
                  <c:v>137</c:v>
                </c:pt>
                <c:pt idx="153">
                  <c:v>0</c:v>
                </c:pt>
                <c:pt idx="154">
                  <c:v>0</c:v>
                </c:pt>
                <c:pt idx="155">
                  <c:v>187</c:v>
                </c:pt>
                <c:pt idx="156">
                  <c:v>0</c:v>
                </c:pt>
                <c:pt idx="157">
                  <c:v>0</c:v>
                </c:pt>
                <c:pt idx="158">
                  <c:v>385</c:v>
                </c:pt>
                <c:pt idx="159">
                  <c:v>0</c:v>
                </c:pt>
                <c:pt idx="160">
                  <c:v>95</c:v>
                </c:pt>
                <c:pt idx="161">
                  <c:v>0</c:v>
                </c:pt>
                <c:pt idx="162">
                  <c:v>0</c:v>
                </c:pt>
                <c:pt idx="163">
                  <c:v>146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2481</c:v>
                </c:pt>
                <c:pt idx="7">
                  <c:v>0</c:v>
                </c:pt>
                <c:pt idx="8">
                  <c:v>4973</c:v>
                </c:pt>
                <c:pt idx="9">
                  <c:v>0</c:v>
                </c:pt>
                <c:pt idx="10">
                  <c:v>0</c:v>
                </c:pt>
                <c:pt idx="11">
                  <c:v>10277</c:v>
                </c:pt>
                <c:pt idx="12">
                  <c:v>0</c:v>
                </c:pt>
                <c:pt idx="13">
                  <c:v>12875</c:v>
                </c:pt>
                <c:pt idx="14">
                  <c:v>0</c:v>
                </c:pt>
                <c:pt idx="15">
                  <c:v>0</c:v>
                </c:pt>
                <c:pt idx="16">
                  <c:v>17930</c:v>
                </c:pt>
                <c:pt idx="17">
                  <c:v>0</c:v>
                </c:pt>
                <c:pt idx="18">
                  <c:v>0</c:v>
                </c:pt>
                <c:pt idx="19">
                  <c:v>25640</c:v>
                </c:pt>
                <c:pt idx="20">
                  <c:v>0</c:v>
                </c:pt>
                <c:pt idx="21">
                  <c:v>29884</c:v>
                </c:pt>
                <c:pt idx="22">
                  <c:v>0</c:v>
                </c:pt>
                <c:pt idx="23">
                  <c:v>0</c:v>
                </c:pt>
                <c:pt idx="24">
                  <c:v>33942</c:v>
                </c:pt>
                <c:pt idx="25">
                  <c:v>0</c:v>
                </c:pt>
                <c:pt idx="26">
                  <c:v>36171</c:v>
                </c:pt>
                <c:pt idx="27">
                  <c:v>0</c:v>
                </c:pt>
                <c:pt idx="28">
                  <c:v>0</c:v>
                </c:pt>
                <c:pt idx="29">
                  <c:v>40616</c:v>
                </c:pt>
                <c:pt idx="30">
                  <c:v>0</c:v>
                </c:pt>
                <c:pt idx="31">
                  <c:v>36491</c:v>
                </c:pt>
                <c:pt idx="32">
                  <c:v>0</c:v>
                </c:pt>
                <c:pt idx="33">
                  <c:v>0</c:v>
                </c:pt>
                <c:pt idx="34">
                  <c:v>42655</c:v>
                </c:pt>
                <c:pt idx="35">
                  <c:v>0</c:v>
                </c:pt>
                <c:pt idx="36">
                  <c:v>0</c:v>
                </c:pt>
                <c:pt idx="37">
                  <c:v>48238</c:v>
                </c:pt>
                <c:pt idx="38">
                  <c:v>0</c:v>
                </c:pt>
                <c:pt idx="39">
                  <c:v>49825</c:v>
                </c:pt>
                <c:pt idx="40">
                  <c:v>0</c:v>
                </c:pt>
                <c:pt idx="41">
                  <c:v>0</c:v>
                </c:pt>
                <c:pt idx="42">
                  <c:v>48709</c:v>
                </c:pt>
                <c:pt idx="43">
                  <c:v>0</c:v>
                </c:pt>
                <c:pt idx="44">
                  <c:v>44208</c:v>
                </c:pt>
                <c:pt idx="45">
                  <c:v>0</c:v>
                </c:pt>
                <c:pt idx="46">
                  <c:v>0</c:v>
                </c:pt>
                <c:pt idx="47">
                  <c:v>38831</c:v>
                </c:pt>
                <c:pt idx="48">
                  <c:v>0</c:v>
                </c:pt>
                <c:pt idx="49">
                  <c:v>34695</c:v>
                </c:pt>
                <c:pt idx="50">
                  <c:v>0</c:v>
                </c:pt>
                <c:pt idx="51">
                  <c:v>0</c:v>
                </c:pt>
                <c:pt idx="52">
                  <c:v>29189</c:v>
                </c:pt>
                <c:pt idx="53">
                  <c:v>0</c:v>
                </c:pt>
                <c:pt idx="54">
                  <c:v>0</c:v>
                </c:pt>
                <c:pt idx="55">
                  <c:v>28647</c:v>
                </c:pt>
                <c:pt idx="56">
                  <c:v>0</c:v>
                </c:pt>
                <c:pt idx="57">
                  <c:v>26282</c:v>
                </c:pt>
                <c:pt idx="58">
                  <c:v>0</c:v>
                </c:pt>
                <c:pt idx="59">
                  <c:v>0</c:v>
                </c:pt>
                <c:pt idx="60">
                  <c:v>25164</c:v>
                </c:pt>
                <c:pt idx="61">
                  <c:v>0</c:v>
                </c:pt>
                <c:pt idx="62">
                  <c:v>22875</c:v>
                </c:pt>
                <c:pt idx="63">
                  <c:v>0</c:v>
                </c:pt>
                <c:pt idx="64">
                  <c:v>0</c:v>
                </c:pt>
                <c:pt idx="65">
                  <c:v>19306</c:v>
                </c:pt>
                <c:pt idx="66">
                  <c:v>0</c:v>
                </c:pt>
                <c:pt idx="67">
                  <c:v>19127</c:v>
                </c:pt>
                <c:pt idx="68">
                  <c:v>0</c:v>
                </c:pt>
                <c:pt idx="69">
                  <c:v>0</c:v>
                </c:pt>
                <c:pt idx="70">
                  <c:v>16704</c:v>
                </c:pt>
                <c:pt idx="71">
                  <c:v>0</c:v>
                </c:pt>
                <c:pt idx="72">
                  <c:v>0</c:v>
                </c:pt>
                <c:pt idx="73">
                  <c:v>15075</c:v>
                </c:pt>
                <c:pt idx="74">
                  <c:v>0</c:v>
                </c:pt>
                <c:pt idx="75">
                  <c:v>12456</c:v>
                </c:pt>
                <c:pt idx="76">
                  <c:v>0</c:v>
                </c:pt>
                <c:pt idx="77">
                  <c:v>0</c:v>
                </c:pt>
                <c:pt idx="78">
                  <c:v>11689</c:v>
                </c:pt>
                <c:pt idx="79">
                  <c:v>0</c:v>
                </c:pt>
                <c:pt idx="80">
                  <c:v>10210</c:v>
                </c:pt>
                <c:pt idx="81">
                  <c:v>0</c:v>
                </c:pt>
                <c:pt idx="82">
                  <c:v>0</c:v>
                </c:pt>
                <c:pt idx="83">
                  <c:v>9672</c:v>
                </c:pt>
                <c:pt idx="84">
                  <c:v>0</c:v>
                </c:pt>
                <c:pt idx="85">
                  <c:v>0</c:v>
                </c:pt>
                <c:pt idx="86">
                  <c:v>8858</c:v>
                </c:pt>
                <c:pt idx="87">
                  <c:v>0</c:v>
                </c:pt>
                <c:pt idx="88">
                  <c:v>9119</c:v>
                </c:pt>
                <c:pt idx="89">
                  <c:v>0</c:v>
                </c:pt>
                <c:pt idx="90">
                  <c:v>0</c:v>
                </c:pt>
                <c:pt idx="91">
                  <c:v>5873</c:v>
                </c:pt>
                <c:pt idx="92">
                  <c:v>0</c:v>
                </c:pt>
                <c:pt idx="93">
                  <c:v>6272</c:v>
                </c:pt>
                <c:pt idx="94">
                  <c:v>0</c:v>
                </c:pt>
                <c:pt idx="95">
                  <c:v>0</c:v>
                </c:pt>
                <c:pt idx="96">
                  <c:v>7090</c:v>
                </c:pt>
                <c:pt idx="97">
                  <c:v>0</c:v>
                </c:pt>
                <c:pt idx="98">
                  <c:v>6040</c:v>
                </c:pt>
                <c:pt idx="99">
                  <c:v>0</c:v>
                </c:pt>
                <c:pt idx="100">
                  <c:v>0</c:v>
                </c:pt>
                <c:pt idx="101">
                  <c:v>5418</c:v>
                </c:pt>
                <c:pt idx="102">
                  <c:v>0</c:v>
                </c:pt>
                <c:pt idx="103">
                  <c:v>0</c:v>
                </c:pt>
                <c:pt idx="104">
                  <c:v>7118</c:v>
                </c:pt>
                <c:pt idx="105">
                  <c:v>0</c:v>
                </c:pt>
                <c:pt idx="106">
                  <c:v>6044</c:v>
                </c:pt>
                <c:pt idx="107">
                  <c:v>0</c:v>
                </c:pt>
                <c:pt idx="108">
                  <c:v>0</c:v>
                </c:pt>
                <c:pt idx="109">
                  <c:v>5749</c:v>
                </c:pt>
                <c:pt idx="110">
                  <c:v>0</c:v>
                </c:pt>
                <c:pt idx="111">
                  <c:v>7455</c:v>
                </c:pt>
                <c:pt idx="112">
                  <c:v>0</c:v>
                </c:pt>
                <c:pt idx="113">
                  <c:v>0</c:v>
                </c:pt>
                <c:pt idx="114">
                  <c:v>5822</c:v>
                </c:pt>
                <c:pt idx="115">
                  <c:v>0</c:v>
                </c:pt>
                <c:pt idx="116">
                  <c:v>4860</c:v>
                </c:pt>
                <c:pt idx="117">
                  <c:v>0</c:v>
                </c:pt>
                <c:pt idx="118">
                  <c:v>0</c:v>
                </c:pt>
                <c:pt idx="119">
                  <c:v>5057</c:v>
                </c:pt>
                <c:pt idx="120">
                  <c:v>0</c:v>
                </c:pt>
                <c:pt idx="121">
                  <c:v>0</c:v>
                </c:pt>
                <c:pt idx="122">
                  <c:v>6704</c:v>
                </c:pt>
                <c:pt idx="123">
                  <c:v>0</c:v>
                </c:pt>
                <c:pt idx="124">
                  <c:v>5730</c:v>
                </c:pt>
                <c:pt idx="125">
                  <c:v>0</c:v>
                </c:pt>
                <c:pt idx="126">
                  <c:v>0</c:v>
                </c:pt>
                <c:pt idx="127">
                  <c:v>8040</c:v>
                </c:pt>
                <c:pt idx="128">
                  <c:v>0</c:v>
                </c:pt>
                <c:pt idx="129">
                  <c:v>5975</c:v>
                </c:pt>
                <c:pt idx="130">
                  <c:v>0</c:v>
                </c:pt>
                <c:pt idx="131">
                  <c:v>0</c:v>
                </c:pt>
                <c:pt idx="132">
                  <c:v>4311</c:v>
                </c:pt>
                <c:pt idx="133">
                  <c:v>0</c:v>
                </c:pt>
                <c:pt idx="134">
                  <c:v>4062</c:v>
                </c:pt>
                <c:pt idx="135">
                  <c:v>0</c:v>
                </c:pt>
                <c:pt idx="136">
                  <c:v>0</c:v>
                </c:pt>
                <c:pt idx="137">
                  <c:v>3976</c:v>
                </c:pt>
                <c:pt idx="138">
                  <c:v>0</c:v>
                </c:pt>
                <c:pt idx="139">
                  <c:v>0</c:v>
                </c:pt>
                <c:pt idx="140">
                  <c:v>3742</c:v>
                </c:pt>
                <c:pt idx="141">
                  <c:v>0</c:v>
                </c:pt>
                <c:pt idx="142">
                  <c:v>1982</c:v>
                </c:pt>
                <c:pt idx="143">
                  <c:v>0</c:v>
                </c:pt>
                <c:pt idx="144">
                  <c:v>0</c:v>
                </c:pt>
                <c:pt idx="145">
                  <c:v>873</c:v>
                </c:pt>
                <c:pt idx="146">
                  <c:v>0</c:v>
                </c:pt>
                <c:pt idx="147">
                  <c:v>640</c:v>
                </c:pt>
                <c:pt idx="148">
                  <c:v>0</c:v>
                </c:pt>
                <c:pt idx="149">
                  <c:v>0</c:v>
                </c:pt>
                <c:pt idx="150">
                  <c:v>866</c:v>
                </c:pt>
                <c:pt idx="151">
                  <c:v>0</c:v>
                </c:pt>
                <c:pt idx="152">
                  <c:v>934</c:v>
                </c:pt>
                <c:pt idx="153">
                  <c:v>0</c:v>
                </c:pt>
                <c:pt idx="154">
                  <c:v>0</c:v>
                </c:pt>
                <c:pt idx="155">
                  <c:v>642</c:v>
                </c:pt>
                <c:pt idx="156">
                  <c:v>0</c:v>
                </c:pt>
                <c:pt idx="157">
                  <c:v>0</c:v>
                </c:pt>
                <c:pt idx="158">
                  <c:v>1145</c:v>
                </c:pt>
                <c:pt idx="159">
                  <c:v>0</c:v>
                </c:pt>
                <c:pt idx="160">
                  <c:v>432</c:v>
                </c:pt>
                <c:pt idx="161">
                  <c:v>0</c:v>
                </c:pt>
                <c:pt idx="162">
                  <c:v>0</c:v>
                </c:pt>
                <c:pt idx="163">
                  <c:v>579</c:v>
                </c:pt>
                <c:pt idx="164">
                  <c:v>0</c:v>
                </c:pt>
                <c:pt idx="165">
                  <c:v>293</c:v>
                </c:pt>
                <c:pt idx="166">
                  <c:v>0</c:v>
                </c:pt>
                <c:pt idx="167">
                  <c:v>0</c:v>
                </c:pt>
                <c:pt idx="168">
                  <c:v>444</c:v>
                </c:pt>
                <c:pt idx="169">
                  <c:v>0</c:v>
                </c:pt>
                <c:pt idx="170">
                  <c:v>0</c:v>
                </c:pt>
                <c:pt idx="171">
                  <c:v>200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0.22661665809151713</c:v>
                </c:pt>
                <c:pt idx="1">
                  <c:v>0.29648713063707272</c:v>
                </c:pt>
                <c:pt idx="2">
                  <c:v>0.47689621127141013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0.4523438647611206</c:v>
                </c:pt>
                <c:pt idx="1">
                  <c:v>0.31211939370275732</c:v>
                </c:pt>
                <c:pt idx="2">
                  <c:v>0.23553674153612203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19.1991975</c:v>
                </c:pt>
                <c:pt idx="1">
                  <c:v>11.942942500000001</c:v>
                </c:pt>
                <c:pt idx="2">
                  <c:v>19.40475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15.030799999999999</c:v>
                </c:pt>
                <c:pt idx="38">
                  <c:v>15.561400000000001</c:v>
                </c:pt>
                <c:pt idx="39">
                  <c:v>15.9344</c:v>
                </c:pt>
                <c:pt idx="40">
                  <c:v>16.310500000000001</c:v>
                </c:pt>
                <c:pt idx="41">
                  <c:v>16.7026</c:v>
                </c:pt>
                <c:pt idx="42">
                  <c:v>17.104399999999998</c:v>
                </c:pt>
                <c:pt idx="43">
                  <c:v>17.514199999999999</c:v>
                </c:pt>
                <c:pt idx="44">
                  <c:v>17.921099999999999</c:v>
                </c:pt>
                <c:pt idx="45">
                  <c:v>18.3279</c:v>
                </c:pt>
                <c:pt idx="46">
                  <c:v>18.733899999999998</c:v>
                </c:pt>
                <c:pt idx="47">
                  <c:v>19.1388</c:v>
                </c:pt>
                <c:pt idx="48">
                  <c:v>19.541799999999999</c:v>
                </c:pt>
                <c:pt idx="49">
                  <c:v>19.955500000000001</c:v>
                </c:pt>
                <c:pt idx="50">
                  <c:v>20.359500000000001</c:v>
                </c:pt>
                <c:pt idx="51">
                  <c:v>20.763500000000001</c:v>
                </c:pt>
                <c:pt idx="52">
                  <c:v>21.168299999999999</c:v>
                </c:pt>
                <c:pt idx="53">
                  <c:v>21.5763</c:v>
                </c:pt>
                <c:pt idx="54">
                  <c:v>21.984300000000001</c:v>
                </c:pt>
                <c:pt idx="55">
                  <c:v>22.391100000000002</c:v>
                </c:pt>
                <c:pt idx="56">
                  <c:v>22.795200000000001</c:v>
                </c:pt>
                <c:pt idx="57">
                  <c:v>23.1999</c:v>
                </c:pt>
                <c:pt idx="58">
                  <c:v>23.606000000000002</c:v>
                </c:pt>
                <c:pt idx="59">
                  <c:v>24.0138</c:v>
                </c:pt>
                <c:pt idx="60">
                  <c:v>24.421600000000002</c:v>
                </c:pt>
                <c:pt idx="61">
                  <c:v>24.8245</c:v>
                </c:pt>
                <c:pt idx="62">
                  <c:v>25.232399999999998</c:v>
                </c:pt>
                <c:pt idx="63">
                  <c:v>25.6374</c:v>
                </c:pt>
                <c:pt idx="64">
                  <c:v>26.043299999999999</c:v>
                </c:pt>
                <c:pt idx="65">
                  <c:v>26.454699999999999</c:v>
                </c:pt>
                <c:pt idx="66">
                  <c:v>26.856200000000001</c:v>
                </c:pt>
                <c:pt idx="67">
                  <c:v>27.2651</c:v>
                </c:pt>
                <c:pt idx="68">
                  <c:v>27.676100000000002</c:v>
                </c:pt>
                <c:pt idx="69">
                  <c:v>28.076000000000001</c:v>
                </c:pt>
                <c:pt idx="70">
                  <c:v>28.484000000000002</c:v>
                </c:pt>
                <c:pt idx="71">
                  <c:v>28.893799999999999</c:v>
                </c:pt>
                <c:pt idx="72">
                  <c:v>29.300699999999999</c:v>
                </c:pt>
                <c:pt idx="73">
                  <c:v>29.702999999999999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  <c:pt idx="37">
                  <c:v>1.9364999999999999</c:v>
                </c:pt>
                <c:pt idx="38">
                  <c:v>1.9428400000000001</c:v>
                </c:pt>
                <c:pt idx="39">
                  <c:v>1.9501599999999999</c:v>
                </c:pt>
                <c:pt idx="40">
                  <c:v>1.9598399999999998</c:v>
                </c:pt>
                <c:pt idx="41">
                  <c:v>1.96957</c:v>
                </c:pt>
                <c:pt idx="42">
                  <c:v>1.98183</c:v>
                </c:pt>
                <c:pt idx="43">
                  <c:v>1.99526</c:v>
                </c:pt>
                <c:pt idx="44">
                  <c:v>2.0092699999999999</c:v>
                </c:pt>
                <c:pt idx="45">
                  <c:v>2.0250900000000001</c:v>
                </c:pt>
                <c:pt idx="46">
                  <c:v>2.04501</c:v>
                </c:pt>
                <c:pt idx="47">
                  <c:v>2.0672799999999998</c:v>
                </c:pt>
                <c:pt idx="48">
                  <c:v>2.0906099999999999</c:v>
                </c:pt>
                <c:pt idx="49">
                  <c:v>2.11469</c:v>
                </c:pt>
                <c:pt idx="50">
                  <c:v>2.1398600000000001</c:v>
                </c:pt>
                <c:pt idx="51">
                  <c:v>2.1658200000000001</c:v>
                </c:pt>
                <c:pt idx="52">
                  <c:v>2.1863700000000001</c:v>
                </c:pt>
                <c:pt idx="53">
                  <c:v>2.1986600000000003</c:v>
                </c:pt>
                <c:pt idx="54">
                  <c:v>2.2110500000000002</c:v>
                </c:pt>
                <c:pt idx="55">
                  <c:v>2.2237399999999998</c:v>
                </c:pt>
                <c:pt idx="56">
                  <c:v>2.2376299999999998</c:v>
                </c:pt>
                <c:pt idx="57">
                  <c:v>2.2519900000000002</c:v>
                </c:pt>
                <c:pt idx="58">
                  <c:v>2.2665899999999999</c:v>
                </c:pt>
                <c:pt idx="59">
                  <c:v>2.2814100000000002</c:v>
                </c:pt>
                <c:pt idx="60">
                  <c:v>2.2958500000000002</c:v>
                </c:pt>
                <c:pt idx="61">
                  <c:v>2.31073</c:v>
                </c:pt>
                <c:pt idx="62">
                  <c:v>2.3247800000000001</c:v>
                </c:pt>
                <c:pt idx="63">
                  <c:v>2.33839</c:v>
                </c:pt>
                <c:pt idx="64">
                  <c:v>2.3507500000000001</c:v>
                </c:pt>
                <c:pt idx="65">
                  <c:v>2.36416</c:v>
                </c:pt>
                <c:pt idx="66">
                  <c:v>2.3817200000000001</c:v>
                </c:pt>
                <c:pt idx="67">
                  <c:v>2.40421</c:v>
                </c:pt>
                <c:pt idx="68">
                  <c:v>2.4289900000000002</c:v>
                </c:pt>
                <c:pt idx="69">
                  <c:v>2.4475799999999999</c:v>
                </c:pt>
                <c:pt idx="70">
                  <c:v>2.4634499999999999</c:v>
                </c:pt>
                <c:pt idx="71">
                  <c:v>2.48786</c:v>
                </c:pt>
                <c:pt idx="72">
                  <c:v>2.5052200000000004</c:v>
                </c:pt>
                <c:pt idx="73">
                  <c:v>2.5287500000000001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15.030799999999999</c:v>
                </c:pt>
                <c:pt idx="2">
                  <c:v>15.561400000000001</c:v>
                </c:pt>
                <c:pt idx="3">
                  <c:v>15.9344</c:v>
                </c:pt>
                <c:pt idx="4">
                  <c:v>16.310500000000001</c:v>
                </c:pt>
                <c:pt idx="5">
                  <c:v>16.7026</c:v>
                </c:pt>
                <c:pt idx="6">
                  <c:v>17.104399999999998</c:v>
                </c:pt>
                <c:pt idx="7">
                  <c:v>17.514199999999999</c:v>
                </c:pt>
                <c:pt idx="8">
                  <c:v>17.921099999999999</c:v>
                </c:pt>
                <c:pt idx="9">
                  <c:v>18.3279</c:v>
                </c:pt>
                <c:pt idx="10">
                  <c:v>18.733899999999998</c:v>
                </c:pt>
                <c:pt idx="11">
                  <c:v>19.1388</c:v>
                </c:pt>
                <c:pt idx="12">
                  <c:v>19.541799999999999</c:v>
                </c:pt>
                <c:pt idx="13">
                  <c:v>19.955500000000001</c:v>
                </c:pt>
                <c:pt idx="14">
                  <c:v>20.359500000000001</c:v>
                </c:pt>
                <c:pt idx="15">
                  <c:v>20.763500000000001</c:v>
                </c:pt>
                <c:pt idx="16">
                  <c:v>21.168299999999999</c:v>
                </c:pt>
                <c:pt idx="17">
                  <c:v>21.5763</c:v>
                </c:pt>
                <c:pt idx="18">
                  <c:v>21.984300000000001</c:v>
                </c:pt>
                <c:pt idx="19">
                  <c:v>22.391100000000002</c:v>
                </c:pt>
                <c:pt idx="20">
                  <c:v>22.795200000000001</c:v>
                </c:pt>
                <c:pt idx="21">
                  <c:v>23.1999</c:v>
                </c:pt>
                <c:pt idx="22">
                  <c:v>23.606000000000002</c:v>
                </c:pt>
                <c:pt idx="23">
                  <c:v>24.0138</c:v>
                </c:pt>
                <c:pt idx="24">
                  <c:v>24.421600000000002</c:v>
                </c:pt>
                <c:pt idx="25">
                  <c:v>24.8245</c:v>
                </c:pt>
                <c:pt idx="26">
                  <c:v>25.232399999999998</c:v>
                </c:pt>
                <c:pt idx="27">
                  <c:v>25.6374</c:v>
                </c:pt>
                <c:pt idx="28">
                  <c:v>26.043299999999999</c:v>
                </c:pt>
                <c:pt idx="29">
                  <c:v>26.454699999999999</c:v>
                </c:pt>
                <c:pt idx="30">
                  <c:v>26.856200000000001</c:v>
                </c:pt>
                <c:pt idx="31">
                  <c:v>27.2651</c:v>
                </c:pt>
                <c:pt idx="32">
                  <c:v>27.676100000000002</c:v>
                </c:pt>
                <c:pt idx="33">
                  <c:v>28.076000000000001</c:v>
                </c:pt>
                <c:pt idx="34">
                  <c:v>28.484000000000002</c:v>
                </c:pt>
                <c:pt idx="35">
                  <c:v>28.893799999999999</c:v>
                </c:pt>
                <c:pt idx="36">
                  <c:v>29.300699999999999</c:v>
                </c:pt>
                <c:pt idx="37">
                  <c:v>29.702999999999999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1.9312</c:v>
                </c:pt>
                <c:pt idx="1">
                  <c:v>1.9364999999999999</c:v>
                </c:pt>
                <c:pt idx="2">
                  <c:v>1.9428400000000001</c:v>
                </c:pt>
                <c:pt idx="3">
                  <c:v>1.9501599999999999</c:v>
                </c:pt>
                <c:pt idx="4">
                  <c:v>1.9598399999999998</c:v>
                </c:pt>
                <c:pt idx="5">
                  <c:v>1.96957</c:v>
                </c:pt>
                <c:pt idx="6">
                  <c:v>1.98183</c:v>
                </c:pt>
                <c:pt idx="7">
                  <c:v>1.99526</c:v>
                </c:pt>
                <c:pt idx="8">
                  <c:v>2.0092699999999999</c:v>
                </c:pt>
                <c:pt idx="9">
                  <c:v>2.0250900000000001</c:v>
                </c:pt>
                <c:pt idx="10">
                  <c:v>2.04501</c:v>
                </c:pt>
                <c:pt idx="11">
                  <c:v>2.0672799999999998</c:v>
                </c:pt>
                <c:pt idx="12">
                  <c:v>2.0906099999999999</c:v>
                </c:pt>
                <c:pt idx="13">
                  <c:v>2.11469</c:v>
                </c:pt>
                <c:pt idx="14">
                  <c:v>2.1398600000000001</c:v>
                </c:pt>
                <c:pt idx="15">
                  <c:v>2.1658200000000001</c:v>
                </c:pt>
                <c:pt idx="16">
                  <c:v>2.1863700000000001</c:v>
                </c:pt>
                <c:pt idx="17">
                  <c:v>2.1986600000000003</c:v>
                </c:pt>
                <c:pt idx="18">
                  <c:v>2.2110500000000002</c:v>
                </c:pt>
                <c:pt idx="19">
                  <c:v>2.2237399999999998</c:v>
                </c:pt>
                <c:pt idx="20">
                  <c:v>2.2376299999999998</c:v>
                </c:pt>
                <c:pt idx="21">
                  <c:v>2.2519900000000002</c:v>
                </c:pt>
                <c:pt idx="22">
                  <c:v>2.2665899999999999</c:v>
                </c:pt>
                <c:pt idx="23">
                  <c:v>2.2814100000000002</c:v>
                </c:pt>
                <c:pt idx="24">
                  <c:v>2.2958500000000002</c:v>
                </c:pt>
                <c:pt idx="25">
                  <c:v>2.31073</c:v>
                </c:pt>
                <c:pt idx="26">
                  <c:v>2.3247800000000001</c:v>
                </c:pt>
                <c:pt idx="27">
                  <c:v>2.33839</c:v>
                </c:pt>
                <c:pt idx="28">
                  <c:v>2.3507500000000001</c:v>
                </c:pt>
                <c:pt idx="29">
                  <c:v>2.36416</c:v>
                </c:pt>
                <c:pt idx="30">
                  <c:v>2.3817200000000001</c:v>
                </c:pt>
                <c:pt idx="31">
                  <c:v>2.40421</c:v>
                </c:pt>
                <c:pt idx="32">
                  <c:v>2.4289900000000002</c:v>
                </c:pt>
                <c:pt idx="33">
                  <c:v>2.4475799999999999</c:v>
                </c:pt>
                <c:pt idx="34">
                  <c:v>2.4634499999999999</c:v>
                </c:pt>
                <c:pt idx="35">
                  <c:v>2.48786</c:v>
                </c:pt>
                <c:pt idx="36">
                  <c:v>2.5052200000000004</c:v>
                </c:pt>
                <c:pt idx="37">
                  <c:v>2.5287500000000001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1.24962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7.4257499999999999</c:v>
                </c:pt>
                <c:pt idx="1">
                  <c:v>22.277249999999999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1.6794881081081079</c:v>
                </c:pt>
                <c:pt idx="1">
                  <c:v>2.2130678378378383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15.030799999999999</c:v>
                </c:pt>
                <c:pt idx="38">
                  <c:v>15.561400000000001</c:v>
                </c:pt>
                <c:pt idx="39">
                  <c:v>15.9344</c:v>
                </c:pt>
                <c:pt idx="40">
                  <c:v>16.310500000000001</c:v>
                </c:pt>
                <c:pt idx="41">
                  <c:v>16.7026</c:v>
                </c:pt>
                <c:pt idx="42">
                  <c:v>17.104399999999998</c:v>
                </c:pt>
                <c:pt idx="43">
                  <c:v>17.514199999999999</c:v>
                </c:pt>
                <c:pt idx="44">
                  <c:v>17.921099999999999</c:v>
                </c:pt>
                <c:pt idx="45">
                  <c:v>18.3279</c:v>
                </c:pt>
                <c:pt idx="46">
                  <c:v>18.733899999999998</c:v>
                </c:pt>
                <c:pt idx="47">
                  <c:v>19.1388</c:v>
                </c:pt>
                <c:pt idx="48">
                  <c:v>19.541799999999999</c:v>
                </c:pt>
                <c:pt idx="49">
                  <c:v>19.955500000000001</c:v>
                </c:pt>
                <c:pt idx="50">
                  <c:v>20.359500000000001</c:v>
                </c:pt>
                <c:pt idx="51">
                  <c:v>20.763500000000001</c:v>
                </c:pt>
                <c:pt idx="52">
                  <c:v>21.168299999999999</c:v>
                </c:pt>
                <c:pt idx="53">
                  <c:v>21.5763</c:v>
                </c:pt>
                <c:pt idx="54">
                  <c:v>21.984300000000001</c:v>
                </c:pt>
                <c:pt idx="55">
                  <c:v>22.391100000000002</c:v>
                </c:pt>
                <c:pt idx="56">
                  <c:v>22.795200000000001</c:v>
                </c:pt>
                <c:pt idx="57">
                  <c:v>23.1999</c:v>
                </c:pt>
                <c:pt idx="58">
                  <c:v>23.606000000000002</c:v>
                </c:pt>
                <c:pt idx="59">
                  <c:v>24.0138</c:v>
                </c:pt>
                <c:pt idx="60">
                  <c:v>24.421600000000002</c:v>
                </c:pt>
                <c:pt idx="61">
                  <c:v>24.8245</c:v>
                </c:pt>
                <c:pt idx="62">
                  <c:v>25.232399999999998</c:v>
                </c:pt>
                <c:pt idx="63">
                  <c:v>25.6374</c:v>
                </c:pt>
                <c:pt idx="64">
                  <c:v>26.043299999999999</c:v>
                </c:pt>
                <c:pt idx="65">
                  <c:v>26.454699999999999</c:v>
                </c:pt>
                <c:pt idx="66">
                  <c:v>26.856200000000001</c:v>
                </c:pt>
                <c:pt idx="67">
                  <c:v>27.2651</c:v>
                </c:pt>
                <c:pt idx="68">
                  <c:v>27.676100000000002</c:v>
                </c:pt>
                <c:pt idx="69">
                  <c:v>28.076000000000001</c:v>
                </c:pt>
                <c:pt idx="70">
                  <c:v>28.484000000000002</c:v>
                </c:pt>
                <c:pt idx="71">
                  <c:v>28.893799999999999</c:v>
                </c:pt>
                <c:pt idx="72">
                  <c:v>29.300699999999999</c:v>
                </c:pt>
                <c:pt idx="73">
                  <c:v>29.702999999999999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  <c:pt idx="37">
                  <c:v>39.3416</c:v>
                </c:pt>
                <c:pt idx="38">
                  <c:v>39.623699999999999</c:v>
                </c:pt>
                <c:pt idx="39">
                  <c:v>39.843899999999998</c:v>
                </c:pt>
                <c:pt idx="40">
                  <c:v>40.088900000000002</c:v>
                </c:pt>
                <c:pt idx="41">
                  <c:v>40.442499999999995</c:v>
                </c:pt>
                <c:pt idx="42">
                  <c:v>40.816400000000002</c:v>
                </c:pt>
                <c:pt idx="43">
                  <c:v>41.147300000000001</c:v>
                </c:pt>
                <c:pt idx="44">
                  <c:v>41.513800000000003</c:v>
                </c:pt>
                <c:pt idx="45">
                  <c:v>41.793200000000006</c:v>
                </c:pt>
                <c:pt idx="46">
                  <c:v>41.938700000000004</c:v>
                </c:pt>
                <c:pt idx="47">
                  <c:v>42.04</c:v>
                </c:pt>
                <c:pt idx="48">
                  <c:v>42.176400000000001</c:v>
                </c:pt>
                <c:pt idx="49">
                  <c:v>42.265599999999999</c:v>
                </c:pt>
                <c:pt idx="50">
                  <c:v>42.234999999999999</c:v>
                </c:pt>
                <c:pt idx="51">
                  <c:v>42.163800000000002</c:v>
                </c:pt>
                <c:pt idx="52">
                  <c:v>42.157299999999999</c:v>
                </c:pt>
                <c:pt idx="53">
                  <c:v>42.242899999999999</c:v>
                </c:pt>
                <c:pt idx="54">
                  <c:v>42.283999999999999</c:v>
                </c:pt>
                <c:pt idx="55">
                  <c:v>42.298400000000001</c:v>
                </c:pt>
                <c:pt idx="56">
                  <c:v>42.289700000000003</c:v>
                </c:pt>
                <c:pt idx="57">
                  <c:v>42.276699999999998</c:v>
                </c:pt>
                <c:pt idx="58">
                  <c:v>42.2072</c:v>
                </c:pt>
                <c:pt idx="59">
                  <c:v>42.193100000000001</c:v>
                </c:pt>
                <c:pt idx="60">
                  <c:v>42.235799999999998</c:v>
                </c:pt>
                <c:pt idx="61">
                  <c:v>42.384999999999998</c:v>
                </c:pt>
                <c:pt idx="62">
                  <c:v>42.550699999999999</c:v>
                </c:pt>
                <c:pt idx="63">
                  <c:v>42.672600000000003</c:v>
                </c:pt>
                <c:pt idx="64">
                  <c:v>42.599499999999999</c:v>
                </c:pt>
                <c:pt idx="65">
                  <c:v>42.5486</c:v>
                </c:pt>
                <c:pt idx="66">
                  <c:v>42.471800000000002</c:v>
                </c:pt>
                <c:pt idx="67">
                  <c:v>42.404599999999995</c:v>
                </c:pt>
                <c:pt idx="68">
                  <c:v>42.470999999999997</c:v>
                </c:pt>
                <c:pt idx="69">
                  <c:v>42.548900000000003</c:v>
                </c:pt>
                <c:pt idx="70">
                  <c:v>42.520099999999999</c:v>
                </c:pt>
                <c:pt idx="71">
                  <c:v>42.3491</c:v>
                </c:pt>
                <c:pt idx="72">
                  <c:v>41.768999999999998</c:v>
                </c:pt>
                <c:pt idx="73">
                  <c:v>41.588799999999999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0.40436299999999997</c:v>
                </c:pt>
                <c:pt idx="2">
                  <c:v>0.80889800000000001</c:v>
                </c:pt>
                <c:pt idx="3">
                  <c:v>1.2147399999999999</c:v>
                </c:pt>
                <c:pt idx="4">
                  <c:v>1.6266</c:v>
                </c:pt>
                <c:pt idx="5">
                  <c:v>2.0295999999999998</c:v>
                </c:pt>
                <c:pt idx="6">
                  <c:v>2.43601</c:v>
                </c:pt>
                <c:pt idx="7">
                  <c:v>2.8395600000000001</c:v>
                </c:pt>
                <c:pt idx="8">
                  <c:v>3.2472300000000001</c:v>
                </c:pt>
                <c:pt idx="9">
                  <c:v>3.6552500000000001</c:v>
                </c:pt>
                <c:pt idx="10">
                  <c:v>4.0601000000000003</c:v>
                </c:pt>
                <c:pt idx="11">
                  <c:v>4.46495</c:v>
                </c:pt>
                <c:pt idx="12">
                  <c:v>4.8719999999999999</c:v>
                </c:pt>
                <c:pt idx="13">
                  <c:v>5.2808799999999998</c:v>
                </c:pt>
                <c:pt idx="14">
                  <c:v>5.6877899999999997</c:v>
                </c:pt>
                <c:pt idx="15">
                  <c:v>6.0917300000000001</c:v>
                </c:pt>
                <c:pt idx="16">
                  <c:v>6.4976099999999999</c:v>
                </c:pt>
                <c:pt idx="17">
                  <c:v>6.9038599999999999</c:v>
                </c:pt>
                <c:pt idx="18">
                  <c:v>7.3134199999999998</c:v>
                </c:pt>
                <c:pt idx="19">
                  <c:v>7.71326</c:v>
                </c:pt>
                <c:pt idx="20">
                  <c:v>8.1252200000000006</c:v>
                </c:pt>
                <c:pt idx="21">
                  <c:v>8.5281000000000002</c:v>
                </c:pt>
                <c:pt idx="22">
                  <c:v>8.9353599999999993</c:v>
                </c:pt>
                <c:pt idx="23">
                  <c:v>9.3389299999999995</c:v>
                </c:pt>
                <c:pt idx="24">
                  <c:v>9.7498199999999997</c:v>
                </c:pt>
                <c:pt idx="25">
                  <c:v>10.1547</c:v>
                </c:pt>
                <c:pt idx="26">
                  <c:v>10.5617</c:v>
                </c:pt>
                <c:pt idx="27">
                  <c:v>10.9697</c:v>
                </c:pt>
                <c:pt idx="28">
                  <c:v>11.3765</c:v>
                </c:pt>
                <c:pt idx="29">
                  <c:v>11.7784</c:v>
                </c:pt>
                <c:pt idx="30">
                  <c:v>12.185499999999999</c:v>
                </c:pt>
                <c:pt idx="31">
                  <c:v>12.596399999999999</c:v>
                </c:pt>
                <c:pt idx="32">
                  <c:v>13.001200000000001</c:v>
                </c:pt>
                <c:pt idx="33">
                  <c:v>13.4061</c:v>
                </c:pt>
                <c:pt idx="34">
                  <c:v>13.81</c:v>
                </c:pt>
                <c:pt idx="35">
                  <c:v>14.217000000000001</c:v>
                </c:pt>
                <c:pt idx="36">
                  <c:v>14.6258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14.6258</c:v>
                </c:pt>
                <c:pt idx="1">
                  <c:v>15.030799999999999</c:v>
                </c:pt>
                <c:pt idx="2">
                  <c:v>15.561400000000001</c:v>
                </c:pt>
                <c:pt idx="3">
                  <c:v>15.9344</c:v>
                </c:pt>
                <c:pt idx="4">
                  <c:v>16.310500000000001</c:v>
                </c:pt>
                <c:pt idx="5">
                  <c:v>16.7026</c:v>
                </c:pt>
                <c:pt idx="6">
                  <c:v>17.104399999999998</c:v>
                </c:pt>
                <c:pt idx="7">
                  <c:v>17.514199999999999</c:v>
                </c:pt>
                <c:pt idx="8">
                  <c:v>17.921099999999999</c:v>
                </c:pt>
                <c:pt idx="9">
                  <c:v>18.3279</c:v>
                </c:pt>
                <c:pt idx="10">
                  <c:v>18.733899999999998</c:v>
                </c:pt>
                <c:pt idx="11">
                  <c:v>19.1388</c:v>
                </c:pt>
                <c:pt idx="12">
                  <c:v>19.541799999999999</c:v>
                </c:pt>
                <c:pt idx="13">
                  <c:v>19.955500000000001</c:v>
                </c:pt>
                <c:pt idx="14">
                  <c:v>20.359500000000001</c:v>
                </c:pt>
                <c:pt idx="15">
                  <c:v>20.763500000000001</c:v>
                </c:pt>
                <c:pt idx="16">
                  <c:v>21.168299999999999</c:v>
                </c:pt>
                <c:pt idx="17">
                  <c:v>21.5763</c:v>
                </c:pt>
                <c:pt idx="18">
                  <c:v>21.984300000000001</c:v>
                </c:pt>
                <c:pt idx="19">
                  <c:v>22.391100000000002</c:v>
                </c:pt>
                <c:pt idx="20">
                  <c:v>22.795200000000001</c:v>
                </c:pt>
                <c:pt idx="21">
                  <c:v>23.1999</c:v>
                </c:pt>
                <c:pt idx="22">
                  <c:v>23.606000000000002</c:v>
                </c:pt>
                <c:pt idx="23">
                  <c:v>24.0138</c:v>
                </c:pt>
                <c:pt idx="24">
                  <c:v>24.421600000000002</c:v>
                </c:pt>
                <c:pt idx="25">
                  <c:v>24.8245</c:v>
                </c:pt>
                <c:pt idx="26">
                  <c:v>25.232399999999998</c:v>
                </c:pt>
                <c:pt idx="27">
                  <c:v>25.6374</c:v>
                </c:pt>
                <c:pt idx="28">
                  <c:v>26.043299999999999</c:v>
                </c:pt>
                <c:pt idx="29">
                  <c:v>26.454699999999999</c:v>
                </c:pt>
                <c:pt idx="30">
                  <c:v>26.856200000000001</c:v>
                </c:pt>
                <c:pt idx="31">
                  <c:v>27.2651</c:v>
                </c:pt>
                <c:pt idx="32">
                  <c:v>27.676100000000002</c:v>
                </c:pt>
                <c:pt idx="33">
                  <c:v>28.076000000000001</c:v>
                </c:pt>
                <c:pt idx="34">
                  <c:v>28.484000000000002</c:v>
                </c:pt>
                <c:pt idx="35">
                  <c:v>28.893799999999999</c:v>
                </c:pt>
                <c:pt idx="36">
                  <c:v>29.300699999999999</c:v>
                </c:pt>
                <c:pt idx="37">
                  <c:v>29.702999999999999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39.017000000000003</c:v>
                </c:pt>
                <c:pt idx="1">
                  <c:v>39.3416</c:v>
                </c:pt>
                <c:pt idx="2">
                  <c:v>39.623699999999999</c:v>
                </c:pt>
                <c:pt idx="3">
                  <c:v>39.843899999999998</c:v>
                </c:pt>
                <c:pt idx="4">
                  <c:v>40.088900000000002</c:v>
                </c:pt>
                <c:pt idx="5">
                  <c:v>40.442499999999995</c:v>
                </c:pt>
                <c:pt idx="6">
                  <c:v>40.816400000000002</c:v>
                </c:pt>
                <c:pt idx="7">
                  <c:v>41.147300000000001</c:v>
                </c:pt>
                <c:pt idx="8">
                  <c:v>41.513800000000003</c:v>
                </c:pt>
                <c:pt idx="9">
                  <c:v>41.793200000000006</c:v>
                </c:pt>
                <c:pt idx="10">
                  <c:v>41.938700000000004</c:v>
                </c:pt>
                <c:pt idx="11">
                  <c:v>42.04</c:v>
                </c:pt>
                <c:pt idx="12">
                  <c:v>42.176400000000001</c:v>
                </c:pt>
                <c:pt idx="13">
                  <c:v>42.265599999999999</c:v>
                </c:pt>
                <c:pt idx="14">
                  <c:v>42.234999999999999</c:v>
                </c:pt>
                <c:pt idx="15">
                  <c:v>42.163800000000002</c:v>
                </c:pt>
                <c:pt idx="16">
                  <c:v>42.157299999999999</c:v>
                </c:pt>
                <c:pt idx="17">
                  <c:v>42.242899999999999</c:v>
                </c:pt>
                <c:pt idx="18">
                  <c:v>42.283999999999999</c:v>
                </c:pt>
                <c:pt idx="19">
                  <c:v>42.298400000000001</c:v>
                </c:pt>
                <c:pt idx="20">
                  <c:v>42.289700000000003</c:v>
                </c:pt>
                <c:pt idx="21">
                  <c:v>42.276699999999998</c:v>
                </c:pt>
                <c:pt idx="22">
                  <c:v>42.2072</c:v>
                </c:pt>
                <c:pt idx="23">
                  <c:v>42.193100000000001</c:v>
                </c:pt>
                <c:pt idx="24">
                  <c:v>42.235799999999998</c:v>
                </c:pt>
                <c:pt idx="25">
                  <c:v>42.384999999999998</c:v>
                </c:pt>
                <c:pt idx="26">
                  <c:v>42.550699999999999</c:v>
                </c:pt>
                <c:pt idx="27">
                  <c:v>42.672600000000003</c:v>
                </c:pt>
                <c:pt idx="28">
                  <c:v>42.599499999999999</c:v>
                </c:pt>
                <c:pt idx="29">
                  <c:v>42.5486</c:v>
                </c:pt>
                <c:pt idx="30">
                  <c:v>42.471800000000002</c:v>
                </c:pt>
                <c:pt idx="31">
                  <c:v>42.404599999999995</c:v>
                </c:pt>
                <c:pt idx="32">
                  <c:v>42.470999999999997</c:v>
                </c:pt>
                <c:pt idx="33">
                  <c:v>42.548900000000003</c:v>
                </c:pt>
                <c:pt idx="34">
                  <c:v>42.520099999999999</c:v>
                </c:pt>
                <c:pt idx="35">
                  <c:v>42.3491</c:v>
                </c:pt>
                <c:pt idx="36">
                  <c:v>41.768999999999998</c:v>
                </c:pt>
                <c:pt idx="37">
                  <c:v>41.588799999999999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7.4257499999999999</c:v>
                </c:pt>
                <c:pt idx="1">
                  <c:v>22.277249999999999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47.939067567567562</c:v>
                </c:pt>
                <c:pt idx="1">
                  <c:v>41.851232432432447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  <c:pt idx="37">
                  <c:v>1.9364999999999999</c:v>
                </c:pt>
                <c:pt idx="38">
                  <c:v>1.9428400000000001</c:v>
                </c:pt>
                <c:pt idx="39">
                  <c:v>1.9501599999999999</c:v>
                </c:pt>
                <c:pt idx="40">
                  <c:v>1.9598399999999998</c:v>
                </c:pt>
                <c:pt idx="41">
                  <c:v>1.96957</c:v>
                </c:pt>
                <c:pt idx="42">
                  <c:v>1.98183</c:v>
                </c:pt>
                <c:pt idx="43">
                  <c:v>1.99526</c:v>
                </c:pt>
                <c:pt idx="44">
                  <c:v>2.0092699999999999</c:v>
                </c:pt>
                <c:pt idx="45">
                  <c:v>2.0250900000000001</c:v>
                </c:pt>
                <c:pt idx="46">
                  <c:v>2.04501</c:v>
                </c:pt>
                <c:pt idx="47">
                  <c:v>2.0672799999999998</c:v>
                </c:pt>
                <c:pt idx="48">
                  <c:v>2.0906099999999999</c:v>
                </c:pt>
                <c:pt idx="49">
                  <c:v>2.11469</c:v>
                </c:pt>
                <c:pt idx="50">
                  <c:v>2.1398600000000001</c:v>
                </c:pt>
                <c:pt idx="51">
                  <c:v>2.1658200000000001</c:v>
                </c:pt>
                <c:pt idx="52">
                  <c:v>2.1863700000000001</c:v>
                </c:pt>
                <c:pt idx="53">
                  <c:v>2.1986600000000003</c:v>
                </c:pt>
                <c:pt idx="54">
                  <c:v>2.2110500000000002</c:v>
                </c:pt>
                <c:pt idx="55">
                  <c:v>2.2237399999999998</c:v>
                </c:pt>
                <c:pt idx="56">
                  <c:v>2.2376299999999998</c:v>
                </c:pt>
                <c:pt idx="57">
                  <c:v>2.2519900000000002</c:v>
                </c:pt>
                <c:pt idx="58">
                  <c:v>2.2665899999999999</c:v>
                </c:pt>
                <c:pt idx="59">
                  <c:v>2.2814100000000002</c:v>
                </c:pt>
                <c:pt idx="60">
                  <c:v>2.2958500000000002</c:v>
                </c:pt>
                <c:pt idx="61">
                  <c:v>2.31073</c:v>
                </c:pt>
                <c:pt idx="62">
                  <c:v>2.3247800000000001</c:v>
                </c:pt>
                <c:pt idx="63">
                  <c:v>2.33839</c:v>
                </c:pt>
                <c:pt idx="64">
                  <c:v>2.3507500000000001</c:v>
                </c:pt>
                <c:pt idx="65">
                  <c:v>2.36416</c:v>
                </c:pt>
                <c:pt idx="66">
                  <c:v>2.3817200000000001</c:v>
                </c:pt>
                <c:pt idx="67">
                  <c:v>2.40421</c:v>
                </c:pt>
                <c:pt idx="68">
                  <c:v>2.4289900000000002</c:v>
                </c:pt>
                <c:pt idx="69">
                  <c:v>2.4475799999999999</c:v>
                </c:pt>
                <c:pt idx="70">
                  <c:v>2.4634499999999999</c:v>
                </c:pt>
                <c:pt idx="71">
                  <c:v>2.48786</c:v>
                </c:pt>
                <c:pt idx="72">
                  <c:v>2.5052200000000004</c:v>
                </c:pt>
                <c:pt idx="73">
                  <c:v>2.5287500000000001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  <c:pt idx="37">
                  <c:v>39.3416</c:v>
                </c:pt>
                <c:pt idx="38">
                  <c:v>39.623699999999999</c:v>
                </c:pt>
                <c:pt idx="39">
                  <c:v>39.843899999999998</c:v>
                </c:pt>
                <c:pt idx="40">
                  <c:v>40.088900000000002</c:v>
                </c:pt>
                <c:pt idx="41">
                  <c:v>40.442499999999995</c:v>
                </c:pt>
                <c:pt idx="42">
                  <c:v>40.816400000000002</c:v>
                </c:pt>
                <c:pt idx="43">
                  <c:v>41.147300000000001</c:v>
                </c:pt>
                <c:pt idx="44">
                  <c:v>41.513800000000003</c:v>
                </c:pt>
                <c:pt idx="45">
                  <c:v>41.793200000000006</c:v>
                </c:pt>
                <c:pt idx="46">
                  <c:v>41.938700000000004</c:v>
                </c:pt>
                <c:pt idx="47">
                  <c:v>42.04</c:v>
                </c:pt>
                <c:pt idx="48">
                  <c:v>42.176400000000001</c:v>
                </c:pt>
                <c:pt idx="49">
                  <c:v>42.265599999999999</c:v>
                </c:pt>
                <c:pt idx="50">
                  <c:v>42.234999999999999</c:v>
                </c:pt>
                <c:pt idx="51">
                  <c:v>42.163800000000002</c:v>
                </c:pt>
                <c:pt idx="52">
                  <c:v>42.157299999999999</c:v>
                </c:pt>
                <c:pt idx="53">
                  <c:v>42.242899999999999</c:v>
                </c:pt>
                <c:pt idx="54">
                  <c:v>42.283999999999999</c:v>
                </c:pt>
                <c:pt idx="55">
                  <c:v>42.298400000000001</c:v>
                </c:pt>
                <c:pt idx="56">
                  <c:v>42.289700000000003</c:v>
                </c:pt>
                <c:pt idx="57">
                  <c:v>42.276699999999998</c:v>
                </c:pt>
                <c:pt idx="58">
                  <c:v>42.2072</c:v>
                </c:pt>
                <c:pt idx="59">
                  <c:v>42.193100000000001</c:v>
                </c:pt>
                <c:pt idx="60">
                  <c:v>42.235799999999998</c:v>
                </c:pt>
                <c:pt idx="61">
                  <c:v>42.384999999999998</c:v>
                </c:pt>
                <c:pt idx="62">
                  <c:v>42.550699999999999</c:v>
                </c:pt>
                <c:pt idx="63">
                  <c:v>42.672600000000003</c:v>
                </c:pt>
                <c:pt idx="64">
                  <c:v>42.599499999999999</c:v>
                </c:pt>
                <c:pt idx="65">
                  <c:v>42.5486</c:v>
                </c:pt>
                <c:pt idx="66">
                  <c:v>42.471800000000002</c:v>
                </c:pt>
                <c:pt idx="67">
                  <c:v>42.404599999999995</c:v>
                </c:pt>
                <c:pt idx="68">
                  <c:v>42.470999999999997</c:v>
                </c:pt>
                <c:pt idx="69">
                  <c:v>42.548900000000003</c:v>
                </c:pt>
                <c:pt idx="70">
                  <c:v>42.520099999999999</c:v>
                </c:pt>
                <c:pt idx="71">
                  <c:v>42.3491</c:v>
                </c:pt>
                <c:pt idx="72">
                  <c:v>41.768999999999998</c:v>
                </c:pt>
                <c:pt idx="73">
                  <c:v>41.588799999999999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1.24962</c:v>
                </c:pt>
                <c:pt idx="1">
                  <c:v>1.27522</c:v>
                </c:pt>
                <c:pt idx="2">
                  <c:v>1.3033800000000002</c:v>
                </c:pt>
                <c:pt idx="3">
                  <c:v>1.3327599999999999</c:v>
                </c:pt>
                <c:pt idx="4">
                  <c:v>1.3614599999999999</c:v>
                </c:pt>
                <c:pt idx="5">
                  <c:v>1.3880400000000002</c:v>
                </c:pt>
                <c:pt idx="6">
                  <c:v>1.41615</c:v>
                </c:pt>
                <c:pt idx="7">
                  <c:v>1.4435200000000001</c:v>
                </c:pt>
                <c:pt idx="8">
                  <c:v>1.4718300000000002</c:v>
                </c:pt>
                <c:pt idx="9">
                  <c:v>1.4990700000000001</c:v>
                </c:pt>
                <c:pt idx="10">
                  <c:v>1.5260699999999998</c:v>
                </c:pt>
                <c:pt idx="11">
                  <c:v>1.5539800000000001</c:v>
                </c:pt>
                <c:pt idx="12">
                  <c:v>1.5820400000000001</c:v>
                </c:pt>
                <c:pt idx="13">
                  <c:v>1.61002</c:v>
                </c:pt>
                <c:pt idx="14">
                  <c:v>1.6378599999999999</c:v>
                </c:pt>
                <c:pt idx="15">
                  <c:v>1.66472</c:v>
                </c:pt>
                <c:pt idx="16">
                  <c:v>1.6841700000000002</c:v>
                </c:pt>
                <c:pt idx="17">
                  <c:v>1.71028</c:v>
                </c:pt>
                <c:pt idx="18">
                  <c:v>1.7421700000000002</c:v>
                </c:pt>
                <c:pt idx="19">
                  <c:v>1.76667</c:v>
                </c:pt>
                <c:pt idx="20">
                  <c:v>1.78948</c:v>
                </c:pt>
                <c:pt idx="21">
                  <c:v>1.8093899999999998</c:v>
                </c:pt>
                <c:pt idx="22">
                  <c:v>1.8260100000000001</c:v>
                </c:pt>
                <c:pt idx="23">
                  <c:v>1.8389</c:v>
                </c:pt>
                <c:pt idx="24">
                  <c:v>1.8495400000000002</c:v>
                </c:pt>
                <c:pt idx="25">
                  <c:v>1.8591899999999999</c:v>
                </c:pt>
                <c:pt idx="26">
                  <c:v>1.86781</c:v>
                </c:pt>
                <c:pt idx="27">
                  <c:v>1.8782099999999999</c:v>
                </c:pt>
                <c:pt idx="28">
                  <c:v>1.8877199999999998</c:v>
                </c:pt>
                <c:pt idx="29">
                  <c:v>1.8955500000000001</c:v>
                </c:pt>
                <c:pt idx="30">
                  <c:v>1.9013800000000001</c:v>
                </c:pt>
                <c:pt idx="31">
                  <c:v>1.9065099999999999</c:v>
                </c:pt>
                <c:pt idx="32">
                  <c:v>1.9128800000000001</c:v>
                </c:pt>
                <c:pt idx="33">
                  <c:v>1.91818</c:v>
                </c:pt>
                <c:pt idx="34">
                  <c:v>1.92269</c:v>
                </c:pt>
                <c:pt idx="35">
                  <c:v>1.9273899999999999</c:v>
                </c:pt>
                <c:pt idx="36">
                  <c:v>1.9312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66.359500000000011</c:v>
                </c:pt>
                <c:pt idx="1">
                  <c:v>65.342699999999994</c:v>
                </c:pt>
                <c:pt idx="2">
                  <c:v>64.226799999999997</c:v>
                </c:pt>
                <c:pt idx="3">
                  <c:v>63.06</c:v>
                </c:pt>
                <c:pt idx="4">
                  <c:v>61.928600000000003</c:v>
                </c:pt>
                <c:pt idx="5">
                  <c:v>60.8078</c:v>
                </c:pt>
                <c:pt idx="6">
                  <c:v>59.643900000000002</c:v>
                </c:pt>
                <c:pt idx="7">
                  <c:v>58.466399999999993</c:v>
                </c:pt>
                <c:pt idx="8">
                  <c:v>57.178899999999999</c:v>
                </c:pt>
                <c:pt idx="9">
                  <c:v>55.955799999999996</c:v>
                </c:pt>
                <c:pt idx="10">
                  <c:v>54.752400000000002</c:v>
                </c:pt>
                <c:pt idx="11">
                  <c:v>53.5261</c:v>
                </c:pt>
                <c:pt idx="12">
                  <c:v>52.199399999999997</c:v>
                </c:pt>
                <c:pt idx="13">
                  <c:v>50.840399999999995</c:v>
                </c:pt>
                <c:pt idx="14">
                  <c:v>49.456299999999999</c:v>
                </c:pt>
                <c:pt idx="15">
                  <c:v>48.168700000000001</c:v>
                </c:pt>
                <c:pt idx="16">
                  <c:v>47.341000000000001</c:v>
                </c:pt>
                <c:pt idx="17">
                  <c:v>46.165700000000001</c:v>
                </c:pt>
                <c:pt idx="18">
                  <c:v>44.714300000000001</c:v>
                </c:pt>
                <c:pt idx="19">
                  <c:v>43.681799999999996</c:v>
                </c:pt>
                <c:pt idx="20">
                  <c:v>42.737700000000004</c:v>
                </c:pt>
                <c:pt idx="21">
                  <c:v>41.885399999999997</c:v>
                </c:pt>
                <c:pt idx="22">
                  <c:v>41.128900000000002</c:v>
                </c:pt>
                <c:pt idx="23">
                  <c:v>40.562899999999999</c:v>
                </c:pt>
                <c:pt idx="24">
                  <c:v>40.045700000000004</c:v>
                </c:pt>
                <c:pt idx="25">
                  <c:v>39.583500000000001</c:v>
                </c:pt>
                <c:pt idx="26">
                  <c:v>39.156600000000005</c:v>
                </c:pt>
                <c:pt idx="27">
                  <c:v>38.865100000000005</c:v>
                </c:pt>
                <c:pt idx="28">
                  <c:v>38.6173</c:v>
                </c:pt>
                <c:pt idx="29">
                  <c:v>38.378</c:v>
                </c:pt>
                <c:pt idx="30">
                  <c:v>38.242699999999999</c:v>
                </c:pt>
                <c:pt idx="31">
                  <c:v>38.178400000000003</c:v>
                </c:pt>
                <c:pt idx="32">
                  <c:v>38.189700000000002</c:v>
                </c:pt>
                <c:pt idx="33">
                  <c:v>38.260899999999999</c:v>
                </c:pt>
                <c:pt idx="34">
                  <c:v>38.4206</c:v>
                </c:pt>
                <c:pt idx="35">
                  <c:v>38.6586</c:v>
                </c:pt>
                <c:pt idx="36">
                  <c:v>39.017000000000003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1.9312</c:v>
                </c:pt>
                <c:pt idx="1">
                  <c:v>1.9364999999999999</c:v>
                </c:pt>
                <c:pt idx="2">
                  <c:v>1.9428400000000001</c:v>
                </c:pt>
                <c:pt idx="3">
                  <c:v>1.9501599999999999</c:v>
                </c:pt>
                <c:pt idx="4">
                  <c:v>1.9598399999999998</c:v>
                </c:pt>
                <c:pt idx="5">
                  <c:v>1.96957</c:v>
                </c:pt>
                <c:pt idx="6">
                  <c:v>1.98183</c:v>
                </c:pt>
                <c:pt idx="7">
                  <c:v>1.99526</c:v>
                </c:pt>
                <c:pt idx="8">
                  <c:v>2.0092699999999999</c:v>
                </c:pt>
                <c:pt idx="9">
                  <c:v>2.0250900000000001</c:v>
                </c:pt>
                <c:pt idx="10">
                  <c:v>2.04501</c:v>
                </c:pt>
                <c:pt idx="11">
                  <c:v>2.0672799999999998</c:v>
                </c:pt>
                <c:pt idx="12">
                  <c:v>2.0906099999999999</c:v>
                </c:pt>
                <c:pt idx="13">
                  <c:v>2.11469</c:v>
                </c:pt>
                <c:pt idx="14">
                  <c:v>2.1398600000000001</c:v>
                </c:pt>
                <c:pt idx="15">
                  <c:v>2.1658200000000001</c:v>
                </c:pt>
                <c:pt idx="16">
                  <c:v>2.1863700000000001</c:v>
                </c:pt>
                <c:pt idx="17">
                  <c:v>2.1986600000000003</c:v>
                </c:pt>
                <c:pt idx="18">
                  <c:v>2.2110500000000002</c:v>
                </c:pt>
                <c:pt idx="19">
                  <c:v>2.2237399999999998</c:v>
                </c:pt>
                <c:pt idx="20">
                  <c:v>2.2376299999999998</c:v>
                </c:pt>
                <c:pt idx="21">
                  <c:v>2.2519900000000002</c:v>
                </c:pt>
                <c:pt idx="22">
                  <c:v>2.2665899999999999</c:v>
                </c:pt>
                <c:pt idx="23">
                  <c:v>2.2814100000000002</c:v>
                </c:pt>
                <c:pt idx="24">
                  <c:v>2.2958500000000002</c:v>
                </c:pt>
                <c:pt idx="25">
                  <c:v>2.31073</c:v>
                </c:pt>
                <c:pt idx="26">
                  <c:v>2.3247800000000001</c:v>
                </c:pt>
                <c:pt idx="27">
                  <c:v>2.33839</c:v>
                </c:pt>
                <c:pt idx="28">
                  <c:v>2.3507500000000001</c:v>
                </c:pt>
                <c:pt idx="29">
                  <c:v>2.36416</c:v>
                </c:pt>
                <c:pt idx="30">
                  <c:v>2.3817200000000001</c:v>
                </c:pt>
                <c:pt idx="31">
                  <c:v>2.40421</c:v>
                </c:pt>
                <c:pt idx="32">
                  <c:v>2.4289900000000002</c:v>
                </c:pt>
                <c:pt idx="33">
                  <c:v>2.4475799999999999</c:v>
                </c:pt>
                <c:pt idx="34">
                  <c:v>2.4634499999999999</c:v>
                </c:pt>
                <c:pt idx="35">
                  <c:v>2.48786</c:v>
                </c:pt>
                <c:pt idx="36">
                  <c:v>2.5052200000000004</c:v>
                </c:pt>
                <c:pt idx="37">
                  <c:v>2.5287500000000001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39.017000000000003</c:v>
                </c:pt>
                <c:pt idx="1">
                  <c:v>39.3416</c:v>
                </c:pt>
                <c:pt idx="2">
                  <c:v>39.623699999999999</c:v>
                </c:pt>
                <c:pt idx="3">
                  <c:v>39.843899999999998</c:v>
                </c:pt>
                <c:pt idx="4">
                  <c:v>40.088900000000002</c:v>
                </c:pt>
                <c:pt idx="5">
                  <c:v>40.442499999999995</c:v>
                </c:pt>
                <c:pt idx="6">
                  <c:v>40.816400000000002</c:v>
                </c:pt>
                <c:pt idx="7">
                  <c:v>41.147300000000001</c:v>
                </c:pt>
                <c:pt idx="8">
                  <c:v>41.513800000000003</c:v>
                </c:pt>
                <c:pt idx="9">
                  <c:v>41.793200000000006</c:v>
                </c:pt>
                <c:pt idx="10">
                  <c:v>41.938700000000004</c:v>
                </c:pt>
                <c:pt idx="11">
                  <c:v>42.04</c:v>
                </c:pt>
                <c:pt idx="12">
                  <c:v>42.176400000000001</c:v>
                </c:pt>
                <c:pt idx="13">
                  <c:v>42.265599999999999</c:v>
                </c:pt>
                <c:pt idx="14">
                  <c:v>42.234999999999999</c:v>
                </c:pt>
                <c:pt idx="15">
                  <c:v>42.163800000000002</c:v>
                </c:pt>
                <c:pt idx="16">
                  <c:v>42.157299999999999</c:v>
                </c:pt>
                <c:pt idx="17">
                  <c:v>42.242899999999999</c:v>
                </c:pt>
                <c:pt idx="18">
                  <c:v>42.283999999999999</c:v>
                </c:pt>
                <c:pt idx="19">
                  <c:v>42.298400000000001</c:v>
                </c:pt>
                <c:pt idx="20">
                  <c:v>42.289700000000003</c:v>
                </c:pt>
                <c:pt idx="21">
                  <c:v>42.276699999999998</c:v>
                </c:pt>
                <c:pt idx="22">
                  <c:v>42.2072</c:v>
                </c:pt>
                <c:pt idx="23">
                  <c:v>42.193100000000001</c:v>
                </c:pt>
                <c:pt idx="24">
                  <c:v>42.235799999999998</c:v>
                </c:pt>
                <c:pt idx="25">
                  <c:v>42.384999999999998</c:v>
                </c:pt>
                <c:pt idx="26">
                  <c:v>42.550699999999999</c:v>
                </c:pt>
                <c:pt idx="27">
                  <c:v>42.672600000000003</c:v>
                </c:pt>
                <c:pt idx="28">
                  <c:v>42.599499999999999</c:v>
                </c:pt>
                <c:pt idx="29">
                  <c:v>42.5486</c:v>
                </c:pt>
                <c:pt idx="30">
                  <c:v>42.471800000000002</c:v>
                </c:pt>
                <c:pt idx="31">
                  <c:v>42.404599999999995</c:v>
                </c:pt>
                <c:pt idx="32">
                  <c:v>42.470999999999997</c:v>
                </c:pt>
                <c:pt idx="33">
                  <c:v>42.548900000000003</c:v>
                </c:pt>
                <c:pt idx="34">
                  <c:v>42.520099999999999</c:v>
                </c:pt>
                <c:pt idx="35">
                  <c:v>42.3491</c:v>
                </c:pt>
                <c:pt idx="36">
                  <c:v>41.768999999999998</c:v>
                </c:pt>
                <c:pt idx="37">
                  <c:v>41.588799999999999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1.24962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66.359500000000011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1.6794881081081079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47.939067567567562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2.2130678378378383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41.851232432432447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2.2130678378378383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41.851232432432447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497</v>
      </c>
      <c r="D5" s="151"/>
      <c r="E5" s="151"/>
      <c r="F5" s="152"/>
      <c r="G5" s="48" t="str">
        <f>lang!B27</f>
        <v>编号</v>
      </c>
      <c r="H5" s="150">
        <v>29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496</v>
      </c>
      <c r="D6" s="188"/>
      <c r="E6" s="188"/>
      <c r="F6" s="189"/>
      <c r="G6" s="49" t="str">
        <f>lang!B28</f>
        <v xml:space="preserve"> 日期</v>
      </c>
      <c r="H6" s="172">
        <f>FH_info!A2</f>
        <v>43607.446851851855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55</v>
      </c>
      <c r="D7" s="191"/>
      <c r="E7" s="191"/>
      <c r="F7" s="192"/>
      <c r="G7" s="50" t="str">
        <f>lang!B29</f>
        <v>误差率（%）</v>
      </c>
      <c r="H7" s="175">
        <f>M!B17*1</f>
        <v>18.933399999999999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30.503499999999999</v>
      </c>
      <c r="O8" s="59">
        <f>M!C5*1</f>
        <v>6.5042400000000002</v>
      </c>
      <c r="P8" s="59">
        <f>M!D5*1</f>
        <v>21.322900000000001</v>
      </c>
      <c r="Q8" s="59">
        <f>M!E5*1</f>
        <v>20</v>
      </c>
      <c r="R8" s="59">
        <f>M!F5*1</f>
        <v>11.672499999999999</v>
      </c>
      <c r="S8" s="59">
        <f>M!G5*1</f>
        <v>50</v>
      </c>
      <c r="T8" s="59">
        <f>M!H5*1</f>
        <v>36.092700000000001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37.327399999999997</v>
      </c>
      <c r="O9" s="59">
        <f>M!C6*1</f>
        <v>1.7028000000000001</v>
      </c>
      <c r="P9" s="59">
        <f>M!D6*1</f>
        <v>4.5617900000000002</v>
      </c>
      <c r="Q9" s="59">
        <f>M!E6*1</f>
        <v>20</v>
      </c>
      <c r="R9" s="59">
        <f>M!F6*1</f>
        <v>33.831600000000002</v>
      </c>
      <c r="S9" s="59">
        <f>M!G6*1</f>
        <v>40</v>
      </c>
      <c r="T9" s="59">
        <f>M!H6*1</f>
        <v>40.691400000000002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11.672499999999999</v>
      </c>
      <c r="D10" s="99">
        <f>N8</f>
        <v>30.503499999999999</v>
      </c>
      <c r="E10" s="100">
        <f>T8</f>
        <v>36.092700000000001</v>
      </c>
      <c r="F10" s="91">
        <f>P8</f>
        <v>21.322900000000001</v>
      </c>
      <c r="G10" s="81" t="str">
        <f>CONCATENATE(M9,"
(20 ~ 40)")</f>
        <v>压力
(20 ~ 40)</v>
      </c>
      <c r="H10" s="98">
        <f>R9</f>
        <v>33.831600000000002</v>
      </c>
      <c r="I10" s="108">
        <f>N9</f>
        <v>37.327399999999997</v>
      </c>
      <c r="J10" s="98">
        <f>T9</f>
        <v>40.691400000000002</v>
      </c>
      <c r="K10" s="92">
        <f>P9</f>
        <v>4.5617900000000002</v>
      </c>
      <c r="L10" s="6"/>
      <c r="M10" s="27" t="str">
        <f>lang!B16</f>
        <v>焦虑</v>
      </c>
      <c r="N10" s="59">
        <f>M!B7*1</f>
        <v>24.223500000000001</v>
      </c>
      <c r="O10" s="59">
        <f>M!C7*1</f>
        <v>8.0306099999999994</v>
      </c>
      <c r="P10" s="59">
        <f>M!D7*1</f>
        <v>33.152200000000001</v>
      </c>
      <c r="Q10" s="59">
        <f>M!E7*1</f>
        <v>15</v>
      </c>
      <c r="R10" s="59">
        <f>M!F7*1</f>
        <v>15.7339</v>
      </c>
      <c r="S10" s="59">
        <f>M!G7*1</f>
        <v>40</v>
      </c>
      <c r="T10" s="59">
        <f>M!H7*1</f>
        <v>48.095999999999997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15.7339</v>
      </c>
      <c r="D11" s="102">
        <f>N10</f>
        <v>24.223500000000001</v>
      </c>
      <c r="E11" s="103">
        <f>T10</f>
        <v>48.095999999999997</v>
      </c>
      <c r="F11" s="94">
        <f>P10</f>
        <v>33.152200000000001</v>
      </c>
      <c r="G11" s="52" t="str">
        <f>CONCATENATE(M11,"
(20 ~ 50)")</f>
        <v>可疑
(20 ~ 50)</v>
      </c>
      <c r="H11" s="101">
        <f>R11</f>
        <v>23.3629</v>
      </c>
      <c r="I11" s="104">
        <f>N11</f>
        <v>29.2043</v>
      </c>
      <c r="J11" s="101">
        <f>T11</f>
        <v>38.360399999999998</v>
      </c>
      <c r="K11" s="95">
        <f>P11</f>
        <v>14.396599999999999</v>
      </c>
      <c r="L11" s="4"/>
      <c r="M11" s="27" t="str">
        <f>lang!B17</f>
        <v>可疑</v>
      </c>
      <c r="N11" s="59">
        <f>M!B8*1</f>
        <v>29.2043</v>
      </c>
      <c r="O11" s="59">
        <f>M!C8*1</f>
        <v>4.20444</v>
      </c>
      <c r="P11" s="59">
        <f>M!D8*1</f>
        <v>14.396599999999999</v>
      </c>
      <c r="Q11" s="59">
        <f>M!E8*1</f>
        <v>20</v>
      </c>
      <c r="R11" s="59">
        <f>M!F8*1</f>
        <v>23.3629</v>
      </c>
      <c r="S11" s="59">
        <f>M!G8*1</f>
        <v>50</v>
      </c>
      <c r="T11" s="59">
        <f>M!H8*1</f>
        <v>38.360399999999998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24.382400000000001</v>
      </c>
      <c r="D12" s="104">
        <f>N12</f>
        <v>52.633499999999998</v>
      </c>
      <c r="E12" s="101">
        <f>T12</f>
        <v>76.550399999999996</v>
      </c>
      <c r="F12" s="93">
        <f>P12</f>
        <v>27.995100000000001</v>
      </c>
      <c r="G12" s="52" t="str">
        <f>CONCATENATE(M13,"
(40 ~ 100)")</f>
        <v>自信
(40 ~ 100)</v>
      </c>
      <c r="H12" s="101">
        <f>R13</f>
        <v>71.865300000000005</v>
      </c>
      <c r="I12" s="104">
        <f>N13</f>
        <v>75.795699999999997</v>
      </c>
      <c r="J12" s="101">
        <f>T13</f>
        <v>82.060299999999998</v>
      </c>
      <c r="K12" s="95">
        <f>P13</f>
        <v>3.8147099999999998</v>
      </c>
      <c r="L12" s="4"/>
      <c r="M12" s="27" t="str">
        <f>lang!B18</f>
        <v>平衡</v>
      </c>
      <c r="N12" s="59">
        <f>M!B9*1</f>
        <v>52.633499999999998</v>
      </c>
      <c r="O12" s="59">
        <f>M!C9*1</f>
        <v>14.7348</v>
      </c>
      <c r="P12" s="59">
        <f>M!D9*1</f>
        <v>27.995100000000001</v>
      </c>
      <c r="Q12" s="59">
        <f>M!E9*1</f>
        <v>50</v>
      </c>
      <c r="R12" s="59">
        <f>M!F9*1</f>
        <v>24.382400000000001</v>
      </c>
      <c r="S12" s="59">
        <f>M!G9*1</f>
        <v>100</v>
      </c>
      <c r="T12" s="59">
        <f>M!H9*1</f>
        <v>76.550399999999996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5.2122200000000003</v>
      </c>
      <c r="D13" s="102">
        <f>N14</f>
        <v>6.6829499999999999</v>
      </c>
      <c r="E13" s="103">
        <f>T14</f>
        <v>14.4954</v>
      </c>
      <c r="F13" s="94">
        <f>P14</f>
        <v>32.349400000000003</v>
      </c>
      <c r="G13" s="52" t="str">
        <f>CONCATENATE(M15,"
(50 ~ 100)")</f>
        <v>自我调节
(50 ~ 100)</v>
      </c>
      <c r="H13" s="101">
        <f>R15</f>
        <v>52.6965</v>
      </c>
      <c r="I13" s="104">
        <f>N15</f>
        <v>63.867899999999999</v>
      </c>
      <c r="J13" s="101">
        <f>T15</f>
        <v>76.451700000000002</v>
      </c>
      <c r="K13" s="95">
        <f>P15</f>
        <v>9.6835900000000006</v>
      </c>
      <c r="L13" s="4"/>
      <c r="M13" s="27" t="str">
        <f>lang!B19</f>
        <v>自信</v>
      </c>
      <c r="N13" s="59">
        <f>M!B10*1</f>
        <v>75.795699999999997</v>
      </c>
      <c r="O13" s="59">
        <f>M!C10*1</f>
        <v>2.8913899999999999</v>
      </c>
      <c r="P13" s="59">
        <f>M!D10*1</f>
        <v>3.8147099999999998</v>
      </c>
      <c r="Q13" s="59">
        <f>M!E10*1</f>
        <v>40</v>
      </c>
      <c r="R13" s="59">
        <f>M!F10*1</f>
        <v>71.865300000000005</v>
      </c>
      <c r="S13" s="59">
        <f>M!G10*1</f>
        <v>100</v>
      </c>
      <c r="T13" s="59">
        <f>M!H10*1</f>
        <v>82.060299999999998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15.0572</v>
      </c>
      <c r="D14" s="106">
        <f>N16</f>
        <v>20.439800000000002</v>
      </c>
      <c r="E14" s="107">
        <f>T16</f>
        <v>29.958200000000001</v>
      </c>
      <c r="F14" s="96">
        <f>P16</f>
        <v>13.477600000000001</v>
      </c>
      <c r="G14" s="112" t="str">
        <f>CONCATENATE(M17,"
(10 ~ 50)")</f>
        <v>神经质
(10 ~ 50)</v>
      </c>
      <c r="H14" s="105">
        <f>R17</f>
        <v>2.75</v>
      </c>
      <c r="I14" s="106">
        <f>N17</f>
        <v>27.547799999999999</v>
      </c>
      <c r="J14" s="107">
        <f>T17</f>
        <v>40.149799999999999</v>
      </c>
      <c r="K14" s="97">
        <f>P17</f>
        <v>28.5806</v>
      </c>
      <c r="M14" s="27" t="str">
        <f>lang!B20</f>
        <v>活力</v>
      </c>
      <c r="N14" s="59">
        <f>M!B11*1</f>
        <v>6.6829499999999999</v>
      </c>
      <c r="O14" s="59">
        <f>M!C11*1</f>
        <v>2.1618900000000001</v>
      </c>
      <c r="P14" s="59">
        <f>M!D11*1</f>
        <v>32.349400000000003</v>
      </c>
      <c r="Q14" s="59">
        <f>M!E11*1</f>
        <v>10</v>
      </c>
      <c r="R14" s="59">
        <f>M!F11*1</f>
        <v>5.2122200000000003</v>
      </c>
      <c r="S14" s="59">
        <f>M!G11*1</f>
        <v>50</v>
      </c>
      <c r="T14" s="59">
        <f>M!H11*1</f>
        <v>14.4954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63.867899999999999</v>
      </c>
      <c r="O15" s="59">
        <f>M!C12*1</f>
        <v>6.1847099999999999</v>
      </c>
      <c r="P15" s="59">
        <f>M!D12*1</f>
        <v>9.6835900000000006</v>
      </c>
      <c r="Q15" s="59">
        <f>M!E12*1</f>
        <v>50</v>
      </c>
      <c r="R15" s="59">
        <f>M!F12*1</f>
        <v>52.6965</v>
      </c>
      <c r="S15" s="59">
        <f>M!G12*1</f>
        <v>100</v>
      </c>
      <c r="T15" s="59">
        <f>M!H12*1</f>
        <v>76.451700000000002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20.439800000000002</v>
      </c>
      <c r="O16" s="59">
        <f>M!C13*1</f>
        <v>2.7547799999999998</v>
      </c>
      <c r="P16" s="59">
        <f>M!D13*1</f>
        <v>13.477600000000001</v>
      </c>
      <c r="Q16" s="59">
        <f>M!E13*1</f>
        <v>10</v>
      </c>
      <c r="R16" s="59">
        <f>M!F13*1</f>
        <v>15.0572</v>
      </c>
      <c r="S16" s="59">
        <f>M!G13*1</f>
        <v>25</v>
      </c>
      <c r="T16" s="59">
        <f>M!H13*1</f>
        <v>29.958200000000001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27.547799999999999</v>
      </c>
      <c r="O17" s="59">
        <f>M!C14*1</f>
        <v>7.8733399999999998</v>
      </c>
      <c r="P17" s="59">
        <f>M!D14*1</f>
        <v>28.5806</v>
      </c>
      <c r="Q17" s="59">
        <f>M!E14*1</f>
        <v>10</v>
      </c>
      <c r="R17" s="59">
        <f>M!F14*1</f>
        <v>2.75</v>
      </c>
      <c r="S17" s="59">
        <f>M!G14*1</f>
        <v>50</v>
      </c>
      <c r="T17" s="59">
        <f>M!H14*1</f>
        <v>40.149799999999999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49.745012499999994</v>
      </c>
      <c r="O18" s="22">
        <f>N18/(N18+N19+N20)</f>
        <v>0.47807155430518367</v>
      </c>
      <c r="P18" s="65">
        <f>SUM(P12:P15)/4</f>
        <v>18.460699999999999</v>
      </c>
      <c r="Q18" s="22">
        <f>P18/(P18+P19+P20)</f>
        <v>0.31912330506205705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30.314675000000001</v>
      </c>
      <c r="O19" s="22">
        <f>N19/(N18+N19+N20)</f>
        <v>0.291337423937857</v>
      </c>
      <c r="P19" s="18">
        <f>SUM(P8:P11)/4</f>
        <v>18.358372500000002</v>
      </c>
      <c r="Q19" s="22">
        <f>P19/(P18+P19+P20)</f>
        <v>0.31735440734968767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23.9938</v>
      </c>
      <c r="O20" s="22">
        <f>N20/(N18+N19+N20)</f>
        <v>0.23059102175695939</v>
      </c>
      <c r="P20" s="18">
        <f>(P16+P17)/2</f>
        <v>21.0291</v>
      </c>
      <c r="Q20" s="22">
        <f>P20/(P18+P19+P20)</f>
        <v>0.36352228758825522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-0.11423632432432423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0.90058921477853804</v>
      </c>
      <c r="D25" s="44" t="str">
        <f>lang!B11</f>
        <v>频率方差</v>
      </c>
      <c r="E25" s="142">
        <f ca="1">FH!L3</f>
        <v>0.55769248402429517</v>
      </c>
      <c r="F25" s="143"/>
      <c r="G25" s="134" t="str">
        <f>lang!B12</f>
        <v>生理变化率</v>
      </c>
      <c r="H25" s="135"/>
      <c r="I25" s="62" t="str">
        <f ca="1">CONCATENATE(info!M7,"-",info!M8)</f>
        <v>38.2-66.4</v>
      </c>
      <c r="J25" s="42" t="str">
        <f>lang!B13</f>
        <v>千卡l/分钟</v>
      </c>
      <c r="K25" s="41" t="str">
        <f ca="1">CONCATENATE(info!M5,"-",info!M6)</f>
        <v>1.2-2.5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66.197199999999995</v>
      </c>
      <c r="F28" s="164"/>
      <c r="G28" s="178" t="str">
        <f>lang!B33</f>
        <v>稳定性</v>
      </c>
      <c r="H28" s="179"/>
      <c r="I28" s="180"/>
      <c r="J28" s="181">
        <f>M!B19*100</f>
        <v>83.683399999999992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43607.446851851855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10.4114</v>
      </c>
      <c r="O7" s="59">
        <f t="shared" ref="O7:T7" si="2">AG7-X7</f>
        <v>-4.2352299999999996</v>
      </c>
      <c r="P7" s="59">
        <f t="shared" si="2"/>
        <v>-22.38054</v>
      </c>
      <c r="Q7" s="59">
        <f t="shared" si="2"/>
        <v>0</v>
      </c>
      <c r="R7" s="59">
        <f t="shared" si="2"/>
        <v>16.246000000000002</v>
      </c>
      <c r="S7" s="59">
        <f t="shared" si="2"/>
        <v>0</v>
      </c>
      <c r="T7" s="59">
        <f t="shared" si="2"/>
        <v>3.1476000000000042</v>
      </c>
      <c r="U7" s="14"/>
      <c r="V7" s="27" t="str">
        <f>M7</f>
        <v>攻击性</v>
      </c>
      <c r="W7" s="59">
        <f>'M1'!B5*1</f>
        <v>21.286799999999999</v>
      </c>
      <c r="X7" s="59">
        <f>'M1'!C5*1</f>
        <v>5.8454199999999998</v>
      </c>
      <c r="Y7" s="59">
        <f>'M1'!D5*1</f>
        <v>27.4603</v>
      </c>
      <c r="Z7" s="59">
        <f>'M1'!E5*1</f>
        <v>20</v>
      </c>
      <c r="AA7" s="59">
        <f>'M1'!F5*1</f>
        <v>11.672499999999999</v>
      </c>
      <c r="AB7" s="59">
        <f>'M1'!G5*1</f>
        <v>50</v>
      </c>
      <c r="AC7" s="59">
        <f>'M1'!H5*1</f>
        <v>32.945099999999996</v>
      </c>
      <c r="AE7" s="27" t="str">
        <f>V7</f>
        <v>攻击性</v>
      </c>
      <c r="AF7" s="59">
        <f>'M2'!B5*1</f>
        <v>31.6982</v>
      </c>
      <c r="AG7" s="59">
        <f>'M2'!C5*1</f>
        <v>1.61019</v>
      </c>
      <c r="AH7" s="59">
        <f>'M2'!D5*1</f>
        <v>5.0797600000000003</v>
      </c>
      <c r="AI7" s="59">
        <f>'M2'!E5*1</f>
        <v>20</v>
      </c>
      <c r="AJ7" s="59">
        <f>'M2'!F5*1</f>
        <v>27.918500000000002</v>
      </c>
      <c r="AK7" s="59">
        <f>'M2'!G5*1</f>
        <v>50</v>
      </c>
      <c r="AL7" s="59">
        <f>'M2'!H5*1</f>
        <v>36.092700000000001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1.6135000000000019</v>
      </c>
      <c r="O8" s="59">
        <f t="shared" ref="O8:O16" si="5">AG8-X8</f>
        <v>0.85993000000000008</v>
      </c>
      <c r="P8" s="59">
        <f t="shared" ref="P8:P16" si="6">AH8-Y8</f>
        <v>2.1337199999999998</v>
      </c>
      <c r="Q8" s="59">
        <f t="shared" ref="Q8:Q16" si="7">AI8-Z8</f>
        <v>0</v>
      </c>
      <c r="R8" s="59">
        <f t="shared" ref="R8:R16" si="8">AJ8-AA8</f>
        <v>-0.63309999999999889</v>
      </c>
      <c r="S8" s="59">
        <f t="shared" ref="S8:S16" si="9">AK8-AB8</f>
        <v>0</v>
      </c>
      <c r="T8" s="59">
        <f t="shared" ref="T8:T16" si="10">AL8-AC8</f>
        <v>2.2897000000000034</v>
      </c>
      <c r="U8" s="15"/>
      <c r="V8" s="27" t="str">
        <f t="shared" ref="V8:V16" si="11">M8</f>
        <v>压力</v>
      </c>
      <c r="W8" s="59">
        <f>'M1'!B6*1</f>
        <v>36.4223</v>
      </c>
      <c r="X8" s="59">
        <f>'M1'!C6*1</f>
        <v>1.0914299999999999</v>
      </c>
      <c r="Y8" s="59">
        <f>'M1'!D6*1</f>
        <v>2.99661</v>
      </c>
      <c r="Z8" s="59">
        <f>'M1'!E6*1</f>
        <v>20</v>
      </c>
      <c r="AA8" s="59">
        <f>'M1'!F6*1</f>
        <v>34.464700000000001</v>
      </c>
      <c r="AB8" s="59">
        <f>'M1'!G6*1</f>
        <v>40</v>
      </c>
      <c r="AC8" s="59">
        <f>'M1'!H6*1</f>
        <v>38.401699999999998</v>
      </c>
      <c r="AE8" s="27" t="str">
        <f t="shared" ref="AE8:AE16" si="12">V8</f>
        <v>压力</v>
      </c>
      <c r="AF8" s="59">
        <f>'M2'!B6*1</f>
        <v>38.035800000000002</v>
      </c>
      <c r="AG8" s="59">
        <f>'M2'!C6*1</f>
        <v>1.95136</v>
      </c>
      <c r="AH8" s="59">
        <f>'M2'!D6*1</f>
        <v>5.1303299999999998</v>
      </c>
      <c r="AI8" s="59">
        <f>'M2'!E6*1</f>
        <v>20</v>
      </c>
      <c r="AJ8" s="59">
        <f>'M2'!F6*1</f>
        <v>33.831600000000002</v>
      </c>
      <c r="AK8" s="59">
        <f>'M2'!G6*1</f>
        <v>40</v>
      </c>
      <c r="AL8" s="59">
        <f>'M2'!H6*1</f>
        <v>40.691400000000002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16.246000000000002</v>
      </c>
      <c r="D9" s="78">
        <f>N7</f>
        <v>10.4114</v>
      </c>
      <c r="E9" s="79">
        <f>T7</f>
        <v>3.1476000000000042</v>
      </c>
      <c r="F9" s="79">
        <f>P7</f>
        <v>-22.38054</v>
      </c>
      <c r="G9" s="80" t="str">
        <f>CONCATENATE(M8,"
(20 ~ 40)")</f>
        <v>压力
(20 ~ 40)</v>
      </c>
      <c r="H9" s="77">
        <f>R8</f>
        <v>-0.63309999999999889</v>
      </c>
      <c r="I9" s="81">
        <f>N8</f>
        <v>1.6135000000000019</v>
      </c>
      <c r="J9" s="77">
        <f>T8</f>
        <v>2.2897000000000034</v>
      </c>
      <c r="K9" s="82">
        <f>P8</f>
        <v>2.1337199999999998</v>
      </c>
      <c r="L9" s="6"/>
      <c r="M9" s="27" t="str">
        <f>lang!B16</f>
        <v>焦虑</v>
      </c>
      <c r="N9" s="59">
        <f t="shared" si="4"/>
        <v>9.6546000000000021</v>
      </c>
      <c r="O9" s="59">
        <f t="shared" si="5"/>
        <v>5.3914899999999992</v>
      </c>
      <c r="P9" s="59">
        <f t="shared" si="6"/>
        <v>11.357400000000002</v>
      </c>
      <c r="Q9" s="59">
        <f t="shared" si="7"/>
        <v>0</v>
      </c>
      <c r="R9" s="59">
        <f t="shared" si="8"/>
        <v>-1.4539999999999988</v>
      </c>
      <c r="S9" s="59">
        <f t="shared" si="9"/>
        <v>0</v>
      </c>
      <c r="T9" s="59">
        <f t="shared" si="10"/>
        <v>1.345799999999997</v>
      </c>
      <c r="U9" s="14"/>
      <c r="V9" s="27" t="str">
        <f t="shared" si="11"/>
        <v>焦虑</v>
      </c>
      <c r="W9" s="59">
        <f>'M1'!B7*1</f>
        <v>23.656700000000001</v>
      </c>
      <c r="X9" s="59">
        <f>'M1'!C7*1</f>
        <v>3.9405899999999998</v>
      </c>
      <c r="Y9" s="59">
        <f>'M1'!D7*1</f>
        <v>16.657399999999999</v>
      </c>
      <c r="Z9" s="59">
        <f>'M1'!E7*1</f>
        <v>15</v>
      </c>
      <c r="AA9" s="59">
        <f>'M1'!F7*1</f>
        <v>17.187899999999999</v>
      </c>
      <c r="AB9" s="59">
        <f>'M1'!G7*1</f>
        <v>40</v>
      </c>
      <c r="AC9" s="59">
        <f>'M1'!H7*1</f>
        <v>46.7502</v>
      </c>
      <c r="AE9" s="27" t="str">
        <f t="shared" si="12"/>
        <v>焦虑</v>
      </c>
      <c r="AF9" s="59">
        <f>'M2'!B7*1</f>
        <v>33.311300000000003</v>
      </c>
      <c r="AG9" s="59">
        <f>'M2'!C7*1</f>
        <v>9.3320799999999995</v>
      </c>
      <c r="AH9" s="59">
        <f>'M2'!D7*1</f>
        <v>28.014800000000001</v>
      </c>
      <c r="AI9" s="59">
        <f>'M2'!E7*1</f>
        <v>15</v>
      </c>
      <c r="AJ9" s="59">
        <f>'M2'!F7*1</f>
        <v>15.7339</v>
      </c>
      <c r="AK9" s="59">
        <f>'M2'!G7*1</f>
        <v>40</v>
      </c>
      <c r="AL9" s="59">
        <f>'M2'!H7*1</f>
        <v>48.095999999999997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-1.4539999999999988</v>
      </c>
      <c r="D10" s="51">
        <f>N9</f>
        <v>9.6546000000000021</v>
      </c>
      <c r="E10" s="53">
        <f>T9</f>
        <v>1.345799999999997</v>
      </c>
      <c r="F10" s="53">
        <f>P9</f>
        <v>11.357400000000002</v>
      </c>
      <c r="G10" s="73" t="str">
        <f>CONCATENATE(M10,"
(20 ~ 50)")</f>
        <v>可疑
(20 ~ 50)</v>
      </c>
      <c r="H10" s="24">
        <f>R10</f>
        <v>5.5553999999999988</v>
      </c>
      <c r="I10" s="52">
        <f>N10</f>
        <v>6.2686000000000028</v>
      </c>
      <c r="J10" s="24">
        <f>T10</f>
        <v>6.9772999999999996</v>
      </c>
      <c r="K10" s="25">
        <f>P10</f>
        <v>2.8449599999999995</v>
      </c>
      <c r="L10" s="4"/>
      <c r="M10" s="27" t="str">
        <f>lang!B17</f>
        <v>可疑</v>
      </c>
      <c r="N10" s="59">
        <f t="shared" si="4"/>
        <v>6.2686000000000028</v>
      </c>
      <c r="O10" s="59">
        <f t="shared" si="5"/>
        <v>1.38812</v>
      </c>
      <c r="P10" s="59">
        <f t="shared" si="6"/>
        <v>2.8449599999999995</v>
      </c>
      <c r="Q10" s="59">
        <f t="shared" si="7"/>
        <v>0</v>
      </c>
      <c r="R10" s="59">
        <f t="shared" si="8"/>
        <v>5.5553999999999988</v>
      </c>
      <c r="S10" s="59">
        <f t="shared" si="9"/>
        <v>0</v>
      </c>
      <c r="T10" s="59">
        <f t="shared" si="10"/>
        <v>6.9772999999999996</v>
      </c>
      <c r="U10" s="14"/>
      <c r="V10" s="27" t="str">
        <f t="shared" si="11"/>
        <v>可疑</v>
      </c>
      <c r="W10" s="59">
        <f>'M1'!B8*1</f>
        <v>27.7563</v>
      </c>
      <c r="X10" s="59">
        <f>'M1'!C8*1</f>
        <v>1.8602000000000001</v>
      </c>
      <c r="Y10" s="59">
        <f>'M1'!D8*1</f>
        <v>6.7019200000000003</v>
      </c>
      <c r="Z10" s="59">
        <f>'M1'!E8*1</f>
        <v>20</v>
      </c>
      <c r="AA10" s="59">
        <f>'M1'!F8*1</f>
        <v>23.3629</v>
      </c>
      <c r="AB10" s="59">
        <f>'M1'!G8*1</f>
        <v>50</v>
      </c>
      <c r="AC10" s="59">
        <f>'M1'!H8*1</f>
        <v>31.383099999999999</v>
      </c>
      <c r="AE10" s="27" t="str">
        <f t="shared" si="12"/>
        <v>可疑</v>
      </c>
      <c r="AF10" s="59">
        <f>'M2'!B8*1</f>
        <v>34.024900000000002</v>
      </c>
      <c r="AG10" s="59">
        <f>'M2'!C8*1</f>
        <v>3.2483200000000001</v>
      </c>
      <c r="AH10" s="59">
        <f>'M2'!D8*1</f>
        <v>9.5468799999999998</v>
      </c>
      <c r="AI10" s="59">
        <f>'M2'!E8*1</f>
        <v>20</v>
      </c>
      <c r="AJ10" s="59">
        <f>'M2'!F8*1</f>
        <v>28.918299999999999</v>
      </c>
      <c r="AK10" s="59">
        <f>'M2'!G8*1</f>
        <v>50</v>
      </c>
      <c r="AL10" s="59">
        <f>'M2'!H8*1</f>
        <v>38.360399999999998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-5.926400000000001</v>
      </c>
      <c r="D11" s="52">
        <f>N11</f>
        <v>-4.963000000000001</v>
      </c>
      <c r="E11" s="24">
        <f>T11</f>
        <v>6.2252999999999901</v>
      </c>
      <c r="F11" s="24">
        <f>P11</f>
        <v>12.157900000000001</v>
      </c>
      <c r="G11" s="73" t="str">
        <f>CONCATENATE(M12,"
(40 ~ 100)")</f>
        <v>自信
(40 ~ 100)</v>
      </c>
      <c r="H11" s="24">
        <f>R12</f>
        <v>2.3718999999999966</v>
      </c>
      <c r="I11" s="52">
        <f>N12</f>
        <v>3.6407999999999987</v>
      </c>
      <c r="J11" s="24">
        <f>T12</f>
        <v>1.8917000000000002</v>
      </c>
      <c r="K11" s="25">
        <f>P12</f>
        <v>-1.0249500000000005</v>
      </c>
      <c r="L11" s="4"/>
      <c r="M11" s="27" t="str">
        <f>lang!B18</f>
        <v>平衡</v>
      </c>
      <c r="N11" s="59">
        <f t="shared" si="4"/>
        <v>-4.963000000000001</v>
      </c>
      <c r="O11" s="59">
        <f t="shared" si="5"/>
        <v>4.8659000000000017</v>
      </c>
      <c r="P11" s="59">
        <f t="shared" si="6"/>
        <v>12.157900000000001</v>
      </c>
      <c r="Q11" s="59">
        <f t="shared" si="7"/>
        <v>0</v>
      </c>
      <c r="R11" s="59">
        <f t="shared" si="8"/>
        <v>-5.926400000000001</v>
      </c>
      <c r="S11" s="59">
        <f t="shared" si="9"/>
        <v>0</v>
      </c>
      <c r="T11" s="59">
        <f t="shared" si="10"/>
        <v>6.2252999999999901</v>
      </c>
      <c r="U11" s="14"/>
      <c r="V11" s="27" t="str">
        <f t="shared" si="11"/>
        <v>平衡</v>
      </c>
      <c r="W11" s="59">
        <f>'M1'!B9*1</f>
        <v>53.972700000000003</v>
      </c>
      <c r="X11" s="59">
        <f>'M1'!C9*1</f>
        <v>11.882099999999999</v>
      </c>
      <c r="Y11" s="59">
        <f>'M1'!D9*1</f>
        <v>22.014900000000001</v>
      </c>
      <c r="Z11" s="59">
        <f>'M1'!E9*1</f>
        <v>50</v>
      </c>
      <c r="AA11" s="59">
        <f>'M1'!F9*1</f>
        <v>30.308800000000002</v>
      </c>
      <c r="AB11" s="59">
        <f>'M1'!G9*1</f>
        <v>100</v>
      </c>
      <c r="AC11" s="59">
        <f>'M1'!H9*1</f>
        <v>70.325100000000006</v>
      </c>
      <c r="AE11" s="27" t="str">
        <f t="shared" si="12"/>
        <v>平衡</v>
      </c>
      <c r="AF11" s="59">
        <f>'M2'!B9*1</f>
        <v>49.009700000000002</v>
      </c>
      <c r="AG11" s="59">
        <f>'M2'!C9*1</f>
        <v>16.748000000000001</v>
      </c>
      <c r="AH11" s="59">
        <f>'M2'!D9*1</f>
        <v>34.172800000000002</v>
      </c>
      <c r="AI11" s="59">
        <f>'M2'!E9*1</f>
        <v>50</v>
      </c>
      <c r="AJ11" s="59">
        <f>'M2'!F9*1</f>
        <v>24.382400000000001</v>
      </c>
      <c r="AK11" s="59">
        <f>'M2'!G9*1</f>
        <v>100</v>
      </c>
      <c r="AL11" s="59">
        <f>'M2'!H9*1</f>
        <v>76.550399999999996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0.45542999999999978</v>
      </c>
      <c r="D12" s="51">
        <f>N13</f>
        <v>2.1092900000000006</v>
      </c>
      <c r="E12" s="53">
        <f>T13</f>
        <v>6.6280700000000001</v>
      </c>
      <c r="F12" s="53">
        <f>P13</f>
        <v>20.25808</v>
      </c>
      <c r="G12" s="73" t="str">
        <f>CONCATENATE(M14,"
(50 ~ 100)")</f>
        <v>自我调节
(50 ~ 100)</v>
      </c>
      <c r="H12" s="24">
        <f>R14</f>
        <v>-2.4324000000000012</v>
      </c>
      <c r="I12" s="52">
        <f>N14</f>
        <v>-0.53650000000000375</v>
      </c>
      <c r="J12" s="24">
        <f>T14</f>
        <v>4.1727000000000061</v>
      </c>
      <c r="K12" s="25">
        <f>P14</f>
        <v>4.2719200000000006</v>
      </c>
      <c r="L12" s="4"/>
      <c r="M12" s="27" t="str">
        <f>lang!B19</f>
        <v>自信</v>
      </c>
      <c r="N12" s="59">
        <f t="shared" si="4"/>
        <v>3.6407999999999987</v>
      </c>
      <c r="O12" s="59">
        <f t="shared" si="5"/>
        <v>-0.64728999999999992</v>
      </c>
      <c r="P12" s="59">
        <f t="shared" si="6"/>
        <v>-1.0249500000000005</v>
      </c>
      <c r="Q12" s="59">
        <f t="shared" si="7"/>
        <v>0</v>
      </c>
      <c r="R12" s="59">
        <f t="shared" si="8"/>
        <v>2.3718999999999966</v>
      </c>
      <c r="S12" s="59">
        <f t="shared" si="9"/>
        <v>0</v>
      </c>
      <c r="T12" s="59">
        <f t="shared" si="10"/>
        <v>1.8917000000000002</v>
      </c>
      <c r="U12" s="15"/>
      <c r="V12" s="27" t="str">
        <f t="shared" si="11"/>
        <v>自信</v>
      </c>
      <c r="W12" s="59">
        <f>'M1'!B10*1</f>
        <v>74.2804</v>
      </c>
      <c r="X12" s="59">
        <f>'M1'!C10*1</f>
        <v>3.08839</v>
      </c>
      <c r="Y12" s="59">
        <f>'M1'!D10*1</f>
        <v>4.1577400000000004</v>
      </c>
      <c r="Z12" s="59">
        <f>'M1'!E10*1</f>
        <v>40</v>
      </c>
      <c r="AA12" s="59">
        <f>'M1'!F10*1</f>
        <v>71.865300000000005</v>
      </c>
      <c r="AB12" s="59">
        <f>'M1'!G10*1</f>
        <v>100</v>
      </c>
      <c r="AC12" s="59">
        <f>'M1'!H10*1</f>
        <v>80.168599999999998</v>
      </c>
      <c r="AE12" s="27" t="str">
        <f t="shared" si="12"/>
        <v>自信</v>
      </c>
      <c r="AF12" s="59">
        <f>'M2'!B10*1</f>
        <v>77.921199999999999</v>
      </c>
      <c r="AG12" s="59">
        <f>'M2'!C10*1</f>
        <v>2.4411</v>
      </c>
      <c r="AH12" s="59">
        <f>'M2'!D10*1</f>
        <v>3.13279</v>
      </c>
      <c r="AI12" s="59">
        <f>'M2'!E10*1</f>
        <v>40</v>
      </c>
      <c r="AJ12" s="59">
        <f>'M2'!F10*1</f>
        <v>74.237200000000001</v>
      </c>
      <c r="AK12" s="59">
        <f>'M2'!G10*1</f>
        <v>100</v>
      </c>
      <c r="AL12" s="59">
        <f>'M2'!H10*1</f>
        <v>82.060299999999998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-2.110100000000001</v>
      </c>
      <c r="D13" s="55">
        <f>N15</f>
        <v>-1.2481000000000009</v>
      </c>
      <c r="E13" s="56">
        <f>T15</f>
        <v>1.4160000000000004</v>
      </c>
      <c r="F13" s="56">
        <f>P15</f>
        <v>5.7202000000000019</v>
      </c>
      <c r="G13" s="74" t="str">
        <f>CONCATENATE(M16,"
(10 ~ 50)")</f>
        <v>神经质
(10 ~ 50)</v>
      </c>
      <c r="H13" s="54">
        <f>R16</f>
        <v>-1.3237100000000002</v>
      </c>
      <c r="I13" s="55">
        <f>N16</f>
        <v>10.0626</v>
      </c>
      <c r="J13" s="56">
        <f>T16</f>
        <v>1.0899999999999963</v>
      </c>
      <c r="K13" s="57">
        <f>P16</f>
        <v>-10.1921</v>
      </c>
      <c r="M13" s="27" t="str">
        <f>lang!B20</f>
        <v>活力</v>
      </c>
      <c r="N13" s="59">
        <f t="shared" si="4"/>
        <v>2.1092900000000006</v>
      </c>
      <c r="O13" s="59">
        <f t="shared" si="5"/>
        <v>1.8578939999999999</v>
      </c>
      <c r="P13" s="59">
        <f t="shared" si="6"/>
        <v>20.25808</v>
      </c>
      <c r="Q13" s="59">
        <f t="shared" si="7"/>
        <v>0</v>
      </c>
      <c r="R13" s="59">
        <f t="shared" si="8"/>
        <v>0.45542999999999978</v>
      </c>
      <c r="S13" s="59">
        <f t="shared" si="9"/>
        <v>0</v>
      </c>
      <c r="T13" s="59">
        <f t="shared" si="10"/>
        <v>6.6280700000000001</v>
      </c>
      <c r="U13" s="14"/>
      <c r="V13" s="27" t="str">
        <f t="shared" si="11"/>
        <v>活力</v>
      </c>
      <c r="W13" s="59">
        <f>'M1'!B11*1</f>
        <v>6.2576200000000002</v>
      </c>
      <c r="X13" s="59">
        <f>'M1'!C11*1</f>
        <v>0.483346</v>
      </c>
      <c r="Y13" s="59">
        <f>'M1'!D11*1</f>
        <v>7.7241200000000001</v>
      </c>
      <c r="Z13" s="59">
        <f>'M1'!E11*1</f>
        <v>10</v>
      </c>
      <c r="AA13" s="59">
        <f>'M1'!F11*1</f>
        <v>5.2122200000000003</v>
      </c>
      <c r="AB13" s="59">
        <f>'M1'!G11*1</f>
        <v>50</v>
      </c>
      <c r="AC13" s="59">
        <f>'M1'!H11*1</f>
        <v>7.1722299999999999</v>
      </c>
      <c r="AE13" s="27" t="str">
        <f t="shared" si="12"/>
        <v>活力</v>
      </c>
      <c r="AF13" s="59">
        <f>'M2'!B11*1</f>
        <v>8.3669100000000007</v>
      </c>
      <c r="AG13" s="59">
        <f>'M2'!C11*1</f>
        <v>2.34124</v>
      </c>
      <c r="AH13" s="59">
        <f>'M2'!D11*1</f>
        <v>27.982199999999999</v>
      </c>
      <c r="AI13" s="59">
        <f>'M2'!E11*1</f>
        <v>10</v>
      </c>
      <c r="AJ13" s="59">
        <f>'M2'!F11*1</f>
        <v>5.6676500000000001</v>
      </c>
      <c r="AK13" s="59">
        <f>'M2'!G11*1</f>
        <v>50</v>
      </c>
      <c r="AL13" s="59">
        <f>'M2'!H11*1</f>
        <v>13.8003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-0.53650000000000375</v>
      </c>
      <c r="O14" s="59">
        <f t="shared" si="5"/>
        <v>2.6675900000000006</v>
      </c>
      <c r="P14" s="59">
        <f t="shared" si="6"/>
        <v>4.2719200000000006</v>
      </c>
      <c r="Q14" s="59">
        <f t="shared" si="7"/>
        <v>0</v>
      </c>
      <c r="R14" s="59">
        <f t="shared" si="8"/>
        <v>-2.4324000000000012</v>
      </c>
      <c r="S14" s="59">
        <f t="shared" si="9"/>
        <v>0</v>
      </c>
      <c r="T14" s="59">
        <f t="shared" si="10"/>
        <v>4.1727000000000061</v>
      </c>
      <c r="U14" s="14"/>
      <c r="V14" s="27" t="str">
        <f t="shared" si="11"/>
        <v>自我调节</v>
      </c>
      <c r="W14" s="59">
        <f>'M1'!B12*1</f>
        <v>63.889800000000001</v>
      </c>
      <c r="X14" s="59">
        <f>'M1'!C12*1</f>
        <v>4.6237599999999999</v>
      </c>
      <c r="Y14" s="59">
        <f>'M1'!D12*1</f>
        <v>7.2370799999999997</v>
      </c>
      <c r="Z14" s="59">
        <f>'M1'!E12*1</f>
        <v>50</v>
      </c>
      <c r="AA14" s="59">
        <f>'M1'!F12*1</f>
        <v>55.128900000000002</v>
      </c>
      <c r="AB14" s="59">
        <f>'M1'!G12*1</f>
        <v>100</v>
      </c>
      <c r="AC14" s="59">
        <f>'M1'!H12*1</f>
        <v>72.278999999999996</v>
      </c>
      <c r="AE14" s="27" t="str">
        <f t="shared" si="12"/>
        <v>自我调节</v>
      </c>
      <c r="AF14" s="59">
        <f>'M2'!B12*1</f>
        <v>63.353299999999997</v>
      </c>
      <c r="AG14" s="59">
        <f>'M2'!C12*1</f>
        <v>7.2913500000000004</v>
      </c>
      <c r="AH14" s="59">
        <f>'M2'!D12*1</f>
        <v>11.509</v>
      </c>
      <c r="AI14" s="59">
        <f>'M2'!E12*1</f>
        <v>50</v>
      </c>
      <c r="AJ14" s="59">
        <f>'M2'!F12*1</f>
        <v>52.6965</v>
      </c>
      <c r="AK14" s="59">
        <f>'M2'!G12*1</f>
        <v>100</v>
      </c>
      <c r="AL14" s="59">
        <f>'M2'!H12*1</f>
        <v>76.451700000000002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-1.2481000000000009</v>
      </c>
      <c r="O15" s="59">
        <f t="shared" si="5"/>
        <v>1.0062600000000002</v>
      </c>
      <c r="P15" s="59">
        <f t="shared" si="6"/>
        <v>5.7202000000000019</v>
      </c>
      <c r="Q15" s="59">
        <f t="shared" si="7"/>
        <v>0</v>
      </c>
      <c r="R15" s="59">
        <f t="shared" si="8"/>
        <v>-2.110100000000001</v>
      </c>
      <c r="S15" s="59">
        <f t="shared" si="9"/>
        <v>0</v>
      </c>
      <c r="T15" s="59">
        <f t="shared" si="10"/>
        <v>1.4160000000000004</v>
      </c>
      <c r="U15" s="14"/>
      <c r="V15" s="27" t="str">
        <f t="shared" si="11"/>
        <v>抑郁</v>
      </c>
      <c r="W15" s="59">
        <f>'M1'!B13*1</f>
        <v>21.095300000000002</v>
      </c>
      <c r="X15" s="59">
        <f>'M1'!C13*1</f>
        <v>2.18093</v>
      </c>
      <c r="Y15" s="59">
        <f>'M1'!D13*1</f>
        <v>10.3385</v>
      </c>
      <c r="Z15" s="59">
        <f>'M1'!E13*1</f>
        <v>10</v>
      </c>
      <c r="AA15" s="59">
        <f>'M1'!F13*1</f>
        <v>17.167300000000001</v>
      </c>
      <c r="AB15" s="59">
        <f>'M1'!G13*1</f>
        <v>25</v>
      </c>
      <c r="AC15" s="59">
        <f>'M1'!H13*1</f>
        <v>28.542200000000001</v>
      </c>
      <c r="AE15" s="27" t="str">
        <f t="shared" si="12"/>
        <v>抑郁</v>
      </c>
      <c r="AF15" s="59">
        <f>'M2'!B13*1</f>
        <v>19.847200000000001</v>
      </c>
      <c r="AG15" s="59">
        <f>'M2'!C13*1</f>
        <v>3.1871900000000002</v>
      </c>
      <c r="AH15" s="59">
        <f>'M2'!D13*1</f>
        <v>16.058700000000002</v>
      </c>
      <c r="AI15" s="59">
        <f>'M2'!E13*1</f>
        <v>10</v>
      </c>
      <c r="AJ15" s="59">
        <f>'M2'!F13*1</f>
        <v>15.0572</v>
      </c>
      <c r="AK15" s="59">
        <f>'M2'!G13*1</f>
        <v>25</v>
      </c>
      <c r="AL15" s="59">
        <f>'M2'!H13*1</f>
        <v>29.958200000000001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10.0626</v>
      </c>
      <c r="O16" s="59">
        <f t="shared" si="5"/>
        <v>6.6500000000000448E-2</v>
      </c>
      <c r="P16" s="59">
        <f t="shared" si="6"/>
        <v>-10.1921</v>
      </c>
      <c r="Q16" s="59">
        <f t="shared" si="7"/>
        <v>0</v>
      </c>
      <c r="R16" s="59">
        <f t="shared" si="8"/>
        <v>-1.3237100000000002</v>
      </c>
      <c r="S16" s="59">
        <f t="shared" si="9"/>
        <v>0</v>
      </c>
      <c r="T16" s="59">
        <f t="shared" si="10"/>
        <v>1.0899999999999963</v>
      </c>
      <c r="U16" s="15"/>
      <c r="V16" s="27" t="str">
        <f t="shared" si="11"/>
        <v>神经质</v>
      </c>
      <c r="W16" s="59">
        <f>'M1'!B14*1</f>
        <v>21.8093</v>
      </c>
      <c r="X16" s="59">
        <f>'M1'!C14*1</f>
        <v>7.1846199999999998</v>
      </c>
      <c r="Y16" s="59">
        <f>'M1'!D14*1</f>
        <v>32.942900000000002</v>
      </c>
      <c r="Z16" s="59">
        <f>'M1'!E14*1</f>
        <v>10</v>
      </c>
      <c r="AA16" s="59">
        <f>'M1'!F14*1</f>
        <v>4.0737100000000002</v>
      </c>
      <c r="AB16" s="59">
        <f>'M1'!G14*1</f>
        <v>50</v>
      </c>
      <c r="AC16" s="59">
        <f>'M1'!H14*1</f>
        <v>39.059800000000003</v>
      </c>
      <c r="AE16" s="27" t="str">
        <f t="shared" si="12"/>
        <v>神经质</v>
      </c>
      <c r="AF16" s="59">
        <f>'M2'!B14*1</f>
        <v>31.8719</v>
      </c>
      <c r="AG16" s="59">
        <f>'M2'!C14*1</f>
        <v>7.2511200000000002</v>
      </c>
      <c r="AH16" s="59">
        <f>'M2'!D14*1</f>
        <v>22.750800000000002</v>
      </c>
      <c r="AI16" s="59">
        <f>'M2'!E14*1</f>
        <v>10</v>
      </c>
      <c r="AJ16" s="59">
        <f>'M2'!F14*1</f>
        <v>2.75</v>
      </c>
      <c r="AK16" s="59">
        <f>'M2'!G14*1</f>
        <v>50</v>
      </c>
      <c r="AL16" s="59">
        <f>'M2'!H14*1</f>
        <v>40.149799999999999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6.2647499999998635E-2</v>
      </c>
      <c r="O17" s="22">
        <f>N17/(N17+N18+N19)</f>
        <v>5.4680914530056942E-3</v>
      </c>
      <c r="P17" s="65">
        <f>SUM(P11:P14)/4</f>
        <v>8.9157375000000005</v>
      </c>
      <c r="Q17" s="22">
        <f>P17/(P17+P18+P19)</f>
        <v>1.724956940104059</v>
      </c>
      <c r="R17" s="14"/>
      <c r="S17" s="14"/>
      <c r="T17" s="14"/>
      <c r="U17" s="14"/>
      <c r="V17" s="21" t="str">
        <f>M17</f>
        <v>Positive</v>
      </c>
      <c r="W17" s="65">
        <f>SUM(W11:W14)/4</f>
        <v>49.600130000000007</v>
      </c>
      <c r="X17" s="22">
        <f>W17/(W17+W18+W19)</f>
        <v>0.50441004239118015</v>
      </c>
      <c r="Y17" s="65">
        <f>SUM(Y11:Y14)/4</f>
        <v>10.28346</v>
      </c>
      <c r="Z17" s="22">
        <f>Y17/(Y17+Y18+Y19)</f>
        <v>0.22661665809151713</v>
      </c>
      <c r="AA17" s="14"/>
      <c r="AB17" s="14"/>
      <c r="AC17" s="14"/>
      <c r="AE17" s="21" t="str">
        <f>V17</f>
        <v>Positive</v>
      </c>
      <c r="AF17" s="65">
        <f>SUM(AF11:AF14)/4</f>
        <v>49.662777499999997</v>
      </c>
      <c r="AG17" s="22">
        <f>AF17/(AF17+AF18+AF19)</f>
        <v>0.4523438647611206</v>
      </c>
      <c r="AH17" s="65">
        <f>SUM(AH11:AH14)/4</f>
        <v>19.1991975</v>
      </c>
      <c r="AI17" s="22">
        <f>AH17/(AH17+AH18+AH19)</f>
        <v>0.37982945142619057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6.9870250000000018</v>
      </c>
      <c r="O18" s="22">
        <f>N18/(N17+N18+N19)</f>
        <v>0.60985181666368093</v>
      </c>
      <c r="P18" s="18">
        <f>SUM(P7:P10)/4</f>
        <v>-1.5111149999999995</v>
      </c>
      <c r="Q18" s="22">
        <f>P18/(P17+P18+P19)</f>
        <v>-0.29236036912766267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27.280525000000001</v>
      </c>
      <c r="X18" s="22">
        <f>W18/(W17+W18+W19)</f>
        <v>0.27743013519729987</v>
      </c>
      <c r="Y18" s="18">
        <f>SUM(Y7:Y10)/4</f>
        <v>13.454057500000001</v>
      </c>
      <c r="Z18" s="22">
        <f>Y18/(Y17+Y18+Y19)</f>
        <v>0.29648713063707272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34.26755</v>
      </c>
      <c r="AG18" s="22">
        <f>AF18/(AF17+AF18+AF19)</f>
        <v>0.31211939370275732</v>
      </c>
      <c r="AH18" s="18">
        <f>SUM(AH7:AH10)/4</f>
        <v>11.942942500000001</v>
      </c>
      <c r="AI18" s="22">
        <f>AH18/(AH17+AH18+AH19)</f>
        <v>0.2362745264842209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4.4072499999999994</v>
      </c>
      <c r="O19" s="22">
        <f>N19/(N17+N18+N19)</f>
        <v>0.38468009188331326</v>
      </c>
      <c r="P19" s="18">
        <f>(P15+P16)/2</f>
        <v>-2.235949999999999</v>
      </c>
      <c r="Q19" s="22">
        <f>P19/(P17+P18+P19)</f>
        <v>-0.43259657097639637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21.452300000000001</v>
      </c>
      <c r="X19" s="22">
        <f>W19/(W17+W18+W19)</f>
        <v>0.21815982241152013</v>
      </c>
      <c r="Y19" s="18">
        <f>(Y15+Y16)/2</f>
        <v>21.640700000000002</v>
      </c>
      <c r="Z19" s="22">
        <f>Y19/(Y17+Y18+Y19)</f>
        <v>0.47689621127141013</v>
      </c>
      <c r="AA19" s="14"/>
      <c r="AB19" s="14"/>
      <c r="AC19" s="14"/>
      <c r="AE19" s="21" t="str">
        <f t="shared" si="14"/>
        <v>Physiological</v>
      </c>
      <c r="AF19" s="18">
        <f>(AF15+AF16)/2</f>
        <v>25.859549999999999</v>
      </c>
      <c r="AG19" s="22">
        <f>AF19/(AF17+AF18+AF19)</f>
        <v>0.23553674153612203</v>
      </c>
      <c r="AH19" s="18">
        <f>(AH15+AH16)/2</f>
        <v>19.40475</v>
      </c>
      <c r="AI19" s="22">
        <f>AH19/(AH17+AH18+AH19)</f>
        <v>0.38389602208958845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0.73/1.03</v>
      </c>
      <c r="D24" s="44" t="str">
        <f>lang!B11</f>
        <v>频率方差</v>
      </c>
      <c r="E24" s="142" t="str">
        <f ca="1">CONCATENATE(ROUND('FH1'!L3,2),"/",ROUND('FH2'!L3,2))</f>
        <v>0.46/0.59</v>
      </c>
      <c r="F24" s="143"/>
      <c r="G24" s="134" t="str">
        <f>lang!B12</f>
        <v>生理变化率</v>
      </c>
      <c r="H24" s="135"/>
      <c r="I24" s="62" t="str">
        <f ca="1">CONCATENATE(info!M7,"-",info!M8)</f>
        <v>38.2-66.4</v>
      </c>
      <c r="J24" s="42" t="str">
        <f>lang!B13</f>
        <v>千卡l/分钟</v>
      </c>
      <c r="K24" s="41" t="str">
        <f ca="1">CONCATENATE(info!M5,"-",info!M6)</f>
        <v>1.2-2.5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14.399799999999995</v>
      </c>
      <c r="F27" s="164"/>
      <c r="G27" s="178" t="str">
        <f>lang!B33</f>
        <v>稳定性</v>
      </c>
      <c r="H27" s="179"/>
      <c r="I27" s="180"/>
      <c r="J27" s="181">
        <f>dM!B19*100</f>
        <v>10.5275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-0.99827257107199341</v>
      </c>
      <c r="C2">
        <f t="array" aca="1" ref="C2" ca="1">CORREL(FT_E02,FT_PH02)</f>
        <v>0.72442879907566471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1.24962</v>
      </c>
      <c r="G2" s="61">
        <f>IF(FT!B2&lt;&gt;"",FT!B2*100,"")</f>
        <v>66.359500000000011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1.27522</v>
      </c>
      <c r="G3" s="61">
        <f>IF(FT!B3&lt;&gt;"",FT!B3*100,"")</f>
        <v>65.342699999999994</v>
      </c>
      <c r="H3" s="61">
        <f t="shared" ref="H3:H66" si="1">(IF(F3&lt;&gt;"",1,""))</f>
        <v>1</v>
      </c>
      <c r="I3" t="str">
        <f>IF(FT!B3&lt;&gt;"",FT!E3,"")</f>
        <v>1 [0.404363]</v>
      </c>
      <c r="J3">
        <f>IF(FT!B3&lt;&gt;"",FT!C3,"")</f>
        <v>0.40436299999999997</v>
      </c>
      <c r="K3" t="s">
        <v>52</v>
      </c>
      <c r="L3">
        <f>SUM(H2:H2005)</f>
        <v>74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0.47939067567567561</v>
      </c>
      <c r="V3">
        <f ca="1">AVERAGE(OFFSET(FT!B2,info!$L$3/2,0,info!$L$3/2,1))</f>
        <v>0.41851232432432445</v>
      </c>
      <c r="W3">
        <f ca="1">AVERAGE(OFFSET(FT!A2,0,0,info!$L$3/2,1))</f>
        <v>0.16794881081081078</v>
      </c>
      <c r="X3">
        <f ca="1">AVERAGE(OFFSET(FT!A2,info!$L$3/2,0,info!$L$3/2,1))</f>
        <v>0.22130678378378385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1.3033800000000002</v>
      </c>
      <c r="G4" s="61">
        <f>IF(FT!B4&lt;&gt;"",FT!B4*100,"")</f>
        <v>64.226799999999997</v>
      </c>
      <c r="H4" s="61">
        <f t="shared" si="1"/>
        <v>1</v>
      </c>
      <c r="I4" t="str">
        <f>IF(FT!B4&lt;&gt;"",FT!E4,"")</f>
        <v>1 [0.808898]</v>
      </c>
      <c r="J4">
        <f>IF(FT!B4&lt;&gt;"",FT!C4,"")</f>
        <v>0.80889800000000001</v>
      </c>
      <c r="O4">
        <f>O3+1</f>
        <v>1</v>
      </c>
      <c r="P4">
        <v>0</v>
      </c>
      <c r="Q4">
        <f>IF(R4=1998,0,R4)</f>
        <v>36</v>
      </c>
      <c r="R4">
        <f t="array" ref="R4">MAX(IF(ft_nq=O4,row_n))</f>
        <v>36</v>
      </c>
      <c r="S4">
        <f>Q4-P4+1</f>
        <v>37</v>
      </c>
      <c r="U4">
        <f>MAX(FT!C2:C4000)/4</f>
        <v>7.4257499999999999</v>
      </c>
      <c r="V4">
        <f>U4*3</f>
        <v>22.277249999999999</v>
      </c>
      <c r="W4">
        <f>U4</f>
        <v>7.4257499999999999</v>
      </c>
      <c r="X4">
        <f>V4</f>
        <v>22.277249999999999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1.3327599999999999</v>
      </c>
      <c r="G5" s="61">
        <f>IF(FT!B5&lt;&gt;"",FT!B5*100,"")</f>
        <v>63.06</v>
      </c>
      <c r="H5" s="61">
        <f t="shared" si="1"/>
        <v>1</v>
      </c>
      <c r="I5" t="str">
        <f>IF(FT!B5&lt;&gt;"",FT!E5,"")</f>
        <v>1 [1.214744]</v>
      </c>
      <c r="J5">
        <f>IF(FT!B5&lt;&gt;"",FT!C5,"")</f>
        <v>1.2147399999999999</v>
      </c>
      <c r="K5" t="s">
        <v>53</v>
      </c>
      <c r="L5" s="63">
        <f ca="1">MIN(FT_E)</f>
        <v>1.24962</v>
      </c>
      <c r="M5" s="63">
        <f ca="1">ROUND(L5,1)</f>
        <v>1.2</v>
      </c>
      <c r="O5">
        <f t="shared" ref="O5:O27" si="4">O4+1</f>
        <v>2</v>
      </c>
      <c r="P5">
        <f>IF(OR(R5=1998,R5=0),0,Q4)</f>
        <v>36</v>
      </c>
      <c r="Q5">
        <f>IF(R5=1998,0,R5)</f>
        <v>73</v>
      </c>
      <c r="R5">
        <f t="array" ref="R5">MAX(IF(ft_nq=O5,row_n))</f>
        <v>73</v>
      </c>
      <c r="S5">
        <f t="shared" ref="S5:S27" si="5">Q5-P5+1</f>
        <v>38</v>
      </c>
      <c r="U5">
        <f ca="1">U3*100</f>
        <v>47.939067567567562</v>
      </c>
      <c r="V5">
        <f ca="1">V3*100</f>
        <v>41.851232432432447</v>
      </c>
      <c r="W5">
        <f ca="1">W3*10</f>
        <v>1.6794881081081079</v>
      </c>
      <c r="X5">
        <f ca="1">X3*10</f>
        <v>2.2130678378378383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1.3614599999999999</v>
      </c>
      <c r="G6" s="61">
        <f>IF(FT!B6&lt;&gt;"",FT!B6*100,"")</f>
        <v>61.928600000000003</v>
      </c>
      <c r="H6" s="61">
        <f t="shared" si="1"/>
        <v>1</v>
      </c>
      <c r="I6" t="str">
        <f>IF(FT!B6&lt;&gt;"",FT!E6,"")</f>
        <v>1 [1.626596]</v>
      </c>
      <c r="J6">
        <f>IF(FT!B6&lt;&gt;"",FT!C6,"")</f>
        <v>1.6266</v>
      </c>
      <c r="K6" t="s">
        <v>54</v>
      </c>
      <c r="L6" s="63">
        <f ca="1">MAX(FT_E)</f>
        <v>2.5287500000000001</v>
      </c>
      <c r="M6" s="63">
        <f ca="1">ROUND(L6,1)</f>
        <v>2.5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1.3880400000000002</v>
      </c>
      <c r="G7" s="61">
        <f>IF(FT!B7&lt;&gt;"",FT!B7*100,"")</f>
        <v>60.8078</v>
      </c>
      <c r="H7" s="61">
        <f t="shared" si="1"/>
        <v>1</v>
      </c>
      <c r="I7" t="str">
        <f>IF(FT!B7&lt;&gt;"",FT!E7,"")</f>
        <v>1 [2.029596]</v>
      </c>
      <c r="J7">
        <f>IF(FT!B7&lt;&gt;"",FT!C7,"")</f>
        <v>2.0295999999999998</v>
      </c>
      <c r="K7" t="s">
        <v>55</v>
      </c>
      <c r="L7" s="63">
        <f ca="1">MIN(FT_PH)</f>
        <v>38.178400000000003</v>
      </c>
      <c r="M7" s="63">
        <f ca="1">ROUND(L7,1)</f>
        <v>38.200000000000003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7525</v>
      </c>
      <c r="D8" s="61">
        <f>FH!B8*1</f>
        <v>7525</v>
      </c>
      <c r="E8">
        <f t="shared" si="3"/>
        <v>6</v>
      </c>
      <c r="F8" s="61">
        <f>IF(FT!A8&lt;&gt;"",FT!A8*10,"")</f>
        <v>1.41615</v>
      </c>
      <c r="G8" s="61">
        <f>IF(FT!B8&lt;&gt;"",FT!B8*100,"")</f>
        <v>59.643900000000002</v>
      </c>
      <c r="H8" s="61">
        <f t="shared" si="1"/>
        <v>1</v>
      </c>
      <c r="I8" t="str">
        <f>IF(FT!B8&lt;&gt;"",FT!E8,"")</f>
        <v>1 [2.436012]</v>
      </c>
      <c r="J8">
        <f>IF(FT!B8&lt;&gt;"",FT!C8,"")</f>
        <v>2.43601</v>
      </c>
      <c r="K8" t="s">
        <v>56</v>
      </c>
      <c r="L8" s="63">
        <f ca="1">MAX(FT_PH)</f>
        <v>66.359500000000011</v>
      </c>
      <c r="M8" s="63">
        <f ca="1">ROUND(L8,1)</f>
        <v>66.400000000000006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1.4435200000000001</v>
      </c>
      <c r="G9" s="61">
        <f>IF(FT!B9&lt;&gt;"",FT!B9*100,"")</f>
        <v>58.466399999999993</v>
      </c>
      <c r="H9" s="61">
        <f t="shared" si="1"/>
        <v>1</v>
      </c>
      <c r="I9" t="str">
        <f>IF(FT!B9&lt;&gt;"",FT!E9,"")</f>
        <v>1 [2.839556]</v>
      </c>
      <c r="J9">
        <f>IF(FT!B9&lt;&gt;"",FT!C9,"")</f>
        <v>2.8395600000000001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14719</v>
      </c>
      <c r="D10" s="61">
        <f>FH!B10*1</f>
        <v>14719</v>
      </c>
      <c r="E10">
        <f t="shared" si="3"/>
        <v>8</v>
      </c>
      <c r="F10" s="61">
        <f>IF(FT!A10&lt;&gt;"",FT!A10*10,"")</f>
        <v>1.4718300000000002</v>
      </c>
      <c r="G10" s="61">
        <f>IF(FT!B10&lt;&gt;"",FT!B10*100,"")</f>
        <v>57.178899999999999</v>
      </c>
      <c r="H10" s="61">
        <f t="shared" si="1"/>
        <v>1</v>
      </c>
      <c r="I10" t="str">
        <f>IF(FT!B10&lt;&gt;"",FT!E10,"")</f>
        <v>1 [3.247234]</v>
      </c>
      <c r="J10">
        <f>IF(FT!B10&lt;&gt;"",FT!C10,"")</f>
        <v>3.2472300000000001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1.4990700000000001</v>
      </c>
      <c r="G11" s="61">
        <f>IF(FT!B11&lt;&gt;"",FT!B11*100,"")</f>
        <v>55.955799999999996</v>
      </c>
      <c r="H11" s="61">
        <f t="shared" si="1"/>
        <v>1</v>
      </c>
      <c r="I11" t="str">
        <f>IF(FT!B11&lt;&gt;"",FT!E11,"")</f>
        <v>1 [3.655253]</v>
      </c>
      <c r="J11">
        <f>IF(FT!B11&lt;&gt;"",FT!C11,"")</f>
        <v>3.6552500000000001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1.5260699999999998</v>
      </c>
      <c r="G12" s="61">
        <f>IF(FT!B12&lt;&gt;"",FT!B12*100,"")</f>
        <v>54.752400000000002</v>
      </c>
      <c r="H12" s="61">
        <f t="shared" si="1"/>
        <v>1</v>
      </c>
      <c r="I12" t="str">
        <f>IF(FT!B12&lt;&gt;"",FT!E12,"")</f>
        <v>1 [4.060102]</v>
      </c>
      <c r="J12">
        <f>IF(FT!B12&lt;&gt;"",FT!C12,"")</f>
        <v>4.0601000000000003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27656</v>
      </c>
      <c r="D13" s="61">
        <f>FH!B13*1</f>
        <v>27656</v>
      </c>
      <c r="E13">
        <f t="shared" si="3"/>
        <v>11</v>
      </c>
      <c r="F13" s="61">
        <f>IF(FT!A13&lt;&gt;"",FT!A13*10,"")</f>
        <v>1.5539800000000001</v>
      </c>
      <c r="G13" s="61">
        <f>IF(FT!B13&lt;&gt;"",FT!B13*100,"")</f>
        <v>53.5261</v>
      </c>
      <c r="H13" s="61">
        <f t="shared" si="1"/>
        <v>1</v>
      </c>
      <c r="I13" t="str">
        <f>IF(FT!B13&lt;&gt;"",FT!E13,"")</f>
        <v>1 [4.464951]</v>
      </c>
      <c r="J13">
        <f>IF(FT!B13&lt;&gt;"",FT!C13,"")</f>
        <v>4.46495</v>
      </c>
      <c r="L13" s="67">
        <f t="array" ref="L13">MAX(IF(ft_nq=2,row_n))</f>
        <v>73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1.5820400000000001</v>
      </c>
      <c r="G14" s="61">
        <f>IF(FT!B14&lt;&gt;"",FT!B14*100,"")</f>
        <v>52.199399999999997</v>
      </c>
      <c r="H14" s="61">
        <f t="shared" si="1"/>
        <v>1</v>
      </c>
      <c r="I14" t="str">
        <f>IF(FT!B14&lt;&gt;"",FT!E14,"")</f>
        <v>1 [4.872001]</v>
      </c>
      <c r="J14">
        <f>IF(FT!B14&lt;&gt;"",FT!C14,"")</f>
        <v>4.8719999999999999</v>
      </c>
      <c r="L14">
        <f>L13+1</f>
        <v>74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39213</v>
      </c>
      <c r="D15" s="61">
        <f>FH!B15*1</f>
        <v>39213</v>
      </c>
      <c r="E15">
        <f t="shared" si="3"/>
        <v>13</v>
      </c>
      <c r="F15" s="61">
        <f>IF(FT!A15&lt;&gt;"",FT!A15*10,"")</f>
        <v>1.61002</v>
      </c>
      <c r="G15" s="61">
        <f>IF(FT!B15&lt;&gt;"",FT!B15*100,"")</f>
        <v>50.840399999999995</v>
      </c>
      <c r="H15" s="61">
        <f t="shared" si="1"/>
        <v>1</v>
      </c>
      <c r="I15" t="str">
        <f>IF(FT!B15&lt;&gt;"",FT!E15,"")</f>
        <v>1 [5.280884]</v>
      </c>
      <c r="J15">
        <f>IF(FT!B15&lt;&gt;"",FT!C15,"")</f>
        <v>5.2808799999999998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1.6378599999999999</v>
      </c>
      <c r="G16" s="61">
        <f>IF(FT!B16&lt;&gt;"",FT!B16*100,"")</f>
        <v>49.456299999999999</v>
      </c>
      <c r="H16" s="61">
        <f t="shared" si="1"/>
        <v>1</v>
      </c>
      <c r="I16" t="str">
        <f>IF(FT!B16&lt;&gt;"",FT!E16,"")</f>
        <v>1 [5.687795]</v>
      </c>
      <c r="J16">
        <f>IF(FT!B16&lt;&gt;"",FT!C16,"")</f>
        <v>5.6877899999999997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1.66472</v>
      </c>
      <c r="G17" s="61">
        <f>IF(FT!B17&lt;&gt;"",FT!B17*100,"")</f>
        <v>48.168700000000001</v>
      </c>
      <c r="H17" s="61">
        <f t="shared" si="1"/>
        <v>1</v>
      </c>
      <c r="I17" t="str">
        <f>IF(FT!B17&lt;&gt;"",FT!E17,"")</f>
        <v>1 [6.091726]</v>
      </c>
      <c r="J17">
        <f>IF(FT!B17&lt;&gt;"",FT!C17,"")</f>
        <v>6.0917300000000001</v>
      </c>
      <c r="L17">
        <f>L3+1</f>
        <v>75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54026</v>
      </c>
      <c r="D18" s="61">
        <f>FH!B18*1</f>
        <v>54026</v>
      </c>
      <c r="E18">
        <f t="shared" si="3"/>
        <v>16</v>
      </c>
      <c r="F18" s="61">
        <f>IF(FT!A18&lt;&gt;"",FT!A18*10,"")</f>
        <v>1.6841700000000002</v>
      </c>
      <c r="G18" s="61">
        <f>IF(FT!B18&lt;&gt;"",FT!B18*100,"")</f>
        <v>47.341000000000001</v>
      </c>
      <c r="H18" s="61">
        <f t="shared" si="1"/>
        <v>1</v>
      </c>
      <c r="I18" t="str">
        <f>IF(FT!B18&lt;&gt;"",FT!E18,"")</f>
        <v>1 [6.497610]</v>
      </c>
      <c r="J18">
        <f>IF(FT!B18&lt;&gt;"",FT!C18,"")</f>
        <v>6.4976099999999999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1.71028</v>
      </c>
      <c r="G19" s="61">
        <f>IF(FT!B19&lt;&gt;"",FT!B19*100,"")</f>
        <v>46.165700000000001</v>
      </c>
      <c r="H19" s="61">
        <f t="shared" si="1"/>
        <v>1</v>
      </c>
      <c r="I19" t="str">
        <f>IF(FT!B19&lt;&gt;"",FT!E19,"")</f>
        <v>1 [6.903864]</v>
      </c>
      <c r="J19">
        <f>IF(FT!B19&lt;&gt;"",FT!C19,"")</f>
        <v>6.9038599999999999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1.7421700000000002</v>
      </c>
      <c r="G20" s="61">
        <f>IF(FT!B20&lt;&gt;"",FT!B20*100,"")</f>
        <v>44.714300000000001</v>
      </c>
      <c r="H20" s="61">
        <f t="shared" si="1"/>
        <v>1</v>
      </c>
      <c r="I20" t="str">
        <f>IF(FT!B20&lt;&gt;"",FT!E20,"")</f>
        <v>1 [7.313422]</v>
      </c>
      <c r="J20">
        <f>IF(FT!B20&lt;&gt;"",FT!C20,"")</f>
        <v>7.3134199999999998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61374</v>
      </c>
      <c r="D21" s="61">
        <f>FH!B21*1</f>
        <v>61374</v>
      </c>
      <c r="E21">
        <f t="shared" si="3"/>
        <v>19</v>
      </c>
      <c r="F21" s="61">
        <f>IF(FT!A21&lt;&gt;"",FT!A21*10,"")</f>
        <v>1.76667</v>
      </c>
      <c r="G21" s="61">
        <f>IF(FT!B21&lt;&gt;"",FT!B21*100,"")</f>
        <v>43.681799999999996</v>
      </c>
      <c r="H21" s="61">
        <f t="shared" si="1"/>
        <v>1</v>
      </c>
      <c r="I21" t="str">
        <f>IF(FT!B21&lt;&gt;"",FT!E21,"")</f>
        <v>1 [7.713262]</v>
      </c>
      <c r="J21">
        <f>IF(FT!B21&lt;&gt;"",FT!C21,"")</f>
        <v>7.71326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1.78948</v>
      </c>
      <c r="G22" s="61">
        <f>IF(FT!B22&lt;&gt;"",FT!B22*100,"")</f>
        <v>42.737700000000004</v>
      </c>
      <c r="H22" s="61">
        <f t="shared" si="1"/>
        <v>1</v>
      </c>
      <c r="I22" t="str">
        <f>IF(FT!B22&lt;&gt;"",FT!E22,"")</f>
        <v>1 [8.125216]</v>
      </c>
      <c r="J22">
        <f>IF(FT!B22&lt;&gt;"",FT!C22,"")</f>
        <v>8.1252200000000006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68736</v>
      </c>
      <c r="D23" s="61">
        <f>FH!B23*1</f>
        <v>68736</v>
      </c>
      <c r="E23">
        <f t="shared" si="3"/>
        <v>21</v>
      </c>
      <c r="F23" s="61">
        <f>IF(FT!A23&lt;&gt;"",FT!A23*10,"")</f>
        <v>1.8093899999999998</v>
      </c>
      <c r="G23" s="61">
        <f>IF(FT!B23&lt;&gt;"",FT!B23*100,"")</f>
        <v>41.885399999999997</v>
      </c>
      <c r="H23" s="61">
        <f t="shared" si="1"/>
        <v>1</v>
      </c>
      <c r="I23" t="str">
        <f>IF(FT!B23&lt;&gt;"",FT!E23,"")</f>
        <v>1 [8.528095]</v>
      </c>
      <c r="J23">
        <f>IF(FT!B23&lt;&gt;"",FT!C23,"")</f>
        <v>8.5281000000000002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1.8260100000000001</v>
      </c>
      <c r="G24" s="61">
        <f>IF(FT!B24&lt;&gt;"",FT!B24*100,"")</f>
        <v>41.128900000000002</v>
      </c>
      <c r="H24" s="61">
        <f t="shared" si="1"/>
        <v>1</v>
      </c>
      <c r="I24" t="str">
        <f>IF(FT!B24&lt;&gt;"",FT!E24,"")</f>
        <v>1 [8.935356]</v>
      </c>
      <c r="J24">
        <f>IF(FT!B24&lt;&gt;"",FT!C24,"")</f>
        <v>8.9353599999999993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1.8389</v>
      </c>
      <c r="G25" s="61">
        <f>IF(FT!B25&lt;&gt;"",FT!B25*100,"")</f>
        <v>40.562899999999999</v>
      </c>
      <c r="H25" s="61">
        <f t="shared" si="1"/>
        <v>1</v>
      </c>
      <c r="I25" t="str">
        <f>IF(FT!B25&lt;&gt;"",FT!E25,"")</f>
        <v>1 [9.338933]</v>
      </c>
      <c r="J25">
        <f>IF(FT!B25&lt;&gt;"",FT!C25,"")</f>
        <v>9.3389299999999995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76978</v>
      </c>
      <c r="D26" s="61">
        <f>FH!B26*1</f>
        <v>76978</v>
      </c>
      <c r="E26">
        <f t="shared" si="3"/>
        <v>24</v>
      </c>
      <c r="F26" s="61">
        <f>IF(FT!A26&lt;&gt;"",FT!A26*10,"")</f>
        <v>1.8495400000000002</v>
      </c>
      <c r="G26" s="61">
        <f>IF(FT!B26&lt;&gt;"",FT!B26*100,"")</f>
        <v>40.045700000000004</v>
      </c>
      <c r="H26" s="61">
        <f t="shared" si="1"/>
        <v>1</v>
      </c>
      <c r="I26" t="str">
        <f>IF(FT!B26&lt;&gt;"",FT!E26,"")</f>
        <v>1 [9.749824]</v>
      </c>
      <c r="J26">
        <f>IF(FT!B26&lt;&gt;"",FT!C26,"")</f>
        <v>9.7498199999999997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1.8591899999999999</v>
      </c>
      <c r="G27" s="61">
        <f>IF(FT!B27&lt;&gt;"",FT!B27*100,"")</f>
        <v>39.583500000000001</v>
      </c>
      <c r="H27" s="61">
        <f t="shared" si="1"/>
        <v>1</v>
      </c>
      <c r="I27" t="str">
        <f>IF(FT!B27&lt;&gt;"",FT!E27,"")</f>
        <v>1 [10.154738]</v>
      </c>
      <c r="J27">
        <f>IF(FT!B27&lt;&gt;"",FT!C27,"")</f>
        <v>10.1547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80787</v>
      </c>
      <c r="D28" s="61">
        <f>FH!B28*1</f>
        <v>80787</v>
      </c>
      <c r="E28">
        <f t="shared" si="3"/>
        <v>26</v>
      </c>
      <c r="F28" s="61">
        <f>IF(FT!A28&lt;&gt;"",FT!A28*10,"")</f>
        <v>1.86781</v>
      </c>
      <c r="G28" s="61">
        <f>IF(FT!B28&lt;&gt;"",FT!B28*100,"")</f>
        <v>39.156600000000005</v>
      </c>
      <c r="H28" s="61">
        <f t="shared" si="1"/>
        <v>1</v>
      </c>
      <c r="I28" t="str">
        <f>IF(FT!B28&lt;&gt;"",FT!E28,"")</f>
        <v>1 [10.561735]</v>
      </c>
      <c r="J28">
        <f>IF(FT!B28&lt;&gt;"",FT!C28,"")</f>
        <v>10.5617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1.8782099999999999</v>
      </c>
      <c r="G29" s="61">
        <f>IF(FT!B29&lt;&gt;"",FT!B29*100,"")</f>
        <v>38.865100000000005</v>
      </c>
      <c r="H29" s="61">
        <f t="shared" si="1"/>
        <v>1</v>
      </c>
      <c r="I29" t="str">
        <f>IF(FT!B29&lt;&gt;"",FT!E29,"")</f>
        <v>1 [10.969680]</v>
      </c>
      <c r="J29">
        <f>IF(FT!B29&lt;&gt;"",FT!C29,"")</f>
        <v>10.9697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1.8877199999999998</v>
      </c>
      <c r="G30" s="61">
        <f>IF(FT!B30&lt;&gt;"",FT!B30*100,"")</f>
        <v>38.6173</v>
      </c>
      <c r="H30" s="61">
        <f t="shared" si="1"/>
        <v>1</v>
      </c>
      <c r="I30" t="str">
        <f>IF(FT!B30&lt;&gt;"",FT!E30,"")</f>
        <v>1 [11.376471]</v>
      </c>
      <c r="J30">
        <f>IF(FT!B30&lt;&gt;"",FT!C30,"")</f>
        <v>11.3765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84385</v>
      </c>
      <c r="D31" s="61">
        <f>FH!B31*1</f>
        <v>84385</v>
      </c>
      <c r="E31">
        <f t="shared" si="3"/>
        <v>29</v>
      </c>
      <c r="F31" s="61">
        <f>IF(FT!A31&lt;&gt;"",FT!A31*10,"")</f>
        <v>1.8955500000000001</v>
      </c>
      <c r="G31" s="61">
        <f>IF(FT!B31&lt;&gt;"",FT!B31*100,"")</f>
        <v>38.378</v>
      </c>
      <c r="H31" s="61">
        <f t="shared" si="1"/>
        <v>1</v>
      </c>
      <c r="I31" t="str">
        <f>IF(FT!B31&lt;&gt;"",FT!E31,"")</f>
        <v>1 [11.778414]</v>
      </c>
      <c r="J31">
        <f>IF(FT!B31&lt;&gt;"",FT!C31,"")</f>
        <v>11.7784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1.9013800000000001</v>
      </c>
      <c r="G32" s="61">
        <f>IF(FT!B32&lt;&gt;"",FT!B32*100,"")</f>
        <v>38.242699999999999</v>
      </c>
      <c r="H32" s="61">
        <f t="shared" si="1"/>
        <v>1</v>
      </c>
      <c r="I32" t="str">
        <f>IF(FT!B32&lt;&gt;"",FT!E32,"")</f>
        <v>1 [12.185497]</v>
      </c>
      <c r="J32">
        <f>IF(FT!B32&lt;&gt;"",FT!C32,"")</f>
        <v>12.185499999999999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80278</v>
      </c>
      <c r="D33" s="61">
        <f>FH!B33*1</f>
        <v>80278</v>
      </c>
      <c r="E33">
        <f t="shared" si="3"/>
        <v>31</v>
      </c>
      <c r="F33" s="61">
        <f>IF(FT!A33&lt;&gt;"",FT!A33*10,"")</f>
        <v>1.9065099999999999</v>
      </c>
      <c r="G33" s="61">
        <f>IF(FT!B33&lt;&gt;"",FT!B33*100,"")</f>
        <v>38.178400000000003</v>
      </c>
      <c r="H33" s="61">
        <f t="shared" si="1"/>
        <v>1</v>
      </c>
      <c r="I33" t="str">
        <f>IF(FT!B33&lt;&gt;"",FT!E33,"")</f>
        <v>1 [12.596372]</v>
      </c>
      <c r="J33">
        <f>IF(FT!B33&lt;&gt;"",FT!C33,"")</f>
        <v>12.596399999999999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1.9128800000000001</v>
      </c>
      <c r="G34" s="61">
        <f>IF(FT!B34&lt;&gt;"",FT!B34*100,"")</f>
        <v>38.189700000000002</v>
      </c>
      <c r="H34" s="61">
        <f t="shared" si="1"/>
        <v>1</v>
      </c>
      <c r="I34" t="str">
        <f>IF(FT!B34&lt;&gt;"",FT!E34,"")</f>
        <v>1 [13.001185]</v>
      </c>
      <c r="J34">
        <f>IF(FT!B34&lt;&gt;"",FT!C34,"")</f>
        <v>13.001200000000001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1.91818</v>
      </c>
      <c r="G35" s="61">
        <f>IF(FT!B35&lt;&gt;"",FT!B35*100,"")</f>
        <v>38.260899999999999</v>
      </c>
      <c r="H35" s="61">
        <f t="shared" si="1"/>
        <v>1</v>
      </c>
      <c r="I35" t="str">
        <f>IF(FT!B35&lt;&gt;"",FT!E35,"")</f>
        <v>1 [13.406095]</v>
      </c>
      <c r="J35">
        <f>IF(FT!B35&lt;&gt;"",FT!C35,"")</f>
        <v>13.4061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85078</v>
      </c>
      <c r="D36" s="61">
        <f>FH!B36*1</f>
        <v>85078</v>
      </c>
      <c r="E36">
        <f t="shared" si="3"/>
        <v>34</v>
      </c>
      <c r="F36" s="61">
        <f>IF(FT!A36&lt;&gt;"",FT!A36*10,"")</f>
        <v>1.92269</v>
      </c>
      <c r="G36" s="61">
        <f>IF(FT!B36&lt;&gt;"",FT!B36*100,"")</f>
        <v>38.4206</v>
      </c>
      <c r="H36" s="61">
        <f t="shared" si="1"/>
        <v>1</v>
      </c>
      <c r="I36" t="str">
        <f>IF(FT!B36&lt;&gt;"",FT!E36,"")</f>
        <v>1 [13.809982]</v>
      </c>
      <c r="J36">
        <f>IF(FT!B36&lt;&gt;"",FT!C36,"")</f>
        <v>13.81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1.9273899999999999</v>
      </c>
      <c r="G37" s="61">
        <f>IF(FT!B37&lt;&gt;"",FT!B37*100,"")</f>
        <v>38.6586</v>
      </c>
      <c r="H37" s="61">
        <f t="shared" si="1"/>
        <v>1</v>
      </c>
      <c r="I37" t="str">
        <f>IF(FT!B37&lt;&gt;"",FT!E37,"")</f>
        <v>1 [14.217003]</v>
      </c>
      <c r="J37">
        <f>IF(FT!B37&lt;&gt;"",FT!C37,"")</f>
        <v>14.217000000000001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1.9312</v>
      </c>
      <c r="G38" s="61">
        <f>IF(FT!B38&lt;&gt;"",FT!B38*100,"")</f>
        <v>39.017000000000003</v>
      </c>
      <c r="H38" s="61">
        <f t="shared" si="1"/>
        <v>1</v>
      </c>
      <c r="I38" t="str">
        <f>IF(FT!B38&lt;&gt;"",FT!E38,"")</f>
        <v>1 [14.625831]</v>
      </c>
      <c r="J38">
        <f>IF(FT!B38&lt;&gt;"",FT!C38,"")</f>
        <v>14.6258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85617</v>
      </c>
      <c r="D39" s="61">
        <f>FH!B39*1</f>
        <v>85617</v>
      </c>
      <c r="E39">
        <f t="shared" si="3"/>
        <v>37</v>
      </c>
      <c r="F39" s="61">
        <f>IF(FT!A39&lt;&gt;"",FT!A39*10,"")</f>
        <v>1.9364999999999999</v>
      </c>
      <c r="G39" s="61">
        <f>IF(FT!B39&lt;&gt;"",FT!B39*100,"")</f>
        <v>39.3416</v>
      </c>
      <c r="H39" s="61">
        <f t="shared" si="1"/>
        <v>1</v>
      </c>
      <c r="I39" t="str">
        <f>IF(FT!B39&lt;&gt;"",FT!E39,"")</f>
        <v>2 [15.030783]</v>
      </c>
      <c r="J39">
        <f>IF(FT!B39&lt;&gt;"",FT!C39,"")</f>
        <v>15.030799999999999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1.9428400000000001</v>
      </c>
      <c r="G40" s="61">
        <f>IF(FT!B40&lt;&gt;"",FT!B40*100,"")</f>
        <v>39.623699999999999</v>
      </c>
      <c r="H40" s="61">
        <f t="shared" si="1"/>
        <v>1</v>
      </c>
      <c r="I40" t="str">
        <f>IF(FT!B40&lt;&gt;"",FT!E40,"")</f>
        <v>2 [15.561374]</v>
      </c>
      <c r="J40">
        <f>IF(FT!B40&lt;&gt;"",FT!C40,"")</f>
        <v>15.561400000000001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87952</v>
      </c>
      <c r="D41" s="61">
        <f>FH!B41*1</f>
        <v>87952</v>
      </c>
      <c r="E41">
        <f t="shared" si="3"/>
        <v>39</v>
      </c>
      <c r="F41" s="61">
        <f>IF(FT!A41&lt;&gt;"",FT!A41*10,"")</f>
        <v>1.9501599999999999</v>
      </c>
      <c r="G41" s="61">
        <f>IF(FT!B41&lt;&gt;"",FT!B41*100,"")</f>
        <v>39.843899999999998</v>
      </c>
      <c r="H41" s="61">
        <f t="shared" si="1"/>
        <v>1</v>
      </c>
      <c r="I41" t="str">
        <f>IF(FT!B41&lt;&gt;"",FT!E41,"")</f>
        <v>2 [15.934404]</v>
      </c>
      <c r="J41">
        <f>IF(FT!B41&lt;&gt;"",FT!C41,"")</f>
        <v>15.9344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1.9598399999999998</v>
      </c>
      <c r="G42" s="61">
        <f>IF(FT!B42&lt;&gt;"",FT!B42*100,"")</f>
        <v>40.088900000000002</v>
      </c>
      <c r="H42" s="61">
        <f t="shared" si="1"/>
        <v>1</v>
      </c>
      <c r="I42" t="str">
        <f>IF(FT!B42&lt;&gt;"",FT!E42,"")</f>
        <v>2 [16.310470]</v>
      </c>
      <c r="J42">
        <f>IF(FT!B42&lt;&gt;"",FT!C42,"")</f>
        <v>16.310500000000001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1.96957</v>
      </c>
      <c r="G43" s="61">
        <f>IF(FT!B43&lt;&gt;"",FT!B43*100,"")</f>
        <v>40.442499999999995</v>
      </c>
      <c r="H43" s="61">
        <f t="shared" si="1"/>
        <v>1</v>
      </c>
      <c r="I43" t="str">
        <f>IF(FT!B43&lt;&gt;"",FT!E43,"")</f>
        <v>2 [16.702559]</v>
      </c>
      <c r="J43">
        <f>IF(FT!B43&lt;&gt;"",FT!C43,"")</f>
        <v>16.7026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72854</v>
      </c>
      <c r="D44" s="61">
        <f>FH!B44*1</f>
        <v>72854</v>
      </c>
      <c r="E44">
        <f t="shared" si="3"/>
        <v>42</v>
      </c>
      <c r="F44" s="61">
        <f>IF(FT!A44&lt;&gt;"",FT!A44*10,"")</f>
        <v>1.98183</v>
      </c>
      <c r="G44" s="61">
        <f>IF(FT!B44&lt;&gt;"",FT!B44*100,"")</f>
        <v>40.816400000000002</v>
      </c>
      <c r="H44" s="61">
        <f t="shared" si="1"/>
        <v>1</v>
      </c>
      <c r="I44" t="str">
        <f>IF(FT!B44&lt;&gt;"",FT!E44,"")</f>
        <v>2 [17.104391]</v>
      </c>
      <c r="J44">
        <f>IF(FT!B44&lt;&gt;"",FT!C44,"")</f>
        <v>17.104399999999998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1.99526</v>
      </c>
      <c r="G45" s="61">
        <f>IF(FT!B45&lt;&gt;"",FT!B45*100,"")</f>
        <v>41.147300000000001</v>
      </c>
      <c r="H45" s="61">
        <f t="shared" si="1"/>
        <v>1</v>
      </c>
      <c r="I45" t="str">
        <f>IF(FT!B45&lt;&gt;"",FT!E45,"")</f>
        <v>2 [17.514188]</v>
      </c>
      <c r="J45">
        <f>IF(FT!B45&lt;&gt;"",FT!C45,"")</f>
        <v>17.514199999999999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63999</v>
      </c>
      <c r="D46" s="61">
        <f>FH!B46*1</f>
        <v>63999</v>
      </c>
      <c r="E46">
        <f t="shared" si="3"/>
        <v>44</v>
      </c>
      <c r="F46" s="61">
        <f>IF(FT!A46&lt;&gt;"",FT!A46*10,"")</f>
        <v>2.0092699999999999</v>
      </c>
      <c r="G46" s="61">
        <f>IF(FT!B46&lt;&gt;"",FT!B46*100,"")</f>
        <v>41.513800000000003</v>
      </c>
      <c r="H46" s="61">
        <f t="shared" si="1"/>
        <v>1</v>
      </c>
      <c r="I46" t="str">
        <f>IF(FT!B46&lt;&gt;"",FT!E46,"")</f>
        <v>2 [17.921063]</v>
      </c>
      <c r="J46">
        <f>IF(FT!B46&lt;&gt;"",FT!C46,"")</f>
        <v>17.921099999999999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2.0250900000000001</v>
      </c>
      <c r="G47" s="61">
        <f>IF(FT!B47&lt;&gt;"",FT!B47*100,"")</f>
        <v>41.793200000000006</v>
      </c>
      <c r="H47" s="61">
        <f t="shared" si="1"/>
        <v>1</v>
      </c>
      <c r="I47" t="str">
        <f>IF(FT!B47&lt;&gt;"",FT!E47,"")</f>
        <v>2 [18.327903]</v>
      </c>
      <c r="J47">
        <f>IF(FT!B47&lt;&gt;"",FT!C47,"")</f>
        <v>18.3279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2.04501</v>
      </c>
      <c r="G48" s="61">
        <f>IF(FT!B48&lt;&gt;"",FT!B48*100,"")</f>
        <v>41.938700000000004</v>
      </c>
      <c r="H48" s="61">
        <f t="shared" si="1"/>
        <v>1</v>
      </c>
      <c r="I48" t="str">
        <f>IF(FT!B48&lt;&gt;"",FT!E48,"")</f>
        <v>2 [18.733924]</v>
      </c>
      <c r="J48">
        <f>IF(FT!B48&lt;&gt;"",FT!C48,"")</f>
        <v>18.733899999999998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54387</v>
      </c>
      <c r="D49" s="61">
        <f>FH!B49*1</f>
        <v>54387</v>
      </c>
      <c r="E49">
        <f t="shared" si="3"/>
        <v>47</v>
      </c>
      <c r="F49" s="61">
        <f>IF(FT!A49&lt;&gt;"",FT!A49*10,"")</f>
        <v>2.0672799999999998</v>
      </c>
      <c r="G49" s="61">
        <f>IF(FT!B49&lt;&gt;"",FT!B49*100,"")</f>
        <v>42.04</v>
      </c>
      <c r="H49" s="61">
        <f t="shared" si="1"/>
        <v>1</v>
      </c>
      <c r="I49" t="str">
        <f>IF(FT!B49&lt;&gt;"",FT!E49,"")</f>
        <v>2 [19.138787]</v>
      </c>
      <c r="J49">
        <f>IF(FT!B49&lt;&gt;"",FT!C49,"")</f>
        <v>19.1388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2.0906099999999999</v>
      </c>
      <c r="G50" s="61">
        <f>IF(FT!B50&lt;&gt;"",FT!B50*100,"")</f>
        <v>42.176400000000001</v>
      </c>
      <c r="H50" s="61">
        <f t="shared" si="1"/>
        <v>1</v>
      </c>
      <c r="I50" t="str">
        <f>IF(FT!B50&lt;&gt;"",FT!E50,"")</f>
        <v>2 [19.541848]</v>
      </c>
      <c r="J50">
        <f>IF(FT!B50&lt;&gt;"",FT!C50,"")</f>
        <v>19.541799999999999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46624</v>
      </c>
      <c r="D51" s="61">
        <f>FH!B51*1</f>
        <v>46624</v>
      </c>
      <c r="E51">
        <f t="shared" si="3"/>
        <v>49</v>
      </c>
      <c r="F51" s="61">
        <f>IF(FT!A51&lt;&gt;"",FT!A51*10,"")</f>
        <v>2.11469</v>
      </c>
      <c r="G51" s="61">
        <f>IF(FT!B51&lt;&gt;"",FT!B51*100,"")</f>
        <v>42.265599999999999</v>
      </c>
      <c r="H51" s="61">
        <f t="shared" si="1"/>
        <v>1</v>
      </c>
      <c r="I51" t="str">
        <f>IF(FT!B51&lt;&gt;"",FT!E51,"")</f>
        <v>2 [19.955524]</v>
      </c>
      <c r="J51">
        <f>IF(FT!B51&lt;&gt;"",FT!C51,"")</f>
        <v>19.955500000000001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2.1398600000000001</v>
      </c>
      <c r="G52" s="61">
        <f>IF(FT!B52&lt;&gt;"",FT!B52*100,"")</f>
        <v>42.234999999999999</v>
      </c>
      <c r="H52" s="61">
        <f t="shared" si="1"/>
        <v>1</v>
      </c>
      <c r="I52" t="str">
        <f>IF(FT!B52&lt;&gt;"",FT!E52,"")</f>
        <v>2 [20.359489]</v>
      </c>
      <c r="J52">
        <f>IF(FT!B52&lt;&gt;"",FT!C52,"")</f>
        <v>20.359500000000001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2.1658200000000001</v>
      </c>
      <c r="G53" s="61">
        <f>IF(FT!B53&lt;&gt;"",FT!B53*100,"")</f>
        <v>42.163800000000002</v>
      </c>
      <c r="H53" s="61">
        <f t="shared" si="1"/>
        <v>1</v>
      </c>
      <c r="I53" t="str">
        <f>IF(FT!B53&lt;&gt;"",FT!E53,"")</f>
        <v>2 [20.763466]</v>
      </c>
      <c r="J53">
        <f>IF(FT!B53&lt;&gt;"",FT!C53,"")</f>
        <v>20.763500000000001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40933</v>
      </c>
      <c r="D54" s="61">
        <f>FH!B54*1</f>
        <v>40933</v>
      </c>
      <c r="E54">
        <f t="shared" si="3"/>
        <v>52</v>
      </c>
      <c r="F54" s="61">
        <f>IF(FT!A54&lt;&gt;"",FT!A54*10,"")</f>
        <v>2.1863700000000001</v>
      </c>
      <c r="G54" s="61">
        <f>IF(FT!B54&lt;&gt;"",FT!B54*100,"")</f>
        <v>42.157299999999999</v>
      </c>
      <c r="H54" s="61">
        <f t="shared" si="1"/>
        <v>1</v>
      </c>
      <c r="I54" t="str">
        <f>IF(FT!B54&lt;&gt;"",FT!E54,"")</f>
        <v>2 [21.168321]</v>
      </c>
      <c r="J54">
        <f>IF(FT!B54&lt;&gt;"",FT!C54,"")</f>
        <v>21.168299999999999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2.1986600000000003</v>
      </c>
      <c r="G55" s="61">
        <f>IF(FT!B55&lt;&gt;"",FT!B55*100,"")</f>
        <v>42.242899999999999</v>
      </c>
      <c r="H55" s="61">
        <f t="shared" si="1"/>
        <v>1</v>
      </c>
      <c r="I55" t="str">
        <f>IF(FT!B55&lt;&gt;"",FT!E55,"")</f>
        <v>2 [21.576335]</v>
      </c>
      <c r="J55">
        <f>IF(FT!B55&lt;&gt;"",FT!C55,"")</f>
        <v>21.5763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2.2110500000000002</v>
      </c>
      <c r="G56" s="61">
        <f>IF(FT!B56&lt;&gt;"",FT!B56*100,"")</f>
        <v>42.283999999999999</v>
      </c>
      <c r="H56" s="61">
        <f t="shared" si="1"/>
        <v>1</v>
      </c>
      <c r="I56" t="str">
        <f>IF(FT!B56&lt;&gt;"",FT!E56,"")</f>
        <v>2 [21.984307]</v>
      </c>
      <c r="J56">
        <f>IF(FT!B56&lt;&gt;"",FT!C56,"")</f>
        <v>21.984300000000001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39354</v>
      </c>
      <c r="D57" s="61">
        <f>FH!B57*1</f>
        <v>39354</v>
      </c>
      <c r="E57">
        <f t="shared" si="3"/>
        <v>55</v>
      </c>
      <c r="F57" s="61">
        <f>IF(FT!A57&lt;&gt;"",FT!A57*10,"")</f>
        <v>2.2237399999999998</v>
      </c>
      <c r="G57" s="61">
        <f>IF(FT!B57&lt;&gt;"",FT!B57*100,"")</f>
        <v>42.298400000000001</v>
      </c>
      <c r="H57" s="61">
        <f t="shared" si="1"/>
        <v>1</v>
      </c>
      <c r="I57" t="str">
        <f>IF(FT!B57&lt;&gt;"",FT!E57,"")</f>
        <v>2 [22.391119]</v>
      </c>
      <c r="J57">
        <f>IF(FT!B57&lt;&gt;"",FT!C57,"")</f>
        <v>22.391100000000002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2.2376299999999998</v>
      </c>
      <c r="G58" s="61">
        <f>IF(FT!B58&lt;&gt;"",FT!B58*100,"")</f>
        <v>42.289700000000003</v>
      </c>
      <c r="H58" s="61">
        <f t="shared" si="1"/>
        <v>1</v>
      </c>
      <c r="I58" t="str">
        <f>IF(FT!B58&lt;&gt;"",FT!E58,"")</f>
        <v>2 [22.795154]</v>
      </c>
      <c r="J58">
        <f>IF(FT!B58&lt;&gt;"",FT!C58,"")</f>
        <v>22.795200000000001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36252</v>
      </c>
      <c r="D59" s="61">
        <f>FH!B59*1</f>
        <v>36252</v>
      </c>
      <c r="E59">
        <f t="shared" si="3"/>
        <v>57</v>
      </c>
      <c r="F59" s="61">
        <f>IF(FT!A59&lt;&gt;"",FT!A59*10,"")</f>
        <v>2.2519900000000002</v>
      </c>
      <c r="G59" s="61">
        <f>IF(FT!B59&lt;&gt;"",FT!B59*100,"")</f>
        <v>42.276699999999998</v>
      </c>
      <c r="H59" s="61">
        <f t="shared" si="1"/>
        <v>1</v>
      </c>
      <c r="I59" t="str">
        <f>IF(FT!B59&lt;&gt;"",FT!E59,"")</f>
        <v>2 [23.199873]</v>
      </c>
      <c r="J59">
        <f>IF(FT!B59&lt;&gt;"",FT!C59,"")</f>
        <v>23.1999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2.2665899999999999</v>
      </c>
      <c r="G60" s="61">
        <f>IF(FT!B60&lt;&gt;"",FT!B60*100,"")</f>
        <v>42.2072</v>
      </c>
      <c r="H60" s="61">
        <f t="shared" si="1"/>
        <v>1</v>
      </c>
      <c r="I60" t="str">
        <f>IF(FT!B60&lt;&gt;"",FT!E60,"")</f>
        <v>2 [23.605954]</v>
      </c>
      <c r="J60">
        <f>IF(FT!B60&lt;&gt;"",FT!C60,"")</f>
        <v>23.606000000000002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2.2814100000000002</v>
      </c>
      <c r="G61" s="61">
        <f>IF(FT!B61&lt;&gt;"",FT!B61*100,"")</f>
        <v>42.193100000000001</v>
      </c>
      <c r="H61" s="61">
        <f t="shared" si="1"/>
        <v>1</v>
      </c>
      <c r="I61" t="str">
        <f>IF(FT!B61&lt;&gt;"",FT!E61,"")</f>
        <v>2 [24.013787]</v>
      </c>
      <c r="J61">
        <f>IF(FT!B61&lt;&gt;"",FT!C61,"")</f>
        <v>24.0138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35710</v>
      </c>
      <c r="D62" s="61">
        <f>FH!B62*1</f>
        <v>35710</v>
      </c>
      <c r="E62">
        <f t="shared" si="3"/>
        <v>60</v>
      </c>
      <c r="F62" s="61">
        <f>IF(FT!A62&lt;&gt;"",FT!A62*10,"")</f>
        <v>2.2958500000000002</v>
      </c>
      <c r="G62" s="61">
        <f>IF(FT!B62&lt;&gt;"",FT!B62*100,"")</f>
        <v>42.235799999999998</v>
      </c>
      <c r="H62" s="61">
        <f t="shared" si="1"/>
        <v>1</v>
      </c>
      <c r="I62" t="str">
        <f>IF(FT!B62&lt;&gt;"",FT!E62,"")</f>
        <v>2 [24.421590]</v>
      </c>
      <c r="J62">
        <f>IF(FT!B62&lt;&gt;"",FT!C62,"")</f>
        <v>24.421600000000002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2.31073</v>
      </c>
      <c r="G63" s="61">
        <f>IF(FT!B63&lt;&gt;"",FT!B63*100,"")</f>
        <v>42.384999999999998</v>
      </c>
      <c r="H63" s="61">
        <f t="shared" si="1"/>
        <v>1</v>
      </c>
      <c r="I63" t="str">
        <f>IF(FT!B63&lt;&gt;"",FT!E63,"")</f>
        <v>2 [24.824520]</v>
      </c>
      <c r="J63">
        <f>IF(FT!B63&lt;&gt;"",FT!C63,"")</f>
        <v>24.8245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32988</v>
      </c>
      <c r="D64" s="61">
        <f>FH!B64*1</f>
        <v>32988</v>
      </c>
      <c r="E64">
        <f t="shared" si="3"/>
        <v>62</v>
      </c>
      <c r="F64" s="61">
        <f>IF(FT!A64&lt;&gt;"",FT!A64*10,"")</f>
        <v>2.3247800000000001</v>
      </c>
      <c r="G64" s="61">
        <f>IF(FT!B64&lt;&gt;"",FT!B64*100,"")</f>
        <v>42.550699999999999</v>
      </c>
      <c r="H64" s="61">
        <f t="shared" si="1"/>
        <v>1</v>
      </c>
      <c r="I64" t="str">
        <f>IF(FT!B64&lt;&gt;"",FT!E64,"")</f>
        <v>2 [25.232404]</v>
      </c>
      <c r="J64">
        <f>IF(FT!B64&lt;&gt;"",FT!C64,"")</f>
        <v>25.232399999999998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2.33839</v>
      </c>
      <c r="G65" s="61">
        <f>IF(FT!B65&lt;&gt;"",FT!B65*100,"")</f>
        <v>42.672600000000003</v>
      </c>
      <c r="H65" s="61">
        <f t="shared" si="1"/>
        <v>1</v>
      </c>
      <c r="I65" t="str">
        <f>IF(FT!B65&lt;&gt;"",FT!E65,"")</f>
        <v>2 [25.637425]</v>
      </c>
      <c r="J65">
        <f>IF(FT!B65&lt;&gt;"",FT!C65,"")</f>
        <v>25.6374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2.3507500000000001</v>
      </c>
      <c r="G66" s="61">
        <f>IF(FT!B66&lt;&gt;"",FT!B66*100,"")</f>
        <v>42.599499999999999</v>
      </c>
      <c r="H66" s="61">
        <f t="shared" si="1"/>
        <v>1</v>
      </c>
      <c r="I66" t="str">
        <f>IF(FT!B66&lt;&gt;"",FT!E66,"")</f>
        <v>2 [26.043252]</v>
      </c>
      <c r="J66">
        <f>IF(FT!B66&lt;&gt;"",FT!C66,"")</f>
        <v>26.043299999999999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24995</v>
      </c>
      <c r="D67" s="61">
        <f>FH!B67*1</f>
        <v>24995</v>
      </c>
      <c r="E67">
        <f t="shared" si="3"/>
        <v>65</v>
      </c>
      <c r="F67" s="61">
        <f>IF(FT!A67&lt;&gt;"",FT!A67*10,"")</f>
        <v>2.36416</v>
      </c>
      <c r="G67" s="61">
        <f>IF(FT!B67&lt;&gt;"",FT!B67*100,"")</f>
        <v>42.5486</v>
      </c>
      <c r="H67" s="61">
        <f t="shared" ref="H67:H130" si="9">(IF(F67&lt;&gt;"",1,""))</f>
        <v>1</v>
      </c>
      <c r="I67" t="str">
        <f>IF(FT!B67&lt;&gt;"",FT!E67,"")</f>
        <v>2 [26.454738]</v>
      </c>
      <c r="J67">
        <f>IF(FT!B67&lt;&gt;"",FT!C67,"")</f>
        <v>26.454699999999999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2.3817200000000001</v>
      </c>
      <c r="G68" s="61">
        <f>IF(FT!B68&lt;&gt;"",FT!B68*100,"")</f>
        <v>42.471800000000002</v>
      </c>
      <c r="H68" s="61">
        <f t="shared" si="9"/>
        <v>1</v>
      </c>
      <c r="I68" t="str">
        <f>IF(FT!B68&lt;&gt;"",FT!E68,"")</f>
        <v>2 [26.856207]</v>
      </c>
      <c r="J68">
        <f>IF(FT!B68&lt;&gt;"",FT!C68,"")</f>
        <v>26.856200000000001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25131</v>
      </c>
      <c r="D69" s="61">
        <f>FH!B69*1</f>
        <v>25131</v>
      </c>
      <c r="E69">
        <f t="shared" si="11"/>
        <v>67</v>
      </c>
      <c r="F69" s="61">
        <f>IF(FT!A69&lt;&gt;"",FT!A69*10,"")</f>
        <v>2.40421</v>
      </c>
      <c r="G69" s="61">
        <f>IF(FT!B69&lt;&gt;"",FT!B69*100,"")</f>
        <v>42.404599999999995</v>
      </c>
      <c r="H69" s="61">
        <f t="shared" si="9"/>
        <v>1</v>
      </c>
      <c r="I69" t="str">
        <f>IF(FT!B69&lt;&gt;"",FT!E69,"")</f>
        <v>2 [27.265055]</v>
      </c>
      <c r="J69">
        <f>IF(FT!B69&lt;&gt;"",FT!C69,"")</f>
        <v>27.2651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2.4289900000000002</v>
      </c>
      <c r="G70" s="61">
        <f>IF(FT!B70&lt;&gt;"",FT!B70*100,"")</f>
        <v>42.470999999999997</v>
      </c>
      <c r="H70" s="61">
        <f t="shared" si="9"/>
        <v>1</v>
      </c>
      <c r="I70" t="str">
        <f>IF(FT!B70&lt;&gt;"",FT!E70,"")</f>
        <v>2 [27.676097]</v>
      </c>
      <c r="J70">
        <f>IF(FT!B70&lt;&gt;"",FT!C70,"")</f>
        <v>27.676100000000002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2.4475799999999999</v>
      </c>
      <c r="G71" s="61">
        <f>IF(FT!B71&lt;&gt;"",FT!B71*100,"")</f>
        <v>42.548900000000003</v>
      </c>
      <c r="H71" s="61">
        <f t="shared" si="9"/>
        <v>1</v>
      </c>
      <c r="I71" t="str">
        <f>IF(FT!B71&lt;&gt;"",FT!E71,"")</f>
        <v>2 [28.075982]</v>
      </c>
      <c r="J71">
        <f>IF(FT!B71&lt;&gt;"",FT!C71,"")</f>
        <v>28.076000000000001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22783</v>
      </c>
      <c r="D72" s="61">
        <f>FH!B72*1</f>
        <v>22783</v>
      </c>
      <c r="E72">
        <f t="shared" si="11"/>
        <v>70</v>
      </c>
      <c r="F72" s="61">
        <f>IF(FT!A72&lt;&gt;"",FT!A72*10,"")</f>
        <v>2.4634499999999999</v>
      </c>
      <c r="G72" s="61">
        <f>IF(FT!B72&lt;&gt;"",FT!B72*100,"")</f>
        <v>42.520099999999999</v>
      </c>
      <c r="H72" s="61">
        <f t="shared" si="9"/>
        <v>1</v>
      </c>
      <c r="I72" t="str">
        <f>IF(FT!B72&lt;&gt;"",FT!E72,"")</f>
        <v>2 [28.484030]</v>
      </c>
      <c r="J72">
        <f>IF(FT!B72&lt;&gt;"",FT!C72,"")</f>
        <v>28.484000000000002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2.48786</v>
      </c>
      <c r="G73" s="61">
        <f>IF(FT!B73&lt;&gt;"",FT!B73*100,"")</f>
        <v>42.3491</v>
      </c>
      <c r="H73" s="61">
        <f t="shared" si="9"/>
        <v>1</v>
      </c>
      <c r="I73" t="str">
        <f>IF(FT!B73&lt;&gt;"",FT!E73,"")</f>
        <v>2 [28.893820]</v>
      </c>
      <c r="J73">
        <f>IF(FT!B73&lt;&gt;"",FT!C73,"")</f>
        <v>28.893799999999999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2.5052200000000004</v>
      </c>
      <c r="G74" s="61">
        <f>IF(FT!B74&lt;&gt;"",FT!B74*100,"")</f>
        <v>41.768999999999998</v>
      </c>
      <c r="H74" s="61">
        <f t="shared" si="9"/>
        <v>1</v>
      </c>
      <c r="I74" t="str">
        <f>IF(FT!B74&lt;&gt;"",FT!E74,"")</f>
        <v>2 [29.300685]</v>
      </c>
      <c r="J74">
        <f>IF(FT!B74&lt;&gt;"",FT!C74,"")</f>
        <v>29.300699999999999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20619</v>
      </c>
      <c r="D75" s="61">
        <f>FH!B75*1</f>
        <v>20619</v>
      </c>
      <c r="E75">
        <f t="shared" si="11"/>
        <v>73</v>
      </c>
      <c r="F75" s="61">
        <f>IF(FT!A75&lt;&gt;"",FT!A75*10,"")</f>
        <v>2.5287500000000001</v>
      </c>
      <c r="G75" s="61">
        <f>IF(FT!B75&lt;&gt;"",FT!B75*100,"")</f>
        <v>41.588799999999999</v>
      </c>
      <c r="H75" s="61">
        <f t="shared" si="9"/>
        <v>1</v>
      </c>
      <c r="I75" t="str">
        <f>IF(FT!B75&lt;&gt;"",FT!E75,"")</f>
        <v>2 [29.702953]</v>
      </c>
      <c r="J75">
        <f>IF(FT!B75&lt;&gt;"",FT!C75,"")</f>
        <v>29.702999999999999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 t="str">
        <f>IF(FT!A76&lt;&gt;"",FT!A76*10,"")</f>
        <v/>
      </c>
      <c r="G76" s="61" t="str">
        <f>IF(FT!B76&lt;&gt;"",FT!B76*100,"")</f>
        <v/>
      </c>
      <c r="H76" s="61" t="str">
        <f t="shared" si="9"/>
        <v/>
      </c>
      <c r="I76" t="str">
        <f>IF(FT!B76&lt;&gt;"",FT!E76,"")</f>
        <v/>
      </c>
      <c r="J76" t="str">
        <f>IF(FT!B76&lt;&gt;"",FT!C76,"")</f>
        <v/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17076</v>
      </c>
      <c r="D77" s="61">
        <f>FH!B77*1</f>
        <v>17076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15536</v>
      </c>
      <c r="D80" s="61">
        <f>FH!B80*1</f>
        <v>15536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14088</v>
      </c>
      <c r="D82" s="61">
        <f>FH!B82*1</f>
        <v>14088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13567</v>
      </c>
      <c r="D85" s="61">
        <f>FH!B85*1</f>
        <v>13567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10966</v>
      </c>
      <c r="D88" s="61">
        <f>FH!B88*1</f>
        <v>10966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11863</v>
      </c>
      <c r="D90" s="61">
        <f>FH!B90*1</f>
        <v>11863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8601</v>
      </c>
      <c r="D93" s="61">
        <f>FH!B93*1</f>
        <v>8601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8237</v>
      </c>
      <c r="D95" s="61">
        <f>FH!B95*1</f>
        <v>8237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8945</v>
      </c>
      <c r="D98" s="61">
        <f>FH!B98*1</f>
        <v>8945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8147</v>
      </c>
      <c r="D100" s="61">
        <f>FH!B100*1</f>
        <v>8147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7133</v>
      </c>
      <c r="D103" s="61">
        <f>FH!B103*1</f>
        <v>7133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10273</v>
      </c>
      <c r="D106" s="61">
        <f>FH!B106*1</f>
        <v>10273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8588</v>
      </c>
      <c r="D108" s="61">
        <f>FH!B108*1</f>
        <v>8588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7396</v>
      </c>
      <c r="D111" s="61">
        <f>FH!B111*1</f>
        <v>7396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9317</v>
      </c>
      <c r="D113" s="61">
        <f>FH!B113*1</f>
        <v>9317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7670</v>
      </c>
      <c r="D116" s="61">
        <f>FH!B116*1</f>
        <v>7670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5986</v>
      </c>
      <c r="D118" s="61">
        <f>FH!B118*1</f>
        <v>5986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6326</v>
      </c>
      <c r="D121" s="61">
        <f>FH!B121*1</f>
        <v>6326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8065</v>
      </c>
      <c r="D124" s="61">
        <f>FH!B124*1</f>
        <v>8065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6783</v>
      </c>
      <c r="D126" s="61">
        <f>FH!B126*1</f>
        <v>6783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8779</v>
      </c>
      <c r="D129" s="61">
        <f>FH!B129*1</f>
        <v>8779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6700</v>
      </c>
      <c r="D131" s="61">
        <f>FH!B131*1</f>
        <v>6700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4846</v>
      </c>
      <c r="D134" s="61">
        <f>FH!B134*1</f>
        <v>4846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4465</v>
      </c>
      <c r="D136" s="61">
        <f>FH!B136*1</f>
        <v>4465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4192</v>
      </c>
      <c r="D139" s="61">
        <f>FH!B139*1</f>
        <v>4192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3963</v>
      </c>
      <c r="D142" s="61">
        <f>FH!B142*1</f>
        <v>3963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2320</v>
      </c>
      <c r="D144" s="61">
        <f>FH!B144*1</f>
        <v>2320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1003</v>
      </c>
      <c r="D147" s="61">
        <f>FH!B147*1</f>
        <v>1003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773</v>
      </c>
      <c r="D149" s="61">
        <f>FH!B149*1</f>
        <v>773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1091</v>
      </c>
      <c r="D152" s="61">
        <f>FH!B152*1</f>
        <v>1091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1071</v>
      </c>
      <c r="D154" s="61">
        <f>FH!B154*1</f>
        <v>1071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829</v>
      </c>
      <c r="D157" s="61">
        <f>FH!B157*1</f>
        <v>829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1237</v>
      </c>
      <c r="D160" s="61">
        <f>FH!B160*1</f>
        <v>1237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527</v>
      </c>
      <c r="D162" s="61">
        <f>FH!B162*1</f>
        <v>527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579</v>
      </c>
      <c r="D165" s="61">
        <f>FH!B165*1</f>
        <v>579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293</v>
      </c>
      <c r="D167" s="61">
        <f>FH!B167*1</f>
        <v>293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444</v>
      </c>
      <c r="D170" s="61">
        <f>FH!B170*1</f>
        <v>444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200</v>
      </c>
      <c r="D173" s="61">
        <f>FH!B173*1</f>
        <v>200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30.503499999999999</v>
      </c>
      <c r="C5" s="66">
        <v>6.5042400000000002</v>
      </c>
      <c r="D5" s="66">
        <v>21.322900000000001</v>
      </c>
      <c r="E5" s="66">
        <v>20</v>
      </c>
      <c r="F5" s="66">
        <v>11.672499999999999</v>
      </c>
      <c r="G5" s="66">
        <v>50</v>
      </c>
      <c r="H5" s="66">
        <v>36.092700000000001</v>
      </c>
    </row>
    <row r="6" spans="1:8">
      <c r="A6" s="58" t="s">
        <v>303</v>
      </c>
      <c r="B6" s="66">
        <v>37.327399999999997</v>
      </c>
      <c r="C6" s="66">
        <v>1.7028000000000001</v>
      </c>
      <c r="D6" s="66">
        <v>4.5617900000000002</v>
      </c>
      <c r="E6" s="66">
        <v>20</v>
      </c>
      <c r="F6" s="66">
        <v>33.831600000000002</v>
      </c>
      <c r="G6" s="66">
        <v>40</v>
      </c>
      <c r="H6" s="66">
        <v>40.691400000000002</v>
      </c>
    </row>
    <row r="7" spans="1:8">
      <c r="A7" s="58" t="s">
        <v>304</v>
      </c>
      <c r="B7" s="66">
        <v>24.223500000000001</v>
      </c>
      <c r="C7" s="66">
        <v>8.0306099999999994</v>
      </c>
      <c r="D7" s="66">
        <v>33.152200000000001</v>
      </c>
      <c r="E7" s="66">
        <v>15</v>
      </c>
      <c r="F7" s="66">
        <v>15.7339</v>
      </c>
      <c r="G7" s="66">
        <v>40</v>
      </c>
      <c r="H7" s="66">
        <v>48.095999999999997</v>
      </c>
    </row>
    <row r="8" spans="1:8">
      <c r="A8" s="58" t="s">
        <v>305</v>
      </c>
      <c r="B8" s="66">
        <v>29.2043</v>
      </c>
      <c r="C8" s="66">
        <v>4.20444</v>
      </c>
      <c r="D8" s="66">
        <v>14.396599999999999</v>
      </c>
      <c r="E8" s="66">
        <v>20</v>
      </c>
      <c r="F8" s="66">
        <v>23.3629</v>
      </c>
      <c r="G8" s="66">
        <v>50</v>
      </c>
      <c r="H8" s="66">
        <v>38.360399999999998</v>
      </c>
    </row>
    <row r="9" spans="1:8">
      <c r="A9" s="58" t="s">
        <v>306</v>
      </c>
      <c r="B9" s="66">
        <v>52.633499999999998</v>
      </c>
      <c r="C9" s="66">
        <v>14.7348</v>
      </c>
      <c r="D9" s="66">
        <v>27.995100000000001</v>
      </c>
      <c r="E9" s="66">
        <v>50</v>
      </c>
      <c r="F9" s="66">
        <v>24.382400000000001</v>
      </c>
      <c r="G9" s="66">
        <v>100</v>
      </c>
      <c r="H9" s="66">
        <v>76.550399999999996</v>
      </c>
    </row>
    <row r="10" spans="1:8">
      <c r="A10" s="58" t="s">
        <v>307</v>
      </c>
      <c r="B10" s="66">
        <v>75.795699999999997</v>
      </c>
      <c r="C10" s="66">
        <v>2.8913899999999999</v>
      </c>
      <c r="D10" s="66">
        <v>3.8147099999999998</v>
      </c>
      <c r="E10" s="66">
        <v>40</v>
      </c>
      <c r="F10" s="66">
        <v>71.865300000000005</v>
      </c>
      <c r="G10" s="66">
        <v>100</v>
      </c>
      <c r="H10" s="66">
        <v>82.060299999999998</v>
      </c>
    </row>
    <row r="11" spans="1:8">
      <c r="A11" s="58" t="s">
        <v>308</v>
      </c>
      <c r="B11" s="66">
        <v>6.6829499999999999</v>
      </c>
      <c r="C11" s="66">
        <v>2.1618900000000001</v>
      </c>
      <c r="D11" s="66">
        <v>32.349400000000003</v>
      </c>
      <c r="E11" s="66">
        <v>10</v>
      </c>
      <c r="F11" s="66">
        <v>5.2122200000000003</v>
      </c>
      <c r="G11" s="66">
        <v>50</v>
      </c>
      <c r="H11" s="66">
        <v>14.4954</v>
      </c>
    </row>
    <row r="12" spans="1:8">
      <c r="A12" s="58" t="s">
        <v>309</v>
      </c>
      <c r="B12" s="66">
        <v>63.867899999999999</v>
      </c>
      <c r="C12" s="66">
        <v>6.1847099999999999</v>
      </c>
      <c r="D12" s="66">
        <v>9.6835900000000006</v>
      </c>
      <c r="E12" s="66">
        <v>50</v>
      </c>
      <c r="F12" s="66">
        <v>52.6965</v>
      </c>
      <c r="G12" s="66">
        <v>100</v>
      </c>
      <c r="H12" s="66">
        <v>76.451700000000002</v>
      </c>
    </row>
    <row r="13" spans="1:8">
      <c r="A13" s="58" t="s">
        <v>310</v>
      </c>
      <c r="B13" s="66">
        <v>20.439800000000002</v>
      </c>
      <c r="C13" s="66">
        <v>2.7547799999999998</v>
      </c>
      <c r="D13" s="66">
        <v>13.477600000000001</v>
      </c>
      <c r="E13" s="66">
        <v>10</v>
      </c>
      <c r="F13" s="66">
        <v>15.0572</v>
      </c>
      <c r="G13" s="66">
        <v>25</v>
      </c>
      <c r="H13" s="66">
        <v>29.958200000000001</v>
      </c>
    </row>
    <row r="14" spans="1:8">
      <c r="A14" s="58" t="s">
        <v>311</v>
      </c>
      <c r="B14" s="66">
        <v>27.547799999999999</v>
      </c>
      <c r="C14" s="66">
        <v>7.8733399999999998</v>
      </c>
      <c r="D14" s="66">
        <v>28.5806</v>
      </c>
      <c r="E14" s="66">
        <v>10</v>
      </c>
      <c r="F14" s="66">
        <v>2.75</v>
      </c>
      <c r="G14" s="66">
        <v>50</v>
      </c>
      <c r="H14" s="66">
        <v>40.149799999999999</v>
      </c>
    </row>
    <row r="15" spans="1:8">
      <c r="A15" s="58" t="s">
        <v>312</v>
      </c>
      <c r="B15" s="66">
        <v>4.1034300000000003E-2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0.13803399999999999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18.933399999999999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0.661972</v>
      </c>
      <c r="C18" s="66">
        <v>3.9511299999999997E-3</v>
      </c>
      <c r="D18" s="66">
        <v>5.9687300000000002E-3</v>
      </c>
      <c r="E18" s="66">
        <v>0</v>
      </c>
      <c r="F18" s="66">
        <v>0.65802099999999997</v>
      </c>
      <c r="G18" s="66">
        <v>0</v>
      </c>
      <c r="H18" s="66">
        <v>0.66592300000000004</v>
      </c>
    </row>
    <row r="19" spans="1:8">
      <c r="A19" s="58" t="s">
        <v>316</v>
      </c>
      <c r="B19" s="66">
        <v>0.83683399999999997</v>
      </c>
      <c r="C19" s="66">
        <v>3.5715200000000003E-2</v>
      </c>
      <c r="D19" s="66">
        <v>4.2679000000000002E-2</v>
      </c>
      <c r="E19" s="66">
        <v>0</v>
      </c>
      <c r="F19" s="66">
        <v>0.80111900000000003</v>
      </c>
      <c r="G19" s="66">
        <v>0</v>
      </c>
      <c r="H19" s="66">
        <v>0.87254900000000002</v>
      </c>
    </row>
    <row r="20" spans="1:8">
      <c r="A20" s="58" t="s">
        <v>317</v>
      </c>
      <c r="B20" s="196">
        <v>4.71402E-5</v>
      </c>
      <c r="C20" s="66">
        <v>2.51585E-2</v>
      </c>
      <c r="D20" s="66">
        <v>533.69500000000005</v>
      </c>
      <c r="E20" s="66">
        <v>0</v>
      </c>
      <c r="F20" s="66">
        <v>0</v>
      </c>
      <c r="G20" s="66">
        <v>0</v>
      </c>
      <c r="H20" s="66">
        <v>0.30805700000000003</v>
      </c>
    </row>
    <row r="21" spans="1:8">
      <c r="A21" s="58" t="s">
        <v>318</v>
      </c>
      <c r="B21" s="66">
        <v>3.9074900000000003E-2</v>
      </c>
      <c r="C21" s="66">
        <v>0.109583</v>
      </c>
      <c r="D21" s="66">
        <v>2.80443</v>
      </c>
      <c r="E21" s="66">
        <v>0</v>
      </c>
      <c r="F21" s="66">
        <v>1.0184299999999999E-4</v>
      </c>
      <c r="G21" s="66">
        <v>0</v>
      </c>
      <c r="H21" s="66">
        <v>0.51726700000000003</v>
      </c>
    </row>
    <row r="22" spans="1:8">
      <c r="A22" s="58" t="s">
        <v>319</v>
      </c>
      <c r="B22" s="66">
        <v>37.313800000000001</v>
      </c>
      <c r="C22" s="66">
        <v>15.8378</v>
      </c>
      <c r="D22" s="66">
        <v>0.42444799999999999</v>
      </c>
      <c r="E22" s="66">
        <v>0</v>
      </c>
      <c r="F22" s="66">
        <v>17.341000000000001</v>
      </c>
      <c r="G22" s="66">
        <v>0</v>
      </c>
      <c r="H22" s="66">
        <v>82.491600000000005</v>
      </c>
    </row>
    <row r="23" spans="1:8">
      <c r="A23" s="58" t="s">
        <v>320</v>
      </c>
      <c r="B23" s="66">
        <v>12.7867</v>
      </c>
      <c r="C23" s="66">
        <v>0.78239899999999996</v>
      </c>
      <c r="D23" s="66">
        <v>6.1188399999999997E-2</v>
      </c>
      <c r="E23" s="66">
        <v>0</v>
      </c>
      <c r="F23" s="66">
        <v>10.5808</v>
      </c>
      <c r="G23" s="66">
        <v>0</v>
      </c>
      <c r="H23" s="66">
        <v>14.8149</v>
      </c>
    </row>
    <row r="24" spans="1:8">
      <c r="A24" s="58" t="s">
        <v>321</v>
      </c>
      <c r="B24" s="66">
        <v>1.29431E-4</v>
      </c>
      <c r="C24" s="66">
        <v>1.4590000000000001E-2</v>
      </c>
      <c r="D24" s="66">
        <v>112.723</v>
      </c>
      <c r="E24" s="66">
        <v>0</v>
      </c>
      <c r="F24" s="196">
        <v>3.6394900000000002E-6</v>
      </c>
      <c r="G24" s="66">
        <v>0</v>
      </c>
      <c r="H24" s="66">
        <v>5.5849599999999999E-2</v>
      </c>
    </row>
    <row r="25" spans="1:8">
      <c r="A25" s="58" t="s">
        <v>322</v>
      </c>
      <c r="B25" s="66">
        <v>7.0229E-2</v>
      </c>
      <c r="C25" s="66">
        <v>5.8494699999999997E-2</v>
      </c>
      <c r="D25" s="66">
        <v>0.83291400000000004</v>
      </c>
      <c r="E25" s="66">
        <v>0</v>
      </c>
      <c r="F25" s="66">
        <v>1.3012900000000001E-2</v>
      </c>
      <c r="G25" s="66">
        <v>0</v>
      </c>
      <c r="H25" s="66">
        <v>0.33526299999999998</v>
      </c>
    </row>
    <row r="26" spans="1:8">
      <c r="A26" s="58" t="s">
        <v>323</v>
      </c>
      <c r="B26" s="196">
        <v>1.31303E-5</v>
      </c>
      <c r="C26" s="66">
        <v>1.322E-3</v>
      </c>
      <c r="D26" s="66">
        <v>100.684</v>
      </c>
      <c r="E26" s="66">
        <v>0</v>
      </c>
      <c r="F26" s="66">
        <v>0</v>
      </c>
      <c r="G26" s="66">
        <v>0</v>
      </c>
      <c r="H26" s="66">
        <v>1.11082E-2</v>
      </c>
    </row>
    <row r="27" spans="1:8">
      <c r="A27" s="58" t="s">
        <v>324</v>
      </c>
      <c r="B27" s="66">
        <v>0</v>
      </c>
      <c r="C27" s="66">
        <v>1.0582E-3</v>
      </c>
      <c r="D27" s="66">
        <v>0</v>
      </c>
      <c r="E27" s="66">
        <v>0</v>
      </c>
      <c r="F27" s="66">
        <v>-1.05206E-2</v>
      </c>
      <c r="G27" s="66">
        <v>0</v>
      </c>
      <c r="H27" s="66">
        <v>1.10852E-2</v>
      </c>
    </row>
    <row r="28" spans="1:8">
      <c r="A28" s="58" t="s">
        <v>325</v>
      </c>
      <c r="B28" s="66">
        <v>5.4134099999999996E-3</v>
      </c>
      <c r="C28" s="66">
        <v>1.03467E-2</v>
      </c>
      <c r="D28" s="66">
        <v>1.9113</v>
      </c>
      <c r="E28" s="66">
        <v>0</v>
      </c>
      <c r="F28" s="196">
        <v>3.5807299999999999E-5</v>
      </c>
      <c r="G28" s="66">
        <v>0</v>
      </c>
      <c r="H28" s="66">
        <v>5.5540399999999997E-2</v>
      </c>
    </row>
    <row r="29" spans="1:8">
      <c r="A29" s="58" t="s">
        <v>326</v>
      </c>
      <c r="B29" s="66">
        <v>60.277000000000001</v>
      </c>
      <c r="C29" s="66">
        <v>8.5758700000000001</v>
      </c>
      <c r="D29" s="66">
        <v>0.14227400000000001</v>
      </c>
      <c r="E29" s="66">
        <v>0</v>
      </c>
      <c r="F29" s="66">
        <v>39.5702</v>
      </c>
      <c r="G29" s="66">
        <v>0</v>
      </c>
      <c r="H29" s="66">
        <v>79.242800000000003</v>
      </c>
    </row>
    <row r="30" spans="1:8">
      <c r="A30" s="58" t="s">
        <v>327</v>
      </c>
      <c r="B30" s="66">
        <v>13.4985</v>
      </c>
      <c r="C30" s="66">
        <v>2.3333699999999999</v>
      </c>
      <c r="D30" s="66">
        <v>0.17286099999999999</v>
      </c>
      <c r="E30" s="66">
        <v>0</v>
      </c>
      <c r="F30" s="66">
        <v>8.6849000000000007</v>
      </c>
      <c r="G30" s="66">
        <v>0</v>
      </c>
      <c r="H30" s="66">
        <v>17.489699999999999</v>
      </c>
    </row>
    <row r="31" spans="1:8">
      <c r="A31" s="58" t="s">
        <v>328</v>
      </c>
      <c r="B31" s="66">
        <v>169.988</v>
      </c>
      <c r="C31" s="66">
        <v>19.900099999999998</v>
      </c>
      <c r="D31" s="66">
        <v>0.117067</v>
      </c>
      <c r="E31" s="66">
        <v>0</v>
      </c>
      <c r="F31" s="66">
        <v>122.449</v>
      </c>
      <c r="G31" s="66">
        <v>0</v>
      </c>
      <c r="H31" s="66">
        <v>189.315</v>
      </c>
    </row>
    <row r="32" spans="1:8">
      <c r="A32" s="58" t="s">
        <v>329</v>
      </c>
      <c r="B32" s="66">
        <v>0.24223500000000001</v>
      </c>
      <c r="C32" s="66">
        <v>8.0306199999999994E-2</v>
      </c>
      <c r="D32" s="66">
        <v>0.33152199999999998</v>
      </c>
      <c r="E32" s="66">
        <v>0.15</v>
      </c>
      <c r="F32" s="66">
        <v>0.15733900000000001</v>
      </c>
      <c r="G32" s="66">
        <v>0.4</v>
      </c>
      <c r="H32" s="66">
        <v>0.48096</v>
      </c>
    </row>
    <row r="33" spans="1:8">
      <c r="A33" s="58" t="s">
        <v>330</v>
      </c>
      <c r="B33" s="66">
        <v>0.372311</v>
      </c>
      <c r="C33" s="66">
        <v>1.13182E-2</v>
      </c>
      <c r="D33" s="66">
        <v>3.0399800000000001E-2</v>
      </c>
      <c r="E33" s="66">
        <v>0</v>
      </c>
      <c r="F33" s="66">
        <v>0.34218199999999999</v>
      </c>
      <c r="G33" s="66">
        <v>0</v>
      </c>
      <c r="H33" s="66">
        <v>0.39971600000000002</v>
      </c>
    </row>
    <row r="34" spans="1:8">
      <c r="A34" s="58" t="s">
        <v>331</v>
      </c>
      <c r="B34" s="66">
        <v>0.204398</v>
      </c>
      <c r="C34" s="66">
        <v>2.7547800000000001E-2</v>
      </c>
      <c r="D34" s="66">
        <v>0.13477600000000001</v>
      </c>
      <c r="E34" s="66">
        <v>0.1</v>
      </c>
      <c r="F34" s="66">
        <v>0.15057200000000001</v>
      </c>
      <c r="G34" s="66">
        <v>0.25</v>
      </c>
      <c r="H34" s="66">
        <v>0.29958200000000001</v>
      </c>
    </row>
    <row r="35" spans="1:8">
      <c r="A35" s="58" t="s">
        <v>332</v>
      </c>
      <c r="B35" s="66">
        <v>9.0710600000000002E-2</v>
      </c>
      <c r="C35" s="66">
        <v>2.33282E-2</v>
      </c>
      <c r="D35" s="66">
        <v>0.25717099999999998</v>
      </c>
      <c r="E35" s="66">
        <v>0</v>
      </c>
      <c r="F35" s="66">
        <v>4.0747100000000001E-2</v>
      </c>
      <c r="G35" s="66">
        <v>0</v>
      </c>
      <c r="H35" s="66">
        <v>0.14624000000000001</v>
      </c>
    </row>
    <row r="36" spans="1:8">
      <c r="A36" s="58" t="s">
        <v>333</v>
      </c>
      <c r="B36" s="66">
        <v>0.18072299999999999</v>
      </c>
      <c r="C36" s="66">
        <v>0.100026</v>
      </c>
      <c r="D36" s="66">
        <v>0.55347500000000005</v>
      </c>
      <c r="E36" s="66">
        <v>0</v>
      </c>
      <c r="F36" s="66">
        <v>3.3758400000000001E-2</v>
      </c>
      <c r="G36" s="66">
        <v>0</v>
      </c>
      <c r="H36" s="66">
        <v>0.48747200000000002</v>
      </c>
    </row>
    <row r="37" spans="1:8">
      <c r="A37" s="58" t="s">
        <v>334</v>
      </c>
      <c r="B37" s="66">
        <v>0.275478</v>
      </c>
      <c r="C37" s="66">
        <v>7.8733399999999995E-2</v>
      </c>
      <c r="D37" s="66">
        <v>0.285806</v>
      </c>
      <c r="E37" s="66">
        <v>0.1</v>
      </c>
      <c r="F37" s="66">
        <v>2.75E-2</v>
      </c>
      <c r="G37" s="66">
        <v>0.5</v>
      </c>
      <c r="H37" s="66">
        <v>0.40149800000000002</v>
      </c>
    </row>
    <row r="38" spans="1:8">
      <c r="A38" s="58" t="s">
        <v>335</v>
      </c>
      <c r="B38" s="66">
        <v>-6.2591000000000001</v>
      </c>
      <c r="C38" s="66">
        <v>60.895699999999998</v>
      </c>
      <c r="D38" s="66">
        <v>-9.7291500000000006</v>
      </c>
      <c r="E38" s="66">
        <v>0</v>
      </c>
      <c r="F38" s="66">
        <v>-115.605</v>
      </c>
      <c r="G38" s="66">
        <v>0</v>
      </c>
      <c r="H38" s="66">
        <v>391.12599999999998</v>
      </c>
    </row>
    <row r="39" spans="1:8">
      <c r="A39" s="58" t="s">
        <v>336</v>
      </c>
      <c r="B39" s="66">
        <v>-3.5934900000000001</v>
      </c>
      <c r="C39" s="66">
        <v>4.6953300000000002</v>
      </c>
      <c r="D39" s="66">
        <v>-1.3066199999999999</v>
      </c>
      <c r="E39" s="66">
        <v>0</v>
      </c>
      <c r="F39" s="66">
        <v>-11.4983</v>
      </c>
      <c r="G39" s="66">
        <v>0</v>
      </c>
      <c r="H39" s="66">
        <v>15.213200000000001</v>
      </c>
    </row>
    <row r="40" spans="1:8">
      <c r="A40" s="58" t="s">
        <v>337</v>
      </c>
      <c r="B40" s="66">
        <v>-1.63062</v>
      </c>
      <c r="C40" s="66">
        <v>0.42957299999999998</v>
      </c>
      <c r="D40" s="66">
        <v>-0.26344200000000001</v>
      </c>
      <c r="E40" s="66">
        <v>0</v>
      </c>
      <c r="F40" s="66">
        <v>-2.5018600000000002</v>
      </c>
      <c r="G40" s="66">
        <v>0</v>
      </c>
      <c r="H40" s="66">
        <v>-0.88660399999999995</v>
      </c>
    </row>
    <row r="41" spans="1:8">
      <c r="A41" s="58" t="s">
        <v>338</v>
      </c>
      <c r="B41" s="66">
        <v>-4.4496500000000001E-2</v>
      </c>
      <c r="C41" s="66">
        <v>0.33373900000000001</v>
      </c>
      <c r="D41" s="66">
        <v>-7.5003500000000001</v>
      </c>
      <c r="E41" s="66">
        <v>0</v>
      </c>
      <c r="F41" s="66">
        <v>-0.69230800000000003</v>
      </c>
      <c r="G41" s="66">
        <v>0</v>
      </c>
      <c r="H41" s="66">
        <v>1</v>
      </c>
    </row>
    <row r="42" spans="1:8">
      <c r="A42" s="58" t="s">
        <v>339</v>
      </c>
      <c r="B42" s="66">
        <v>-0.118961</v>
      </c>
      <c r="C42" s="66">
        <v>9.7011E-2</v>
      </c>
      <c r="D42" s="66">
        <v>-0.81548600000000004</v>
      </c>
      <c r="E42" s="66">
        <v>0</v>
      </c>
      <c r="F42" s="66">
        <v>-0.29727700000000001</v>
      </c>
      <c r="G42" s="66">
        <v>0</v>
      </c>
      <c r="H42" s="66">
        <v>0.18063299999999999</v>
      </c>
    </row>
    <row r="43" spans="1:8">
      <c r="A43" s="58" t="s">
        <v>340</v>
      </c>
      <c r="B43" s="66">
        <v>-8.9393E-2</v>
      </c>
      <c r="C43" s="66">
        <v>3.7846699999999997E-2</v>
      </c>
      <c r="D43" s="66">
        <v>-0.42337399999999997</v>
      </c>
      <c r="E43" s="66">
        <v>0</v>
      </c>
      <c r="F43" s="66">
        <v>-0.15845600000000001</v>
      </c>
      <c r="G43" s="66">
        <v>0</v>
      </c>
      <c r="H43" s="66">
        <v>-2.81783E-2</v>
      </c>
    </row>
    <row r="44" spans="1:8">
      <c r="A44" s="58" t="s">
        <v>341</v>
      </c>
      <c r="B44" s="66">
        <v>7.0945900000000002</v>
      </c>
      <c r="C44" s="66">
        <v>12.277100000000001</v>
      </c>
      <c r="D44" s="66">
        <v>1.7304900000000001</v>
      </c>
      <c r="E44" s="66">
        <v>0</v>
      </c>
      <c r="F44" s="66">
        <v>-9.7515300000000007</v>
      </c>
      <c r="G44" s="66">
        <v>0</v>
      </c>
      <c r="H44" s="66">
        <v>31.317399999999999</v>
      </c>
    </row>
    <row r="45" spans="1:8">
      <c r="A45" s="58" t="s">
        <v>342</v>
      </c>
      <c r="B45" s="66">
        <v>47.444200000000002</v>
      </c>
      <c r="C45" s="66">
        <v>5.5941299999999998</v>
      </c>
      <c r="D45" s="66">
        <v>0.11791</v>
      </c>
      <c r="E45" s="66">
        <v>0</v>
      </c>
      <c r="F45" s="66">
        <v>34.441499999999998</v>
      </c>
      <c r="G45" s="66">
        <v>0</v>
      </c>
      <c r="H45" s="66">
        <v>61.872100000000003</v>
      </c>
    </row>
    <row r="46" spans="1:8">
      <c r="A46" s="58" t="s">
        <v>343</v>
      </c>
      <c r="B46" s="66">
        <v>22.553899999999999</v>
      </c>
      <c r="C46" s="66">
        <v>4.9642200000000001</v>
      </c>
      <c r="D46" s="66">
        <v>0.220105</v>
      </c>
      <c r="E46" s="66">
        <v>0</v>
      </c>
      <c r="F46" s="66">
        <v>8.7781800000000008</v>
      </c>
      <c r="G46" s="66">
        <v>0</v>
      </c>
      <c r="H46" s="66">
        <v>27.816600000000001</v>
      </c>
    </row>
    <row r="47" spans="1:8">
      <c r="A47" s="58" t="s">
        <v>344</v>
      </c>
      <c r="B47" s="66">
        <v>0.469196</v>
      </c>
      <c r="C47" s="66">
        <v>0.22617399999999999</v>
      </c>
      <c r="D47" s="66">
        <v>0.482047</v>
      </c>
      <c r="E47" s="66">
        <v>0</v>
      </c>
      <c r="F47" s="66">
        <v>0.20930799999999999</v>
      </c>
      <c r="G47" s="66">
        <v>0</v>
      </c>
      <c r="H47" s="66">
        <v>1.3878299999999999</v>
      </c>
    </row>
    <row r="48" spans="1:8">
      <c r="A48" s="58" t="s">
        <v>345</v>
      </c>
      <c r="B48" s="66">
        <v>0.38895999999999997</v>
      </c>
      <c r="C48" s="66">
        <v>9.8311800000000005E-2</v>
      </c>
      <c r="D48" s="66">
        <v>0.25275599999999998</v>
      </c>
      <c r="E48" s="66">
        <v>0</v>
      </c>
      <c r="F48" s="66">
        <v>0.267957</v>
      </c>
      <c r="G48" s="66">
        <v>0</v>
      </c>
      <c r="H48" s="66">
        <v>0.71549200000000002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10.4114</v>
      </c>
      <c r="C5" s="66">
        <f>'M2'!C5-'M1'!C5</f>
        <v>-4.2352299999999996</v>
      </c>
      <c r="D5" s="66">
        <f>'M2'!D5-'M1'!D5</f>
        <v>-22.38054</v>
      </c>
      <c r="E5" s="66">
        <f>'M2'!E5-'M1'!E5</f>
        <v>0</v>
      </c>
      <c r="F5" s="66">
        <f>'M2'!F5-'M1'!F5</f>
        <v>16.246000000000002</v>
      </c>
      <c r="G5" s="66">
        <f>'M2'!G5-'M1'!G5</f>
        <v>0</v>
      </c>
      <c r="H5" s="66">
        <f>'M2'!H5-'M1'!H5</f>
        <v>3.1476000000000042</v>
      </c>
    </row>
    <row r="6" spans="1:8">
      <c r="A6" s="66" t="s">
        <v>244</v>
      </c>
      <c r="B6" s="66">
        <f>'M2'!B6-'M1'!B6</f>
        <v>1.6135000000000019</v>
      </c>
      <c r="C6" s="66">
        <f>'M2'!C6-'M1'!C6</f>
        <v>0.85993000000000008</v>
      </c>
      <c r="D6" s="66">
        <f>'M2'!D6-'M1'!D6</f>
        <v>2.1337199999999998</v>
      </c>
      <c r="E6" s="66">
        <f>'M2'!E6-'M1'!E6</f>
        <v>0</v>
      </c>
      <c r="F6" s="66">
        <f>'M2'!F6-'M1'!F6</f>
        <v>-0.63309999999999889</v>
      </c>
      <c r="G6" s="66">
        <f>'M2'!G6-'M1'!G6</f>
        <v>0</v>
      </c>
      <c r="H6" s="66">
        <f>'M2'!H6-'M1'!H6</f>
        <v>2.2897000000000034</v>
      </c>
    </row>
    <row r="7" spans="1:8">
      <c r="A7" s="66" t="s">
        <v>245</v>
      </c>
      <c r="B7" s="66">
        <f>'M2'!B7-'M1'!B7</f>
        <v>9.6546000000000021</v>
      </c>
      <c r="C7" s="66">
        <f>'M2'!C7-'M1'!C7</f>
        <v>5.3914899999999992</v>
      </c>
      <c r="D7" s="66">
        <f>'M2'!D7-'M1'!D7</f>
        <v>11.357400000000002</v>
      </c>
      <c r="E7" s="66">
        <f>'M2'!E7-'M1'!E7</f>
        <v>0</v>
      </c>
      <c r="F7" s="66">
        <f>'M2'!F7-'M1'!F7</f>
        <v>-1.4539999999999988</v>
      </c>
      <c r="G7" s="66">
        <f>'M2'!G7-'M1'!G7</f>
        <v>0</v>
      </c>
      <c r="H7" s="66">
        <f>'M2'!H7-'M1'!H7</f>
        <v>1.345799999999997</v>
      </c>
    </row>
    <row r="8" spans="1:8">
      <c r="A8" s="66" t="s">
        <v>246</v>
      </c>
      <c r="B8" s="66">
        <f>'M2'!B8-'M1'!B8</f>
        <v>6.2686000000000028</v>
      </c>
      <c r="C8" s="66">
        <f>'M2'!C8-'M1'!C8</f>
        <v>1.38812</v>
      </c>
      <c r="D8" s="66">
        <f>'M2'!D8-'M1'!D8</f>
        <v>2.8449599999999995</v>
      </c>
      <c r="E8" s="66">
        <f>'M2'!E8-'M1'!E8</f>
        <v>0</v>
      </c>
      <c r="F8" s="66">
        <f>'M2'!F8-'M1'!F8</f>
        <v>5.5553999999999988</v>
      </c>
      <c r="G8" s="66">
        <f>'M2'!G8-'M1'!G8</f>
        <v>0</v>
      </c>
      <c r="H8" s="66">
        <f>'M2'!H8-'M1'!H8</f>
        <v>6.9772999999999996</v>
      </c>
    </row>
    <row r="9" spans="1:8">
      <c r="A9" s="66" t="s">
        <v>247</v>
      </c>
      <c r="B9" s="66">
        <f>'M2'!B9-'M1'!B9</f>
        <v>-4.963000000000001</v>
      </c>
      <c r="C9" s="66">
        <f>'M2'!C9-'M1'!C9</f>
        <v>4.8659000000000017</v>
      </c>
      <c r="D9" s="66">
        <f>'M2'!D9-'M1'!D9</f>
        <v>12.157900000000001</v>
      </c>
      <c r="E9" s="66">
        <f>'M2'!E9-'M1'!E9</f>
        <v>0</v>
      </c>
      <c r="F9" s="66">
        <f>'M2'!F9-'M1'!F9</f>
        <v>-5.926400000000001</v>
      </c>
      <c r="G9" s="66">
        <f>'M2'!G9-'M1'!G9</f>
        <v>0</v>
      </c>
      <c r="H9" s="66">
        <f>'M2'!H9-'M1'!H9</f>
        <v>6.2252999999999901</v>
      </c>
    </row>
    <row r="10" spans="1:8">
      <c r="A10" s="66" t="s">
        <v>248</v>
      </c>
      <c r="B10" s="66">
        <f>'M2'!B10-'M1'!B10</f>
        <v>3.6407999999999987</v>
      </c>
      <c r="C10" s="66">
        <f>'M2'!C10-'M1'!C10</f>
        <v>-0.64728999999999992</v>
      </c>
      <c r="D10" s="66">
        <f>'M2'!D10-'M1'!D10</f>
        <v>-1.0249500000000005</v>
      </c>
      <c r="E10" s="66">
        <f>'M2'!E10-'M1'!E10</f>
        <v>0</v>
      </c>
      <c r="F10" s="66">
        <f>'M2'!F10-'M1'!F10</f>
        <v>2.3718999999999966</v>
      </c>
      <c r="G10" s="66">
        <f>'M2'!G10-'M1'!G10</f>
        <v>0</v>
      </c>
      <c r="H10" s="66">
        <f>'M2'!H10-'M1'!H10</f>
        <v>1.8917000000000002</v>
      </c>
    </row>
    <row r="11" spans="1:8">
      <c r="A11" s="66" t="s">
        <v>249</v>
      </c>
      <c r="B11" s="66">
        <f>'M2'!B11-'M1'!B11</f>
        <v>2.1092900000000006</v>
      </c>
      <c r="C11" s="66">
        <f>'M2'!C11-'M1'!C11</f>
        <v>1.8578939999999999</v>
      </c>
      <c r="D11" s="66">
        <f>'M2'!D11-'M1'!D11</f>
        <v>20.25808</v>
      </c>
      <c r="E11" s="66">
        <f>'M2'!E11-'M1'!E11</f>
        <v>0</v>
      </c>
      <c r="F11" s="66">
        <f>'M2'!F11-'M1'!F11</f>
        <v>0.45542999999999978</v>
      </c>
      <c r="G11" s="66">
        <f>'M2'!G11-'M1'!G11</f>
        <v>0</v>
      </c>
      <c r="H11" s="66">
        <f>'M2'!H11-'M1'!H11</f>
        <v>6.6280700000000001</v>
      </c>
    </row>
    <row r="12" spans="1:8">
      <c r="A12" s="66" t="s">
        <v>250</v>
      </c>
      <c r="B12" s="66">
        <f>'M2'!B12-'M1'!B12</f>
        <v>-0.53650000000000375</v>
      </c>
      <c r="C12" s="66">
        <f>'M2'!C12-'M1'!C12</f>
        <v>2.6675900000000006</v>
      </c>
      <c r="D12" s="66">
        <f>'M2'!D12-'M1'!D12</f>
        <v>4.2719200000000006</v>
      </c>
      <c r="E12" s="66">
        <f>'M2'!E12-'M1'!E12</f>
        <v>0</v>
      </c>
      <c r="F12" s="66">
        <f>'M2'!F12-'M1'!F12</f>
        <v>-2.4324000000000012</v>
      </c>
      <c r="G12" s="66">
        <f>'M2'!G12-'M1'!G12</f>
        <v>0</v>
      </c>
      <c r="H12" s="66">
        <f>'M2'!H12-'M1'!H12</f>
        <v>4.1727000000000061</v>
      </c>
    </row>
    <row r="13" spans="1:8">
      <c r="A13" s="66" t="s">
        <v>251</v>
      </c>
      <c r="B13" s="66">
        <f>'M2'!B13-'M1'!B13</f>
        <v>-1.2481000000000009</v>
      </c>
      <c r="C13" s="66">
        <f>'M2'!C13-'M1'!C13</f>
        <v>1.0062600000000002</v>
      </c>
      <c r="D13" s="66">
        <f>'M2'!D13-'M1'!D13</f>
        <v>5.7202000000000019</v>
      </c>
      <c r="E13" s="66">
        <f>'M2'!E13-'M1'!E13</f>
        <v>0</v>
      </c>
      <c r="F13" s="66">
        <f>'M2'!F13-'M1'!F13</f>
        <v>-2.110100000000001</v>
      </c>
      <c r="G13" s="66">
        <f>'M2'!G13-'M1'!G13</f>
        <v>0</v>
      </c>
      <c r="H13" s="66">
        <f>'M2'!H13-'M1'!H13</f>
        <v>1.4160000000000004</v>
      </c>
    </row>
    <row r="14" spans="1:8">
      <c r="A14" s="66" t="s">
        <v>252</v>
      </c>
      <c r="B14" s="66">
        <f>'M2'!B14-'M1'!B14</f>
        <v>10.0626</v>
      </c>
      <c r="C14" s="66">
        <f>'M2'!C14-'M1'!C14</f>
        <v>6.6500000000000448E-2</v>
      </c>
      <c r="D14" s="66">
        <f>'M2'!D14-'M1'!D14</f>
        <v>-10.1921</v>
      </c>
      <c r="E14" s="66">
        <f>'M2'!E14-'M1'!E14</f>
        <v>0</v>
      </c>
      <c r="F14" s="66">
        <f>'M2'!F14-'M1'!F14</f>
        <v>-1.3237100000000002</v>
      </c>
      <c r="G14" s="66">
        <f>'M2'!G14-'M1'!G14</f>
        <v>0</v>
      </c>
      <c r="H14" s="66">
        <f>'M2'!H14-'M1'!H14</f>
        <v>1.0899999999999963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0.14399799999999996</v>
      </c>
      <c r="C18" s="66">
        <f>'M2'!C18-'M1'!C18</f>
        <v>3.9511299999999997E-3</v>
      </c>
      <c r="D18" s="66">
        <f>'M2'!D18-'M1'!D18</f>
        <v>5.9687300000000002E-3</v>
      </c>
      <c r="E18" s="66">
        <f>'M2'!E18-'M1'!E18</f>
        <v>0</v>
      </c>
      <c r="F18" s="66">
        <f>'M2'!F18-'M1'!F18</f>
        <v>0.65802099999999997</v>
      </c>
      <c r="G18" s="66">
        <f>'M2'!G18-'M1'!G18</f>
        <v>0</v>
      </c>
      <c r="H18" s="66">
        <f>'M2'!H18-'M1'!H18</f>
        <v>0.66592300000000004</v>
      </c>
    </row>
    <row r="19" spans="1:8">
      <c r="A19" s="66" t="s">
        <v>256</v>
      </c>
      <c r="B19" s="66">
        <f>'M2'!B19-'M1'!B19</f>
        <v>0.10527500000000001</v>
      </c>
      <c r="C19" s="66">
        <f>'M2'!C19-'M1'!C19</f>
        <v>3.5715200000000003E-2</v>
      </c>
      <c r="D19" s="66">
        <f>'M2'!D19-'M1'!D19</f>
        <v>4.2679000000000002E-2</v>
      </c>
      <c r="E19" s="66">
        <f>'M2'!E19-'M1'!E19</f>
        <v>0</v>
      </c>
      <c r="F19" s="66">
        <f>'M2'!F19-'M1'!F19</f>
        <v>0.80111900000000003</v>
      </c>
      <c r="G19" s="66">
        <f>'M2'!G19-'M1'!G19</f>
        <v>0</v>
      </c>
      <c r="H19" s="66">
        <f>'M2'!H19-'M1'!H19</f>
        <v>0.87254900000000002</v>
      </c>
    </row>
    <row r="20" spans="1:8">
      <c r="A20" s="66" t="s">
        <v>63</v>
      </c>
      <c r="B20" s="66">
        <f>'M2'!B20-'M1'!B20</f>
        <v>2.0731700000000003E-5</v>
      </c>
      <c r="C20" s="66">
        <f>'M2'!C20-'M1'!C20</f>
        <v>3.0848999999999981E-3</v>
      </c>
      <c r="D20" s="66">
        <f>'M2'!D20-'M1'!D20</f>
        <v>-162.27300000000002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0.13829000000000002</v>
      </c>
    </row>
    <row r="21" spans="1:8">
      <c r="A21" s="66" t="s">
        <v>64</v>
      </c>
      <c r="B21" s="66">
        <f>'M2'!B21-'M1'!B21</f>
        <v>1.6170999999999998E-2</v>
      </c>
      <c r="C21" s="66">
        <f>'M2'!C21-'M1'!C21</f>
        <v>-1.8595200000000006E-2</v>
      </c>
      <c r="D21" s="66">
        <f>'M2'!D21-'M1'!D21</f>
        <v>-1.4831700000000001</v>
      </c>
      <c r="E21" s="66">
        <f>'M2'!E21-'M1'!E21</f>
        <v>0</v>
      </c>
      <c r="F21" s="66">
        <f>'M2'!F21-'M1'!F21</f>
        <v>9.8511999999999995E-5</v>
      </c>
      <c r="G21" s="66">
        <f>'M2'!G21-'M1'!G21</f>
        <v>0</v>
      </c>
      <c r="H21" s="66">
        <f>'M2'!H21-'M1'!H21</f>
        <v>-0.10609500000000005</v>
      </c>
    </row>
    <row r="22" spans="1:8">
      <c r="A22" s="66" t="s">
        <v>65</v>
      </c>
      <c r="B22" s="66">
        <f>'M2'!B22-'M1'!B22</f>
        <v>-7.0800000000005525E-2</v>
      </c>
      <c r="C22" s="66">
        <f>'M2'!C22-'M1'!C22</f>
        <v>-0.82809999999999917</v>
      </c>
      <c r="D22" s="66">
        <f>'M2'!D22-'M1'!D22</f>
        <v>-2.1514000000000033E-2</v>
      </c>
      <c r="E22" s="66">
        <f>'M2'!E22-'M1'!E22</f>
        <v>0</v>
      </c>
      <c r="F22" s="66">
        <f>'M2'!F22-'M1'!F22</f>
        <v>-2.5605999999999973</v>
      </c>
      <c r="G22" s="66">
        <f>'M2'!G22-'M1'!G22</f>
        <v>0</v>
      </c>
      <c r="H22" s="66">
        <f>'M2'!H22-'M1'!H22</f>
        <v>7.2656000000000063</v>
      </c>
    </row>
    <row r="23" spans="1:8">
      <c r="A23" s="66" t="s">
        <v>66</v>
      </c>
      <c r="B23" s="66">
        <f>'M2'!B23-'M1'!B23</f>
        <v>0.98390000000000022</v>
      </c>
      <c r="C23" s="66">
        <f>'M2'!C23-'M1'!C23</f>
        <v>6.3640000000000363E-3</v>
      </c>
      <c r="D23" s="66">
        <f>'M2'!D23-'M1'!D23</f>
        <v>-3.0956000000000039E-3</v>
      </c>
      <c r="E23" s="66">
        <f>'M2'!E23-'M1'!E23</f>
        <v>0</v>
      </c>
      <c r="F23" s="66">
        <f>'M2'!F23-'M1'!F23</f>
        <v>1.1295999999999999</v>
      </c>
      <c r="G23" s="66">
        <f>'M2'!G23-'M1'!G23</f>
        <v>0</v>
      </c>
      <c r="H23" s="66">
        <f>'M2'!H23-'M1'!H23</f>
        <v>1.2416</v>
      </c>
    </row>
    <row r="24" spans="1:8">
      <c r="A24" s="66" t="s">
        <v>67</v>
      </c>
      <c r="B24" s="66">
        <f>'M2'!B24-'M1'!B24</f>
        <v>-1.1914800000000001E-4</v>
      </c>
      <c r="C24" s="66">
        <f>'M2'!C24-'M1'!C24</f>
        <v>6.7959999999999895E-4</v>
      </c>
      <c r="D24" s="66">
        <f>'M2'!D24-'M1'!D24</f>
        <v>80.975400000000008</v>
      </c>
      <c r="E24" s="66">
        <f>'M2'!E24-'M1'!E24</f>
        <v>0</v>
      </c>
      <c r="F24" s="66">
        <f>'M2'!F24-'M1'!F24</f>
        <v>5.0368599999999997E-6</v>
      </c>
      <c r="G24" s="66">
        <f>'M2'!G24-'M1'!G24</f>
        <v>0</v>
      </c>
      <c r="H24" s="66">
        <f>'M2'!H24-'M1'!H24</f>
        <v>-6.368999999999958E-4</v>
      </c>
    </row>
    <row r="25" spans="1:8">
      <c r="A25" s="66" t="s">
        <v>68</v>
      </c>
      <c r="B25" s="66">
        <f>'M2'!B25-'M1'!B25</f>
        <v>3.0726999999999977E-3</v>
      </c>
      <c r="C25" s="66">
        <f>'M2'!C25-'M1'!C25</f>
        <v>-4.1984900000000006E-2</v>
      </c>
      <c r="D25" s="66">
        <f>'M2'!D25-'M1'!D25</f>
        <v>-0.62402099999999994</v>
      </c>
      <c r="E25" s="66">
        <f>'M2'!E25-'M1'!E25</f>
        <v>0</v>
      </c>
      <c r="F25" s="66">
        <f>'M2'!F25-'M1'!F25</f>
        <v>1.66211E-2</v>
      </c>
      <c r="G25" s="66">
        <f>'M2'!G25-'M1'!G25</f>
        <v>0</v>
      </c>
      <c r="H25" s="66">
        <f>'M2'!H25-'M1'!H25</f>
        <v>-0.18188699999999997</v>
      </c>
    </row>
    <row r="26" spans="1:8">
      <c r="A26" s="66" t="s">
        <v>69</v>
      </c>
      <c r="B26" s="66">
        <f>'M2'!B26-'M1'!B26</f>
        <v>9.8477100000000013E-6</v>
      </c>
      <c r="C26" s="66">
        <f>'M2'!C26-'M1'!C26</f>
        <v>2.0939999999999891E-5</v>
      </c>
      <c r="D26" s="66">
        <f>'M2'!D26-'M1'!D26</f>
        <v>-65.663300000000007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3.17425E-3</v>
      </c>
    </row>
    <row r="27" spans="1:8">
      <c r="A27" s="66" t="s">
        <v>70</v>
      </c>
      <c r="B27" s="66">
        <f>'M2'!B27-'M1'!B27</f>
        <v>0</v>
      </c>
      <c r="C27" s="66">
        <f>'M2'!C27-'M1'!C27</f>
        <v>1.8597599999999991E-4</v>
      </c>
      <c r="D27" s="66">
        <f>'M2'!D27-'M1'!D27</f>
        <v>0</v>
      </c>
      <c r="E27" s="66">
        <f>'M2'!E27-'M1'!E27</f>
        <v>0</v>
      </c>
      <c r="F27" s="66">
        <f>'M2'!F27-'M1'!F27</f>
        <v>-5.2684999999999997E-3</v>
      </c>
      <c r="G27" s="66">
        <f>'M2'!G27-'M1'!G27</f>
        <v>0</v>
      </c>
      <c r="H27" s="66">
        <f>'M2'!H27-'M1'!H27</f>
        <v>5.3965200000000001E-3</v>
      </c>
    </row>
    <row r="28" spans="1:8">
      <c r="A28" s="66" t="s">
        <v>71</v>
      </c>
      <c r="B28" s="66">
        <f>'M2'!B28-'M1'!B28</f>
        <v>1.24186E-3</v>
      </c>
      <c r="C28" s="66">
        <f>'M2'!C28-'M1'!C28</f>
        <v>-8.7330000000000046E-5</v>
      </c>
      <c r="D28" s="66">
        <f>'M2'!D28-'M1'!D28</f>
        <v>-0.43430999999999997</v>
      </c>
      <c r="E28" s="66">
        <f>'M2'!E28-'M1'!E28</f>
        <v>0</v>
      </c>
      <c r="F28" s="66">
        <f>'M2'!F28-'M1'!F28</f>
        <v>1.3020800000000002E-5</v>
      </c>
      <c r="G28" s="66">
        <f>'M2'!G28-'M1'!G28</f>
        <v>0</v>
      </c>
      <c r="H28" s="66">
        <f>'M2'!H28-'M1'!H28</f>
        <v>-9.8111999999999991E-3</v>
      </c>
    </row>
    <row r="29" spans="1:8">
      <c r="A29" s="66" t="s">
        <v>72</v>
      </c>
      <c r="B29" s="66">
        <f>'M2'!B29-'M1'!B29</f>
        <v>2.0934999999999988</v>
      </c>
      <c r="C29" s="66">
        <f>'M2'!C29-'M1'!C29</f>
        <v>3.1182100000000004</v>
      </c>
      <c r="D29" s="66">
        <f>'M2'!D29-'M1'!D29</f>
        <v>4.6818000000000012E-2</v>
      </c>
      <c r="E29" s="66">
        <f>'M2'!E29-'M1'!E29</f>
        <v>0</v>
      </c>
      <c r="F29" s="66">
        <f>'M2'!F29-'M1'!F29</f>
        <v>-5.0844000000000023</v>
      </c>
      <c r="G29" s="66">
        <f>'M2'!G29-'M1'!G29</f>
        <v>0</v>
      </c>
      <c r="H29" s="66">
        <f>'M2'!H29-'M1'!H29</f>
        <v>2.2878000000000043</v>
      </c>
    </row>
    <row r="30" spans="1:8">
      <c r="A30" s="66" t="s">
        <v>73</v>
      </c>
      <c r="B30" s="66">
        <f>'M2'!B30-'M1'!B30</f>
        <v>4.3239000000000001</v>
      </c>
      <c r="C30" s="66">
        <f>'M2'!C30-'M1'!C30</f>
        <v>-0.21873000000000009</v>
      </c>
      <c r="D30" s="66">
        <f>'M2'!D30-'M1'!D30</f>
        <v>-4.8055899999999999E-2</v>
      </c>
      <c r="E30" s="66">
        <f>'M2'!E30-'M1'!E30</f>
        <v>0</v>
      </c>
      <c r="F30" s="66">
        <f>'M2'!F30-'M1'!F30</f>
        <v>4.2306999999999988</v>
      </c>
      <c r="G30" s="66">
        <f>'M2'!G30-'M1'!G30</f>
        <v>0</v>
      </c>
      <c r="H30" s="66">
        <f>'M2'!H30-'M1'!H30</f>
        <v>3.6844999999999999</v>
      </c>
    </row>
    <row r="31" spans="1:8">
      <c r="A31" s="66" t="s">
        <v>74</v>
      </c>
      <c r="B31" s="66">
        <f>'M2'!B31-'M1'!B31</f>
        <v>38.034999999999997</v>
      </c>
      <c r="C31" s="66">
        <f>'M2'!C31-'M1'!C31</f>
        <v>-8.4999400000000005</v>
      </c>
      <c r="D31" s="66">
        <f>'M2'!D31-'M1'!D31</f>
        <v>-7.0155399999999993E-2</v>
      </c>
      <c r="E31" s="66">
        <f>'M2'!E31-'M1'!E31</f>
        <v>0</v>
      </c>
      <c r="F31" s="66">
        <f>'M2'!F31-'M1'!F31</f>
        <v>42.597999999999999</v>
      </c>
      <c r="G31" s="66">
        <f>'M2'!G31-'M1'!G31</f>
        <v>0</v>
      </c>
      <c r="H31" s="66">
        <f>'M2'!H31-'M1'!H31</f>
        <v>4.3439999999999941</v>
      </c>
    </row>
    <row r="32" spans="1:8">
      <c r="A32" s="66" t="s">
        <v>75</v>
      </c>
      <c r="B32" s="66">
        <f>'M2'!B32-'M1'!B32</f>
        <v>9.6545999999999993E-2</v>
      </c>
      <c r="C32" s="66">
        <f>'M2'!C32-'M1'!C32</f>
        <v>5.3914899999999995E-2</v>
      </c>
      <c r="D32" s="66">
        <f>'M2'!D32-'M1'!D32</f>
        <v>0.11357400000000001</v>
      </c>
      <c r="E32" s="66">
        <f>'M2'!E32-'M1'!E32</f>
        <v>0</v>
      </c>
      <c r="F32" s="66">
        <f>'M2'!F32-'M1'!F32</f>
        <v>-1.4539999999999997E-2</v>
      </c>
      <c r="G32" s="66">
        <f>'M2'!G32-'M1'!G32</f>
        <v>0</v>
      </c>
      <c r="H32" s="66">
        <f>'M2'!H32-'M1'!H32</f>
        <v>1.3458000000000025E-2</v>
      </c>
    </row>
    <row r="33" spans="1:8">
      <c r="A33" s="66" t="s">
        <v>76</v>
      </c>
      <c r="B33" s="66">
        <f>'M2'!B33-'M1'!B33</f>
        <v>5.9399999999998343E-4</v>
      </c>
      <c r="C33" s="66">
        <f>'M2'!C33-'M1'!C33</f>
        <v>5.7896900000000001E-3</v>
      </c>
      <c r="D33" s="66">
        <f>'M2'!D33-'M1'!D33</f>
        <v>1.5503200000000002E-2</v>
      </c>
      <c r="E33" s="66">
        <f>'M2'!E33-'M1'!E33</f>
        <v>0</v>
      </c>
      <c r="F33" s="66">
        <f>'M2'!F33-'M1'!F33</f>
        <v>-5.9790000000000121E-3</v>
      </c>
      <c r="G33" s="66">
        <f>'M2'!G33-'M1'!G33</f>
        <v>0</v>
      </c>
      <c r="H33" s="66">
        <f>'M2'!H33-'M1'!H33</f>
        <v>1.7679E-2</v>
      </c>
    </row>
    <row r="34" spans="1:8">
      <c r="A34" s="66" t="s">
        <v>77</v>
      </c>
      <c r="B34" s="66">
        <f>'M2'!B34-'M1'!B34</f>
        <v>-1.2480999999999992E-2</v>
      </c>
      <c r="C34" s="66">
        <f>'M2'!C34-'M1'!C34</f>
        <v>1.0062600000000001E-2</v>
      </c>
      <c r="D34" s="66">
        <f>'M2'!D34-'M1'!D34</f>
        <v>5.7202000000000003E-2</v>
      </c>
      <c r="E34" s="66">
        <f>'M2'!E34-'M1'!E34</f>
        <v>0</v>
      </c>
      <c r="F34" s="66">
        <f>'M2'!F34-'M1'!F34</f>
        <v>-2.1100999999999981E-2</v>
      </c>
      <c r="G34" s="66">
        <f>'M2'!G34-'M1'!G34</f>
        <v>0</v>
      </c>
      <c r="H34" s="66">
        <f>'M2'!H34-'M1'!H34</f>
        <v>1.4160000000000006E-2</v>
      </c>
    </row>
    <row r="35" spans="1:8">
      <c r="A35" s="66" t="s">
        <v>78</v>
      </c>
      <c r="B35" s="66">
        <f>'M2'!B35-'M1'!B35</f>
        <v>-1.4162000000000063E-3</v>
      </c>
      <c r="C35" s="66">
        <f>'M2'!C35-'M1'!C35</f>
        <v>-3.5431000000000004E-3</v>
      </c>
      <c r="D35" s="66">
        <f>'M2'!D35-'M1'!D35</f>
        <v>-3.5079999999999972E-2</v>
      </c>
      <c r="E35" s="66">
        <f>'M2'!E35-'M1'!E35</f>
        <v>0</v>
      </c>
      <c r="F35" s="66">
        <f>'M2'!F35-'M1'!F35</f>
        <v>1.4074299999999998E-2</v>
      </c>
      <c r="G35" s="66">
        <f>'M2'!G35-'M1'!G35</f>
        <v>0</v>
      </c>
      <c r="H35" s="66">
        <f>'M2'!H35-'M1'!H35</f>
        <v>5.8640000000000081E-3</v>
      </c>
    </row>
    <row r="36" spans="1:8">
      <c r="A36" s="66" t="s">
        <v>79</v>
      </c>
      <c r="B36" s="66">
        <f>'M2'!B36-'M1'!B36</f>
        <v>-2.1427999999999975E-2</v>
      </c>
      <c r="C36" s="66">
        <f>'M2'!C36-'M1'!C36</f>
        <v>-3.7683000000000022E-3</v>
      </c>
      <c r="D36" s="66">
        <f>'M2'!D36-'M1'!D36</f>
        <v>4.5385000000000009E-2</v>
      </c>
      <c r="E36" s="66">
        <f>'M2'!E36-'M1'!E36</f>
        <v>0</v>
      </c>
      <c r="F36" s="66">
        <f>'M2'!F36-'M1'!F36</f>
        <v>-1.5452300000000002E-2</v>
      </c>
      <c r="G36" s="66">
        <f>'M2'!G36-'M1'!G36</f>
        <v>0</v>
      </c>
      <c r="H36" s="66">
        <f>'M2'!H36-'M1'!H36</f>
        <v>2.0168000000000019E-2</v>
      </c>
    </row>
    <row r="37" spans="1:8">
      <c r="A37" s="66" t="s">
        <v>80</v>
      </c>
      <c r="B37" s="66">
        <f>'M2'!B37-'M1'!B37</f>
        <v>0.10062599999999997</v>
      </c>
      <c r="C37" s="66">
        <f>'M2'!C37-'M1'!C37</f>
        <v>6.6499999999999893E-4</v>
      </c>
      <c r="D37" s="66">
        <f>'M2'!D37-'M1'!D37</f>
        <v>-0.10192100000000004</v>
      </c>
      <c r="E37" s="66">
        <f>'M2'!E37-'M1'!E37</f>
        <v>0</v>
      </c>
      <c r="F37" s="66">
        <f>'M2'!F37-'M1'!F37</f>
        <v>-1.3237099999999998E-2</v>
      </c>
      <c r="G37" s="66">
        <f>'M2'!G37-'M1'!G37</f>
        <v>0</v>
      </c>
      <c r="H37" s="66">
        <f>'M2'!H37-'M1'!H37</f>
        <v>1.0900000000000021E-2</v>
      </c>
    </row>
    <row r="38" spans="1:8">
      <c r="A38" s="66" t="s">
        <v>81</v>
      </c>
      <c r="B38" s="66">
        <f>'M2'!B38-'M1'!B38</f>
        <v>-9.2702500000000008</v>
      </c>
      <c r="C38" s="66">
        <f>'M2'!C38-'M1'!C38</f>
        <v>1.7427000000000064</v>
      </c>
      <c r="D38" s="66">
        <f>'M2'!D38-'M1'!D38</f>
        <v>30.959439999999997</v>
      </c>
      <c r="E38" s="66">
        <f>'M2'!E38-'M1'!E38</f>
        <v>0</v>
      </c>
      <c r="F38" s="66">
        <f>'M2'!F38-'M1'!F38</f>
        <v>-26.471100000000007</v>
      </c>
      <c r="G38" s="66">
        <f>'M2'!G38-'M1'!G38</f>
        <v>0</v>
      </c>
      <c r="H38" s="66">
        <f>'M2'!H38-'M1'!H38</f>
        <v>155.24599999999998</v>
      </c>
    </row>
    <row r="39" spans="1:8">
      <c r="A39" s="66" t="s">
        <v>82</v>
      </c>
      <c r="B39" s="66">
        <f>'M2'!B39-'M1'!B39</f>
        <v>-3.4236699999999995</v>
      </c>
      <c r="C39" s="66">
        <f>'M2'!C39-'M1'!C39</f>
        <v>0.40798999999999985</v>
      </c>
      <c r="D39" s="66">
        <f>'M2'!D39-'M1'!D39</f>
        <v>1.8404799999999999</v>
      </c>
      <c r="E39" s="66">
        <f>'M2'!E39-'M1'!E39</f>
        <v>0</v>
      </c>
      <c r="F39" s="66">
        <f>'M2'!F39-'M1'!F39</f>
        <v>-2.2922799999999999</v>
      </c>
      <c r="G39" s="66">
        <f>'M2'!G39-'M1'!G39</f>
        <v>0</v>
      </c>
      <c r="H39" s="66">
        <f>'M2'!H39-'M1'!H39</f>
        <v>4.7002000000000006</v>
      </c>
    </row>
    <row r="40" spans="1:8">
      <c r="A40" s="66" t="s">
        <v>83</v>
      </c>
      <c r="B40" s="66">
        <f>'M2'!B40-'M1'!B40</f>
        <v>-0.58027000000000006</v>
      </c>
      <c r="C40" s="66">
        <f>'M2'!C40-'M1'!C40</f>
        <v>7.1739999999999998E-2</v>
      </c>
      <c r="D40" s="66">
        <f>'M2'!D40-'M1'!D40</f>
        <v>2.0459000000000005E-2</v>
      </c>
      <c r="E40" s="66">
        <f>'M2'!E40-'M1'!E40</f>
        <v>0</v>
      </c>
      <c r="F40" s="66">
        <f>'M2'!F40-'M1'!F40</f>
        <v>-0.71967000000000025</v>
      </c>
      <c r="G40" s="66">
        <f>'M2'!G40-'M1'!G40</f>
        <v>0</v>
      </c>
      <c r="H40" s="66">
        <f>'M2'!H40-'M1'!H40</f>
        <v>-0.45543599999999995</v>
      </c>
    </row>
    <row r="41" spans="1:8">
      <c r="A41" s="66" t="s">
        <v>84</v>
      </c>
      <c r="B41" s="66">
        <f>'M2'!B41-'M1'!B41</f>
        <v>-0.14138733000000001</v>
      </c>
      <c r="C41" s="66">
        <f>'M2'!C41-'M1'!C41</f>
        <v>3.8846999999999965E-2</v>
      </c>
      <c r="D41" s="66">
        <f>'M2'!D41-'M1'!D41</f>
        <v>129.87649999999999</v>
      </c>
      <c r="E41" s="66">
        <f>'M2'!E41-'M1'!E41</f>
        <v>0</v>
      </c>
      <c r="F41" s="66">
        <f>'M2'!F41-'M1'!F41</f>
        <v>4.8080000000000345E-3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-8.7060700000000005E-2</v>
      </c>
      <c r="C42" s="66">
        <f>'M2'!C42-'M1'!C42</f>
        <v>4.520200000000002E-3</v>
      </c>
      <c r="D42" s="66">
        <f>'M2'!D42-'M1'!D42</f>
        <v>0.71929599999999994</v>
      </c>
      <c r="E42" s="66">
        <f>'M2'!E42-'M1'!E42</f>
        <v>0</v>
      </c>
      <c r="F42" s="66">
        <f>'M2'!F42-'M1'!F42</f>
        <v>-9.4428000000000012E-2</v>
      </c>
      <c r="G42" s="66">
        <f>'M2'!G42-'M1'!G42</f>
        <v>0</v>
      </c>
      <c r="H42" s="66">
        <f>'M2'!H42-'M1'!H42</f>
        <v>-1.1456999999999995E-2</v>
      </c>
    </row>
    <row r="43" spans="1:8">
      <c r="A43" s="66" t="s">
        <v>86</v>
      </c>
      <c r="B43" s="66">
        <f>'M2'!B43-'M1'!B43</f>
        <v>-7.0479800000000009E-2</v>
      </c>
      <c r="C43" s="66">
        <f>'M2'!C43-'M1'!C43</f>
        <v>6.2030000000000071E-4</v>
      </c>
      <c r="D43" s="66">
        <f>'M2'!D43-'M1'!D43</f>
        <v>0.283528</v>
      </c>
      <c r="E43" s="66">
        <f>'M2'!E43-'M1'!E43</f>
        <v>0</v>
      </c>
      <c r="F43" s="66">
        <f>'M2'!F43-'M1'!F43</f>
        <v>-5.8117000000000016E-2</v>
      </c>
      <c r="G43" s="66">
        <f>'M2'!G43-'M1'!G43</f>
        <v>0</v>
      </c>
      <c r="H43" s="66">
        <f>'M2'!H43-'M1'!H43</f>
        <v>-4.8390599999999992E-2</v>
      </c>
    </row>
    <row r="44" spans="1:8">
      <c r="A44" s="66" t="s">
        <v>87</v>
      </c>
      <c r="B44" s="66">
        <f>'M2'!B44-'M1'!B44</f>
        <v>22.175678999999999</v>
      </c>
      <c r="C44" s="66">
        <f>'M2'!C44-'M1'!C44</f>
        <v>1.83873</v>
      </c>
      <c r="D44" s="66">
        <f>'M2'!D44-'M1'!D44</f>
        <v>8.2240059999999993</v>
      </c>
      <c r="E44" s="66">
        <f>'M2'!E44-'M1'!E44</f>
        <v>0</v>
      </c>
      <c r="F44" s="66">
        <f>'M2'!F44-'M1'!F44</f>
        <v>15.487280000000002</v>
      </c>
      <c r="G44" s="66">
        <f>'M2'!G44-'M1'!G44</f>
        <v>0</v>
      </c>
      <c r="H44" s="66">
        <f>'M2'!H44-'M1'!H44</f>
        <v>20.9391</v>
      </c>
    </row>
    <row r="45" spans="1:8">
      <c r="A45" s="66" t="s">
        <v>88</v>
      </c>
      <c r="B45" s="66">
        <f>'M2'!B45-'M1'!B45</f>
        <v>0.518100000000004</v>
      </c>
      <c r="C45" s="66">
        <f>'M2'!C45-'M1'!C45</f>
        <v>2.3639200000000002</v>
      </c>
      <c r="D45" s="66">
        <f>'M2'!D45-'M1'!D45</f>
        <v>4.8462299999999986E-2</v>
      </c>
      <c r="E45" s="66">
        <f>'M2'!E45-'M1'!E45</f>
        <v>0</v>
      </c>
      <c r="F45" s="66">
        <f>'M2'!F45-'M1'!F45</f>
        <v>-1.0877000000000052</v>
      </c>
      <c r="G45" s="66">
        <f>'M2'!G45-'M1'!G45</f>
        <v>0</v>
      </c>
      <c r="H45" s="66">
        <f>'M2'!H45-'M1'!H45</f>
        <v>6.7420000000000044</v>
      </c>
    </row>
    <row r="46" spans="1:8">
      <c r="A46" s="66" t="s">
        <v>89</v>
      </c>
      <c r="B46" s="66">
        <f>'M2'!B46-'M1'!B46</f>
        <v>7.4947999999999979</v>
      </c>
      <c r="C46" s="66">
        <f>'M2'!C46-'M1'!C46</f>
        <v>-2.8019300000000005</v>
      </c>
      <c r="D46" s="66">
        <f>'M2'!D46-'M1'!D46</f>
        <v>-0.20174360000000002</v>
      </c>
      <c r="E46" s="66">
        <f>'M2'!E46-'M1'!E46</f>
        <v>0</v>
      </c>
      <c r="F46" s="66">
        <f>'M2'!F46-'M1'!F46</f>
        <v>13.720319999999999</v>
      </c>
      <c r="G46" s="66">
        <f>'M2'!G46-'M1'!G46</f>
        <v>0</v>
      </c>
      <c r="H46" s="66">
        <f>'M2'!H46-'M1'!H46</f>
        <v>4.2778999999999989</v>
      </c>
    </row>
    <row r="47" spans="1:8">
      <c r="A47" s="66" t="s">
        <v>90</v>
      </c>
      <c r="B47" s="66">
        <f>'M2'!B47-'M1'!B47</f>
        <v>0.16042700000000004</v>
      </c>
      <c r="C47" s="66">
        <f>'M2'!C47-'M1'!C47</f>
        <v>8.9226E-2</v>
      </c>
      <c r="D47" s="66">
        <f>'M2'!D47-'M1'!D47</f>
        <v>5.0783000000000023E-2</v>
      </c>
      <c r="E47" s="66">
        <f>'M2'!E47-'M1'!E47</f>
        <v>0</v>
      </c>
      <c r="F47" s="66">
        <f>'M2'!F47-'M1'!F47</f>
        <v>5.9524000000000021E-2</v>
      </c>
      <c r="G47" s="66">
        <f>'M2'!G47-'M1'!G47</f>
        <v>0</v>
      </c>
      <c r="H47" s="66">
        <f>'M2'!H47-'M1'!H47</f>
        <v>0.51998499999999992</v>
      </c>
    </row>
    <row r="48" spans="1:8">
      <c r="A48" s="66" t="s">
        <v>91</v>
      </c>
      <c r="B48" s="66">
        <f>'M2'!B48-'M1'!B48</f>
        <v>-2.2026999999999963E-2</v>
      </c>
      <c r="C48" s="66">
        <f>'M2'!C48-'M1'!C48</f>
        <v>-3.859979999999999E-2</v>
      </c>
      <c r="D48" s="66">
        <f>'M2'!D48-'M1'!D48</f>
        <v>-8.751600000000001E-2</v>
      </c>
      <c r="E48" s="66">
        <f>'M2'!E48-'M1'!E48</f>
        <v>0</v>
      </c>
      <c r="F48" s="66">
        <f>'M2'!F48-'M1'!F48</f>
        <v>-2.4312999999999974E-2</v>
      </c>
      <c r="G48" s="66">
        <f>'M2'!G48-'M1'!G48</f>
        <v>0</v>
      </c>
      <c r="H48" s="66">
        <f>'M2'!H48-'M1'!H48</f>
        <v>-0.23976700000000001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21.286799999999999</v>
      </c>
      <c r="C5" s="66">
        <v>5.8454199999999998</v>
      </c>
      <c r="D5" s="66">
        <v>27.4603</v>
      </c>
      <c r="E5" s="66">
        <v>20</v>
      </c>
      <c r="F5" s="66">
        <v>11.672499999999999</v>
      </c>
      <c r="G5" s="66">
        <v>50</v>
      </c>
      <c r="H5" s="66">
        <v>32.945099999999996</v>
      </c>
    </row>
    <row r="6" spans="1:8">
      <c r="A6" s="66" t="s">
        <v>358</v>
      </c>
      <c r="B6" s="66">
        <v>36.4223</v>
      </c>
      <c r="C6" s="66">
        <v>1.0914299999999999</v>
      </c>
      <c r="D6" s="66">
        <v>2.99661</v>
      </c>
      <c r="E6" s="66">
        <v>20</v>
      </c>
      <c r="F6" s="66">
        <v>34.464700000000001</v>
      </c>
      <c r="G6" s="66">
        <v>40</v>
      </c>
      <c r="H6" s="66">
        <v>38.401699999999998</v>
      </c>
    </row>
    <row r="7" spans="1:8">
      <c r="A7" s="66" t="s">
        <v>359</v>
      </c>
      <c r="B7" s="66">
        <v>23.656700000000001</v>
      </c>
      <c r="C7" s="66">
        <v>3.9405899999999998</v>
      </c>
      <c r="D7" s="66">
        <v>16.657399999999999</v>
      </c>
      <c r="E7" s="66">
        <v>15</v>
      </c>
      <c r="F7" s="66">
        <v>17.187899999999999</v>
      </c>
      <c r="G7" s="66">
        <v>40</v>
      </c>
      <c r="H7" s="66">
        <v>46.7502</v>
      </c>
    </row>
    <row r="8" spans="1:8">
      <c r="A8" s="66" t="s">
        <v>360</v>
      </c>
      <c r="B8" s="66">
        <v>27.7563</v>
      </c>
      <c r="C8" s="66">
        <v>1.8602000000000001</v>
      </c>
      <c r="D8" s="66">
        <v>6.7019200000000003</v>
      </c>
      <c r="E8" s="66">
        <v>20</v>
      </c>
      <c r="F8" s="66">
        <v>23.3629</v>
      </c>
      <c r="G8" s="66">
        <v>50</v>
      </c>
      <c r="H8" s="66">
        <v>31.383099999999999</v>
      </c>
    </row>
    <row r="9" spans="1:8">
      <c r="A9" s="66" t="s">
        <v>361</v>
      </c>
      <c r="B9" s="66">
        <v>53.972700000000003</v>
      </c>
      <c r="C9" s="66">
        <v>11.882099999999999</v>
      </c>
      <c r="D9" s="66">
        <v>22.014900000000001</v>
      </c>
      <c r="E9" s="66">
        <v>50</v>
      </c>
      <c r="F9" s="66">
        <v>30.308800000000002</v>
      </c>
      <c r="G9" s="66">
        <v>100</v>
      </c>
      <c r="H9" s="66">
        <v>70.325100000000006</v>
      </c>
    </row>
    <row r="10" spans="1:8">
      <c r="A10" s="66" t="s">
        <v>362</v>
      </c>
      <c r="B10" s="66">
        <v>74.2804</v>
      </c>
      <c r="C10" s="66">
        <v>3.08839</v>
      </c>
      <c r="D10" s="66">
        <v>4.1577400000000004</v>
      </c>
      <c r="E10" s="66">
        <v>40</v>
      </c>
      <c r="F10" s="66">
        <v>71.865300000000005</v>
      </c>
      <c r="G10" s="66">
        <v>100</v>
      </c>
      <c r="H10" s="66">
        <v>80.168599999999998</v>
      </c>
    </row>
    <row r="11" spans="1:8">
      <c r="A11" s="66" t="s">
        <v>363</v>
      </c>
      <c r="B11" s="66">
        <v>6.2576200000000002</v>
      </c>
      <c r="C11" s="66">
        <v>0.483346</v>
      </c>
      <c r="D11" s="66">
        <v>7.7241200000000001</v>
      </c>
      <c r="E11" s="66">
        <v>10</v>
      </c>
      <c r="F11" s="66">
        <v>5.2122200000000003</v>
      </c>
      <c r="G11" s="66">
        <v>50</v>
      </c>
      <c r="H11" s="66">
        <v>7.1722299999999999</v>
      </c>
    </row>
    <row r="12" spans="1:8">
      <c r="A12" s="66" t="s">
        <v>364</v>
      </c>
      <c r="B12" s="66">
        <v>63.889800000000001</v>
      </c>
      <c r="C12" s="66">
        <v>4.6237599999999999</v>
      </c>
      <c r="D12" s="66">
        <v>7.2370799999999997</v>
      </c>
      <c r="E12" s="66">
        <v>50</v>
      </c>
      <c r="F12" s="66">
        <v>55.128900000000002</v>
      </c>
      <c r="G12" s="66">
        <v>100</v>
      </c>
      <c r="H12" s="66">
        <v>72.278999999999996</v>
      </c>
    </row>
    <row r="13" spans="1:8">
      <c r="A13" s="66" t="s">
        <v>365</v>
      </c>
      <c r="B13" s="66">
        <v>21.095300000000002</v>
      </c>
      <c r="C13" s="66">
        <v>2.18093</v>
      </c>
      <c r="D13" s="66">
        <v>10.3385</v>
      </c>
      <c r="E13" s="66">
        <v>10</v>
      </c>
      <c r="F13" s="66">
        <v>17.167300000000001</v>
      </c>
      <c r="G13" s="66">
        <v>25</v>
      </c>
      <c r="H13" s="66">
        <v>28.542200000000001</v>
      </c>
    </row>
    <row r="14" spans="1:8">
      <c r="A14" s="66" t="s">
        <v>366</v>
      </c>
      <c r="B14" s="66">
        <v>21.8093</v>
      </c>
      <c r="C14" s="66">
        <v>7.1846199999999998</v>
      </c>
      <c r="D14" s="66">
        <v>32.942900000000002</v>
      </c>
      <c r="E14" s="66">
        <v>10</v>
      </c>
      <c r="F14" s="66">
        <v>4.0737100000000002</v>
      </c>
      <c r="G14" s="66">
        <v>50</v>
      </c>
      <c r="H14" s="66">
        <v>39.059800000000003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0.51797400000000005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0.73155899999999996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196">
        <v>3.8553999999999997E-5</v>
      </c>
      <c r="C20" s="66">
        <v>2.3627800000000001E-2</v>
      </c>
      <c r="D20" s="66">
        <v>612.84900000000005</v>
      </c>
      <c r="E20" s="66">
        <v>0</v>
      </c>
      <c r="F20" s="66">
        <v>0</v>
      </c>
      <c r="G20" s="66">
        <v>0</v>
      </c>
      <c r="H20" s="66">
        <v>0.169767</v>
      </c>
    </row>
    <row r="21" spans="1:8">
      <c r="A21" s="66" t="s">
        <v>373</v>
      </c>
      <c r="B21" s="66">
        <v>3.3377400000000002E-2</v>
      </c>
      <c r="C21" s="66">
        <v>0.113303</v>
      </c>
      <c r="D21" s="66">
        <v>3.39459</v>
      </c>
      <c r="E21" s="66">
        <v>0</v>
      </c>
      <c r="F21" s="66">
        <v>1.0184299999999999E-4</v>
      </c>
      <c r="G21" s="66">
        <v>0</v>
      </c>
      <c r="H21" s="66">
        <v>0.51726700000000003</v>
      </c>
    </row>
    <row r="22" spans="1:8">
      <c r="A22" s="66" t="s">
        <v>374</v>
      </c>
      <c r="B22" s="66">
        <v>37.121000000000002</v>
      </c>
      <c r="C22" s="66">
        <v>16.267199999999999</v>
      </c>
      <c r="D22" s="66">
        <v>0.43822100000000003</v>
      </c>
      <c r="E22" s="66">
        <v>0</v>
      </c>
      <c r="F22" s="66">
        <v>19.901599999999998</v>
      </c>
      <c r="G22" s="66">
        <v>0</v>
      </c>
      <c r="H22" s="66">
        <v>75.225999999999999</v>
      </c>
    </row>
    <row r="23" spans="1:8">
      <c r="A23" s="66" t="s">
        <v>375</v>
      </c>
      <c r="B23" s="66">
        <v>12.281599999999999</v>
      </c>
      <c r="C23" s="66">
        <v>0.59204199999999996</v>
      </c>
      <c r="D23" s="66">
        <v>4.8205600000000001E-2</v>
      </c>
      <c r="E23" s="66">
        <v>0</v>
      </c>
      <c r="F23" s="66">
        <v>10.5808</v>
      </c>
      <c r="G23" s="66">
        <v>0</v>
      </c>
      <c r="H23" s="66">
        <v>13.5733</v>
      </c>
    </row>
    <row r="24" spans="1:8">
      <c r="A24" s="66" t="s">
        <v>376</v>
      </c>
      <c r="B24" s="66">
        <v>2.2210900000000001E-4</v>
      </c>
      <c r="C24" s="66">
        <v>1.4275100000000001E-2</v>
      </c>
      <c r="D24" s="66">
        <v>64.270600000000002</v>
      </c>
      <c r="E24" s="66">
        <v>0</v>
      </c>
      <c r="F24" s="196">
        <v>3.6394900000000002E-6</v>
      </c>
      <c r="G24" s="66">
        <v>0</v>
      </c>
      <c r="H24" s="66">
        <v>5.5849599999999999E-2</v>
      </c>
    </row>
    <row r="25" spans="1:8">
      <c r="A25" s="66" t="s">
        <v>377</v>
      </c>
      <c r="B25" s="66">
        <v>6.9507899999999997E-2</v>
      </c>
      <c r="C25" s="66">
        <v>7.4813000000000004E-2</v>
      </c>
      <c r="D25" s="66">
        <v>1.0763199999999999</v>
      </c>
      <c r="E25" s="66">
        <v>0</v>
      </c>
      <c r="F25" s="66">
        <v>1.3012900000000001E-2</v>
      </c>
      <c r="G25" s="66">
        <v>0</v>
      </c>
      <c r="H25" s="66">
        <v>0.33526299999999998</v>
      </c>
    </row>
    <row r="26" spans="1:8">
      <c r="A26" s="66" t="s">
        <v>378</v>
      </c>
      <c r="B26" s="196">
        <v>9.8476899999999999E-6</v>
      </c>
      <c r="C26" s="66">
        <v>1.3142200000000001E-3</v>
      </c>
      <c r="D26" s="66">
        <v>133.45400000000001</v>
      </c>
      <c r="E26" s="66">
        <v>0</v>
      </c>
      <c r="F26" s="66">
        <v>0</v>
      </c>
      <c r="G26" s="66">
        <v>0</v>
      </c>
      <c r="H26" s="66">
        <v>7.9339500000000004E-3</v>
      </c>
    </row>
    <row r="27" spans="1:8">
      <c r="A27" s="66" t="s">
        <v>379</v>
      </c>
      <c r="B27" s="66">
        <v>0</v>
      </c>
      <c r="C27" s="66">
        <v>9.65094E-4</v>
      </c>
      <c r="D27" s="66">
        <v>0</v>
      </c>
      <c r="E27" s="66">
        <v>0</v>
      </c>
      <c r="F27" s="66">
        <v>-5.2521E-3</v>
      </c>
      <c r="G27" s="66">
        <v>0</v>
      </c>
      <c r="H27" s="66">
        <v>5.6886799999999998E-3</v>
      </c>
    </row>
    <row r="28" spans="1:8">
      <c r="A28" s="66" t="s">
        <v>380</v>
      </c>
      <c r="B28" s="66">
        <v>4.7737600000000002E-3</v>
      </c>
      <c r="C28" s="66">
        <v>9.70735E-3</v>
      </c>
      <c r="D28" s="66">
        <v>2.03348</v>
      </c>
      <c r="E28" s="66">
        <v>0</v>
      </c>
      <c r="F28" s="196">
        <v>3.5807299999999999E-5</v>
      </c>
      <c r="G28" s="66">
        <v>0</v>
      </c>
      <c r="H28" s="66">
        <v>5.5540399999999997E-2</v>
      </c>
    </row>
    <row r="29" spans="1:8">
      <c r="A29" s="66" t="s">
        <v>381</v>
      </c>
      <c r="B29" s="66">
        <v>59.393500000000003</v>
      </c>
      <c r="C29" s="66">
        <v>6.7951699999999997</v>
      </c>
      <c r="D29" s="66">
        <v>0.114409</v>
      </c>
      <c r="E29" s="66">
        <v>0</v>
      </c>
      <c r="F29" s="66">
        <v>44.654600000000002</v>
      </c>
      <c r="G29" s="66">
        <v>0</v>
      </c>
      <c r="H29" s="66">
        <v>76.954999999999998</v>
      </c>
    </row>
    <row r="30" spans="1:8">
      <c r="A30" s="66" t="s">
        <v>382</v>
      </c>
      <c r="B30" s="66">
        <v>11.1378</v>
      </c>
      <c r="C30" s="66">
        <v>1.3505100000000001</v>
      </c>
      <c r="D30" s="66">
        <v>0.121255</v>
      </c>
      <c r="E30" s="66">
        <v>0</v>
      </c>
      <c r="F30" s="66">
        <v>8.6849000000000007</v>
      </c>
      <c r="G30" s="66">
        <v>0</v>
      </c>
      <c r="H30" s="66">
        <v>13.805199999999999</v>
      </c>
    </row>
    <row r="31" spans="1:8">
      <c r="A31" s="66" t="s">
        <v>383</v>
      </c>
      <c r="B31" s="66">
        <v>142.34299999999999</v>
      </c>
      <c r="C31" s="66">
        <v>15.548500000000001</v>
      </c>
      <c r="D31" s="66">
        <v>0.109232</v>
      </c>
      <c r="E31" s="66">
        <v>0</v>
      </c>
      <c r="F31" s="66">
        <v>122.449</v>
      </c>
      <c r="G31" s="66">
        <v>0</v>
      </c>
      <c r="H31" s="66">
        <v>184.971</v>
      </c>
    </row>
    <row r="32" spans="1:8">
      <c r="A32" s="66" t="s">
        <v>384</v>
      </c>
      <c r="B32" s="66">
        <v>0.236567</v>
      </c>
      <c r="C32" s="66">
        <v>3.9405900000000001E-2</v>
      </c>
      <c r="D32" s="66">
        <v>0.166574</v>
      </c>
      <c r="E32" s="66">
        <v>0.15</v>
      </c>
      <c r="F32" s="66">
        <v>0.171879</v>
      </c>
      <c r="G32" s="66">
        <v>0.4</v>
      </c>
      <c r="H32" s="66">
        <v>0.46750199999999997</v>
      </c>
    </row>
    <row r="33" spans="1:8">
      <c r="A33" s="66" t="s">
        <v>385</v>
      </c>
      <c r="B33" s="66">
        <v>0.37203700000000001</v>
      </c>
      <c r="C33" s="66">
        <v>7.9805099999999997E-3</v>
      </c>
      <c r="D33" s="66">
        <v>2.1450799999999999E-2</v>
      </c>
      <c r="E33" s="66">
        <v>0</v>
      </c>
      <c r="F33" s="66">
        <v>0.348161</v>
      </c>
      <c r="G33" s="66">
        <v>0</v>
      </c>
      <c r="H33" s="66">
        <v>0.38203700000000002</v>
      </c>
    </row>
    <row r="34" spans="1:8">
      <c r="A34" s="66" t="s">
        <v>386</v>
      </c>
      <c r="B34" s="66">
        <v>0.210953</v>
      </c>
      <c r="C34" s="66">
        <v>2.18093E-2</v>
      </c>
      <c r="D34" s="66">
        <v>0.103385</v>
      </c>
      <c r="E34" s="66">
        <v>0.1</v>
      </c>
      <c r="F34" s="66">
        <v>0.17167299999999999</v>
      </c>
      <c r="G34" s="66">
        <v>0.25</v>
      </c>
      <c r="H34" s="66">
        <v>0.28542200000000001</v>
      </c>
    </row>
    <row r="35" spans="1:8">
      <c r="A35" s="66" t="s">
        <v>387</v>
      </c>
      <c r="B35" s="66">
        <v>9.12935E-2</v>
      </c>
      <c r="C35" s="66">
        <v>2.5160499999999999E-2</v>
      </c>
      <c r="D35" s="66">
        <v>0.27560099999999998</v>
      </c>
      <c r="E35" s="66">
        <v>0</v>
      </c>
      <c r="F35" s="66">
        <v>4.0747100000000001E-2</v>
      </c>
      <c r="G35" s="66">
        <v>0</v>
      </c>
      <c r="H35" s="66">
        <v>0.140376</v>
      </c>
    </row>
    <row r="36" spans="1:8">
      <c r="A36" s="66" t="s">
        <v>388</v>
      </c>
      <c r="B36" s="66">
        <v>0.19070599999999999</v>
      </c>
      <c r="C36" s="66">
        <v>0.101914</v>
      </c>
      <c r="D36" s="66">
        <v>0.53440399999999999</v>
      </c>
      <c r="E36" s="66">
        <v>0</v>
      </c>
      <c r="F36" s="66">
        <v>4.9210700000000003E-2</v>
      </c>
      <c r="G36" s="66">
        <v>0</v>
      </c>
      <c r="H36" s="66">
        <v>0.467304</v>
      </c>
    </row>
    <row r="37" spans="1:8">
      <c r="A37" s="66" t="s">
        <v>389</v>
      </c>
      <c r="B37" s="66">
        <v>0.21809300000000001</v>
      </c>
      <c r="C37" s="66">
        <v>7.1846199999999999E-2</v>
      </c>
      <c r="D37" s="66">
        <v>0.32942900000000003</v>
      </c>
      <c r="E37" s="66">
        <v>0.1</v>
      </c>
      <c r="F37" s="66">
        <v>4.0737099999999998E-2</v>
      </c>
      <c r="G37" s="66">
        <v>0.5</v>
      </c>
      <c r="H37" s="66">
        <v>0.390598</v>
      </c>
    </row>
    <row r="38" spans="1:8">
      <c r="A38" s="66" t="s">
        <v>390</v>
      </c>
      <c r="B38" s="66">
        <v>-1.6390499999999999</v>
      </c>
      <c r="C38" s="66">
        <v>60.024299999999997</v>
      </c>
      <c r="D38" s="66">
        <v>-36.621299999999998</v>
      </c>
      <c r="E38" s="66">
        <v>0</v>
      </c>
      <c r="F38" s="66">
        <v>-89.133899999999997</v>
      </c>
      <c r="G38" s="66">
        <v>0</v>
      </c>
      <c r="H38" s="66">
        <v>235.88</v>
      </c>
    </row>
    <row r="39" spans="1:8">
      <c r="A39" s="66" t="s">
        <v>391</v>
      </c>
      <c r="B39" s="66">
        <v>-1.53749</v>
      </c>
      <c r="C39" s="66">
        <v>4.2837199999999998</v>
      </c>
      <c r="D39" s="66">
        <v>-2.7861699999999998</v>
      </c>
      <c r="E39" s="66">
        <v>0</v>
      </c>
      <c r="F39" s="66">
        <v>-9.2060200000000005</v>
      </c>
      <c r="G39" s="66">
        <v>0</v>
      </c>
      <c r="H39" s="66">
        <v>10.513</v>
      </c>
    </row>
    <row r="40" spans="1:8">
      <c r="A40" s="66" t="s">
        <v>392</v>
      </c>
      <c r="B40" s="66">
        <v>-1.2239199999999999</v>
      </c>
      <c r="C40" s="66">
        <v>0.22916800000000001</v>
      </c>
      <c r="D40" s="66">
        <v>-0.18724199999999999</v>
      </c>
      <c r="E40" s="66">
        <v>0</v>
      </c>
      <c r="F40" s="66">
        <v>-1.7821899999999999</v>
      </c>
      <c r="G40" s="66">
        <v>0</v>
      </c>
      <c r="H40" s="66">
        <v>-0.88660399999999995</v>
      </c>
    </row>
    <row r="41" spans="1:8">
      <c r="A41" s="66" t="s">
        <v>393</v>
      </c>
      <c r="B41" s="66">
        <v>-2.3696699999999999E-3</v>
      </c>
      <c r="C41" s="66">
        <v>0.31357200000000002</v>
      </c>
      <c r="D41" s="66">
        <v>-132.328</v>
      </c>
      <c r="E41" s="66">
        <v>0</v>
      </c>
      <c r="F41" s="66">
        <v>-0.69230800000000003</v>
      </c>
      <c r="G41" s="66">
        <v>0</v>
      </c>
      <c r="H41" s="66">
        <v>1</v>
      </c>
    </row>
    <row r="42" spans="1:8">
      <c r="A42" s="66" t="s">
        <v>394</v>
      </c>
      <c r="B42" s="66">
        <v>-6.3947299999999999E-2</v>
      </c>
      <c r="C42" s="66">
        <v>8.3102700000000002E-2</v>
      </c>
      <c r="D42" s="66">
        <v>-1.29955</v>
      </c>
      <c r="E42" s="66">
        <v>0</v>
      </c>
      <c r="F42" s="66">
        <v>-0.202849</v>
      </c>
      <c r="G42" s="66">
        <v>0</v>
      </c>
      <c r="H42" s="66">
        <v>0.18063299999999999</v>
      </c>
    </row>
    <row r="43" spans="1:8">
      <c r="A43" s="66" t="s">
        <v>395</v>
      </c>
      <c r="B43" s="66">
        <v>-4.7540199999999998E-2</v>
      </c>
      <c r="C43" s="66">
        <v>2.29894E-2</v>
      </c>
      <c r="D43" s="66">
        <v>-0.48357699999999998</v>
      </c>
      <c r="E43" s="66">
        <v>0</v>
      </c>
      <c r="F43" s="66">
        <v>-0.100339</v>
      </c>
      <c r="G43" s="66">
        <v>0</v>
      </c>
      <c r="H43" s="66">
        <v>-2.81783E-2</v>
      </c>
    </row>
    <row r="44" spans="1:8">
      <c r="A44" s="66" t="s">
        <v>396</v>
      </c>
      <c r="B44" s="66">
        <v>-0.63317900000000005</v>
      </c>
      <c r="C44" s="66">
        <v>5.0060799999999999</v>
      </c>
      <c r="D44" s="66">
        <v>-7.9062700000000001</v>
      </c>
      <c r="E44" s="66">
        <v>0</v>
      </c>
      <c r="F44" s="66">
        <v>-9.7515300000000007</v>
      </c>
      <c r="G44" s="66">
        <v>0</v>
      </c>
      <c r="H44" s="66">
        <v>10.378299999999999</v>
      </c>
    </row>
    <row r="45" spans="1:8">
      <c r="A45" s="66" t="s">
        <v>397</v>
      </c>
      <c r="B45" s="66">
        <v>47.287999999999997</v>
      </c>
      <c r="C45" s="66">
        <v>4.30002</v>
      </c>
      <c r="D45" s="66">
        <v>9.0932700000000005E-2</v>
      </c>
      <c r="E45" s="66">
        <v>0</v>
      </c>
      <c r="F45" s="66">
        <v>35.529200000000003</v>
      </c>
      <c r="G45" s="66">
        <v>0</v>
      </c>
      <c r="H45" s="66">
        <v>55.130099999999999</v>
      </c>
    </row>
    <row r="46" spans="1:8">
      <c r="A46" s="66" t="s">
        <v>398</v>
      </c>
      <c r="B46" s="66">
        <v>16.051100000000002</v>
      </c>
      <c r="C46" s="66">
        <v>4.1725500000000002</v>
      </c>
      <c r="D46" s="66">
        <v>0.25995400000000002</v>
      </c>
      <c r="E46" s="66">
        <v>0</v>
      </c>
      <c r="F46" s="66">
        <v>8.7781800000000008</v>
      </c>
      <c r="G46" s="66">
        <v>0</v>
      </c>
      <c r="H46" s="66">
        <v>23.302700000000002</v>
      </c>
    </row>
    <row r="47" spans="1:8">
      <c r="A47" s="66" t="s">
        <v>399</v>
      </c>
      <c r="B47" s="66">
        <v>0.414858</v>
      </c>
      <c r="C47" s="66">
        <v>0.15518899999999999</v>
      </c>
      <c r="D47" s="66">
        <v>0.37407699999999999</v>
      </c>
      <c r="E47" s="66">
        <v>0</v>
      </c>
      <c r="F47" s="66">
        <v>0.20930799999999999</v>
      </c>
      <c r="G47" s="66">
        <v>0</v>
      </c>
      <c r="H47" s="66">
        <v>0.86784499999999998</v>
      </c>
    </row>
    <row r="48" spans="1:8">
      <c r="A48" s="66" t="s">
        <v>400</v>
      </c>
      <c r="B48" s="66">
        <v>0.39207799999999998</v>
      </c>
      <c r="C48" s="66">
        <v>0.110619</v>
      </c>
      <c r="D48" s="66">
        <v>0.282136</v>
      </c>
      <c r="E48" s="66">
        <v>0</v>
      </c>
      <c r="F48" s="66">
        <v>0.29226999999999997</v>
      </c>
      <c r="G48" s="66">
        <v>0</v>
      </c>
      <c r="H48" s="66">
        <v>0.71549200000000002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31.6982</v>
      </c>
      <c r="C5" s="66">
        <v>1.61019</v>
      </c>
      <c r="D5" s="66">
        <v>5.0797600000000003</v>
      </c>
      <c r="E5" s="66">
        <v>20</v>
      </c>
      <c r="F5" s="66">
        <v>27.918500000000002</v>
      </c>
      <c r="G5" s="66">
        <v>50</v>
      </c>
      <c r="H5" s="66">
        <v>36.092700000000001</v>
      </c>
    </row>
    <row r="6" spans="1:8">
      <c r="A6" s="66" t="s">
        <v>358</v>
      </c>
      <c r="B6" s="66">
        <v>38.035800000000002</v>
      </c>
      <c r="C6" s="66">
        <v>1.95136</v>
      </c>
      <c r="D6" s="66">
        <v>5.1303299999999998</v>
      </c>
      <c r="E6" s="66">
        <v>20</v>
      </c>
      <c r="F6" s="66">
        <v>33.831600000000002</v>
      </c>
      <c r="G6" s="66">
        <v>40</v>
      </c>
      <c r="H6" s="66">
        <v>40.691400000000002</v>
      </c>
    </row>
    <row r="7" spans="1:8">
      <c r="A7" s="66" t="s">
        <v>359</v>
      </c>
      <c r="B7" s="66">
        <v>33.311300000000003</v>
      </c>
      <c r="C7" s="66">
        <v>9.3320799999999995</v>
      </c>
      <c r="D7" s="66">
        <v>28.014800000000001</v>
      </c>
      <c r="E7" s="66">
        <v>15</v>
      </c>
      <c r="F7" s="66">
        <v>15.7339</v>
      </c>
      <c r="G7" s="66">
        <v>40</v>
      </c>
      <c r="H7" s="66">
        <v>48.095999999999997</v>
      </c>
    </row>
    <row r="8" spans="1:8">
      <c r="A8" s="66" t="s">
        <v>360</v>
      </c>
      <c r="B8" s="66">
        <v>34.024900000000002</v>
      </c>
      <c r="C8" s="66">
        <v>3.2483200000000001</v>
      </c>
      <c r="D8" s="66">
        <v>9.5468799999999998</v>
      </c>
      <c r="E8" s="66">
        <v>20</v>
      </c>
      <c r="F8" s="66">
        <v>28.918299999999999</v>
      </c>
      <c r="G8" s="66">
        <v>50</v>
      </c>
      <c r="H8" s="66">
        <v>38.360399999999998</v>
      </c>
    </row>
    <row r="9" spans="1:8">
      <c r="A9" s="66" t="s">
        <v>361</v>
      </c>
      <c r="B9" s="66">
        <v>49.009700000000002</v>
      </c>
      <c r="C9" s="66">
        <v>16.748000000000001</v>
      </c>
      <c r="D9" s="66">
        <v>34.172800000000002</v>
      </c>
      <c r="E9" s="66">
        <v>50</v>
      </c>
      <c r="F9" s="66">
        <v>24.382400000000001</v>
      </c>
      <c r="G9" s="66">
        <v>100</v>
      </c>
      <c r="H9" s="66">
        <v>76.550399999999996</v>
      </c>
    </row>
    <row r="10" spans="1:8">
      <c r="A10" s="66" t="s">
        <v>362</v>
      </c>
      <c r="B10" s="66">
        <v>77.921199999999999</v>
      </c>
      <c r="C10" s="66">
        <v>2.4411</v>
      </c>
      <c r="D10" s="66">
        <v>3.13279</v>
      </c>
      <c r="E10" s="66">
        <v>40</v>
      </c>
      <c r="F10" s="66">
        <v>74.237200000000001</v>
      </c>
      <c r="G10" s="66">
        <v>100</v>
      </c>
      <c r="H10" s="66">
        <v>82.060299999999998</v>
      </c>
    </row>
    <row r="11" spans="1:8">
      <c r="A11" s="66" t="s">
        <v>363</v>
      </c>
      <c r="B11" s="66">
        <v>8.3669100000000007</v>
      </c>
      <c r="C11" s="66">
        <v>2.34124</v>
      </c>
      <c r="D11" s="66">
        <v>27.982199999999999</v>
      </c>
      <c r="E11" s="66">
        <v>10</v>
      </c>
      <c r="F11" s="66">
        <v>5.6676500000000001</v>
      </c>
      <c r="G11" s="66">
        <v>50</v>
      </c>
      <c r="H11" s="66">
        <v>13.8003</v>
      </c>
    </row>
    <row r="12" spans="1:8">
      <c r="A12" s="66" t="s">
        <v>364</v>
      </c>
      <c r="B12" s="66">
        <v>63.353299999999997</v>
      </c>
      <c r="C12" s="66">
        <v>7.2913500000000004</v>
      </c>
      <c r="D12" s="66">
        <v>11.509</v>
      </c>
      <c r="E12" s="66">
        <v>50</v>
      </c>
      <c r="F12" s="66">
        <v>52.6965</v>
      </c>
      <c r="G12" s="66">
        <v>100</v>
      </c>
      <c r="H12" s="66">
        <v>76.451700000000002</v>
      </c>
    </row>
    <row r="13" spans="1:8">
      <c r="A13" s="66" t="s">
        <v>365</v>
      </c>
      <c r="B13" s="66">
        <v>19.847200000000001</v>
      </c>
      <c r="C13" s="66">
        <v>3.1871900000000002</v>
      </c>
      <c r="D13" s="66">
        <v>16.058700000000002</v>
      </c>
      <c r="E13" s="66">
        <v>10</v>
      </c>
      <c r="F13" s="66">
        <v>15.0572</v>
      </c>
      <c r="G13" s="66">
        <v>25</v>
      </c>
      <c r="H13" s="66">
        <v>29.958200000000001</v>
      </c>
    </row>
    <row r="14" spans="1:8">
      <c r="A14" s="66" t="s">
        <v>366</v>
      </c>
      <c r="B14" s="66">
        <v>31.8719</v>
      </c>
      <c r="C14" s="66">
        <v>7.2511200000000002</v>
      </c>
      <c r="D14" s="66">
        <v>22.750800000000002</v>
      </c>
      <c r="E14" s="66">
        <v>10</v>
      </c>
      <c r="F14" s="66">
        <v>2.75</v>
      </c>
      <c r="G14" s="66">
        <v>50</v>
      </c>
      <c r="H14" s="66">
        <v>40.149799999999999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0.661972</v>
      </c>
      <c r="C18" s="66">
        <v>3.9511299999999997E-3</v>
      </c>
      <c r="D18" s="66">
        <v>5.9687300000000002E-3</v>
      </c>
      <c r="E18" s="66">
        <v>0</v>
      </c>
      <c r="F18" s="66">
        <v>0.65802099999999997</v>
      </c>
      <c r="G18" s="66">
        <v>0</v>
      </c>
      <c r="H18" s="66">
        <v>0.66592300000000004</v>
      </c>
    </row>
    <row r="19" spans="1:8">
      <c r="A19" s="66" t="s">
        <v>371</v>
      </c>
      <c r="B19" s="66">
        <v>0.83683399999999997</v>
      </c>
      <c r="C19" s="66">
        <v>3.5715200000000003E-2</v>
      </c>
      <c r="D19" s="66">
        <v>4.2679000000000002E-2</v>
      </c>
      <c r="E19" s="66">
        <v>0</v>
      </c>
      <c r="F19" s="66">
        <v>0.80111900000000003</v>
      </c>
      <c r="G19" s="66">
        <v>0</v>
      </c>
      <c r="H19" s="66">
        <v>0.87254900000000002</v>
      </c>
    </row>
    <row r="20" spans="1:8">
      <c r="A20" s="66" t="s">
        <v>372</v>
      </c>
      <c r="B20" s="196">
        <v>5.9285700000000001E-5</v>
      </c>
      <c r="C20" s="66">
        <v>2.6712699999999999E-2</v>
      </c>
      <c r="D20" s="66">
        <v>450.57600000000002</v>
      </c>
      <c r="E20" s="66">
        <v>0</v>
      </c>
      <c r="F20" s="66">
        <v>0</v>
      </c>
      <c r="G20" s="66">
        <v>0</v>
      </c>
      <c r="H20" s="66">
        <v>0.30805700000000003</v>
      </c>
    </row>
    <row r="21" spans="1:8">
      <c r="A21" s="66" t="s">
        <v>373</v>
      </c>
      <c r="B21" s="66">
        <v>4.9548399999999999E-2</v>
      </c>
      <c r="C21" s="66">
        <v>9.4707799999999995E-2</v>
      </c>
      <c r="D21" s="66">
        <v>1.9114199999999999</v>
      </c>
      <c r="E21" s="66">
        <v>0</v>
      </c>
      <c r="F21" s="66">
        <v>2.0035499999999999E-4</v>
      </c>
      <c r="G21" s="66">
        <v>0</v>
      </c>
      <c r="H21" s="66">
        <v>0.41117199999999998</v>
      </c>
    </row>
    <row r="22" spans="1:8">
      <c r="A22" s="66" t="s">
        <v>374</v>
      </c>
      <c r="B22" s="66">
        <v>37.050199999999997</v>
      </c>
      <c r="C22" s="66">
        <v>15.4391</v>
      </c>
      <c r="D22" s="66">
        <v>0.41670699999999999</v>
      </c>
      <c r="E22" s="66">
        <v>0</v>
      </c>
      <c r="F22" s="66">
        <v>17.341000000000001</v>
      </c>
      <c r="G22" s="66">
        <v>0</v>
      </c>
      <c r="H22" s="66">
        <v>82.491600000000005</v>
      </c>
    </row>
    <row r="23" spans="1:8">
      <c r="A23" s="66" t="s">
        <v>375</v>
      </c>
      <c r="B23" s="66">
        <v>13.265499999999999</v>
      </c>
      <c r="C23" s="66">
        <v>0.59840599999999999</v>
      </c>
      <c r="D23" s="66">
        <v>4.5109999999999997E-2</v>
      </c>
      <c r="E23" s="66">
        <v>0</v>
      </c>
      <c r="F23" s="66">
        <v>11.7104</v>
      </c>
      <c r="G23" s="66">
        <v>0</v>
      </c>
      <c r="H23" s="66">
        <v>14.8149</v>
      </c>
    </row>
    <row r="24" spans="1:8">
      <c r="A24" s="66" t="s">
        <v>376</v>
      </c>
      <c r="B24" s="66">
        <v>1.0296100000000001E-4</v>
      </c>
      <c r="C24" s="66">
        <v>1.49547E-2</v>
      </c>
      <c r="D24" s="66">
        <v>145.24600000000001</v>
      </c>
      <c r="E24" s="66">
        <v>0</v>
      </c>
      <c r="F24" s="196">
        <v>8.6763500000000004E-6</v>
      </c>
      <c r="G24" s="66">
        <v>0</v>
      </c>
      <c r="H24" s="66">
        <v>5.5212700000000003E-2</v>
      </c>
    </row>
    <row r="25" spans="1:8">
      <c r="A25" s="66" t="s">
        <v>377</v>
      </c>
      <c r="B25" s="66">
        <v>7.2580599999999995E-2</v>
      </c>
      <c r="C25" s="66">
        <v>3.2828099999999999E-2</v>
      </c>
      <c r="D25" s="66">
        <v>0.45229900000000001</v>
      </c>
      <c r="E25" s="66">
        <v>0</v>
      </c>
      <c r="F25" s="66">
        <v>2.9634000000000001E-2</v>
      </c>
      <c r="G25" s="66">
        <v>0</v>
      </c>
      <c r="H25" s="66">
        <v>0.15337600000000001</v>
      </c>
    </row>
    <row r="26" spans="1:8">
      <c r="A26" s="66" t="s">
        <v>378</v>
      </c>
      <c r="B26" s="196">
        <v>1.9695400000000001E-5</v>
      </c>
      <c r="C26" s="66">
        <v>1.3351599999999999E-3</v>
      </c>
      <c r="D26" s="66">
        <v>67.790700000000001</v>
      </c>
      <c r="E26" s="66">
        <v>0</v>
      </c>
      <c r="F26" s="66">
        <v>0</v>
      </c>
      <c r="G26" s="66">
        <v>0</v>
      </c>
      <c r="H26" s="66">
        <v>1.11082E-2</v>
      </c>
    </row>
    <row r="27" spans="1:8">
      <c r="A27" s="66" t="s">
        <v>379</v>
      </c>
      <c r="B27" s="66">
        <v>0</v>
      </c>
      <c r="C27" s="66">
        <v>1.1510699999999999E-3</v>
      </c>
      <c r="D27" s="66">
        <v>0</v>
      </c>
      <c r="E27" s="66">
        <v>0</v>
      </c>
      <c r="F27" s="66">
        <v>-1.05206E-2</v>
      </c>
      <c r="G27" s="66">
        <v>0</v>
      </c>
      <c r="H27" s="66">
        <v>1.10852E-2</v>
      </c>
    </row>
    <row r="28" spans="1:8">
      <c r="A28" s="66" t="s">
        <v>380</v>
      </c>
      <c r="B28" s="66">
        <v>6.0156200000000002E-3</v>
      </c>
      <c r="C28" s="66">
        <v>9.62002E-3</v>
      </c>
      <c r="D28" s="66">
        <v>1.59917</v>
      </c>
      <c r="E28" s="66">
        <v>0</v>
      </c>
      <c r="F28" s="196">
        <v>4.8828100000000001E-5</v>
      </c>
      <c r="G28" s="66">
        <v>0</v>
      </c>
      <c r="H28" s="66">
        <v>4.5729199999999998E-2</v>
      </c>
    </row>
    <row r="29" spans="1:8">
      <c r="A29" s="66" t="s">
        <v>381</v>
      </c>
      <c r="B29" s="66">
        <v>61.487000000000002</v>
      </c>
      <c r="C29" s="66">
        <v>9.9133800000000001</v>
      </c>
      <c r="D29" s="66">
        <v>0.16122700000000001</v>
      </c>
      <c r="E29" s="66">
        <v>0</v>
      </c>
      <c r="F29" s="66">
        <v>39.5702</v>
      </c>
      <c r="G29" s="66">
        <v>0</v>
      </c>
      <c r="H29" s="66">
        <v>79.242800000000003</v>
      </c>
    </row>
    <row r="30" spans="1:8">
      <c r="A30" s="66" t="s">
        <v>382</v>
      </c>
      <c r="B30" s="66">
        <v>15.4617</v>
      </c>
      <c r="C30" s="66">
        <v>1.13178</v>
      </c>
      <c r="D30" s="66">
        <v>7.3199100000000003E-2</v>
      </c>
      <c r="E30" s="66">
        <v>0</v>
      </c>
      <c r="F30" s="66">
        <v>12.9156</v>
      </c>
      <c r="G30" s="66">
        <v>0</v>
      </c>
      <c r="H30" s="66">
        <v>17.489699999999999</v>
      </c>
    </row>
    <row r="31" spans="1:8">
      <c r="A31" s="66" t="s">
        <v>383</v>
      </c>
      <c r="B31" s="66">
        <v>180.37799999999999</v>
      </c>
      <c r="C31" s="66">
        <v>7.0485600000000002</v>
      </c>
      <c r="D31" s="66">
        <v>3.9076600000000003E-2</v>
      </c>
      <c r="E31" s="66">
        <v>0</v>
      </c>
      <c r="F31" s="66">
        <v>165.047</v>
      </c>
      <c r="G31" s="66">
        <v>0</v>
      </c>
      <c r="H31" s="66">
        <v>189.315</v>
      </c>
    </row>
    <row r="32" spans="1:8">
      <c r="A32" s="66" t="s">
        <v>384</v>
      </c>
      <c r="B32" s="66">
        <v>0.33311299999999999</v>
      </c>
      <c r="C32" s="66">
        <v>9.3320799999999995E-2</v>
      </c>
      <c r="D32" s="66">
        <v>0.28014800000000001</v>
      </c>
      <c r="E32" s="66">
        <v>0.15</v>
      </c>
      <c r="F32" s="66">
        <v>0.15733900000000001</v>
      </c>
      <c r="G32" s="66">
        <v>0.4</v>
      </c>
      <c r="H32" s="66">
        <v>0.48096</v>
      </c>
    </row>
    <row r="33" spans="1:8">
      <c r="A33" s="66" t="s">
        <v>385</v>
      </c>
      <c r="B33" s="66">
        <v>0.37263099999999999</v>
      </c>
      <c r="C33" s="66">
        <v>1.37702E-2</v>
      </c>
      <c r="D33" s="66">
        <v>3.6954000000000001E-2</v>
      </c>
      <c r="E33" s="66">
        <v>0</v>
      </c>
      <c r="F33" s="66">
        <v>0.34218199999999999</v>
      </c>
      <c r="G33" s="66">
        <v>0</v>
      </c>
      <c r="H33" s="66">
        <v>0.39971600000000002</v>
      </c>
    </row>
    <row r="34" spans="1:8">
      <c r="A34" s="66" t="s">
        <v>386</v>
      </c>
      <c r="B34" s="66">
        <v>0.19847200000000001</v>
      </c>
      <c r="C34" s="66">
        <v>3.1871900000000002E-2</v>
      </c>
      <c r="D34" s="66">
        <v>0.16058700000000001</v>
      </c>
      <c r="E34" s="66">
        <v>0.1</v>
      </c>
      <c r="F34" s="66">
        <v>0.15057200000000001</v>
      </c>
      <c r="G34" s="66">
        <v>0.25</v>
      </c>
      <c r="H34" s="66">
        <v>0.29958200000000001</v>
      </c>
    </row>
    <row r="35" spans="1:8">
      <c r="A35" s="66" t="s">
        <v>387</v>
      </c>
      <c r="B35" s="66">
        <v>8.9877299999999993E-2</v>
      </c>
      <c r="C35" s="66">
        <v>2.1617399999999998E-2</v>
      </c>
      <c r="D35" s="66">
        <v>0.24052100000000001</v>
      </c>
      <c r="E35" s="66">
        <v>0</v>
      </c>
      <c r="F35" s="66">
        <v>5.4821399999999999E-2</v>
      </c>
      <c r="G35" s="66">
        <v>0</v>
      </c>
      <c r="H35" s="66">
        <v>0.14624000000000001</v>
      </c>
    </row>
    <row r="36" spans="1:8">
      <c r="A36" s="66" t="s">
        <v>388</v>
      </c>
      <c r="B36" s="66">
        <v>0.16927800000000001</v>
      </c>
      <c r="C36" s="66">
        <v>9.8145700000000002E-2</v>
      </c>
      <c r="D36" s="66">
        <v>0.579789</v>
      </c>
      <c r="E36" s="66">
        <v>0</v>
      </c>
      <c r="F36" s="66">
        <v>3.3758400000000001E-2</v>
      </c>
      <c r="G36" s="66">
        <v>0</v>
      </c>
      <c r="H36" s="66">
        <v>0.48747200000000002</v>
      </c>
    </row>
    <row r="37" spans="1:8">
      <c r="A37" s="66" t="s">
        <v>389</v>
      </c>
      <c r="B37" s="66">
        <v>0.31871899999999997</v>
      </c>
      <c r="C37" s="66">
        <v>7.2511199999999998E-2</v>
      </c>
      <c r="D37" s="66">
        <v>0.22750799999999999</v>
      </c>
      <c r="E37" s="66">
        <v>0.1</v>
      </c>
      <c r="F37" s="66">
        <v>2.75E-2</v>
      </c>
      <c r="G37" s="66">
        <v>0.5</v>
      </c>
      <c r="H37" s="66">
        <v>0.40149800000000002</v>
      </c>
    </row>
    <row r="38" spans="1:8">
      <c r="A38" s="66" t="s">
        <v>390</v>
      </c>
      <c r="B38" s="66">
        <v>-10.9093</v>
      </c>
      <c r="C38" s="66">
        <v>61.767000000000003</v>
      </c>
      <c r="D38" s="66">
        <v>-5.6618599999999999</v>
      </c>
      <c r="E38" s="66">
        <v>0</v>
      </c>
      <c r="F38" s="66">
        <v>-115.605</v>
      </c>
      <c r="G38" s="66">
        <v>0</v>
      </c>
      <c r="H38" s="66">
        <v>391.12599999999998</v>
      </c>
    </row>
    <row r="39" spans="1:8">
      <c r="A39" s="66" t="s">
        <v>391</v>
      </c>
      <c r="B39" s="66">
        <v>-4.9611599999999996</v>
      </c>
      <c r="C39" s="66">
        <v>4.6917099999999996</v>
      </c>
      <c r="D39" s="66">
        <v>-0.94569000000000003</v>
      </c>
      <c r="E39" s="66">
        <v>0</v>
      </c>
      <c r="F39" s="66">
        <v>-11.4983</v>
      </c>
      <c r="G39" s="66">
        <v>0</v>
      </c>
      <c r="H39" s="66">
        <v>15.213200000000001</v>
      </c>
    </row>
    <row r="40" spans="1:8">
      <c r="A40" s="66" t="s">
        <v>392</v>
      </c>
      <c r="B40" s="66">
        <v>-1.80419</v>
      </c>
      <c r="C40" s="66">
        <v>0.30090800000000001</v>
      </c>
      <c r="D40" s="66">
        <v>-0.16678299999999999</v>
      </c>
      <c r="E40" s="66">
        <v>0</v>
      </c>
      <c r="F40" s="66">
        <v>-2.5018600000000002</v>
      </c>
      <c r="G40" s="66">
        <v>0</v>
      </c>
      <c r="H40" s="66">
        <v>-1.3420399999999999</v>
      </c>
    </row>
    <row r="41" spans="1:8">
      <c r="A41" s="66" t="s">
        <v>393</v>
      </c>
      <c r="B41" s="66">
        <v>-0.143757</v>
      </c>
      <c r="C41" s="66">
        <v>0.35241899999999998</v>
      </c>
      <c r="D41" s="66">
        <v>-2.4514999999999998</v>
      </c>
      <c r="E41" s="66">
        <v>0</v>
      </c>
      <c r="F41" s="66">
        <v>-0.6875</v>
      </c>
      <c r="G41" s="66">
        <v>0</v>
      </c>
      <c r="H41" s="66">
        <v>1</v>
      </c>
    </row>
    <row r="42" spans="1:8">
      <c r="A42" s="66" t="s">
        <v>394</v>
      </c>
      <c r="B42" s="66">
        <v>-0.151008</v>
      </c>
      <c r="C42" s="66">
        <v>8.7622900000000004E-2</v>
      </c>
      <c r="D42" s="66">
        <v>-0.58025400000000005</v>
      </c>
      <c r="E42" s="66">
        <v>0</v>
      </c>
      <c r="F42" s="66">
        <v>-0.29727700000000001</v>
      </c>
      <c r="G42" s="66">
        <v>0</v>
      </c>
      <c r="H42" s="66">
        <v>0.16917599999999999</v>
      </c>
    </row>
    <row r="43" spans="1:8">
      <c r="A43" s="66" t="s">
        <v>395</v>
      </c>
      <c r="B43" s="66">
        <v>-0.11802</v>
      </c>
      <c r="C43" s="66">
        <v>2.3609700000000001E-2</v>
      </c>
      <c r="D43" s="66">
        <v>-0.200049</v>
      </c>
      <c r="E43" s="66">
        <v>0</v>
      </c>
      <c r="F43" s="66">
        <v>-0.15845600000000001</v>
      </c>
      <c r="G43" s="66">
        <v>0</v>
      </c>
      <c r="H43" s="66">
        <v>-7.6568899999999995E-2</v>
      </c>
    </row>
    <row r="44" spans="1:8">
      <c r="A44" s="66" t="s">
        <v>396</v>
      </c>
      <c r="B44" s="66">
        <v>21.5425</v>
      </c>
      <c r="C44" s="66">
        <v>6.8448099999999998</v>
      </c>
      <c r="D44" s="66">
        <v>0.31773600000000002</v>
      </c>
      <c r="E44" s="66">
        <v>0</v>
      </c>
      <c r="F44" s="66">
        <v>5.7357500000000003</v>
      </c>
      <c r="G44" s="66">
        <v>0</v>
      </c>
      <c r="H44" s="66">
        <v>31.317399999999999</v>
      </c>
    </row>
    <row r="45" spans="1:8">
      <c r="A45" s="66" t="s">
        <v>397</v>
      </c>
      <c r="B45" s="66">
        <v>47.806100000000001</v>
      </c>
      <c r="C45" s="66">
        <v>6.6639400000000002</v>
      </c>
      <c r="D45" s="66">
        <v>0.13939499999999999</v>
      </c>
      <c r="E45" s="66">
        <v>0</v>
      </c>
      <c r="F45" s="66">
        <v>34.441499999999998</v>
      </c>
      <c r="G45" s="66">
        <v>0</v>
      </c>
      <c r="H45" s="66">
        <v>61.872100000000003</v>
      </c>
    </row>
    <row r="46" spans="1:8">
      <c r="A46" s="66" t="s">
        <v>398</v>
      </c>
      <c r="B46" s="66">
        <v>23.5459</v>
      </c>
      <c r="C46" s="66">
        <v>1.3706199999999999</v>
      </c>
      <c r="D46" s="66">
        <v>5.8210400000000002E-2</v>
      </c>
      <c r="E46" s="66">
        <v>0</v>
      </c>
      <c r="F46" s="66">
        <v>22.4985</v>
      </c>
      <c r="G46" s="66">
        <v>0</v>
      </c>
      <c r="H46" s="66">
        <v>27.5806</v>
      </c>
    </row>
    <row r="47" spans="1:8">
      <c r="A47" s="66" t="s">
        <v>399</v>
      </c>
      <c r="B47" s="66">
        <v>0.57528500000000005</v>
      </c>
      <c r="C47" s="66">
        <v>0.24441499999999999</v>
      </c>
      <c r="D47" s="66">
        <v>0.42486000000000002</v>
      </c>
      <c r="E47" s="66">
        <v>0</v>
      </c>
      <c r="F47" s="66">
        <v>0.26883200000000002</v>
      </c>
      <c r="G47" s="66">
        <v>0</v>
      </c>
      <c r="H47" s="66">
        <v>1.3878299999999999</v>
      </c>
    </row>
    <row r="48" spans="1:8">
      <c r="A48" s="66" t="s">
        <v>400</v>
      </c>
      <c r="B48" s="66">
        <v>0.37005100000000002</v>
      </c>
      <c r="C48" s="66">
        <v>7.2019200000000005E-2</v>
      </c>
      <c r="D48" s="66">
        <v>0.19461999999999999</v>
      </c>
      <c r="E48" s="66">
        <v>0</v>
      </c>
      <c r="F48" s="66">
        <v>0.267957</v>
      </c>
      <c r="G48" s="66">
        <v>0</v>
      </c>
      <c r="H48" s="66">
        <v>0.47572500000000001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46.644551188815726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0.90058921477853804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0.55769248402429517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7525</v>
      </c>
      <c r="B8" s="66">
        <v>7525</v>
      </c>
      <c r="D8">
        <f t="shared" si="0"/>
        <v>8.5558031653629255E-2</v>
      </c>
      <c r="E8">
        <f t="shared" si="0"/>
        <v>8.5558031653629255E-2</v>
      </c>
      <c r="G8">
        <f t="shared" ca="1" si="1"/>
        <v>6</v>
      </c>
      <c r="H8">
        <f t="shared" ca="1" si="2"/>
        <v>0.51334818992177556</v>
      </c>
      <c r="I8">
        <f t="shared" ca="1" si="3"/>
        <v>141.34011788913807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14719</v>
      </c>
      <c r="B10" s="66">
        <v>14719</v>
      </c>
      <c r="D10">
        <f t="shared" si="0"/>
        <v>0.16735264689830817</v>
      </c>
      <c r="E10">
        <f t="shared" si="0"/>
        <v>0.16735264689830817</v>
      </c>
      <c r="G10">
        <f t="shared" ca="1" si="1"/>
        <v>8</v>
      </c>
      <c r="H10">
        <f t="shared" ca="1" si="2"/>
        <v>1.3388211751864654</v>
      </c>
      <c r="I10">
        <f t="shared" ca="1" si="3"/>
        <v>249.92466655897081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27656</v>
      </c>
      <c r="B13" s="66">
        <v>27656</v>
      </c>
      <c r="D13">
        <f t="shared" si="0"/>
        <v>0.31444424231398943</v>
      </c>
      <c r="E13">
        <f t="shared" si="0"/>
        <v>0.31444424231398943</v>
      </c>
      <c r="G13">
        <f t="shared" ca="1" si="1"/>
        <v>11</v>
      </c>
      <c r="H13">
        <f t="shared" ca="1" si="2"/>
        <v>3.4588866654538837</v>
      </c>
      <c r="I13">
        <f t="shared" ca="1" si="3"/>
        <v>399.51211022520692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39213</v>
      </c>
      <c r="B15" s="66">
        <v>39213</v>
      </c>
      <c r="D15">
        <f t="shared" si="0"/>
        <v>0.44584546116063306</v>
      </c>
      <c r="E15">
        <f t="shared" si="0"/>
        <v>0.44584546116063306</v>
      </c>
      <c r="G15">
        <f t="shared" ca="1" si="1"/>
        <v>13</v>
      </c>
      <c r="H15">
        <f t="shared" ca="1" si="2"/>
        <v>5.7959909950882302</v>
      </c>
      <c r="I15">
        <f t="shared" ca="1" si="3"/>
        <v>504.67736667542806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54026</v>
      </c>
      <c r="B18" s="66">
        <v>54026</v>
      </c>
      <c r="D18">
        <f t="shared" si="0"/>
        <v>0.6142668728397308</v>
      </c>
      <c r="E18">
        <f t="shared" si="0"/>
        <v>0.6142668728397308</v>
      </c>
      <c r="G18">
        <f t="shared" ca="1" si="1"/>
        <v>16</v>
      </c>
      <c r="H18">
        <f t="shared" ca="1" si="2"/>
        <v>9.8282699654356929</v>
      </c>
      <c r="I18">
        <f t="shared" ca="1" si="3"/>
        <v>576.85096700370457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61374</v>
      </c>
      <c r="B21" s="66">
        <v>61374</v>
      </c>
      <c r="D21">
        <f t="shared" si="0"/>
        <v>0.69781244315080948</v>
      </c>
      <c r="E21">
        <f t="shared" si="0"/>
        <v>0.69781244315080948</v>
      </c>
      <c r="G21">
        <f t="shared" ca="1" si="1"/>
        <v>19</v>
      </c>
      <c r="H21">
        <f t="shared" ca="1" si="2"/>
        <v>13.258436419865379</v>
      </c>
      <c r="I21">
        <f t="shared" ca="1" si="3"/>
        <v>533.2830699585619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68736</v>
      </c>
      <c r="B23" s="66">
        <v>68736</v>
      </c>
      <c r="D23">
        <f t="shared" si="0"/>
        <v>0.78151719119519736</v>
      </c>
      <c r="E23">
        <f t="shared" si="0"/>
        <v>0.78151719119519736</v>
      </c>
      <c r="G23">
        <f t="shared" ca="1" si="1"/>
        <v>21</v>
      </c>
      <c r="H23">
        <f t="shared" ca="1" si="2"/>
        <v>16.411861015099145</v>
      </c>
      <c r="I23">
        <f t="shared" ca="1" si="3"/>
        <v>513.95931460491067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76978</v>
      </c>
      <c r="B26" s="66">
        <v>76978</v>
      </c>
      <c r="D26">
        <f t="shared" si="0"/>
        <v>0.87522739676187011</v>
      </c>
      <c r="E26">
        <f t="shared" si="0"/>
        <v>0.87522739676187011</v>
      </c>
      <c r="G26">
        <f t="shared" ca="1" si="1"/>
        <v>24</v>
      </c>
      <c r="H26">
        <f t="shared" ca="1" si="2"/>
        <v>21.005457522284882</v>
      </c>
      <c r="I26">
        <f t="shared" ca="1" si="3"/>
        <v>448.79533975844811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80787</v>
      </c>
      <c r="B28" s="66">
        <v>80787</v>
      </c>
      <c r="D28">
        <f t="shared" si="0"/>
        <v>0.91853511006003274</v>
      </c>
      <c r="E28">
        <f t="shared" si="0"/>
        <v>0.91853511006003274</v>
      </c>
      <c r="G28">
        <f t="shared" ca="1" si="1"/>
        <v>26</v>
      </c>
      <c r="H28">
        <f t="shared" ca="1" si="2"/>
        <v>23.881912861560853</v>
      </c>
      <c r="I28">
        <f t="shared" ca="1" si="3"/>
        <v>391.47736186353336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84385</v>
      </c>
      <c r="B31" s="66">
        <v>84385</v>
      </c>
      <c r="D31">
        <f t="shared" si="0"/>
        <v>0.95944378752046566</v>
      </c>
      <c r="E31">
        <f t="shared" si="0"/>
        <v>0.95944378752046566</v>
      </c>
      <c r="G31">
        <f t="shared" ca="1" si="1"/>
        <v>29</v>
      </c>
      <c r="H31">
        <f t="shared" ca="1" si="2"/>
        <v>27.823869838093504</v>
      </c>
      <c r="I31">
        <f t="shared" ca="1" si="3"/>
        <v>298.70381345347579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80278</v>
      </c>
      <c r="B33" s="66">
        <v>80278</v>
      </c>
      <c r="D33">
        <f t="shared" si="0"/>
        <v>0.91274786247043838</v>
      </c>
      <c r="E33">
        <f t="shared" si="0"/>
        <v>0.91274786247043838</v>
      </c>
      <c r="G33">
        <f t="shared" ca="1" si="1"/>
        <v>31</v>
      </c>
      <c r="H33">
        <f t="shared" ca="1" si="2"/>
        <v>28.295183736583589</v>
      </c>
      <c r="I33">
        <f t="shared" ca="1" si="3"/>
        <v>223.39684831414971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85078</v>
      </c>
      <c r="B36" s="66">
        <v>85078</v>
      </c>
      <c r="D36">
        <f t="shared" si="0"/>
        <v>0.96732308531926503</v>
      </c>
      <c r="E36">
        <f t="shared" si="0"/>
        <v>0.96732308531926503</v>
      </c>
      <c r="G36">
        <f t="shared" ca="1" si="1"/>
        <v>34</v>
      </c>
      <c r="H36">
        <f t="shared" ca="1" si="2"/>
        <v>32.888984900855014</v>
      </c>
      <c r="I36">
        <f t="shared" ca="1" si="3"/>
        <v>154.66013689047656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85617</v>
      </c>
      <c r="B39" s="66">
        <v>85617</v>
      </c>
      <c r="D39">
        <f t="shared" si="0"/>
        <v>0.97345142805166451</v>
      </c>
      <c r="E39">
        <f t="shared" si="0"/>
        <v>0.97345142805166451</v>
      </c>
      <c r="G39">
        <f t="shared" ca="1" si="1"/>
        <v>37</v>
      </c>
      <c r="H39">
        <f t="shared" ca="1" si="2"/>
        <v>36.017702837911585</v>
      </c>
      <c r="I39">
        <f t="shared" ca="1" si="3"/>
        <v>90.547889356619123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87952</v>
      </c>
      <c r="B41" s="66">
        <v>87952</v>
      </c>
      <c r="D41">
        <f t="shared" si="0"/>
        <v>1</v>
      </c>
      <c r="E41">
        <f t="shared" si="0"/>
        <v>1</v>
      </c>
      <c r="G41">
        <f t="shared" ca="1" si="1"/>
        <v>39</v>
      </c>
      <c r="H41">
        <f t="shared" ca="1" si="2"/>
        <v>39</v>
      </c>
      <c r="I41">
        <f t="shared" ca="1" si="3"/>
        <v>58.439162878423922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72854</v>
      </c>
      <c r="B44" s="66">
        <v>72854</v>
      </c>
      <c r="D44">
        <f t="shared" si="0"/>
        <v>0.82833818446425322</v>
      </c>
      <c r="E44">
        <f t="shared" si="0"/>
        <v>0.82833818446425322</v>
      </c>
      <c r="G44">
        <f t="shared" ca="1" si="1"/>
        <v>42</v>
      </c>
      <c r="H44">
        <f t="shared" ca="1" si="2"/>
        <v>34.790203747498637</v>
      </c>
      <c r="I44">
        <f t="shared" ca="1" si="3"/>
        <v>17.868791823776736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63999</v>
      </c>
      <c r="B46" s="66">
        <v>63999</v>
      </c>
      <c r="D46">
        <f t="shared" si="0"/>
        <v>0.72765826814626156</v>
      </c>
      <c r="E46">
        <f t="shared" si="0"/>
        <v>0.72765826814626156</v>
      </c>
      <c r="G46">
        <f t="shared" ca="1" si="1"/>
        <v>44</v>
      </c>
      <c r="H46">
        <f t="shared" ca="1" si="2"/>
        <v>32.016963798435512</v>
      </c>
      <c r="I46">
        <f t="shared" ca="1" si="3"/>
        <v>5.0889879675968306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54387</v>
      </c>
      <c r="B49" s="66">
        <v>54387</v>
      </c>
      <c r="D49">
        <f t="shared" si="0"/>
        <v>0.61837138439148631</v>
      </c>
      <c r="E49">
        <f t="shared" si="0"/>
        <v>0.61837138439148631</v>
      </c>
      <c r="G49">
        <f t="shared" ca="1" si="1"/>
        <v>47</v>
      </c>
      <c r="H49">
        <f t="shared" ca="1" si="2"/>
        <v>29.063455066399857</v>
      </c>
      <c r="I49">
        <f t="shared" ca="1" si="3"/>
        <v>7.8127425992678273E-2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46624</v>
      </c>
      <c r="B51" s="66">
        <v>46624</v>
      </c>
      <c r="D51">
        <f t="shared" si="0"/>
        <v>0.5301073312716027</v>
      </c>
      <c r="E51">
        <f t="shared" si="0"/>
        <v>0.5301073312716027</v>
      </c>
      <c r="G51">
        <f t="shared" ca="1" si="1"/>
        <v>49</v>
      </c>
      <c r="H51">
        <f t="shared" ca="1" si="2"/>
        <v>25.975259232308531</v>
      </c>
      <c r="I51">
        <f t="shared" ca="1" si="3"/>
        <v>2.941109212942846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40933</v>
      </c>
      <c r="B54" s="66">
        <v>40933</v>
      </c>
      <c r="D54">
        <f t="shared" si="0"/>
        <v>0.46540158268146259</v>
      </c>
      <c r="E54">
        <f t="shared" si="0"/>
        <v>0.46540158268146259</v>
      </c>
      <c r="G54">
        <f t="shared" ca="1" si="1"/>
        <v>52</v>
      </c>
      <c r="H54">
        <f t="shared" ca="1" si="2"/>
        <v>24.200882299436053</v>
      </c>
      <c r="I54">
        <f t="shared" ca="1" si="3"/>
        <v>13.348104591093778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39354</v>
      </c>
      <c r="B57" s="66">
        <v>39354</v>
      </c>
      <c r="D57">
        <f t="shared" si="0"/>
        <v>0.44744860833181738</v>
      </c>
      <c r="E57">
        <f t="shared" si="0"/>
        <v>0.44744860833181738</v>
      </c>
      <c r="G57">
        <f t="shared" ca="1" si="1"/>
        <v>55</v>
      </c>
      <c r="H57">
        <f t="shared" ca="1" si="2"/>
        <v>24.609673458249954</v>
      </c>
      <c r="I57">
        <f t="shared" ca="1" si="3"/>
        <v>31.237964530750471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36252</v>
      </c>
      <c r="B59" s="66">
        <v>36252</v>
      </c>
      <c r="D59">
        <f t="shared" si="0"/>
        <v>0.41217937056576315</v>
      </c>
      <c r="E59">
        <f t="shared" si="0"/>
        <v>0.41217937056576315</v>
      </c>
      <c r="G59">
        <f t="shared" ca="1" si="1"/>
        <v>57</v>
      </c>
      <c r="H59">
        <f t="shared" ca="1" si="2"/>
        <v>23.4942241222485</v>
      </c>
      <c r="I59">
        <f t="shared" ca="1" si="3"/>
        <v>44.200186733428545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35710</v>
      </c>
      <c r="B62" s="66">
        <v>35710</v>
      </c>
      <c r="D62">
        <f t="shared" si="0"/>
        <v>0.40601691831908315</v>
      </c>
      <c r="E62">
        <f t="shared" si="0"/>
        <v>0.40601691831908315</v>
      </c>
      <c r="G62">
        <f t="shared" ca="1" si="1"/>
        <v>60</v>
      </c>
      <c r="H62">
        <f t="shared" ca="1" si="2"/>
        <v>24.361015099144989</v>
      </c>
      <c r="I62">
        <f t="shared" ca="1" si="3"/>
        <v>72.420430943911654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32988</v>
      </c>
      <c r="B64" s="66">
        <v>32988</v>
      </c>
      <c r="D64">
        <f t="shared" si="0"/>
        <v>0.37506821902856102</v>
      </c>
      <c r="E64">
        <f t="shared" si="0"/>
        <v>0.37506821902856102</v>
      </c>
      <c r="G64">
        <f t="shared" ca="1" si="1"/>
        <v>62</v>
      </c>
      <c r="H64">
        <f t="shared" ca="1" si="2"/>
        <v>23.254229579770783</v>
      </c>
      <c r="I64">
        <f t="shared" ca="1" si="3"/>
        <v>88.437263423997223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24995</v>
      </c>
      <c r="B67" s="66">
        <v>24995</v>
      </c>
      <c r="D67">
        <f t="shared" ref="D67:E130" si="4">IFERROR( A67/MAX(A$2:A$257), 0 )</f>
        <v>0.28418910314717116</v>
      </c>
      <c r="E67">
        <f t="shared" si="4"/>
        <v>0.28418910314717116</v>
      </c>
      <c r="G67">
        <f t="shared" ref="G67:G130" ca="1" si="5">CELL("row",D67)-2</f>
        <v>65</v>
      </c>
      <c r="H67">
        <f t="shared" ref="H67:H130" ca="1" si="6">D67*G67</f>
        <v>18.472291704566125</v>
      </c>
      <c r="I67">
        <f t="shared" ref="I67:I130" ca="1" si="7">D67*((G67-$L$1)^2)</f>
        <v>95.749703406344992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25131</v>
      </c>
      <c r="B69" s="66">
        <v>25131</v>
      </c>
      <c r="D69">
        <f t="shared" si="4"/>
        <v>0.28573540112788792</v>
      </c>
      <c r="E69">
        <f t="shared" si="4"/>
        <v>0.28573540112788792</v>
      </c>
      <c r="G69">
        <f t="shared" ca="1" si="5"/>
        <v>67</v>
      </c>
      <c r="H69">
        <f t="shared" ca="1" si="6"/>
        <v>19.144271875568492</v>
      </c>
      <c r="I69">
        <f t="shared" ca="1" si="7"/>
        <v>118.39283370968828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22783</v>
      </c>
      <c r="B72" s="66">
        <v>22783</v>
      </c>
      <c r="D72">
        <f t="shared" si="4"/>
        <v>0.25903902128433692</v>
      </c>
      <c r="E72">
        <f t="shared" si="4"/>
        <v>0.25903902128433692</v>
      </c>
      <c r="G72">
        <f t="shared" ca="1" si="5"/>
        <v>70</v>
      </c>
      <c r="H72">
        <f t="shared" ca="1" si="6"/>
        <v>18.132731489903584</v>
      </c>
      <c r="I72">
        <f t="shared" ca="1" si="7"/>
        <v>141.29982540820259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20619</v>
      </c>
      <c r="B75" s="66">
        <v>20619</v>
      </c>
      <c r="D75">
        <f t="shared" si="4"/>
        <v>0.2344346916499909</v>
      </c>
      <c r="E75">
        <f t="shared" si="4"/>
        <v>0.2344346916499909</v>
      </c>
      <c r="G75">
        <f t="shared" ca="1" si="5"/>
        <v>73</v>
      </c>
      <c r="H75">
        <f t="shared" ca="1" si="6"/>
        <v>17.113732490449337</v>
      </c>
      <c r="I75">
        <f t="shared" ca="1" si="7"/>
        <v>162.84060662590053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17076</v>
      </c>
      <c r="B77" s="66">
        <v>17076</v>
      </c>
      <c r="D77">
        <f t="shared" si="4"/>
        <v>0.19415135528470073</v>
      </c>
      <c r="E77">
        <f t="shared" si="4"/>
        <v>0.19415135528470073</v>
      </c>
      <c r="G77">
        <f t="shared" ca="1" si="5"/>
        <v>75</v>
      </c>
      <c r="H77">
        <f t="shared" ca="1" si="6"/>
        <v>14.561351646352556</v>
      </c>
      <c r="I77">
        <f t="shared" ca="1" si="7"/>
        <v>156.1038010061888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15536</v>
      </c>
      <c r="B80" s="66">
        <v>15536</v>
      </c>
      <c r="D80">
        <f t="shared" si="4"/>
        <v>0.1766418046207022</v>
      </c>
      <c r="E80">
        <f t="shared" si="4"/>
        <v>0.1766418046207022</v>
      </c>
      <c r="G80">
        <f t="shared" ca="1" si="5"/>
        <v>78</v>
      </c>
      <c r="H80">
        <f t="shared" ca="1" si="6"/>
        <v>13.778060760414771</v>
      </c>
      <c r="I80">
        <f t="shared" ca="1" si="7"/>
        <v>173.66789325385196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14088</v>
      </c>
      <c r="B82" s="66">
        <v>14088</v>
      </c>
      <c r="D82">
        <f t="shared" si="4"/>
        <v>0.16017827906130616</v>
      </c>
      <c r="E82">
        <f t="shared" si="4"/>
        <v>0.16017827906130616</v>
      </c>
      <c r="G82">
        <f t="shared" ca="1" si="5"/>
        <v>80</v>
      </c>
      <c r="H82">
        <f t="shared" ca="1" si="6"/>
        <v>12.814262324904494</v>
      </c>
      <c r="I82">
        <f t="shared" ca="1" si="7"/>
        <v>178.21210524481864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13567</v>
      </c>
      <c r="B85" s="66">
        <v>13567</v>
      </c>
      <c r="D85">
        <f t="shared" si="4"/>
        <v>0.15425459341458977</v>
      </c>
      <c r="E85">
        <f t="shared" si="4"/>
        <v>0.15425459341458977</v>
      </c>
      <c r="G85">
        <f t="shared" ca="1" si="5"/>
        <v>83</v>
      </c>
      <c r="H85">
        <f t="shared" ca="1" si="6"/>
        <v>12.803131253410951</v>
      </c>
      <c r="I85">
        <f t="shared" ca="1" si="7"/>
        <v>203.88117423878066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10966</v>
      </c>
      <c r="B88" s="66">
        <v>10966</v>
      </c>
      <c r="D88">
        <f t="shared" si="4"/>
        <v>0.12468164453338185</v>
      </c>
      <c r="E88">
        <f t="shared" si="4"/>
        <v>0.12468164453338185</v>
      </c>
      <c r="G88">
        <f t="shared" ca="1" si="5"/>
        <v>86</v>
      </c>
      <c r="H88">
        <f t="shared" ca="1" si="6"/>
        <v>10.72262142987084</v>
      </c>
      <c r="I88">
        <f t="shared" ca="1" si="7"/>
        <v>193.11333359660716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11863</v>
      </c>
      <c r="B90" s="66">
        <v>11863</v>
      </c>
      <c r="D90">
        <f t="shared" si="4"/>
        <v>0.13488038930325633</v>
      </c>
      <c r="E90">
        <f t="shared" si="4"/>
        <v>0.13488038930325633</v>
      </c>
      <c r="G90">
        <f t="shared" ca="1" si="5"/>
        <v>88</v>
      </c>
      <c r="H90">
        <f t="shared" ca="1" si="6"/>
        <v>11.869474258686557</v>
      </c>
      <c r="I90">
        <f t="shared" ca="1" si="7"/>
        <v>230.68230779789533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8601</v>
      </c>
      <c r="B93" s="66">
        <v>8601</v>
      </c>
      <c r="D93">
        <f t="shared" si="4"/>
        <v>9.7791977442241218E-2</v>
      </c>
      <c r="E93">
        <f t="shared" si="4"/>
        <v>9.7791977442241218E-2</v>
      </c>
      <c r="G93">
        <f t="shared" ca="1" si="5"/>
        <v>91</v>
      </c>
      <c r="H93">
        <f t="shared" ca="1" si="6"/>
        <v>8.8990699472439516</v>
      </c>
      <c r="I93">
        <f t="shared" ca="1" si="7"/>
        <v>192.39650745084705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8237</v>
      </c>
      <c r="B95" s="66">
        <v>8237</v>
      </c>
      <c r="D95">
        <f t="shared" si="4"/>
        <v>9.3653356376205199E-2</v>
      </c>
      <c r="E95">
        <f t="shared" si="4"/>
        <v>9.3653356376205199E-2</v>
      </c>
      <c r="G95">
        <f t="shared" ca="1" si="5"/>
        <v>93</v>
      </c>
      <c r="H95">
        <f t="shared" ca="1" si="6"/>
        <v>8.7097621429870831</v>
      </c>
      <c r="I95">
        <f t="shared" ca="1" si="7"/>
        <v>201.24492024358585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8945</v>
      </c>
      <c r="B98" s="66">
        <v>8945</v>
      </c>
      <c r="D98">
        <f t="shared" si="4"/>
        <v>0.10170320174640714</v>
      </c>
      <c r="E98">
        <f t="shared" si="4"/>
        <v>0.10170320174640714</v>
      </c>
      <c r="G98">
        <f t="shared" ca="1" si="5"/>
        <v>96</v>
      </c>
      <c r="H98">
        <f t="shared" ca="1" si="6"/>
        <v>9.7635073676550856</v>
      </c>
      <c r="I98">
        <f t="shared" ca="1" si="7"/>
        <v>247.74496461907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8147</v>
      </c>
      <c r="B100" s="66">
        <v>8147</v>
      </c>
      <c r="D100">
        <f t="shared" si="4"/>
        <v>9.2630070947789703E-2</v>
      </c>
      <c r="E100">
        <f t="shared" si="4"/>
        <v>9.2630070947789703E-2</v>
      </c>
      <c r="G100">
        <f t="shared" ca="1" si="5"/>
        <v>98</v>
      </c>
      <c r="H100">
        <f t="shared" ca="1" si="6"/>
        <v>9.0777469528833912</v>
      </c>
      <c r="I100">
        <f t="shared" ca="1" si="7"/>
        <v>244.30089313270054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7133</v>
      </c>
      <c r="B103" s="66">
        <v>7133</v>
      </c>
      <c r="D103">
        <f t="shared" si="4"/>
        <v>8.1101055120975082E-2</v>
      </c>
      <c r="E103">
        <f t="shared" si="4"/>
        <v>8.1101055120975082E-2</v>
      </c>
      <c r="G103">
        <f t="shared" ca="1" si="5"/>
        <v>101</v>
      </c>
      <c r="H103">
        <f t="shared" ca="1" si="6"/>
        <v>8.1912065672184831</v>
      </c>
      <c r="I103">
        <f t="shared" ca="1" si="7"/>
        <v>239.61426890478668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10273</v>
      </c>
      <c r="B106" s="66">
        <v>10273</v>
      </c>
      <c r="D106">
        <f t="shared" si="4"/>
        <v>0.11680234673458249</v>
      </c>
      <c r="E106">
        <f t="shared" si="4"/>
        <v>0.11680234673458249</v>
      </c>
      <c r="G106">
        <f t="shared" ca="1" si="5"/>
        <v>104</v>
      </c>
      <c r="H106">
        <f t="shared" ca="1" si="6"/>
        <v>12.147444060396579</v>
      </c>
      <c r="I106">
        <f t="shared" ca="1" si="7"/>
        <v>384.23854890279392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8588</v>
      </c>
      <c r="B108" s="66">
        <v>8588</v>
      </c>
      <c r="D108">
        <f t="shared" si="4"/>
        <v>9.764416954702565E-2</v>
      </c>
      <c r="E108">
        <f t="shared" si="4"/>
        <v>9.764416954702565E-2</v>
      </c>
      <c r="G108">
        <f t="shared" ca="1" si="5"/>
        <v>106</v>
      </c>
      <c r="H108">
        <f t="shared" ca="1" si="6"/>
        <v>10.350281971984719</v>
      </c>
      <c r="I108">
        <f t="shared" ca="1" si="7"/>
        <v>344.00717640440558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7396</v>
      </c>
      <c r="B111" s="66">
        <v>7396</v>
      </c>
      <c r="D111">
        <f t="shared" si="4"/>
        <v>8.409132253956704E-2</v>
      </c>
      <c r="E111">
        <f t="shared" si="4"/>
        <v>8.409132253956704E-2</v>
      </c>
      <c r="G111">
        <f t="shared" ca="1" si="5"/>
        <v>109</v>
      </c>
      <c r="H111">
        <f t="shared" ca="1" si="6"/>
        <v>9.1659541568128073</v>
      </c>
      <c r="I111">
        <f t="shared" ca="1" si="7"/>
        <v>326.96404818197959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9317</v>
      </c>
      <c r="B113" s="66">
        <v>9317</v>
      </c>
      <c r="D113">
        <f t="shared" si="4"/>
        <v>0.1059327815171912</v>
      </c>
      <c r="E113">
        <f t="shared" si="4"/>
        <v>0.1059327815171912</v>
      </c>
      <c r="G113">
        <f t="shared" ca="1" si="5"/>
        <v>111</v>
      </c>
      <c r="H113">
        <f t="shared" ca="1" si="6"/>
        <v>11.758538748408222</v>
      </c>
      <c r="I113">
        <f t="shared" ca="1" si="7"/>
        <v>438.7337282513875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7670</v>
      </c>
      <c r="B116" s="66">
        <v>7670</v>
      </c>
      <c r="D116">
        <f t="shared" si="4"/>
        <v>8.7206658177187563E-2</v>
      </c>
      <c r="E116">
        <f t="shared" si="4"/>
        <v>8.7206658177187563E-2</v>
      </c>
      <c r="G116">
        <f t="shared" ca="1" si="5"/>
        <v>114</v>
      </c>
      <c r="H116">
        <f t="shared" ca="1" si="6"/>
        <v>9.9415590321993825</v>
      </c>
      <c r="I116">
        <f t="shared" ca="1" si="7"/>
        <v>395.6353719818199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5986</v>
      </c>
      <c r="B118" s="66">
        <v>5986</v>
      </c>
      <c r="D118">
        <f t="shared" si="4"/>
        <v>6.8059850827724214E-2</v>
      </c>
      <c r="E118">
        <f t="shared" si="4"/>
        <v>6.8059850827724214E-2</v>
      </c>
      <c r="G118">
        <f t="shared" ca="1" si="5"/>
        <v>116</v>
      </c>
      <c r="H118">
        <f t="shared" ca="1" si="6"/>
        <v>7.8949426960160087</v>
      </c>
      <c r="I118">
        <f t="shared" ca="1" si="7"/>
        <v>327.38001617800171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6326</v>
      </c>
      <c r="B121" s="66">
        <v>6326</v>
      </c>
      <c r="D121">
        <f t="shared" si="4"/>
        <v>7.1925595779516099E-2</v>
      </c>
      <c r="E121">
        <f t="shared" si="4"/>
        <v>7.1925595779516099E-2</v>
      </c>
      <c r="G121">
        <f t="shared" ca="1" si="5"/>
        <v>119</v>
      </c>
      <c r="H121">
        <f t="shared" ca="1" si="6"/>
        <v>8.5591458977624164</v>
      </c>
      <c r="I121">
        <f t="shared" ca="1" si="7"/>
        <v>376.5528608001772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8065</v>
      </c>
      <c r="B124" s="66">
        <v>8065</v>
      </c>
      <c r="D124">
        <f t="shared" si="4"/>
        <v>9.1697744224122246E-2</v>
      </c>
      <c r="E124">
        <f t="shared" si="4"/>
        <v>9.1697744224122246E-2</v>
      </c>
      <c r="G124">
        <f t="shared" ca="1" si="5"/>
        <v>122</v>
      </c>
      <c r="H124">
        <f t="shared" ca="1" si="6"/>
        <v>11.187124795342914</v>
      </c>
      <c r="I124">
        <f t="shared" ca="1" si="7"/>
        <v>520.70047483331689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6783</v>
      </c>
      <c r="B126" s="66">
        <v>6783</v>
      </c>
      <c r="D126">
        <f t="shared" si="4"/>
        <v>7.712161178824814E-2</v>
      </c>
      <c r="E126">
        <f t="shared" si="4"/>
        <v>7.712161178824814E-2</v>
      </c>
      <c r="G126">
        <f t="shared" ca="1" si="5"/>
        <v>124</v>
      </c>
      <c r="H126">
        <f t="shared" ca="1" si="6"/>
        <v>9.5630798617427697</v>
      </c>
      <c r="I126">
        <f t="shared" ca="1" si="7"/>
        <v>461.48534905936253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8779</v>
      </c>
      <c r="B129" s="66">
        <v>8779</v>
      </c>
      <c r="D129">
        <f t="shared" si="4"/>
        <v>9.9815808622885208E-2</v>
      </c>
      <c r="E129">
        <f t="shared" si="4"/>
        <v>9.9815808622885208E-2</v>
      </c>
      <c r="G129">
        <f t="shared" ca="1" si="5"/>
        <v>127</v>
      </c>
      <c r="H129">
        <f t="shared" ca="1" si="6"/>
        <v>12.676607695106421</v>
      </c>
      <c r="I129">
        <f t="shared" ca="1" si="7"/>
        <v>644.51049198273768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6700</v>
      </c>
      <c r="B131" s="66">
        <v>6700</v>
      </c>
      <c r="D131">
        <f t="shared" ref="D131:E194" si="8">IFERROR( A131/MAX(A$2:A$257), 0 )</f>
        <v>7.6177915226487175E-2</v>
      </c>
      <c r="E131">
        <f t="shared" si="8"/>
        <v>7.6177915226487175E-2</v>
      </c>
      <c r="G131">
        <f t="shared" ref="G131:G194" ca="1" si="9">CELL("row",D131)-2</f>
        <v>129</v>
      </c>
      <c r="H131">
        <f t="shared" ref="H131:H194" ca="1" si="10">D131*G131</f>
        <v>9.8269510642168463</v>
      </c>
      <c r="I131">
        <f t="shared" ref="I131:I194" ca="1" si="11">D131*((G131-$L$1)^2)</f>
        <v>516.67061189709921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4846</v>
      </c>
      <c r="B134" s="66">
        <v>4846</v>
      </c>
      <c r="D134">
        <f t="shared" si="8"/>
        <v>5.509823540112789E-2</v>
      </c>
      <c r="E134">
        <f t="shared" si="8"/>
        <v>5.509823540112789E-2</v>
      </c>
      <c r="G134">
        <f t="shared" ca="1" si="9"/>
        <v>132</v>
      </c>
      <c r="H134">
        <f t="shared" ca="1" si="10"/>
        <v>7.2729670729488811</v>
      </c>
      <c r="I134">
        <f t="shared" ca="1" si="11"/>
        <v>401.42109448292996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4465</v>
      </c>
      <c r="B136" s="66">
        <v>4465</v>
      </c>
      <c r="D136">
        <f t="shared" si="8"/>
        <v>5.0766327087502276E-2</v>
      </c>
      <c r="E136">
        <f t="shared" si="8"/>
        <v>5.0766327087502276E-2</v>
      </c>
      <c r="G136">
        <f t="shared" ca="1" si="9"/>
        <v>134</v>
      </c>
      <c r="H136">
        <f t="shared" ca="1" si="10"/>
        <v>6.8026878297253051</v>
      </c>
      <c r="I136">
        <f t="shared" ca="1" si="11"/>
        <v>387.39654426528494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4192</v>
      </c>
      <c r="B139" s="66">
        <v>4192</v>
      </c>
      <c r="D139">
        <f t="shared" si="8"/>
        <v>4.7662361287975262E-2</v>
      </c>
      <c r="E139">
        <f t="shared" si="8"/>
        <v>4.7662361287975262E-2</v>
      </c>
      <c r="G139">
        <f t="shared" ca="1" si="9"/>
        <v>137</v>
      </c>
      <c r="H139">
        <f t="shared" ca="1" si="10"/>
        <v>6.5297434964526113</v>
      </c>
      <c r="I139">
        <f t="shared" ca="1" si="11"/>
        <v>389.12062361762452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3963</v>
      </c>
      <c r="B142" s="66">
        <v>3963</v>
      </c>
      <c r="D142">
        <f t="shared" si="8"/>
        <v>4.5058668364562487E-2</v>
      </c>
      <c r="E142">
        <f t="shared" si="8"/>
        <v>4.5058668364562487E-2</v>
      </c>
      <c r="G142">
        <f t="shared" ca="1" si="9"/>
        <v>140</v>
      </c>
      <c r="H142">
        <f t="shared" ca="1" si="10"/>
        <v>6.3082135710387481</v>
      </c>
      <c r="I142">
        <f t="shared" ca="1" si="11"/>
        <v>392.69710089036397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2320</v>
      </c>
      <c r="B144" s="66">
        <v>2320</v>
      </c>
      <c r="D144">
        <f t="shared" si="8"/>
        <v>2.6378024376932874E-2</v>
      </c>
      <c r="E144">
        <f t="shared" si="8"/>
        <v>2.6378024376932874E-2</v>
      </c>
      <c r="G144">
        <f t="shared" ca="1" si="9"/>
        <v>142</v>
      </c>
      <c r="H144">
        <f t="shared" ca="1" si="10"/>
        <v>3.745679461524468</v>
      </c>
      <c r="I144">
        <f t="shared" ca="1" si="11"/>
        <v>239.84644981034126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1003</v>
      </c>
      <c r="B147" s="66">
        <v>1003</v>
      </c>
      <c r="D147">
        <f t="shared" si="8"/>
        <v>1.1403947607786066E-2</v>
      </c>
      <c r="E147">
        <f t="shared" si="8"/>
        <v>1.1403947607786066E-2</v>
      </c>
      <c r="G147">
        <f t="shared" ca="1" si="9"/>
        <v>145</v>
      </c>
      <c r="H147">
        <f t="shared" ca="1" si="10"/>
        <v>1.6535724031289796</v>
      </c>
      <c r="I147">
        <f t="shared" ca="1" si="11"/>
        <v>110.31944348942649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773</v>
      </c>
      <c r="B149" s="66">
        <v>773</v>
      </c>
      <c r="D149">
        <f t="shared" si="8"/>
        <v>8.7888848462797896E-3</v>
      </c>
      <c r="E149">
        <f t="shared" si="8"/>
        <v>8.7888848462797896E-3</v>
      </c>
      <c r="G149">
        <f t="shared" ca="1" si="9"/>
        <v>147</v>
      </c>
      <c r="H149">
        <f t="shared" ca="1" si="10"/>
        <v>1.291966072403129</v>
      </c>
      <c r="I149">
        <f t="shared" ca="1" si="11"/>
        <v>88.514758618460505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1091</v>
      </c>
      <c r="B152" s="66">
        <v>1091</v>
      </c>
      <c r="D152">
        <f t="shared" si="8"/>
        <v>1.2404493360014554E-2</v>
      </c>
      <c r="E152">
        <f t="shared" si="8"/>
        <v>1.2404493360014554E-2</v>
      </c>
      <c r="G152">
        <f t="shared" ca="1" si="9"/>
        <v>150</v>
      </c>
      <c r="H152">
        <f t="shared" ca="1" si="10"/>
        <v>1.860674004002183</v>
      </c>
      <c r="I152">
        <f t="shared" ca="1" si="11"/>
        <v>132.50912474607529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1071</v>
      </c>
      <c r="B154" s="66">
        <v>1071</v>
      </c>
      <c r="D154">
        <f t="shared" si="8"/>
        <v>1.2177096598144442E-2</v>
      </c>
      <c r="E154">
        <f t="shared" si="8"/>
        <v>1.2177096598144442E-2</v>
      </c>
      <c r="G154">
        <f t="shared" ca="1" si="9"/>
        <v>152</v>
      </c>
      <c r="H154">
        <f t="shared" ca="1" si="10"/>
        <v>1.8509186829179551</v>
      </c>
      <c r="I154">
        <f t="shared" ca="1" si="11"/>
        <v>135.16297874289043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829</v>
      </c>
      <c r="B157" s="66">
        <v>829</v>
      </c>
      <c r="D157">
        <f t="shared" si="8"/>
        <v>9.4255957795160994E-3</v>
      </c>
      <c r="E157">
        <f t="shared" si="8"/>
        <v>9.4255957795160994E-3</v>
      </c>
      <c r="G157">
        <f t="shared" ca="1" si="9"/>
        <v>155</v>
      </c>
      <c r="H157">
        <f t="shared" ca="1" si="10"/>
        <v>1.4609673458249954</v>
      </c>
      <c r="I157">
        <f t="shared" ca="1" si="11"/>
        <v>110.66500847034362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1237</v>
      </c>
      <c r="B160" s="66">
        <v>1237</v>
      </c>
      <c r="D160">
        <f t="shared" si="8"/>
        <v>1.4064489721666363E-2</v>
      </c>
      <c r="E160">
        <f t="shared" si="8"/>
        <v>1.4064489721666363E-2</v>
      </c>
      <c r="G160">
        <f t="shared" ca="1" si="9"/>
        <v>158</v>
      </c>
      <c r="H160">
        <f t="shared" ca="1" si="10"/>
        <v>2.2221893760232856</v>
      </c>
      <c r="I160">
        <f t="shared" ca="1" si="11"/>
        <v>174.40017858816319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527</v>
      </c>
      <c r="B162" s="66">
        <v>527</v>
      </c>
      <c r="D162">
        <f t="shared" si="8"/>
        <v>5.9919046752774244E-3</v>
      </c>
      <c r="E162">
        <f t="shared" si="8"/>
        <v>5.9919046752774244E-3</v>
      </c>
      <c r="G162">
        <f t="shared" ca="1" si="9"/>
        <v>160</v>
      </c>
      <c r="H162">
        <f t="shared" ca="1" si="10"/>
        <v>0.95870474804438788</v>
      </c>
      <c r="I162">
        <f t="shared" ca="1" si="11"/>
        <v>76.992726117910962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579</v>
      </c>
      <c r="B165" s="66">
        <v>579</v>
      </c>
      <c r="D165">
        <f t="shared" si="8"/>
        <v>6.5831362561397126E-3</v>
      </c>
      <c r="E165">
        <f t="shared" si="8"/>
        <v>6.5831362561397126E-3</v>
      </c>
      <c r="G165">
        <f t="shared" ca="1" si="9"/>
        <v>163</v>
      </c>
      <c r="H165">
        <f t="shared" ca="1" si="10"/>
        <v>1.0730512097507732</v>
      </c>
      <c r="I165">
        <f t="shared" ca="1" si="11"/>
        <v>89.126385767261453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293</v>
      </c>
      <c r="B167" s="66">
        <v>293</v>
      </c>
      <c r="D167">
        <f t="shared" si="8"/>
        <v>3.3313625613971259E-3</v>
      </c>
      <c r="E167">
        <f t="shared" si="8"/>
        <v>3.3313625613971259E-3</v>
      </c>
      <c r="G167">
        <f t="shared" ca="1" si="9"/>
        <v>165</v>
      </c>
      <c r="H167">
        <f t="shared" ca="1" si="10"/>
        <v>0.54967482263052581</v>
      </c>
      <c r="I167">
        <f t="shared" ca="1" si="11"/>
        <v>46.665767613538982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444</v>
      </c>
      <c r="B170" s="66">
        <v>444</v>
      </c>
      <c r="D170">
        <f t="shared" si="8"/>
        <v>5.0482081135164638E-3</v>
      </c>
      <c r="E170">
        <f t="shared" si="8"/>
        <v>5.0482081135164638E-3</v>
      </c>
      <c r="G170">
        <f t="shared" ca="1" si="9"/>
        <v>168</v>
      </c>
      <c r="H170">
        <f t="shared" ca="1" si="10"/>
        <v>0.84809896307076593</v>
      </c>
      <c r="I170">
        <f t="shared" ca="1" si="11"/>
        <v>74.345692656640011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200</v>
      </c>
      <c r="B173" s="66">
        <v>200</v>
      </c>
      <c r="D173">
        <f t="shared" si="8"/>
        <v>2.2739676187011099E-3</v>
      </c>
      <c r="E173">
        <f t="shared" si="8"/>
        <v>2.2739676187011099E-3</v>
      </c>
      <c r="G173">
        <f t="shared" ca="1" si="9"/>
        <v>171</v>
      </c>
      <c r="H173">
        <f t="shared" ca="1" si="10"/>
        <v>0.38884846279788982</v>
      </c>
      <c r="I173">
        <f t="shared" ca="1" si="11"/>
        <v>35.165266620499985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37.954061226778279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0.7327976650373822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0.45997841953899116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5125</v>
      </c>
      <c r="B8" s="66">
        <v>5125</v>
      </c>
      <c r="D8">
        <f t="shared" si="0"/>
        <v>11.11882498427093</v>
      </c>
      <c r="E8">
        <f t="shared" si="1"/>
        <v>11.11882498427093</v>
      </c>
      <c r="G8">
        <f t="shared" ca="1" si="2"/>
        <v>6</v>
      </c>
      <c r="H8">
        <f t="shared" ca="1" si="3"/>
        <v>66.712949905625578</v>
      </c>
      <c r="I8">
        <f t="shared" ca="1" si="4"/>
        <v>11353.009997253512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9926</v>
      </c>
      <c r="B10" s="66">
        <v>9926</v>
      </c>
      <c r="D10">
        <f t="shared" si="0"/>
        <v>21.534723276853317</v>
      </c>
      <c r="E10">
        <f t="shared" si="1"/>
        <v>21.534723276853317</v>
      </c>
      <c r="G10">
        <f t="shared" ca="1" si="2"/>
        <v>8</v>
      </c>
      <c r="H10">
        <f t="shared" ca="1" si="3"/>
        <v>172.27778621482653</v>
      </c>
      <c r="I10">
        <f t="shared" ca="1" si="4"/>
        <v>19321.939669280535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17787</v>
      </c>
      <c r="B13" s="66">
        <v>17787</v>
      </c>
      <c r="D13">
        <f t="shared" si="0"/>
        <v>38.589373657605279</v>
      </c>
      <c r="E13">
        <f t="shared" si="1"/>
        <v>38.589373657605279</v>
      </c>
      <c r="G13">
        <f t="shared" ca="1" si="2"/>
        <v>11</v>
      </c>
      <c r="H13">
        <f t="shared" ca="1" si="3"/>
        <v>424.48311023365807</v>
      </c>
      <c r="I13">
        <f t="shared" ca="1" si="4"/>
        <v>28036.006416082742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26722</v>
      </c>
      <c r="B15" s="66">
        <v>26722</v>
      </c>
      <c r="D15">
        <f t="shared" si="0"/>
        <v>57.974095849695182</v>
      </c>
      <c r="E15">
        <f t="shared" si="1"/>
        <v>57.974095849695182</v>
      </c>
      <c r="G15">
        <f t="shared" ca="1" si="2"/>
        <v>13</v>
      </c>
      <c r="H15">
        <f t="shared" ca="1" si="3"/>
        <v>753.66324604603733</v>
      </c>
      <c r="I15">
        <f t="shared" ca="1" si="4"/>
        <v>36100.76931080479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36955</v>
      </c>
      <c r="B18" s="66">
        <v>36955</v>
      </c>
      <c r="D18">
        <f t="shared" si="0"/>
        <v>80.174863862191657</v>
      </c>
      <c r="E18">
        <f t="shared" si="1"/>
        <v>80.174863862191657</v>
      </c>
      <c r="G18">
        <f t="shared" ca="1" si="2"/>
        <v>16</v>
      </c>
      <c r="H18">
        <f t="shared" ca="1" si="3"/>
        <v>1282.7978217950665</v>
      </c>
      <c r="I18">
        <f t="shared" ca="1" si="4"/>
        <v>38642.74537288108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36924</v>
      </c>
      <c r="B21" s="66">
        <v>36924</v>
      </c>
      <c r="D21">
        <f t="shared" si="0"/>
        <v>80.107608530579483</v>
      </c>
      <c r="E21">
        <f t="shared" si="1"/>
        <v>80.107608530579483</v>
      </c>
      <c r="G21">
        <f t="shared" ca="1" si="2"/>
        <v>19</v>
      </c>
      <c r="H21">
        <f t="shared" ca="1" si="3"/>
        <v>1522.0445620810101</v>
      </c>
      <c r="I21">
        <f t="shared" ca="1" si="4"/>
        <v>28779.174016362325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40419</v>
      </c>
      <c r="B23" s="66">
        <v>40419</v>
      </c>
      <c r="D23">
        <f t="shared" si="0"/>
        <v>87.690104788145703</v>
      </c>
      <c r="E23">
        <f t="shared" si="1"/>
        <v>87.690104788145703</v>
      </c>
      <c r="G23">
        <f t="shared" ca="1" si="2"/>
        <v>21</v>
      </c>
      <c r="H23">
        <f t="shared" ca="1" si="3"/>
        <v>1841.4922005510598</v>
      </c>
      <c r="I23">
        <f t="shared" ca="1" si="4"/>
        <v>25205.66056393801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44837</v>
      </c>
      <c r="B26" s="66">
        <v>44837</v>
      </c>
      <c r="D26">
        <f t="shared" si="0"/>
        <v>97.275074306293803</v>
      </c>
      <c r="E26">
        <f t="shared" si="1"/>
        <v>97.275074306293803</v>
      </c>
      <c r="G26">
        <f t="shared" ca="1" si="2"/>
        <v>24</v>
      </c>
      <c r="H26">
        <f t="shared" ca="1" si="3"/>
        <v>2334.6017833510514</v>
      </c>
      <c r="I26">
        <f t="shared" ca="1" si="4"/>
        <v>18940.996318315127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46093</v>
      </c>
      <c r="B28" s="66">
        <v>46093</v>
      </c>
      <c r="D28">
        <f t="shared" si="0"/>
        <v>100</v>
      </c>
      <c r="E28">
        <f t="shared" si="1"/>
        <v>100</v>
      </c>
      <c r="G28">
        <f t="shared" ca="1" si="2"/>
        <v>26</v>
      </c>
      <c r="H28">
        <f t="shared" ca="1" si="3"/>
        <v>2600</v>
      </c>
      <c r="I28">
        <f t="shared" ca="1" si="4"/>
        <v>14289.95798135638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45503</v>
      </c>
      <c r="B31" s="66">
        <v>45503</v>
      </c>
      <c r="D31">
        <f t="shared" si="0"/>
        <v>98.719979172542466</v>
      </c>
      <c r="E31">
        <f t="shared" si="1"/>
        <v>98.719979172542466</v>
      </c>
      <c r="G31">
        <f t="shared" ca="1" si="2"/>
        <v>29</v>
      </c>
      <c r="H31">
        <f t="shared" ca="1" si="3"/>
        <v>2862.8793960037315</v>
      </c>
      <c r="I31">
        <f t="shared" ca="1" si="4"/>
        <v>7914.8953035038776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45780</v>
      </c>
      <c r="B33" s="66">
        <v>45780</v>
      </c>
      <c r="D33">
        <f t="shared" si="0"/>
        <v>99.320938103399655</v>
      </c>
      <c r="E33">
        <f t="shared" si="1"/>
        <v>99.320938103399655</v>
      </c>
      <c r="G33">
        <f t="shared" ca="1" si="2"/>
        <v>31</v>
      </c>
      <c r="H33">
        <f t="shared" ca="1" si="3"/>
        <v>3078.9490812053891</v>
      </c>
      <c r="I33">
        <f t="shared" ca="1" si="4"/>
        <v>4803.0580223588304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44363</v>
      </c>
      <c r="B36" s="66">
        <v>44363</v>
      </c>
      <c r="D36">
        <f t="shared" si="0"/>
        <v>96.246718590675371</v>
      </c>
      <c r="E36">
        <f t="shared" si="1"/>
        <v>96.246718590675371</v>
      </c>
      <c r="G36">
        <f t="shared" ca="1" si="2"/>
        <v>34</v>
      </c>
      <c r="H36">
        <f t="shared" ca="1" si="3"/>
        <v>3272.3884320829625</v>
      </c>
      <c r="I36">
        <f t="shared" ca="1" si="4"/>
        <v>1504.7789642941332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39998</v>
      </c>
      <c r="B39" s="66">
        <v>39998</v>
      </c>
      <c r="D39">
        <f t="shared" si="0"/>
        <v>86.776733994315833</v>
      </c>
      <c r="E39">
        <f t="shared" si="1"/>
        <v>86.776733994315833</v>
      </c>
      <c r="G39">
        <f t="shared" ca="1" si="2"/>
        <v>37</v>
      </c>
      <c r="H39">
        <f t="shared" ca="1" si="3"/>
        <v>3210.739157789686</v>
      </c>
      <c r="I39">
        <f t="shared" ca="1" si="4"/>
        <v>78.987031679470007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40388</v>
      </c>
      <c r="B41" s="66">
        <v>40388</v>
      </c>
      <c r="D41">
        <f t="shared" si="0"/>
        <v>87.62284945653353</v>
      </c>
      <c r="E41">
        <f t="shared" si="1"/>
        <v>87.62284945653353</v>
      </c>
      <c r="G41">
        <f t="shared" ca="1" si="2"/>
        <v>39</v>
      </c>
      <c r="H41">
        <f t="shared" ca="1" si="3"/>
        <v>3417.2911288048076</v>
      </c>
      <c r="I41">
        <f t="shared" ca="1" si="4"/>
        <v>95.858338587346935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25843</v>
      </c>
      <c r="B44" s="66">
        <v>25843</v>
      </c>
      <c r="D44">
        <f t="shared" si="0"/>
        <v>56.067081769466078</v>
      </c>
      <c r="E44">
        <f t="shared" si="1"/>
        <v>56.067081769466078</v>
      </c>
      <c r="G44">
        <f t="shared" ca="1" si="2"/>
        <v>42</v>
      </c>
      <c r="H44">
        <f t="shared" ca="1" si="3"/>
        <v>2354.8174343175751</v>
      </c>
      <c r="I44">
        <f t="shared" ca="1" si="4"/>
        <v>917.7968542853265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21514</v>
      </c>
      <c r="B46" s="66">
        <v>21514</v>
      </c>
      <c r="D46">
        <f t="shared" si="0"/>
        <v>46.675200138849718</v>
      </c>
      <c r="E46">
        <f t="shared" si="1"/>
        <v>46.675200138849718</v>
      </c>
      <c r="G46">
        <f t="shared" ca="1" si="2"/>
        <v>44</v>
      </c>
      <c r="H46">
        <f t="shared" ca="1" si="3"/>
        <v>2053.7088061093878</v>
      </c>
      <c r="I46">
        <f t="shared" ca="1" si="4"/>
        <v>1706.1361241931047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16591</v>
      </c>
      <c r="B49" s="66">
        <v>16591</v>
      </c>
      <c r="D49">
        <f t="shared" si="0"/>
        <v>35.994619573471027</v>
      </c>
      <c r="E49">
        <f t="shared" si="1"/>
        <v>35.994619573471027</v>
      </c>
      <c r="G49">
        <f t="shared" ca="1" si="2"/>
        <v>47</v>
      </c>
      <c r="H49">
        <f t="shared" ca="1" si="3"/>
        <v>1691.7471199531383</v>
      </c>
      <c r="I49">
        <f t="shared" ca="1" si="4"/>
        <v>2945.4040234325025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12616</v>
      </c>
      <c r="B51" s="66">
        <v>12616</v>
      </c>
      <c r="D51">
        <f t="shared" si="0"/>
        <v>27.370750439329182</v>
      </c>
      <c r="E51">
        <f t="shared" si="1"/>
        <v>27.370750439329182</v>
      </c>
      <c r="G51">
        <f t="shared" ca="1" si="2"/>
        <v>49</v>
      </c>
      <c r="H51">
        <f t="shared" ca="1" si="3"/>
        <v>1341.1667715271299</v>
      </c>
      <c r="I51">
        <f t="shared" ca="1" si="4"/>
        <v>3339.5808969351565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12253</v>
      </c>
      <c r="B54" s="66">
        <v>12253</v>
      </c>
      <c r="D54">
        <f t="shared" si="0"/>
        <v>26.583212201418871</v>
      </c>
      <c r="E54">
        <f t="shared" si="1"/>
        <v>26.583212201418871</v>
      </c>
      <c r="G54">
        <f t="shared" ca="1" si="2"/>
        <v>52</v>
      </c>
      <c r="H54">
        <f t="shared" ca="1" si="3"/>
        <v>1382.3270344737812</v>
      </c>
      <c r="I54">
        <f t="shared" ca="1" si="4"/>
        <v>5244.5592963062854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11223</v>
      </c>
      <c r="B57" s="66">
        <v>11223</v>
      </c>
      <c r="D57">
        <f t="shared" si="0"/>
        <v>24.348599570433688</v>
      </c>
      <c r="E57">
        <f t="shared" si="1"/>
        <v>24.348599570433688</v>
      </c>
      <c r="G57">
        <f t="shared" ca="1" si="2"/>
        <v>55</v>
      </c>
      <c r="H57">
        <f t="shared" ca="1" si="3"/>
        <v>1339.1729763738529</v>
      </c>
      <c r="I57">
        <f t="shared" ca="1" si="4"/>
        <v>7074.8271834246725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10390</v>
      </c>
      <c r="B59" s="66">
        <v>10390</v>
      </c>
      <c r="D59">
        <f t="shared" si="0"/>
        <v>22.541383724209751</v>
      </c>
      <c r="E59">
        <f t="shared" si="1"/>
        <v>22.541383724209751</v>
      </c>
      <c r="G59">
        <f t="shared" ca="1" si="2"/>
        <v>57</v>
      </c>
      <c r="H59">
        <f t="shared" ca="1" si="3"/>
        <v>1284.8588722799559</v>
      </c>
      <c r="I59">
        <f t="shared" ca="1" si="4"/>
        <v>8176.8369886900318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11255</v>
      </c>
      <c r="B62" s="66">
        <v>11255</v>
      </c>
      <c r="D62">
        <f t="shared" si="0"/>
        <v>24.418024428872062</v>
      </c>
      <c r="E62">
        <f t="shared" si="1"/>
        <v>24.418024428872062</v>
      </c>
      <c r="G62">
        <f t="shared" ca="1" si="2"/>
        <v>60</v>
      </c>
      <c r="H62">
        <f t="shared" ca="1" si="3"/>
        <v>1465.0814657323237</v>
      </c>
      <c r="I62">
        <f t="shared" ca="1" si="4"/>
        <v>11867.731654479363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10749</v>
      </c>
      <c r="B64" s="66">
        <v>10749</v>
      </c>
      <c r="D64">
        <f t="shared" si="0"/>
        <v>23.320243854815264</v>
      </c>
      <c r="E64">
        <f t="shared" si="1"/>
        <v>23.320243854815264</v>
      </c>
      <c r="G64">
        <f t="shared" ca="1" si="2"/>
        <v>62</v>
      </c>
      <c r="H64">
        <f t="shared" ca="1" si="3"/>
        <v>1445.8551189985462</v>
      </c>
      <c r="I64">
        <f t="shared" ca="1" si="4"/>
        <v>13483.932237645493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6024</v>
      </c>
      <c r="B67" s="66">
        <v>6024</v>
      </c>
      <c r="D67">
        <f t="shared" ref="D67:D130" si="5">IFERROR( 100*A67/MAX(A$2:A$257), 0 )</f>
        <v>13.069229601024016</v>
      </c>
      <c r="E67">
        <f t="shared" ref="E67:E130" si="6">IFERROR( 100*B67/MAX(B$2:B$257), 0 )</f>
        <v>13.069229601024016</v>
      </c>
      <c r="G67">
        <f t="shared" ref="G67:G130" ca="1" si="7">CELL("row",D67)-2</f>
        <v>65</v>
      </c>
      <c r="H67">
        <f t="shared" ref="H67:H130" ca="1" si="8">D67*G67</f>
        <v>849.49992406656111</v>
      </c>
      <c r="I67">
        <f t="shared" ref="I67:I130" ca="1" si="9">D67*((G67-$L$1)^2)</f>
        <v>9559.9167163086477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6556</v>
      </c>
      <c r="B69" s="66">
        <v>6556</v>
      </c>
      <c r="D69">
        <f t="shared" si="5"/>
        <v>14.223417872561994</v>
      </c>
      <c r="E69">
        <f t="shared" si="6"/>
        <v>14.223417872561994</v>
      </c>
      <c r="G69">
        <f t="shared" ca="1" si="7"/>
        <v>67</v>
      </c>
      <c r="H69">
        <f t="shared" ca="1" si="8"/>
        <v>952.96899746165354</v>
      </c>
      <c r="I69">
        <f t="shared" ca="1" si="9"/>
        <v>11999.822016860555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6544</v>
      </c>
      <c r="B72" s="66">
        <v>6544</v>
      </c>
      <c r="D72">
        <f t="shared" si="5"/>
        <v>14.197383550647604</v>
      </c>
      <c r="E72">
        <f t="shared" si="6"/>
        <v>14.197383550647604</v>
      </c>
      <c r="G72">
        <f t="shared" ca="1" si="7"/>
        <v>70</v>
      </c>
      <c r="H72">
        <f t="shared" ca="1" si="8"/>
        <v>993.81684854533228</v>
      </c>
      <c r="I72">
        <f t="shared" ca="1" si="9"/>
        <v>14579.892182137635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5751</v>
      </c>
      <c r="B75" s="66">
        <v>5751</v>
      </c>
      <c r="D75">
        <f t="shared" si="5"/>
        <v>12.476948777471634</v>
      </c>
      <c r="E75">
        <f t="shared" si="6"/>
        <v>12.476948777471634</v>
      </c>
      <c r="G75">
        <f t="shared" ca="1" si="7"/>
        <v>73</v>
      </c>
      <c r="H75">
        <f t="shared" ca="1" si="8"/>
        <v>910.81726075542929</v>
      </c>
      <c r="I75">
        <f t="shared" ca="1" si="9"/>
        <v>15324.410883819299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4704</v>
      </c>
      <c r="B77" s="66">
        <v>4704</v>
      </c>
      <c r="D77">
        <f t="shared" si="5"/>
        <v>10.205454190441065</v>
      </c>
      <c r="E77">
        <f t="shared" si="6"/>
        <v>10.205454190441065</v>
      </c>
      <c r="G77">
        <f t="shared" ca="1" si="7"/>
        <v>75</v>
      </c>
      <c r="H77">
        <f t="shared" ca="1" si="8"/>
        <v>765.40906428307994</v>
      </c>
      <c r="I77">
        <f t="shared" ca="1" si="9"/>
        <v>14005.981451387481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4252</v>
      </c>
      <c r="B80" s="66">
        <v>4252</v>
      </c>
      <c r="D80">
        <f t="shared" si="5"/>
        <v>9.2248280649990235</v>
      </c>
      <c r="E80">
        <f t="shared" si="6"/>
        <v>9.2248280649990235</v>
      </c>
      <c r="G80">
        <f t="shared" ca="1" si="7"/>
        <v>78</v>
      </c>
      <c r="H80">
        <f t="shared" ca="1" si="8"/>
        <v>719.53658906992382</v>
      </c>
      <c r="I80">
        <f t="shared" ca="1" si="9"/>
        <v>14793.646554565994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4250</v>
      </c>
      <c r="B82" s="66">
        <v>4250</v>
      </c>
      <c r="D82">
        <f t="shared" si="5"/>
        <v>9.2204890113466256</v>
      </c>
      <c r="E82">
        <f t="shared" si="6"/>
        <v>9.2204890113466256</v>
      </c>
      <c r="G82">
        <f t="shared" ca="1" si="7"/>
        <v>80</v>
      </c>
      <c r="H82">
        <f t="shared" ca="1" si="8"/>
        <v>737.6391209077301</v>
      </c>
      <c r="I82">
        <f t="shared" ca="1" si="9"/>
        <v>16300.542622776595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4150</v>
      </c>
      <c r="B85" s="66">
        <v>4150</v>
      </c>
      <c r="D85">
        <f t="shared" si="5"/>
        <v>9.003536328726705</v>
      </c>
      <c r="E85">
        <f t="shared" si="6"/>
        <v>9.003536328726705</v>
      </c>
      <c r="G85">
        <f t="shared" ca="1" si="7"/>
        <v>83</v>
      </c>
      <c r="H85">
        <f t="shared" ca="1" si="8"/>
        <v>747.29351528431653</v>
      </c>
      <c r="I85">
        <f t="shared" ca="1" si="9"/>
        <v>18269.405093696409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2369</v>
      </c>
      <c r="B88" s="66">
        <v>2369</v>
      </c>
      <c r="D88">
        <f t="shared" si="5"/>
        <v>5.1396090512659187</v>
      </c>
      <c r="E88">
        <f t="shared" si="6"/>
        <v>5.1396090512659187</v>
      </c>
      <c r="G88">
        <f t="shared" ca="1" si="7"/>
        <v>86</v>
      </c>
      <c r="H88">
        <f t="shared" ca="1" si="8"/>
        <v>442.00637840886901</v>
      </c>
      <c r="I88">
        <f t="shared" ca="1" si="9"/>
        <v>11864.336404724801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3089</v>
      </c>
      <c r="B90" s="66">
        <v>3089</v>
      </c>
      <c r="D90">
        <f t="shared" si="5"/>
        <v>6.701668366129347</v>
      </c>
      <c r="E90">
        <f t="shared" si="6"/>
        <v>6.701668366129347</v>
      </c>
      <c r="G90">
        <f t="shared" ca="1" si="7"/>
        <v>88</v>
      </c>
      <c r="H90">
        <f t="shared" ca="1" si="8"/>
        <v>589.74681621938248</v>
      </c>
      <c r="I90">
        <f t="shared" ca="1" si="9"/>
        <v>16784.97170065705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2728</v>
      </c>
      <c r="B93" s="66">
        <v>2728</v>
      </c>
      <c r="D93">
        <f t="shared" si="5"/>
        <v>5.9184691818714334</v>
      </c>
      <c r="E93">
        <f t="shared" si="6"/>
        <v>5.9184691818714334</v>
      </c>
      <c r="G93">
        <f t="shared" ca="1" si="7"/>
        <v>91</v>
      </c>
      <c r="H93">
        <f t="shared" ca="1" si="8"/>
        <v>538.58069555030045</v>
      </c>
      <c r="I93">
        <f t="shared" ca="1" si="9"/>
        <v>16653.812466679869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2073</v>
      </c>
      <c r="B95" s="66">
        <v>2073</v>
      </c>
      <c r="D95">
        <f t="shared" si="5"/>
        <v>4.4974291107109536</v>
      </c>
      <c r="E95">
        <f t="shared" si="6"/>
        <v>4.4974291107109536</v>
      </c>
      <c r="G95">
        <f t="shared" ca="1" si="7"/>
        <v>93</v>
      </c>
      <c r="H95">
        <f t="shared" ca="1" si="8"/>
        <v>418.26090729611872</v>
      </c>
      <c r="I95">
        <f t="shared" ca="1" si="9"/>
        <v>13627.459252503837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1978</v>
      </c>
      <c r="B98" s="66">
        <v>1978</v>
      </c>
      <c r="D98">
        <f t="shared" si="5"/>
        <v>4.2913240622220297</v>
      </c>
      <c r="E98">
        <f t="shared" si="6"/>
        <v>4.2913240622220297</v>
      </c>
      <c r="G98">
        <f t="shared" ca="1" si="7"/>
        <v>96</v>
      </c>
      <c r="H98">
        <f t="shared" ca="1" si="8"/>
        <v>411.96710997331485</v>
      </c>
      <c r="I98">
        <f t="shared" ca="1" si="9"/>
        <v>14458.891228498445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2239</v>
      </c>
      <c r="B100" s="66">
        <v>2239</v>
      </c>
      <c r="D100">
        <f t="shared" si="5"/>
        <v>4.8575705638600217</v>
      </c>
      <c r="E100">
        <f t="shared" si="6"/>
        <v>4.8575705638600217</v>
      </c>
      <c r="G100">
        <f t="shared" ca="1" si="7"/>
        <v>98</v>
      </c>
      <c r="H100">
        <f t="shared" ca="1" si="8"/>
        <v>476.04191525828213</v>
      </c>
      <c r="I100">
        <f t="shared" ca="1" si="9"/>
        <v>17514.042381076568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1715</v>
      </c>
      <c r="B103" s="66">
        <v>1715</v>
      </c>
      <c r="D103">
        <f t="shared" si="5"/>
        <v>3.7207385069316383</v>
      </c>
      <c r="E103">
        <f t="shared" si="6"/>
        <v>3.7207385069316383</v>
      </c>
      <c r="G103">
        <f t="shared" ca="1" si="7"/>
        <v>101</v>
      </c>
      <c r="H103">
        <f t="shared" ca="1" si="8"/>
        <v>375.79458920009546</v>
      </c>
      <c r="I103">
        <f t="shared" ca="1" si="9"/>
        <v>14789.155682623283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3251</v>
      </c>
      <c r="B106" s="66">
        <v>3251</v>
      </c>
      <c r="D106">
        <f t="shared" si="5"/>
        <v>7.0531317119736183</v>
      </c>
      <c r="E106">
        <f t="shared" si="6"/>
        <v>7.0531317119736183</v>
      </c>
      <c r="G106">
        <f t="shared" ca="1" si="7"/>
        <v>104</v>
      </c>
      <c r="H106">
        <f t="shared" ca="1" si="8"/>
        <v>733.52569804525626</v>
      </c>
      <c r="I106">
        <f t="shared" ca="1" si="9"/>
        <v>30766.226234885838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2649</v>
      </c>
      <c r="B108" s="66">
        <v>2649</v>
      </c>
      <c r="D108">
        <f t="shared" si="5"/>
        <v>5.7470765626016966</v>
      </c>
      <c r="E108">
        <f t="shared" si="6"/>
        <v>5.7470765626016966</v>
      </c>
      <c r="G108">
        <f t="shared" ca="1" si="7"/>
        <v>106</v>
      </c>
      <c r="H108">
        <f t="shared" ca="1" si="8"/>
        <v>609.19011563577988</v>
      </c>
      <c r="I108">
        <f t="shared" ca="1" si="9"/>
        <v>26610.400009911318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1941</v>
      </c>
      <c r="B111" s="66">
        <v>1941</v>
      </c>
      <c r="D111">
        <f t="shared" si="5"/>
        <v>4.2110515696526587</v>
      </c>
      <c r="E111">
        <f t="shared" si="6"/>
        <v>4.2110515696526587</v>
      </c>
      <c r="G111">
        <f t="shared" ca="1" si="7"/>
        <v>109</v>
      </c>
      <c r="H111">
        <f t="shared" ca="1" si="8"/>
        <v>459.00462109213981</v>
      </c>
      <c r="I111">
        <f t="shared" ca="1" si="9"/>
        <v>21255.389826617502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2120</v>
      </c>
      <c r="B113" s="66">
        <v>2120</v>
      </c>
      <c r="D113">
        <f t="shared" si="5"/>
        <v>4.599396871542317</v>
      </c>
      <c r="E113">
        <f t="shared" si="6"/>
        <v>4.599396871542317</v>
      </c>
      <c r="G113">
        <f t="shared" ca="1" si="7"/>
        <v>111</v>
      </c>
      <c r="H113">
        <f t="shared" ca="1" si="8"/>
        <v>510.5330527411972</v>
      </c>
      <c r="I113">
        <f t="shared" ca="1" si="9"/>
        <v>24541.044069758671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1977</v>
      </c>
      <c r="B116" s="66">
        <v>1977</v>
      </c>
      <c r="D116">
        <f t="shared" si="5"/>
        <v>4.2891545353958298</v>
      </c>
      <c r="E116">
        <f t="shared" si="6"/>
        <v>4.2891545353958298</v>
      </c>
      <c r="G116">
        <f t="shared" ca="1" si="7"/>
        <v>114</v>
      </c>
      <c r="H116">
        <f t="shared" ca="1" si="8"/>
        <v>488.96361703512457</v>
      </c>
      <c r="I116">
        <f t="shared" ca="1" si="9"/>
        <v>24804.115499775366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1347</v>
      </c>
      <c r="B118" s="66">
        <v>1347</v>
      </c>
      <c r="D118">
        <f t="shared" si="5"/>
        <v>2.9223526348903306</v>
      </c>
      <c r="E118">
        <f t="shared" si="6"/>
        <v>2.9223526348903306</v>
      </c>
      <c r="G118">
        <f t="shared" ca="1" si="7"/>
        <v>116</v>
      </c>
      <c r="H118">
        <f t="shared" ca="1" si="8"/>
        <v>338.99290564727835</v>
      </c>
      <c r="I118">
        <f t="shared" ca="1" si="9"/>
        <v>17800.542487935716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1371</v>
      </c>
      <c r="B121" s="66">
        <v>1371</v>
      </c>
      <c r="D121">
        <f t="shared" si="5"/>
        <v>2.9744212787191113</v>
      </c>
      <c r="E121">
        <f t="shared" si="6"/>
        <v>2.9744212787191113</v>
      </c>
      <c r="G121">
        <f t="shared" ca="1" si="7"/>
        <v>119</v>
      </c>
      <c r="H121">
        <f t="shared" ca="1" si="8"/>
        <v>353.95613216757425</v>
      </c>
      <c r="I121">
        <f t="shared" ca="1" si="9"/>
        <v>19537.320171671567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1764</v>
      </c>
      <c r="B124" s="66">
        <v>1764</v>
      </c>
      <c r="D124">
        <f t="shared" si="5"/>
        <v>3.8270453214153992</v>
      </c>
      <c r="E124">
        <f t="shared" si="6"/>
        <v>3.8270453214153992</v>
      </c>
      <c r="G124">
        <f t="shared" ca="1" si="7"/>
        <v>122</v>
      </c>
      <c r="H124">
        <f t="shared" ca="1" si="8"/>
        <v>466.89952921267871</v>
      </c>
      <c r="I124">
        <f t="shared" ca="1" si="9"/>
        <v>27033.175905269876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1464</v>
      </c>
      <c r="B126" s="66">
        <v>1464</v>
      </c>
      <c r="D126">
        <f t="shared" si="5"/>
        <v>3.1761872735556373</v>
      </c>
      <c r="E126">
        <f t="shared" si="6"/>
        <v>3.1761872735556373</v>
      </c>
      <c r="G126">
        <f t="shared" ca="1" si="7"/>
        <v>124</v>
      </c>
      <c r="H126">
        <f t="shared" ca="1" si="8"/>
        <v>393.84722192089902</v>
      </c>
      <c r="I126">
        <f t="shared" ca="1" si="9"/>
        <v>23516.18432341221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1355</v>
      </c>
      <c r="B129" s="66">
        <v>1355</v>
      </c>
      <c r="D129">
        <f t="shared" si="5"/>
        <v>2.9397088494999242</v>
      </c>
      <c r="E129">
        <f t="shared" si="6"/>
        <v>2.9397088494999242</v>
      </c>
      <c r="G129">
        <f t="shared" ca="1" si="7"/>
        <v>127</v>
      </c>
      <c r="H129">
        <f t="shared" ca="1" si="8"/>
        <v>373.34302388649036</v>
      </c>
      <c r="I129">
        <f t="shared" ca="1" si="9"/>
        <v>23309.478298800026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999</v>
      </c>
      <c r="B131" s="66">
        <v>999</v>
      </c>
      <c r="D131">
        <f t="shared" ref="D131:D194" si="10">IFERROR( 100*A131/MAX(A$2:A$257), 0 )</f>
        <v>2.1673572993730068</v>
      </c>
      <c r="E131">
        <f t="shared" ref="E131:E194" si="11">IFERROR( 100*B131/MAX(B$2:B$257), 0 )</f>
        <v>2.1673572993730068</v>
      </c>
      <c r="G131">
        <f t="shared" ref="G131:G194" ca="1" si="12">CELL("row",D131)-2</f>
        <v>129</v>
      </c>
      <c r="H131">
        <f t="shared" ref="H131:H194" ca="1" si="13">D131*G131</f>
        <v>279.58909161911788</v>
      </c>
      <c r="I131">
        <f t="shared" ref="I131:I194" ca="1" si="14">D131*((G131-$L$1)^2)</f>
        <v>17966.011333890485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664</v>
      </c>
      <c r="B134" s="66">
        <v>664</v>
      </c>
      <c r="D134">
        <f t="shared" si="10"/>
        <v>1.4405658125962728</v>
      </c>
      <c r="E134">
        <f t="shared" si="11"/>
        <v>1.4405658125962728</v>
      </c>
      <c r="G134">
        <f t="shared" ca="1" si="12"/>
        <v>132</v>
      </c>
      <c r="H134">
        <f t="shared" ca="1" si="13"/>
        <v>190.15468726270802</v>
      </c>
      <c r="I134">
        <f t="shared" ca="1" si="14"/>
        <v>12741.28399154987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505</v>
      </c>
      <c r="B136" s="66">
        <v>505</v>
      </c>
      <c r="D136">
        <f t="shared" si="10"/>
        <v>1.0956110472305991</v>
      </c>
      <c r="E136">
        <f t="shared" si="11"/>
        <v>1.0956110472305991</v>
      </c>
      <c r="G136">
        <f t="shared" ca="1" si="12"/>
        <v>134</v>
      </c>
      <c r="H136">
        <f t="shared" ca="1" si="13"/>
        <v>146.81188032890029</v>
      </c>
      <c r="I136">
        <f t="shared" ca="1" si="14"/>
        <v>10106.817280690941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216</v>
      </c>
      <c r="B139" s="66">
        <v>216</v>
      </c>
      <c r="D139">
        <f t="shared" si="10"/>
        <v>0.46861779445902846</v>
      </c>
      <c r="E139">
        <f t="shared" si="11"/>
        <v>0.46861779445902846</v>
      </c>
      <c r="G139">
        <f t="shared" ca="1" si="12"/>
        <v>137</v>
      </c>
      <c r="H139">
        <f t="shared" ca="1" si="13"/>
        <v>64.200637840886898</v>
      </c>
      <c r="I139">
        <f t="shared" ca="1" si="14"/>
        <v>4597.1864823145761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503</v>
      </c>
      <c r="B142" s="66">
        <v>503</v>
      </c>
      <c r="D142">
        <f t="shared" si="10"/>
        <v>1.0912719935782007</v>
      </c>
      <c r="E142">
        <f t="shared" si="11"/>
        <v>1.0912719935782007</v>
      </c>
      <c r="G142">
        <f t="shared" ca="1" si="12"/>
        <v>140</v>
      </c>
      <c r="H142">
        <f t="shared" ca="1" si="13"/>
        <v>152.7780791009481</v>
      </c>
      <c r="I142">
        <f t="shared" ca="1" si="14"/>
        <v>11363.822990290028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338</v>
      </c>
      <c r="B144" s="66">
        <v>338</v>
      </c>
      <c r="D144">
        <f t="shared" si="10"/>
        <v>0.73330006725533159</v>
      </c>
      <c r="E144">
        <f t="shared" si="11"/>
        <v>0.73330006725533159</v>
      </c>
      <c r="G144">
        <f t="shared" ca="1" si="12"/>
        <v>142</v>
      </c>
      <c r="H144">
        <f t="shared" ca="1" si="13"/>
        <v>104.12860955025708</v>
      </c>
      <c r="I144">
        <f t="shared" ca="1" si="14"/>
        <v>7938.3819513113458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130</v>
      </c>
      <c r="B147" s="66">
        <v>130</v>
      </c>
      <c r="D147">
        <f t="shared" si="10"/>
        <v>0.28203848740589677</v>
      </c>
      <c r="E147">
        <f t="shared" si="11"/>
        <v>0.28203848740589677</v>
      </c>
      <c r="G147">
        <f t="shared" ca="1" si="12"/>
        <v>145</v>
      </c>
      <c r="H147">
        <f t="shared" ca="1" si="13"/>
        <v>40.895580673855029</v>
      </c>
      <c r="I147">
        <f t="shared" ca="1" si="14"/>
        <v>3231.8319289680503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133</v>
      </c>
      <c r="B149" s="66">
        <v>133</v>
      </c>
      <c r="D149">
        <f t="shared" si="10"/>
        <v>0.28854706788449441</v>
      </c>
      <c r="E149">
        <f t="shared" si="11"/>
        <v>0.28854706788449441</v>
      </c>
      <c r="G149">
        <f t="shared" ca="1" si="12"/>
        <v>147</v>
      </c>
      <c r="H149">
        <f t="shared" ca="1" si="13"/>
        <v>42.416418979020676</v>
      </c>
      <c r="I149">
        <f t="shared" ca="1" si="14"/>
        <v>3431.118021109753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225</v>
      </c>
      <c r="B152" s="66">
        <v>225</v>
      </c>
      <c r="D152">
        <f t="shared" si="10"/>
        <v>0.48814353589482135</v>
      </c>
      <c r="E152">
        <f t="shared" si="11"/>
        <v>0.48814353589482135</v>
      </c>
      <c r="G152">
        <f t="shared" ca="1" si="12"/>
        <v>150</v>
      </c>
      <c r="H152">
        <f t="shared" ca="1" si="13"/>
        <v>73.2215303842232</v>
      </c>
      <c r="I152">
        <f t="shared" ca="1" si="14"/>
        <v>6128.296680632252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137</v>
      </c>
      <c r="B154" s="66">
        <v>137</v>
      </c>
      <c r="D154">
        <f t="shared" si="10"/>
        <v>0.2972251751892912</v>
      </c>
      <c r="E154">
        <f t="shared" si="11"/>
        <v>0.2972251751892912</v>
      </c>
      <c r="G154">
        <f t="shared" ca="1" si="12"/>
        <v>152</v>
      </c>
      <c r="H154">
        <f t="shared" ca="1" si="13"/>
        <v>45.178226628772265</v>
      </c>
      <c r="I154">
        <f t="shared" ca="1" si="14"/>
        <v>3865.8521524768726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187</v>
      </c>
      <c r="B157" s="66">
        <v>187</v>
      </c>
      <c r="D157">
        <f t="shared" si="10"/>
        <v>0.40570151649925151</v>
      </c>
      <c r="E157">
        <f t="shared" si="11"/>
        <v>0.40570151649925151</v>
      </c>
      <c r="G157">
        <f t="shared" ca="1" si="12"/>
        <v>155</v>
      </c>
      <c r="H157">
        <f t="shared" ca="1" si="13"/>
        <v>62.883735057383987</v>
      </c>
      <c r="I157">
        <f t="shared" ca="1" si="14"/>
        <v>5558.0100741500692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385</v>
      </c>
      <c r="B160" s="66">
        <v>385</v>
      </c>
      <c r="D160">
        <f t="shared" si="10"/>
        <v>0.83526782808669431</v>
      </c>
      <c r="E160">
        <f t="shared" si="11"/>
        <v>0.83526782808669431</v>
      </c>
      <c r="G160">
        <f t="shared" ca="1" si="12"/>
        <v>158</v>
      </c>
      <c r="H160">
        <f t="shared" ca="1" si="13"/>
        <v>131.97231683769769</v>
      </c>
      <c r="I160">
        <f t="shared" ca="1" si="14"/>
        <v>12037.067570213434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95</v>
      </c>
      <c r="B162" s="66">
        <v>95</v>
      </c>
      <c r="D162">
        <f t="shared" si="10"/>
        <v>0.20610504848892455</v>
      </c>
      <c r="E162">
        <f t="shared" si="11"/>
        <v>0.20610504848892455</v>
      </c>
      <c r="G162">
        <f t="shared" ca="1" si="12"/>
        <v>160</v>
      </c>
      <c r="H162">
        <f t="shared" ca="1" si="13"/>
        <v>32.976807758227928</v>
      </c>
      <c r="I162">
        <f t="shared" ca="1" si="14"/>
        <v>3069.9782206593482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146</v>
      </c>
      <c r="B165" s="66">
        <v>146</v>
      </c>
      <c r="D165">
        <f t="shared" si="10"/>
        <v>0.31675091662508409</v>
      </c>
      <c r="E165">
        <f t="shared" si="11"/>
        <v>0.31675091662508409</v>
      </c>
      <c r="G165">
        <f t="shared" ca="1" si="12"/>
        <v>163</v>
      </c>
      <c r="H165">
        <f t="shared" ca="1" si="13"/>
        <v>51.630399409888703</v>
      </c>
      <c r="I165">
        <f t="shared" ca="1" si="14"/>
        <v>4952.8715278605041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53.136285317922038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1.025928307831806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0.59254534453704355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2481</v>
      </c>
      <c r="B8" s="66">
        <v>2481</v>
      </c>
      <c r="D8">
        <f t="shared" si="0"/>
        <v>4.9794279979929756</v>
      </c>
      <c r="E8">
        <f t="shared" si="1"/>
        <v>4.9794279979929756</v>
      </c>
      <c r="G8">
        <f t="shared" ca="1" si="2"/>
        <v>6</v>
      </c>
      <c r="H8">
        <f t="shared" ca="1" si="3"/>
        <v>29.876567987957856</v>
      </c>
      <c r="I8">
        <f t="shared" ca="1" si="4"/>
        <v>11063.439489118924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4973</v>
      </c>
      <c r="B10" s="66">
        <v>4973</v>
      </c>
      <c r="D10">
        <f t="shared" si="0"/>
        <v>9.9809332664325137</v>
      </c>
      <c r="E10">
        <f t="shared" si="1"/>
        <v>9.9809332664325137</v>
      </c>
      <c r="G10">
        <f t="shared" ca="1" si="2"/>
        <v>8</v>
      </c>
      <c r="H10">
        <f t="shared" ca="1" si="3"/>
        <v>79.847466131460109</v>
      </c>
      <c r="I10">
        <f t="shared" ca="1" si="4"/>
        <v>20333.998166968791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10277</v>
      </c>
      <c r="B13" s="66">
        <v>10277</v>
      </c>
      <c r="D13">
        <f t="shared" si="0"/>
        <v>20.62619167084797</v>
      </c>
      <c r="E13">
        <f t="shared" si="1"/>
        <v>20.62619167084797</v>
      </c>
      <c r="G13">
        <f t="shared" ca="1" si="2"/>
        <v>11</v>
      </c>
      <c r="H13">
        <f t="shared" ca="1" si="3"/>
        <v>226.88810837932766</v>
      </c>
      <c r="I13">
        <f t="shared" ca="1" si="4"/>
        <v>36621.113167330208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12875</v>
      </c>
      <c r="B15" s="66">
        <v>12875</v>
      </c>
      <c r="D15">
        <f t="shared" si="0"/>
        <v>25.840441545408932</v>
      </c>
      <c r="E15">
        <f t="shared" si="1"/>
        <v>25.840441545408932</v>
      </c>
      <c r="G15">
        <f t="shared" ca="1" si="2"/>
        <v>13</v>
      </c>
      <c r="H15">
        <f t="shared" ca="1" si="3"/>
        <v>335.92574009031614</v>
      </c>
      <c r="I15">
        <f t="shared" ca="1" si="4"/>
        <v>41626.920248251219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17930</v>
      </c>
      <c r="B18" s="66">
        <v>17930</v>
      </c>
      <c r="D18">
        <f t="shared" si="0"/>
        <v>35.985950827897639</v>
      </c>
      <c r="E18">
        <f t="shared" si="1"/>
        <v>35.985950827897639</v>
      </c>
      <c r="G18">
        <f t="shared" ca="1" si="2"/>
        <v>16</v>
      </c>
      <c r="H18">
        <f t="shared" ca="1" si="3"/>
        <v>575.77521324636223</v>
      </c>
      <c r="I18">
        <f t="shared" ca="1" si="4"/>
        <v>49628.357474659359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25640</v>
      </c>
      <c r="B21" s="66">
        <v>25640</v>
      </c>
      <c r="D21">
        <f t="shared" si="0"/>
        <v>51.460110386352234</v>
      </c>
      <c r="E21">
        <f t="shared" si="1"/>
        <v>51.460110386352234</v>
      </c>
      <c r="G21">
        <f t="shared" ca="1" si="2"/>
        <v>19</v>
      </c>
      <c r="H21">
        <f t="shared" ca="1" si="3"/>
        <v>977.74209734069245</v>
      </c>
      <c r="I21">
        <f t="shared" ca="1" si="4"/>
        <v>59965.744920944715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29884</v>
      </c>
      <c r="B23" s="66">
        <v>29884</v>
      </c>
      <c r="D23">
        <f t="shared" si="0"/>
        <v>59.977922729553434</v>
      </c>
      <c r="E23">
        <f t="shared" si="1"/>
        <v>59.977922729553434</v>
      </c>
      <c r="G23">
        <f t="shared" ca="1" si="2"/>
        <v>21</v>
      </c>
      <c r="H23">
        <f t="shared" ca="1" si="3"/>
        <v>1259.536377320622</v>
      </c>
      <c r="I23">
        <f t="shared" ca="1" si="4"/>
        <v>61941.649943399294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33942</v>
      </c>
      <c r="B26" s="66">
        <v>33942</v>
      </c>
      <c r="D26">
        <f t="shared" si="0"/>
        <v>68.12242849974912</v>
      </c>
      <c r="E26">
        <f t="shared" si="1"/>
        <v>68.12242849974912</v>
      </c>
      <c r="G26">
        <f t="shared" ca="1" si="2"/>
        <v>24</v>
      </c>
      <c r="H26">
        <f t="shared" ca="1" si="3"/>
        <v>1634.938283993979</v>
      </c>
      <c r="I26">
        <f t="shared" ca="1" si="4"/>
        <v>57830.704688904822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36171</v>
      </c>
      <c r="B28" s="66">
        <v>36171</v>
      </c>
      <c r="D28">
        <f t="shared" si="0"/>
        <v>72.596086302057202</v>
      </c>
      <c r="E28">
        <f t="shared" si="1"/>
        <v>72.596086302057202</v>
      </c>
      <c r="G28">
        <f t="shared" ca="1" si="2"/>
        <v>26</v>
      </c>
      <c r="H28">
        <f t="shared" ca="1" si="3"/>
        <v>1887.4982438534873</v>
      </c>
      <c r="I28">
        <f t="shared" ca="1" si="4"/>
        <v>53458.159449132931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40616</v>
      </c>
      <c r="B31" s="66">
        <v>40616</v>
      </c>
      <c r="D31">
        <f t="shared" si="0"/>
        <v>81.517310587054695</v>
      </c>
      <c r="E31">
        <f t="shared" si="1"/>
        <v>81.517310587054695</v>
      </c>
      <c r="G31">
        <f t="shared" ca="1" si="2"/>
        <v>29</v>
      </c>
      <c r="H31">
        <f t="shared" ca="1" si="3"/>
        <v>2364.002007024586</v>
      </c>
      <c r="I31">
        <f t="shared" ca="1" si="4"/>
        <v>47488.74637952356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36491</v>
      </c>
      <c r="B33" s="66">
        <v>36491</v>
      </c>
      <c r="D33">
        <f t="shared" si="0"/>
        <v>73.238334169593571</v>
      </c>
      <c r="E33">
        <f t="shared" si="1"/>
        <v>73.238334169593571</v>
      </c>
      <c r="G33">
        <f t="shared" ca="1" si="2"/>
        <v>31</v>
      </c>
      <c r="H33">
        <f t="shared" ca="1" si="3"/>
        <v>2270.3883592574007</v>
      </c>
      <c r="I33">
        <f t="shared" ca="1" si="4"/>
        <v>35887.891668923963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42655</v>
      </c>
      <c r="B36" s="66">
        <v>42655</v>
      </c>
      <c r="D36">
        <f t="shared" si="0"/>
        <v>85.609633718013043</v>
      </c>
      <c r="E36">
        <f t="shared" si="1"/>
        <v>85.609633718013043</v>
      </c>
      <c r="G36">
        <f t="shared" ca="1" si="2"/>
        <v>34</v>
      </c>
      <c r="H36">
        <f t="shared" ca="1" si="3"/>
        <v>2910.7275464124436</v>
      </c>
      <c r="I36">
        <f t="shared" ca="1" si="4"/>
        <v>31350.026632460052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48238</v>
      </c>
      <c r="B39" s="66">
        <v>48238</v>
      </c>
      <c r="D39">
        <f t="shared" si="0"/>
        <v>96.814851981936783</v>
      </c>
      <c r="E39">
        <f t="shared" si="1"/>
        <v>96.814851981936783</v>
      </c>
      <c r="G39">
        <f t="shared" ca="1" si="2"/>
        <v>37</v>
      </c>
      <c r="H39">
        <f t="shared" ca="1" si="3"/>
        <v>3582.1495233316609</v>
      </c>
      <c r="I39">
        <f t="shared" ca="1" si="4"/>
        <v>25208.622488440647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49825</v>
      </c>
      <c r="B41" s="66">
        <v>49825</v>
      </c>
      <c r="D41">
        <f t="shared" si="0"/>
        <v>100</v>
      </c>
      <c r="E41">
        <f t="shared" si="1"/>
        <v>100</v>
      </c>
      <c r="G41">
        <f t="shared" ca="1" si="2"/>
        <v>39</v>
      </c>
      <c r="H41">
        <f t="shared" ca="1" si="3"/>
        <v>3900</v>
      </c>
      <c r="I41">
        <f t="shared" ca="1" si="4"/>
        <v>19983.456258969818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48709</v>
      </c>
      <c r="B44" s="66">
        <v>48709</v>
      </c>
      <c r="D44">
        <f t="shared" si="0"/>
        <v>97.760160561966885</v>
      </c>
      <c r="E44">
        <f t="shared" si="1"/>
        <v>97.760160561966885</v>
      </c>
      <c r="G44">
        <f t="shared" ca="1" si="2"/>
        <v>42</v>
      </c>
      <c r="H44">
        <f t="shared" ca="1" si="3"/>
        <v>4105.9267436026093</v>
      </c>
      <c r="I44">
        <f t="shared" ca="1" si="4"/>
        <v>12123.907235078015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44208</v>
      </c>
      <c r="B46" s="66">
        <v>44208</v>
      </c>
      <c r="D46">
        <f t="shared" si="0"/>
        <v>88.726542900150534</v>
      </c>
      <c r="E46">
        <f t="shared" si="1"/>
        <v>88.726542900150534</v>
      </c>
      <c r="G46">
        <f t="shared" ca="1" si="2"/>
        <v>44</v>
      </c>
      <c r="H46">
        <f t="shared" ca="1" si="3"/>
        <v>3903.9678876066237</v>
      </c>
      <c r="I46">
        <f t="shared" ca="1" si="4"/>
        <v>7406.1562059576572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38831</v>
      </c>
      <c r="B49" s="66">
        <v>38831</v>
      </c>
      <c r="D49">
        <f t="shared" si="0"/>
        <v>77.934771700953334</v>
      </c>
      <c r="E49">
        <f t="shared" si="1"/>
        <v>77.934771700953334</v>
      </c>
      <c r="G49">
        <f t="shared" ca="1" si="2"/>
        <v>47</v>
      </c>
      <c r="H49">
        <f t="shared" ca="1" si="3"/>
        <v>3662.9342699448066</v>
      </c>
      <c r="I49">
        <f t="shared" ca="1" si="4"/>
        <v>2934.5556990203295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34695</v>
      </c>
      <c r="B51" s="66">
        <v>34695</v>
      </c>
      <c r="D51">
        <f t="shared" si="0"/>
        <v>69.633718013045666</v>
      </c>
      <c r="E51">
        <f t="shared" si="1"/>
        <v>69.633718013045666</v>
      </c>
      <c r="G51">
        <f t="shared" ca="1" si="2"/>
        <v>49</v>
      </c>
      <c r="H51">
        <f t="shared" ca="1" si="3"/>
        <v>3412.0521826392378</v>
      </c>
      <c r="I51">
        <f t="shared" ca="1" si="4"/>
        <v>1191.3532703331182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29189</v>
      </c>
      <c r="B54" s="66">
        <v>29189</v>
      </c>
      <c r="D54">
        <f t="shared" si="0"/>
        <v>58.583040642247866</v>
      </c>
      <c r="E54">
        <f t="shared" si="1"/>
        <v>58.583040642247866</v>
      </c>
      <c r="G54">
        <f t="shared" ca="1" si="2"/>
        <v>52</v>
      </c>
      <c r="H54">
        <f t="shared" ca="1" si="3"/>
        <v>3046.3181133968892</v>
      </c>
      <c r="I54">
        <f t="shared" ca="1" si="4"/>
        <v>75.63916039180026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28647</v>
      </c>
      <c r="B57" s="66">
        <v>28647</v>
      </c>
      <c r="D57">
        <f t="shared" si="0"/>
        <v>57.495233316608129</v>
      </c>
      <c r="E57">
        <f t="shared" si="1"/>
        <v>57.495233316608129</v>
      </c>
      <c r="G57">
        <f t="shared" ca="1" si="2"/>
        <v>55</v>
      </c>
      <c r="H57">
        <f t="shared" ca="1" si="3"/>
        <v>3162.237832413447</v>
      </c>
      <c r="I57">
        <f t="shared" ca="1" si="4"/>
        <v>199.70580717848409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26282</v>
      </c>
      <c r="B59" s="66">
        <v>26282</v>
      </c>
      <c r="D59">
        <f t="shared" si="0"/>
        <v>52.748620170597093</v>
      </c>
      <c r="E59">
        <f t="shared" si="1"/>
        <v>52.748620170597093</v>
      </c>
      <c r="G59">
        <f t="shared" ca="1" si="2"/>
        <v>57</v>
      </c>
      <c r="H59">
        <f t="shared" ca="1" si="3"/>
        <v>3006.6713497240344</v>
      </c>
      <c r="I59">
        <f t="shared" ca="1" si="4"/>
        <v>787.44675937757222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25164</v>
      </c>
      <c r="B62" s="66">
        <v>25164</v>
      </c>
      <c r="D62">
        <f t="shared" si="0"/>
        <v>50.504766683391871</v>
      </c>
      <c r="E62">
        <f t="shared" si="1"/>
        <v>50.504766683391871</v>
      </c>
      <c r="G62">
        <f t="shared" ca="1" si="2"/>
        <v>60</v>
      </c>
      <c r="H62">
        <f t="shared" ca="1" si="3"/>
        <v>3030.2860010035124</v>
      </c>
      <c r="I62">
        <f t="shared" ca="1" si="4"/>
        <v>2379.3088126827456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22875</v>
      </c>
      <c r="B64" s="66">
        <v>22875</v>
      </c>
      <c r="D64">
        <f t="shared" si="0"/>
        <v>45.910687405920726</v>
      </c>
      <c r="E64">
        <f t="shared" si="1"/>
        <v>45.910687405920726</v>
      </c>
      <c r="G64">
        <f t="shared" ca="1" si="2"/>
        <v>62</v>
      </c>
      <c r="H64">
        <f t="shared" ca="1" si="3"/>
        <v>2846.462619167085</v>
      </c>
      <c r="I64">
        <f t="shared" ca="1" si="4"/>
        <v>3606.9932633334301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19306</v>
      </c>
      <c r="B67" s="66">
        <v>19306</v>
      </c>
      <c r="D67">
        <f t="shared" ref="D67:D130" si="5">IFERROR(100*A67/MAX(A$2:A$257), 0 )</f>
        <v>38.747616658304061</v>
      </c>
      <c r="E67">
        <f t="shared" ref="E67:E130" si="6">IFERROR(100*B67/MAX(B$2:B$257), 0 )</f>
        <v>38.747616658304061</v>
      </c>
      <c r="G67">
        <f t="shared" ref="G67:G130" ca="1" si="7">CELL("row",D67)-2</f>
        <v>65</v>
      </c>
      <c r="H67">
        <f t="shared" ref="H67:H130" ca="1" si="8">D67*G67</f>
        <v>2518.5950827897641</v>
      </c>
      <c r="I67">
        <f t="shared" ref="I67:I130" ca="1" si="9">D67*((G67-$L$1)^2)</f>
        <v>5453.6389348137754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19127</v>
      </c>
      <c r="B69" s="66">
        <v>19127</v>
      </c>
      <c r="D69">
        <f t="shared" si="5"/>
        <v>38.3883592574009</v>
      </c>
      <c r="E69">
        <f t="shared" si="6"/>
        <v>38.3883592574009</v>
      </c>
      <c r="G69">
        <f t="shared" ca="1" si="7"/>
        <v>67</v>
      </c>
      <c r="H69">
        <f t="shared" ca="1" si="8"/>
        <v>2572.0200702458601</v>
      </c>
      <c r="I69">
        <f t="shared" ca="1" si="9"/>
        <v>7378.3418749684834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16704</v>
      </c>
      <c r="B72" s="66">
        <v>16704</v>
      </c>
      <c r="D72">
        <f t="shared" si="5"/>
        <v>33.525338685398893</v>
      </c>
      <c r="E72">
        <f t="shared" si="6"/>
        <v>33.525338685398893</v>
      </c>
      <c r="G72">
        <f t="shared" ca="1" si="7"/>
        <v>70</v>
      </c>
      <c r="H72">
        <f t="shared" ca="1" si="8"/>
        <v>2346.7737079779226</v>
      </c>
      <c r="I72">
        <f t="shared" ca="1" si="9"/>
        <v>9534.0991802568897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15075</v>
      </c>
      <c r="B75" s="66">
        <v>15075</v>
      </c>
      <c r="D75">
        <f t="shared" si="5"/>
        <v>30.255895634721526</v>
      </c>
      <c r="E75">
        <f t="shared" si="6"/>
        <v>30.255895634721526</v>
      </c>
      <c r="G75">
        <f t="shared" ca="1" si="7"/>
        <v>73</v>
      </c>
      <c r="H75">
        <f t="shared" ca="1" si="8"/>
        <v>2208.6803813346714</v>
      </c>
      <c r="I75">
        <f t="shared" ca="1" si="9"/>
        <v>11937.982843226931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12456</v>
      </c>
      <c r="B77" s="66">
        <v>12456</v>
      </c>
      <c r="D77">
        <f t="shared" si="5"/>
        <v>24.999498243853488</v>
      </c>
      <c r="E77">
        <f t="shared" si="6"/>
        <v>24.999498243853488</v>
      </c>
      <c r="G77">
        <f t="shared" ca="1" si="7"/>
        <v>75</v>
      </c>
      <c r="H77">
        <f t="shared" ca="1" si="8"/>
        <v>1874.9623682890115</v>
      </c>
      <c r="I77">
        <f t="shared" ca="1" si="9"/>
        <v>11950.310641996233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11689</v>
      </c>
      <c r="B80" s="66">
        <v>11689</v>
      </c>
      <c r="D80">
        <f t="shared" si="5"/>
        <v>23.460110386352234</v>
      </c>
      <c r="E80">
        <f t="shared" si="6"/>
        <v>23.460110386352234</v>
      </c>
      <c r="G80">
        <f t="shared" ca="1" si="7"/>
        <v>78</v>
      </c>
      <c r="H80">
        <f t="shared" ca="1" si="8"/>
        <v>1829.8886101354742</v>
      </c>
      <c r="I80">
        <f t="shared" ca="1" si="9"/>
        <v>14503.141302113614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10210</v>
      </c>
      <c r="B82" s="66">
        <v>10210</v>
      </c>
      <c r="D82">
        <f t="shared" si="5"/>
        <v>20.491721023582539</v>
      </c>
      <c r="E82">
        <f t="shared" si="6"/>
        <v>20.491721023582539</v>
      </c>
      <c r="G82">
        <f t="shared" ca="1" si="7"/>
        <v>80</v>
      </c>
      <c r="H82">
        <f t="shared" ca="1" si="8"/>
        <v>1639.3376818866031</v>
      </c>
      <c r="I82">
        <f t="shared" ca="1" si="9"/>
        <v>14788.038314440802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9672</v>
      </c>
      <c r="B85" s="66">
        <v>9672</v>
      </c>
      <c r="D85">
        <f t="shared" si="5"/>
        <v>19.411941796287003</v>
      </c>
      <c r="E85">
        <f t="shared" si="6"/>
        <v>19.411941796287003</v>
      </c>
      <c r="G85">
        <f t="shared" ca="1" si="7"/>
        <v>83</v>
      </c>
      <c r="H85">
        <f t="shared" ca="1" si="8"/>
        <v>1611.1911690918212</v>
      </c>
      <c r="I85">
        <f t="shared" ca="1" si="9"/>
        <v>17312.374408454929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8858</v>
      </c>
      <c r="B88" s="66">
        <v>8858</v>
      </c>
      <c r="D88">
        <f t="shared" si="5"/>
        <v>17.778223783241344</v>
      </c>
      <c r="E88">
        <f t="shared" si="6"/>
        <v>17.778223783241344</v>
      </c>
      <c r="G88">
        <f t="shared" ca="1" si="7"/>
        <v>86</v>
      </c>
      <c r="H88">
        <f t="shared" ca="1" si="8"/>
        <v>1528.9272453587555</v>
      </c>
      <c r="I88">
        <f t="shared" ca="1" si="9"/>
        <v>19200.903789023832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9119</v>
      </c>
      <c r="B90" s="66">
        <v>9119</v>
      </c>
      <c r="D90">
        <f t="shared" si="5"/>
        <v>18.302057200200704</v>
      </c>
      <c r="E90">
        <f t="shared" si="6"/>
        <v>18.302057200200704</v>
      </c>
      <c r="G90">
        <f t="shared" ca="1" si="7"/>
        <v>88</v>
      </c>
      <c r="H90">
        <f t="shared" ca="1" si="8"/>
        <v>1610.5810336176619</v>
      </c>
      <c r="I90">
        <f t="shared" ca="1" si="9"/>
        <v>22245.758889052915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5873</v>
      </c>
      <c r="B93" s="66">
        <v>5873</v>
      </c>
      <c r="D93">
        <f t="shared" si="5"/>
        <v>11.787255393878574</v>
      </c>
      <c r="E93">
        <f t="shared" si="6"/>
        <v>11.787255393878574</v>
      </c>
      <c r="G93">
        <f t="shared" ca="1" si="7"/>
        <v>91</v>
      </c>
      <c r="H93">
        <f t="shared" ca="1" si="8"/>
        <v>1072.6402408429503</v>
      </c>
      <c r="I93">
        <f t="shared" ca="1" si="9"/>
        <v>16898.927053055813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6272</v>
      </c>
      <c r="B95" s="66">
        <v>6272</v>
      </c>
      <c r="D95">
        <f t="shared" si="5"/>
        <v>12.588058203712995</v>
      </c>
      <c r="E95">
        <f t="shared" si="6"/>
        <v>12.588058203712995</v>
      </c>
      <c r="G95">
        <f t="shared" ca="1" si="7"/>
        <v>93</v>
      </c>
      <c r="H95">
        <f t="shared" ca="1" si="8"/>
        <v>1170.6894129453085</v>
      </c>
      <c r="I95">
        <f t="shared" ca="1" si="9"/>
        <v>20003.881531459763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7090</v>
      </c>
      <c r="B98" s="66">
        <v>7090</v>
      </c>
      <c r="D98">
        <f t="shared" si="5"/>
        <v>14.229804315102861</v>
      </c>
      <c r="E98">
        <f t="shared" si="6"/>
        <v>14.229804315102861</v>
      </c>
      <c r="G98">
        <f t="shared" ca="1" si="7"/>
        <v>96</v>
      </c>
      <c r="H98">
        <f t="shared" ca="1" si="8"/>
        <v>1366.0612142498746</v>
      </c>
      <c r="I98">
        <f t="shared" ca="1" si="9"/>
        <v>26144.39152573466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6040</v>
      </c>
      <c r="B100" s="66">
        <v>6040</v>
      </c>
      <c r="D100">
        <f t="shared" si="5"/>
        <v>12.122428499749121</v>
      </c>
      <c r="E100">
        <f t="shared" si="6"/>
        <v>12.122428499749121</v>
      </c>
      <c r="G100">
        <f t="shared" ca="1" si="7"/>
        <v>98</v>
      </c>
      <c r="H100">
        <f t="shared" ca="1" si="8"/>
        <v>1187.9979929754138</v>
      </c>
      <c r="I100">
        <f t="shared" ca="1" si="9"/>
        <v>24399.453058208492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5418</v>
      </c>
      <c r="B103" s="66">
        <v>5418</v>
      </c>
      <c r="D103">
        <f t="shared" si="5"/>
        <v>10.874059207225288</v>
      </c>
      <c r="E103">
        <f t="shared" si="6"/>
        <v>10.874059207225288</v>
      </c>
      <c r="G103">
        <f t="shared" ca="1" si="7"/>
        <v>101</v>
      </c>
      <c r="H103">
        <f t="shared" ca="1" si="8"/>
        <v>1098.2799799297541</v>
      </c>
      <c r="I103">
        <f t="shared" ca="1" si="9"/>
        <v>24911.76482167744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7118</v>
      </c>
      <c r="B106" s="66">
        <v>7118</v>
      </c>
      <c r="D106">
        <f t="shared" si="5"/>
        <v>14.286001003512293</v>
      </c>
      <c r="E106">
        <f t="shared" si="6"/>
        <v>14.286001003512293</v>
      </c>
      <c r="G106">
        <f t="shared" ca="1" si="7"/>
        <v>104</v>
      </c>
      <c r="H106">
        <f t="shared" ca="1" si="8"/>
        <v>1485.7441043652784</v>
      </c>
      <c r="I106">
        <f t="shared" ca="1" si="9"/>
        <v>36959.562790622163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6044</v>
      </c>
      <c r="B108" s="66">
        <v>6044</v>
      </c>
      <c r="D108">
        <f t="shared" si="5"/>
        <v>12.130456598093327</v>
      </c>
      <c r="E108">
        <f t="shared" si="6"/>
        <v>12.130456598093327</v>
      </c>
      <c r="G108">
        <f t="shared" ca="1" si="7"/>
        <v>106</v>
      </c>
      <c r="H108">
        <f t="shared" ca="1" si="8"/>
        <v>1285.8283993978926</v>
      </c>
      <c r="I108">
        <f t="shared" ca="1" si="9"/>
        <v>33899.438359153733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5749</v>
      </c>
      <c r="B111" s="66">
        <v>5749</v>
      </c>
      <c r="D111">
        <f t="shared" si="5"/>
        <v>11.538384345208229</v>
      </c>
      <c r="E111">
        <f t="shared" si="6"/>
        <v>11.538384345208229</v>
      </c>
      <c r="G111">
        <f t="shared" ca="1" si="7"/>
        <v>109</v>
      </c>
      <c r="H111">
        <f t="shared" ca="1" si="8"/>
        <v>1257.683893627697</v>
      </c>
      <c r="I111">
        <f t="shared" ca="1" si="9"/>
        <v>36008.46623049763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7455</v>
      </c>
      <c r="B113" s="66">
        <v>7455</v>
      </c>
      <c r="D113">
        <f t="shared" si="5"/>
        <v>14.96236828901154</v>
      </c>
      <c r="E113">
        <f t="shared" si="6"/>
        <v>14.96236828901154</v>
      </c>
      <c r="G113">
        <f t="shared" ca="1" si="7"/>
        <v>111</v>
      </c>
      <c r="H113">
        <f t="shared" ca="1" si="8"/>
        <v>1660.8228800802808</v>
      </c>
      <c r="I113">
        <f t="shared" ca="1" si="9"/>
        <v>50097.143300773772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5822</v>
      </c>
      <c r="B116" s="66">
        <v>5822</v>
      </c>
      <c r="D116">
        <f t="shared" si="5"/>
        <v>11.684897139989966</v>
      </c>
      <c r="E116">
        <f t="shared" si="6"/>
        <v>11.684897139989966</v>
      </c>
      <c r="G116">
        <f t="shared" ca="1" si="7"/>
        <v>114</v>
      </c>
      <c r="H116">
        <f t="shared" ca="1" si="8"/>
        <v>1332.078273958856</v>
      </c>
      <c r="I116">
        <f t="shared" ca="1" si="9"/>
        <v>43285.436739098659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4860</v>
      </c>
      <c r="B118" s="66">
        <v>4860</v>
      </c>
      <c r="D118">
        <f t="shared" si="5"/>
        <v>9.7541394882087307</v>
      </c>
      <c r="E118">
        <f t="shared" si="6"/>
        <v>9.7541394882087307</v>
      </c>
      <c r="G118">
        <f t="shared" ca="1" si="7"/>
        <v>116</v>
      </c>
      <c r="H118">
        <f t="shared" ca="1" si="8"/>
        <v>1131.4801806322128</v>
      </c>
      <c r="I118">
        <f t="shared" ca="1" si="9"/>
        <v>38546.863202890847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5057</v>
      </c>
      <c r="B121" s="66">
        <v>5057</v>
      </c>
      <c r="D121">
        <f t="shared" si="5"/>
        <v>10.149523331660813</v>
      </c>
      <c r="E121">
        <f t="shared" si="6"/>
        <v>10.149523331660813</v>
      </c>
      <c r="G121">
        <f t="shared" ca="1" si="7"/>
        <v>119</v>
      </c>
      <c r="H121">
        <f t="shared" ca="1" si="8"/>
        <v>1207.7932764676368</v>
      </c>
      <c r="I121">
        <f t="shared" ca="1" si="9"/>
        <v>44028.925652943341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6704</v>
      </c>
      <c r="B124" s="66">
        <v>6704</v>
      </c>
      <c r="D124">
        <f t="shared" si="5"/>
        <v>13.455092824887105</v>
      </c>
      <c r="E124">
        <f t="shared" si="6"/>
        <v>13.455092824887105</v>
      </c>
      <c r="G124">
        <f t="shared" ca="1" si="7"/>
        <v>122</v>
      </c>
      <c r="H124">
        <f t="shared" ca="1" si="8"/>
        <v>1641.5213246362268</v>
      </c>
      <c r="I124">
        <f t="shared" ca="1" si="9"/>
        <v>63806.891888725222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5730</v>
      </c>
      <c r="B126" s="66">
        <v>5730</v>
      </c>
      <c r="D126">
        <f t="shared" si="5"/>
        <v>11.500250878073256</v>
      </c>
      <c r="E126">
        <f t="shared" si="6"/>
        <v>11.500250878073256</v>
      </c>
      <c r="G126">
        <f t="shared" ca="1" si="7"/>
        <v>124</v>
      </c>
      <c r="H126">
        <f t="shared" ca="1" si="8"/>
        <v>1426.0311088810838</v>
      </c>
      <c r="I126">
        <f t="shared" ca="1" si="9"/>
        <v>57750.41949914924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8040</v>
      </c>
      <c r="B129" s="66">
        <v>8040</v>
      </c>
      <c r="D129">
        <f t="shared" si="5"/>
        <v>16.13647767185148</v>
      </c>
      <c r="E129">
        <f t="shared" si="6"/>
        <v>16.13647767185148</v>
      </c>
      <c r="G129">
        <f t="shared" ca="1" si="7"/>
        <v>127</v>
      </c>
      <c r="H129">
        <f t="shared" ca="1" si="8"/>
        <v>2049.332664325138</v>
      </c>
      <c r="I129">
        <f t="shared" ca="1" si="9"/>
        <v>88038.175026490237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5975</v>
      </c>
      <c r="B131" s="66">
        <v>5975</v>
      </c>
      <c r="D131">
        <f t="shared" ref="D131:D194" si="10">IFERROR(100*A131/MAX(A$2:A$257), 0 )</f>
        <v>11.991971901655795</v>
      </c>
      <c r="E131">
        <f t="shared" ref="E131:E194" si="11">IFERROR(100*B131/MAX(B$2:B$257), 0 )</f>
        <v>11.991971901655795</v>
      </c>
      <c r="G131">
        <f t="shared" ref="G131:G194" ca="1" si="12">CELL("row",D131)-2</f>
        <v>129</v>
      </c>
      <c r="H131">
        <f t="shared" ref="H131:H194" ca="1" si="13">D131*G131</f>
        <v>1546.9643753135974</v>
      </c>
      <c r="I131">
        <f t="shared" ref="I131:I194" ca="1" si="14">D131*((G131-$L$1)^2)</f>
        <v>69017.434324231377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4311</v>
      </c>
      <c r="B134" s="66">
        <v>4311</v>
      </c>
      <c r="D134">
        <f t="shared" si="10"/>
        <v>8.6522829904666327</v>
      </c>
      <c r="E134">
        <f t="shared" si="11"/>
        <v>8.6522829904666327</v>
      </c>
      <c r="G134">
        <f t="shared" ca="1" si="12"/>
        <v>132</v>
      </c>
      <c r="H134">
        <f t="shared" ca="1" si="13"/>
        <v>1142.1013547415955</v>
      </c>
      <c r="I134">
        <f t="shared" ca="1" si="14"/>
        <v>53812.748544485032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4062</v>
      </c>
      <c r="B136" s="66">
        <v>4062</v>
      </c>
      <c r="D136">
        <f t="shared" si="10"/>
        <v>8.1525338685398889</v>
      </c>
      <c r="E136">
        <f t="shared" si="11"/>
        <v>8.1525338685398889</v>
      </c>
      <c r="G136">
        <f t="shared" ca="1" si="12"/>
        <v>134</v>
      </c>
      <c r="H136">
        <f t="shared" ca="1" si="13"/>
        <v>1092.439538384345</v>
      </c>
      <c r="I136">
        <f t="shared" ca="1" si="14"/>
        <v>53308.932685546366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3976</v>
      </c>
      <c r="B139" s="66">
        <v>3976</v>
      </c>
      <c r="D139">
        <f t="shared" si="10"/>
        <v>7.979929754139488</v>
      </c>
      <c r="E139">
        <f t="shared" si="11"/>
        <v>7.979929754139488</v>
      </c>
      <c r="G139">
        <f t="shared" ca="1" si="12"/>
        <v>137</v>
      </c>
      <c r="H139">
        <f t="shared" ca="1" si="13"/>
        <v>1093.2503763171098</v>
      </c>
      <c r="I139">
        <f t="shared" ca="1" si="14"/>
        <v>56123.824621658328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3742</v>
      </c>
      <c r="B142" s="66">
        <v>3742</v>
      </c>
      <c r="D142">
        <f t="shared" si="10"/>
        <v>7.5102860010035126</v>
      </c>
      <c r="E142">
        <f t="shared" si="11"/>
        <v>7.5102860010035126</v>
      </c>
      <c r="G142">
        <f t="shared" ca="1" si="12"/>
        <v>140</v>
      </c>
      <c r="H142">
        <f t="shared" ca="1" si="13"/>
        <v>1051.4400401404919</v>
      </c>
      <c r="I142">
        <f t="shared" ca="1" si="14"/>
        <v>56667.397976835855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1982</v>
      </c>
      <c r="B144" s="66">
        <v>1982</v>
      </c>
      <c r="D144">
        <f t="shared" si="10"/>
        <v>3.9779227295534372</v>
      </c>
      <c r="E144">
        <f t="shared" si="11"/>
        <v>3.9779227295534372</v>
      </c>
      <c r="G144">
        <f t="shared" ca="1" si="12"/>
        <v>142</v>
      </c>
      <c r="H144">
        <f t="shared" ca="1" si="13"/>
        <v>564.86502759658811</v>
      </c>
      <c r="I144">
        <f t="shared" ca="1" si="14"/>
        <v>31412.700246919729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873</v>
      </c>
      <c r="B147" s="66">
        <v>873</v>
      </c>
      <c r="D147">
        <f t="shared" si="10"/>
        <v>1.7521324636226794</v>
      </c>
      <c r="E147">
        <f t="shared" si="11"/>
        <v>1.7521324636226794</v>
      </c>
      <c r="G147">
        <f t="shared" ca="1" si="12"/>
        <v>145</v>
      </c>
      <c r="H147">
        <f t="shared" ca="1" si="13"/>
        <v>254.0592072252885</v>
      </c>
      <c r="I147">
        <f t="shared" ca="1" si="14"/>
        <v>14786.144368572135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640</v>
      </c>
      <c r="B149" s="66">
        <v>640</v>
      </c>
      <c r="D149">
        <f t="shared" si="10"/>
        <v>1.2844957350727546</v>
      </c>
      <c r="E149">
        <f t="shared" si="11"/>
        <v>1.2844957350727546</v>
      </c>
      <c r="G149">
        <f t="shared" ca="1" si="12"/>
        <v>147</v>
      </c>
      <c r="H149">
        <f t="shared" ca="1" si="13"/>
        <v>188.82087305569493</v>
      </c>
      <c r="I149">
        <f t="shared" ca="1" si="14"/>
        <v>11316.917285916434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866</v>
      </c>
      <c r="B152" s="66">
        <v>866</v>
      </c>
      <c r="D152">
        <f t="shared" si="10"/>
        <v>1.738083291520321</v>
      </c>
      <c r="E152">
        <f t="shared" si="11"/>
        <v>1.738083291520321</v>
      </c>
      <c r="G152">
        <f t="shared" ca="1" si="12"/>
        <v>150</v>
      </c>
      <c r="H152">
        <f t="shared" ca="1" si="13"/>
        <v>260.71249372804817</v>
      </c>
      <c r="I152">
        <f t="shared" ca="1" si="14"/>
        <v>16307.704177143061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934</v>
      </c>
      <c r="B154" s="66">
        <v>934</v>
      </c>
      <c r="D154">
        <f t="shared" si="10"/>
        <v>1.8745609633718012</v>
      </c>
      <c r="E154">
        <f t="shared" si="11"/>
        <v>1.8745609633718012</v>
      </c>
      <c r="G154">
        <f t="shared" ca="1" si="12"/>
        <v>152</v>
      </c>
      <c r="H154">
        <f t="shared" ca="1" si="13"/>
        <v>284.93326643251379</v>
      </c>
      <c r="I154">
        <f t="shared" ca="1" si="14"/>
        <v>18322.022742419511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642</v>
      </c>
      <c r="B157" s="66">
        <v>642</v>
      </c>
      <c r="D157">
        <f t="shared" si="10"/>
        <v>1.288509784244857</v>
      </c>
      <c r="E157">
        <f t="shared" si="11"/>
        <v>1.288509784244857</v>
      </c>
      <c r="G157">
        <f t="shared" ca="1" si="12"/>
        <v>155</v>
      </c>
      <c r="H157">
        <f t="shared" ca="1" si="13"/>
        <v>199.71901655795284</v>
      </c>
      <c r="I157">
        <f t="shared" ca="1" si="14"/>
        <v>13369.856314681394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1145</v>
      </c>
      <c r="B160" s="66">
        <v>1145</v>
      </c>
      <c r="D160">
        <f t="shared" si="10"/>
        <v>2.2980431510286001</v>
      </c>
      <c r="E160">
        <f t="shared" si="11"/>
        <v>2.2980431510286001</v>
      </c>
      <c r="G160">
        <f t="shared" ca="1" si="12"/>
        <v>158</v>
      </c>
      <c r="H160">
        <f t="shared" ca="1" si="13"/>
        <v>363.0908178625188</v>
      </c>
      <c r="I160">
        <f t="shared" ca="1" si="14"/>
        <v>25270.198619524872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432</v>
      </c>
      <c r="B162" s="66">
        <v>432</v>
      </c>
      <c r="D162">
        <f t="shared" si="10"/>
        <v>0.86703462117410934</v>
      </c>
      <c r="E162">
        <f t="shared" si="11"/>
        <v>0.86703462117410934</v>
      </c>
      <c r="G162">
        <f t="shared" ca="1" si="12"/>
        <v>160</v>
      </c>
      <c r="H162">
        <f t="shared" ca="1" si="13"/>
        <v>138.72553938785751</v>
      </c>
      <c r="I162">
        <f t="shared" ca="1" si="14"/>
        <v>9901.40836680764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579</v>
      </c>
      <c r="B165" s="66">
        <v>579</v>
      </c>
      <c r="D165">
        <f t="shared" si="10"/>
        <v>1.1620672353236328</v>
      </c>
      <c r="E165">
        <f t="shared" si="11"/>
        <v>1.1620672353236328</v>
      </c>
      <c r="G165">
        <f t="shared" ca="1" si="12"/>
        <v>163</v>
      </c>
      <c r="H165">
        <f t="shared" ca="1" si="13"/>
        <v>189.41695935775215</v>
      </c>
      <c r="I165">
        <f t="shared" ca="1" si="14"/>
        <v>14026.19313671525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293</v>
      </c>
      <c r="B167" s="66">
        <v>293</v>
      </c>
      <c r="D167">
        <f t="shared" si="10"/>
        <v>0.58805820371299544</v>
      </c>
      <c r="E167">
        <f t="shared" si="11"/>
        <v>0.58805820371299544</v>
      </c>
      <c r="G167">
        <f t="shared" ca="1" si="12"/>
        <v>165</v>
      </c>
      <c r="H167">
        <f t="shared" ca="1" si="13"/>
        <v>97.029603612644252</v>
      </c>
      <c r="I167">
        <f t="shared" ca="1" si="14"/>
        <v>7358.6608411534153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444</v>
      </c>
      <c r="B170" s="66">
        <v>444</v>
      </c>
      <c r="D170">
        <f t="shared" si="10"/>
        <v>0.89111891620672357</v>
      </c>
      <c r="E170">
        <f t="shared" si="11"/>
        <v>0.89111891620672357</v>
      </c>
      <c r="G170">
        <f t="shared" ca="1" si="12"/>
        <v>168</v>
      </c>
      <c r="H170">
        <f t="shared" ca="1" si="13"/>
        <v>149.70797792272955</v>
      </c>
      <c r="I170">
        <f t="shared" ca="1" si="14"/>
        <v>11757.131540494171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200</v>
      </c>
      <c r="B173" s="66">
        <v>200</v>
      </c>
      <c r="D173">
        <f t="shared" si="10"/>
        <v>0.4014049172102358</v>
      </c>
      <c r="E173">
        <f t="shared" si="11"/>
        <v>0.4014049172102358</v>
      </c>
      <c r="G173">
        <f t="shared" ca="1" si="12"/>
        <v>171</v>
      </c>
      <c r="H173">
        <f t="shared" ca="1" si="13"/>
        <v>68.64024084295032</v>
      </c>
      <c r="I173">
        <f t="shared" ca="1" si="14"/>
        <v>5576.2590019702066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0.124962</v>
      </c>
      <c r="B2" s="68">
        <v>0.66359500000000005</v>
      </c>
      <c r="C2" s="68">
        <v>0</v>
      </c>
      <c r="D2" s="68">
        <v>1</v>
      </c>
      <c r="E2" s="68" t="s">
        <v>408</v>
      </c>
    </row>
    <row r="3" spans="1:5">
      <c r="A3" s="68">
        <v>0.127522</v>
      </c>
      <c r="B3" s="68">
        <v>0.65342699999999998</v>
      </c>
      <c r="C3" s="68">
        <v>0.40436299999999997</v>
      </c>
      <c r="D3" s="89">
        <v>1</v>
      </c>
      <c r="E3" s="68" t="s">
        <v>409</v>
      </c>
    </row>
    <row r="4" spans="1:5">
      <c r="A4" s="68">
        <v>0.13033800000000001</v>
      </c>
      <c r="B4" s="68">
        <v>0.64226799999999995</v>
      </c>
      <c r="C4" s="68">
        <v>0.80889800000000001</v>
      </c>
      <c r="D4" s="89">
        <v>1</v>
      </c>
      <c r="E4" s="68" t="s">
        <v>410</v>
      </c>
    </row>
    <row r="5" spans="1:5">
      <c r="A5" s="89">
        <v>0.13327600000000001</v>
      </c>
      <c r="B5" s="89">
        <v>0.63060000000000005</v>
      </c>
      <c r="C5" s="89">
        <v>1.2147399999999999</v>
      </c>
      <c r="D5" s="89">
        <v>1</v>
      </c>
      <c r="E5" s="68" t="s">
        <v>411</v>
      </c>
    </row>
    <row r="6" spans="1:5">
      <c r="A6" s="68">
        <v>0.13614599999999999</v>
      </c>
      <c r="B6" s="68">
        <v>0.619286</v>
      </c>
      <c r="C6" s="68">
        <v>1.6266</v>
      </c>
      <c r="D6" s="68">
        <v>1</v>
      </c>
      <c r="E6" s="68" t="s">
        <v>412</v>
      </c>
    </row>
    <row r="7" spans="1:5">
      <c r="A7" s="68">
        <v>0.13880400000000001</v>
      </c>
      <c r="B7" s="68">
        <v>0.60807800000000001</v>
      </c>
      <c r="C7" s="68">
        <v>2.0295999999999998</v>
      </c>
      <c r="D7" s="68">
        <v>1</v>
      </c>
      <c r="E7" s="68" t="s">
        <v>413</v>
      </c>
    </row>
    <row r="8" spans="1:5">
      <c r="A8" s="68">
        <v>0.14161499999999999</v>
      </c>
      <c r="B8" s="68">
        <v>0.59643900000000005</v>
      </c>
      <c r="C8" s="68">
        <v>2.43601</v>
      </c>
      <c r="D8" s="68">
        <v>1</v>
      </c>
      <c r="E8" s="68" t="s">
        <v>414</v>
      </c>
    </row>
    <row r="9" spans="1:5">
      <c r="A9" s="68">
        <v>0.14435200000000001</v>
      </c>
      <c r="B9" s="68">
        <v>0.58466399999999996</v>
      </c>
      <c r="C9" s="68">
        <v>2.8395600000000001</v>
      </c>
      <c r="D9" s="68">
        <v>1</v>
      </c>
      <c r="E9" s="68" t="s">
        <v>415</v>
      </c>
    </row>
    <row r="10" spans="1:5">
      <c r="A10" s="68">
        <v>0.14718300000000001</v>
      </c>
      <c r="B10" s="68">
        <v>0.57178899999999999</v>
      </c>
      <c r="C10" s="68">
        <v>3.2472300000000001</v>
      </c>
      <c r="D10" s="68">
        <v>1</v>
      </c>
      <c r="E10" s="68" t="s">
        <v>416</v>
      </c>
    </row>
    <row r="11" spans="1:5">
      <c r="A11" s="68">
        <v>0.14990700000000001</v>
      </c>
      <c r="B11" s="68">
        <v>0.559558</v>
      </c>
      <c r="C11" s="68">
        <v>3.6552500000000001</v>
      </c>
      <c r="D11" s="68">
        <v>1</v>
      </c>
      <c r="E11" s="68" t="s">
        <v>417</v>
      </c>
    </row>
    <row r="12" spans="1:5">
      <c r="A12" s="68">
        <v>0.15260699999999999</v>
      </c>
      <c r="B12" s="68">
        <v>0.54752400000000001</v>
      </c>
      <c r="C12" s="68">
        <v>4.0601000000000003</v>
      </c>
      <c r="D12" s="68">
        <v>1</v>
      </c>
      <c r="E12" s="68" t="s">
        <v>418</v>
      </c>
    </row>
    <row r="13" spans="1:5">
      <c r="A13" s="68">
        <v>0.15539800000000001</v>
      </c>
      <c r="B13" s="68">
        <v>0.53526099999999999</v>
      </c>
      <c r="C13" s="68">
        <v>4.46495</v>
      </c>
      <c r="D13" s="68">
        <v>1</v>
      </c>
      <c r="E13" s="68" t="s">
        <v>419</v>
      </c>
    </row>
    <row r="14" spans="1:5">
      <c r="A14" s="68">
        <v>0.15820400000000001</v>
      </c>
      <c r="B14" s="68">
        <v>0.52199399999999996</v>
      </c>
      <c r="C14" s="68">
        <v>4.8719999999999999</v>
      </c>
      <c r="D14" s="68">
        <v>1</v>
      </c>
      <c r="E14" s="68" t="s">
        <v>420</v>
      </c>
    </row>
    <row r="15" spans="1:5">
      <c r="A15" s="68">
        <v>0.16100200000000001</v>
      </c>
      <c r="B15" s="68">
        <v>0.50840399999999997</v>
      </c>
      <c r="C15" s="68">
        <v>5.2808799999999998</v>
      </c>
      <c r="D15" s="68">
        <v>1</v>
      </c>
      <c r="E15" s="68" t="s">
        <v>421</v>
      </c>
    </row>
    <row r="16" spans="1:5">
      <c r="A16" s="68">
        <v>0.16378599999999999</v>
      </c>
      <c r="B16" s="68">
        <v>0.49456299999999997</v>
      </c>
      <c r="C16" s="68">
        <v>5.6877899999999997</v>
      </c>
      <c r="D16" s="68">
        <v>1</v>
      </c>
      <c r="E16" s="68" t="s">
        <v>422</v>
      </c>
    </row>
    <row r="17" spans="1:5">
      <c r="A17" s="68">
        <v>0.16647200000000001</v>
      </c>
      <c r="B17" s="68">
        <v>0.48168699999999998</v>
      </c>
      <c r="C17" s="68">
        <v>6.0917300000000001</v>
      </c>
      <c r="D17" s="68">
        <v>1</v>
      </c>
      <c r="E17" s="68" t="s">
        <v>423</v>
      </c>
    </row>
    <row r="18" spans="1:5">
      <c r="A18" s="68">
        <v>0.16841700000000001</v>
      </c>
      <c r="B18" s="68">
        <v>0.47341</v>
      </c>
      <c r="C18" s="68">
        <v>6.4976099999999999</v>
      </c>
      <c r="D18" s="68">
        <v>1</v>
      </c>
      <c r="E18" s="68" t="s">
        <v>424</v>
      </c>
    </row>
    <row r="19" spans="1:5">
      <c r="A19" s="68">
        <v>0.17102800000000001</v>
      </c>
      <c r="B19" s="68">
        <v>0.46165699999999998</v>
      </c>
      <c r="C19" s="68">
        <v>6.9038599999999999</v>
      </c>
      <c r="D19" s="68">
        <v>1</v>
      </c>
      <c r="E19" s="68" t="s">
        <v>425</v>
      </c>
    </row>
    <row r="20" spans="1:5">
      <c r="A20" s="68">
        <v>0.17421700000000001</v>
      </c>
      <c r="B20" s="68">
        <v>0.44714300000000001</v>
      </c>
      <c r="C20" s="68">
        <v>7.3134199999999998</v>
      </c>
      <c r="D20" s="68">
        <v>1</v>
      </c>
      <c r="E20" s="68" t="s">
        <v>426</v>
      </c>
    </row>
    <row r="21" spans="1:5">
      <c r="A21" s="68">
        <v>0.17666699999999999</v>
      </c>
      <c r="B21" s="68">
        <v>0.43681799999999998</v>
      </c>
      <c r="C21" s="68">
        <v>7.71326</v>
      </c>
      <c r="D21" s="68">
        <v>1</v>
      </c>
      <c r="E21" s="68" t="s">
        <v>427</v>
      </c>
    </row>
    <row r="22" spans="1:5">
      <c r="A22" s="68">
        <v>0.178948</v>
      </c>
      <c r="B22" s="68">
        <v>0.42737700000000001</v>
      </c>
      <c r="C22" s="68">
        <v>8.1252200000000006</v>
      </c>
      <c r="D22" s="68">
        <v>1</v>
      </c>
      <c r="E22" s="68" t="s">
        <v>428</v>
      </c>
    </row>
    <row r="23" spans="1:5">
      <c r="A23" s="68">
        <v>0.18093899999999999</v>
      </c>
      <c r="B23" s="68">
        <v>0.418854</v>
      </c>
      <c r="C23" s="68">
        <v>8.5281000000000002</v>
      </c>
      <c r="D23" s="68">
        <v>1</v>
      </c>
      <c r="E23" s="68" t="s">
        <v>429</v>
      </c>
    </row>
    <row r="24" spans="1:5">
      <c r="A24" s="68">
        <v>0.18260100000000001</v>
      </c>
      <c r="B24" s="68">
        <v>0.41128900000000002</v>
      </c>
      <c r="C24" s="68">
        <v>8.9353599999999993</v>
      </c>
      <c r="D24" s="68">
        <v>1</v>
      </c>
      <c r="E24" s="68" t="s">
        <v>430</v>
      </c>
    </row>
    <row r="25" spans="1:5">
      <c r="A25" s="68">
        <v>0.18389</v>
      </c>
      <c r="B25" s="68">
        <v>0.40562900000000002</v>
      </c>
      <c r="C25" s="68">
        <v>9.3389299999999995</v>
      </c>
      <c r="D25" s="68">
        <v>1</v>
      </c>
      <c r="E25" s="68" t="s">
        <v>431</v>
      </c>
    </row>
    <row r="26" spans="1:5">
      <c r="A26" s="68">
        <v>0.18495400000000001</v>
      </c>
      <c r="B26" s="68">
        <v>0.40045700000000001</v>
      </c>
      <c r="C26" s="68">
        <v>9.7498199999999997</v>
      </c>
      <c r="D26" s="68">
        <v>1</v>
      </c>
      <c r="E26" s="68" t="s">
        <v>432</v>
      </c>
    </row>
    <row r="27" spans="1:5">
      <c r="A27" s="68">
        <v>0.185919</v>
      </c>
      <c r="B27" s="68">
        <v>0.39583499999999999</v>
      </c>
      <c r="C27" s="68">
        <v>10.1547</v>
      </c>
      <c r="D27" s="68">
        <v>1</v>
      </c>
      <c r="E27" s="68" t="s">
        <v>433</v>
      </c>
    </row>
    <row r="28" spans="1:5">
      <c r="A28" s="68">
        <v>0.186781</v>
      </c>
      <c r="B28" s="68">
        <v>0.39156600000000003</v>
      </c>
      <c r="C28" s="68">
        <v>10.5617</v>
      </c>
      <c r="D28" s="68">
        <v>1</v>
      </c>
      <c r="E28" s="68" t="s">
        <v>434</v>
      </c>
    </row>
    <row r="29" spans="1:5">
      <c r="A29" s="68">
        <v>0.18782099999999999</v>
      </c>
      <c r="B29" s="68">
        <v>0.38865100000000002</v>
      </c>
      <c r="C29" s="68">
        <v>10.9697</v>
      </c>
      <c r="D29" s="68">
        <v>1</v>
      </c>
      <c r="E29" s="68" t="s">
        <v>435</v>
      </c>
    </row>
    <row r="30" spans="1:5">
      <c r="A30" s="68">
        <v>0.188772</v>
      </c>
      <c r="B30" s="68">
        <v>0.38617299999999999</v>
      </c>
      <c r="C30" s="68">
        <v>11.3765</v>
      </c>
      <c r="D30" s="68">
        <v>1</v>
      </c>
      <c r="E30" s="68" t="s">
        <v>436</v>
      </c>
    </row>
    <row r="31" spans="1:5">
      <c r="A31" s="68">
        <v>0.189555</v>
      </c>
      <c r="B31" s="68">
        <v>0.38378000000000001</v>
      </c>
      <c r="C31" s="68">
        <v>11.7784</v>
      </c>
      <c r="D31" s="68">
        <v>1</v>
      </c>
      <c r="E31" s="68" t="s">
        <v>437</v>
      </c>
    </row>
    <row r="32" spans="1:5">
      <c r="A32" s="68">
        <v>0.190138</v>
      </c>
      <c r="B32" s="68">
        <v>0.38242700000000002</v>
      </c>
      <c r="C32" s="68">
        <v>12.185499999999999</v>
      </c>
      <c r="D32" s="68">
        <v>1</v>
      </c>
      <c r="E32" s="68" t="s">
        <v>438</v>
      </c>
    </row>
    <row r="33" spans="1:5">
      <c r="A33" s="68">
        <v>0.19065099999999999</v>
      </c>
      <c r="B33" s="68">
        <v>0.38178400000000001</v>
      </c>
      <c r="C33" s="68">
        <v>12.596399999999999</v>
      </c>
      <c r="D33" s="68">
        <v>1</v>
      </c>
      <c r="E33" s="68" t="s">
        <v>439</v>
      </c>
    </row>
    <row r="34" spans="1:5">
      <c r="A34" s="68">
        <v>0.19128800000000001</v>
      </c>
      <c r="B34" s="68">
        <v>0.38189699999999999</v>
      </c>
      <c r="C34" s="68">
        <v>13.001200000000001</v>
      </c>
      <c r="D34" s="68">
        <v>1</v>
      </c>
      <c r="E34" s="68" t="s">
        <v>440</v>
      </c>
    </row>
    <row r="35" spans="1:5">
      <c r="A35" s="68">
        <v>0.19181799999999999</v>
      </c>
      <c r="B35" s="68">
        <v>0.38260899999999998</v>
      </c>
      <c r="C35" s="68">
        <v>13.4061</v>
      </c>
      <c r="D35" s="68">
        <v>1</v>
      </c>
      <c r="E35" s="68" t="s">
        <v>441</v>
      </c>
    </row>
    <row r="36" spans="1:5">
      <c r="A36" s="68">
        <v>0.192269</v>
      </c>
      <c r="B36" s="68">
        <v>0.38420599999999999</v>
      </c>
      <c r="C36" s="68">
        <v>13.81</v>
      </c>
      <c r="D36" s="68">
        <v>1</v>
      </c>
      <c r="E36" s="68" t="s">
        <v>442</v>
      </c>
    </row>
    <row r="37" spans="1:5">
      <c r="A37" s="68">
        <v>0.19273899999999999</v>
      </c>
      <c r="B37" s="68">
        <v>0.38658599999999999</v>
      </c>
      <c r="C37" s="68">
        <v>14.217000000000001</v>
      </c>
      <c r="D37" s="68">
        <v>1</v>
      </c>
      <c r="E37" s="68" t="s">
        <v>443</v>
      </c>
    </row>
    <row r="38" spans="1:5">
      <c r="A38" s="68">
        <v>0.19312000000000001</v>
      </c>
      <c r="B38" s="68">
        <v>0.39017000000000002</v>
      </c>
      <c r="C38" s="68">
        <v>14.6258</v>
      </c>
      <c r="D38" s="68">
        <v>1</v>
      </c>
      <c r="E38" s="68" t="s">
        <v>444</v>
      </c>
    </row>
    <row r="39" spans="1:5">
      <c r="A39" s="68">
        <v>0.19364999999999999</v>
      </c>
      <c r="B39" s="68">
        <v>0.39341599999999999</v>
      </c>
      <c r="C39" s="68">
        <v>15.030799999999999</v>
      </c>
      <c r="D39" s="68">
        <v>2</v>
      </c>
      <c r="E39" s="68" t="s">
        <v>445</v>
      </c>
    </row>
    <row r="40" spans="1:5">
      <c r="A40" s="68">
        <v>0.19428400000000001</v>
      </c>
      <c r="B40" s="68">
        <v>0.39623700000000001</v>
      </c>
      <c r="C40" s="68">
        <v>15.561400000000001</v>
      </c>
      <c r="D40" s="68">
        <v>2</v>
      </c>
      <c r="E40" s="68" t="s">
        <v>446</v>
      </c>
    </row>
    <row r="41" spans="1:5">
      <c r="A41" s="68">
        <v>0.19501599999999999</v>
      </c>
      <c r="B41" s="68">
        <v>0.39843899999999999</v>
      </c>
      <c r="C41" s="68">
        <v>15.9344</v>
      </c>
      <c r="D41" s="68">
        <v>2</v>
      </c>
      <c r="E41" s="68" t="s">
        <v>447</v>
      </c>
    </row>
    <row r="42" spans="1:5">
      <c r="A42" s="68">
        <v>0.19598399999999999</v>
      </c>
      <c r="B42" s="68">
        <v>0.400889</v>
      </c>
      <c r="C42" s="68">
        <v>16.310500000000001</v>
      </c>
      <c r="D42" s="68">
        <v>2</v>
      </c>
      <c r="E42" s="68" t="s">
        <v>448</v>
      </c>
    </row>
    <row r="43" spans="1:5">
      <c r="A43" s="68">
        <v>0.19695699999999999</v>
      </c>
      <c r="B43" s="68">
        <v>0.40442499999999998</v>
      </c>
      <c r="C43" s="68">
        <v>16.7026</v>
      </c>
      <c r="D43" s="68">
        <v>2</v>
      </c>
      <c r="E43" s="68" t="s">
        <v>449</v>
      </c>
    </row>
    <row r="44" spans="1:5">
      <c r="A44" s="68">
        <v>0.198183</v>
      </c>
      <c r="B44" s="68">
        <v>0.40816400000000003</v>
      </c>
      <c r="C44" s="68">
        <v>17.104399999999998</v>
      </c>
      <c r="D44" s="68">
        <v>2</v>
      </c>
      <c r="E44" s="68" t="s">
        <v>450</v>
      </c>
    </row>
    <row r="45" spans="1:5">
      <c r="A45" s="68">
        <v>0.19952600000000001</v>
      </c>
      <c r="B45" s="68">
        <v>0.41147299999999998</v>
      </c>
      <c r="C45" s="68">
        <v>17.514199999999999</v>
      </c>
      <c r="D45" s="68">
        <v>2</v>
      </c>
      <c r="E45" s="68" t="s">
        <v>451</v>
      </c>
    </row>
    <row r="46" spans="1:5">
      <c r="A46" s="68">
        <v>0.20092699999999999</v>
      </c>
      <c r="B46" s="68">
        <v>0.41513800000000001</v>
      </c>
      <c r="C46" s="68">
        <v>17.921099999999999</v>
      </c>
      <c r="D46" s="68">
        <v>2</v>
      </c>
      <c r="E46" s="68" t="s">
        <v>452</v>
      </c>
    </row>
    <row r="47" spans="1:5">
      <c r="A47" s="68">
        <v>0.20250899999999999</v>
      </c>
      <c r="B47" s="68">
        <v>0.41793200000000003</v>
      </c>
      <c r="C47" s="68">
        <v>18.3279</v>
      </c>
      <c r="D47" s="68">
        <v>2</v>
      </c>
      <c r="E47" s="68" t="s">
        <v>453</v>
      </c>
    </row>
    <row r="48" spans="1:5">
      <c r="A48" s="68">
        <v>0.20450099999999999</v>
      </c>
      <c r="B48" s="68">
        <v>0.41938700000000001</v>
      </c>
      <c r="C48" s="68">
        <v>18.733899999999998</v>
      </c>
      <c r="D48" s="68">
        <v>2</v>
      </c>
      <c r="E48" s="68" t="s">
        <v>454</v>
      </c>
    </row>
    <row r="49" spans="1:5">
      <c r="A49" s="68">
        <v>0.206728</v>
      </c>
      <c r="B49" s="68">
        <v>0.4204</v>
      </c>
      <c r="C49" s="68">
        <v>19.1388</v>
      </c>
      <c r="D49" s="68">
        <v>2</v>
      </c>
      <c r="E49" s="68" t="s">
        <v>455</v>
      </c>
    </row>
    <row r="50" spans="1:5">
      <c r="A50" s="68">
        <v>0.209061</v>
      </c>
      <c r="B50" s="68">
        <v>0.42176400000000003</v>
      </c>
      <c r="C50" s="68">
        <v>19.541799999999999</v>
      </c>
      <c r="D50" s="68">
        <v>2</v>
      </c>
      <c r="E50" s="68" t="s">
        <v>456</v>
      </c>
    </row>
    <row r="51" spans="1:5">
      <c r="A51" s="68">
        <v>0.21146899999999999</v>
      </c>
      <c r="B51" s="68">
        <v>0.42265599999999998</v>
      </c>
      <c r="C51" s="68">
        <v>19.955500000000001</v>
      </c>
      <c r="D51" s="68">
        <v>2</v>
      </c>
      <c r="E51" s="68" t="s">
        <v>457</v>
      </c>
    </row>
    <row r="52" spans="1:5">
      <c r="A52" s="68">
        <v>0.21398600000000001</v>
      </c>
      <c r="B52" s="68">
        <v>0.42235</v>
      </c>
      <c r="C52" s="68">
        <v>20.359500000000001</v>
      </c>
      <c r="D52" s="68">
        <v>2</v>
      </c>
      <c r="E52" s="68" t="s">
        <v>458</v>
      </c>
    </row>
    <row r="53" spans="1:5">
      <c r="A53" s="68">
        <v>0.216582</v>
      </c>
      <c r="B53" s="68">
        <v>0.42163800000000001</v>
      </c>
      <c r="C53" s="68">
        <v>20.763500000000001</v>
      </c>
      <c r="D53" s="68">
        <v>2</v>
      </c>
      <c r="E53" s="68" t="s">
        <v>459</v>
      </c>
    </row>
    <row r="54" spans="1:5">
      <c r="A54" s="68">
        <v>0.218637</v>
      </c>
      <c r="B54" s="68">
        <v>0.42157299999999998</v>
      </c>
      <c r="C54" s="68">
        <v>21.168299999999999</v>
      </c>
      <c r="D54" s="68">
        <v>2</v>
      </c>
      <c r="E54" s="68" t="s">
        <v>460</v>
      </c>
    </row>
    <row r="55" spans="1:5">
      <c r="A55" s="68">
        <v>0.21986600000000001</v>
      </c>
      <c r="B55" s="68">
        <v>0.422429</v>
      </c>
      <c r="C55" s="68">
        <v>21.5763</v>
      </c>
      <c r="D55" s="68">
        <v>2</v>
      </c>
      <c r="E55" s="68" t="s">
        <v>461</v>
      </c>
    </row>
    <row r="56" spans="1:5">
      <c r="A56" s="68">
        <v>0.221105</v>
      </c>
      <c r="B56" s="68">
        <v>0.42283999999999999</v>
      </c>
      <c r="C56" s="68">
        <v>21.984300000000001</v>
      </c>
      <c r="D56" s="68">
        <v>2</v>
      </c>
      <c r="E56" s="68" t="s">
        <v>462</v>
      </c>
    </row>
    <row r="57" spans="1:5">
      <c r="A57" s="68">
        <v>0.22237399999999999</v>
      </c>
      <c r="B57" s="68">
        <v>0.42298400000000003</v>
      </c>
      <c r="C57" s="68">
        <v>22.391100000000002</v>
      </c>
      <c r="D57" s="68">
        <v>2</v>
      </c>
      <c r="E57" s="68" t="s">
        <v>463</v>
      </c>
    </row>
    <row r="58" spans="1:5">
      <c r="A58" s="68">
        <v>0.22376299999999999</v>
      </c>
      <c r="B58" s="68">
        <v>0.42289700000000002</v>
      </c>
      <c r="C58" s="68">
        <v>22.795200000000001</v>
      </c>
      <c r="D58" s="68">
        <v>2</v>
      </c>
      <c r="E58" s="68" t="s">
        <v>464</v>
      </c>
    </row>
    <row r="59" spans="1:5">
      <c r="A59" s="68">
        <v>0.22519900000000001</v>
      </c>
      <c r="B59" s="68">
        <v>0.422767</v>
      </c>
      <c r="C59" s="68">
        <v>23.1999</v>
      </c>
      <c r="D59" s="68">
        <v>2</v>
      </c>
      <c r="E59" s="68" t="s">
        <v>465</v>
      </c>
    </row>
    <row r="60" spans="1:5">
      <c r="A60" s="68">
        <v>0.226659</v>
      </c>
      <c r="B60" s="68">
        <v>0.422072</v>
      </c>
      <c r="C60" s="68">
        <v>23.606000000000002</v>
      </c>
      <c r="D60" s="68">
        <v>2</v>
      </c>
      <c r="E60" s="68" t="s">
        <v>466</v>
      </c>
    </row>
    <row r="61" spans="1:5">
      <c r="A61" s="68">
        <v>0.22814100000000001</v>
      </c>
      <c r="B61" s="68">
        <v>0.421931</v>
      </c>
      <c r="C61" s="68">
        <v>24.0138</v>
      </c>
      <c r="D61" s="68">
        <v>2</v>
      </c>
      <c r="E61" s="68" t="s">
        <v>467</v>
      </c>
    </row>
    <row r="62" spans="1:5">
      <c r="A62" s="68">
        <v>0.22958500000000001</v>
      </c>
      <c r="B62" s="68">
        <v>0.42235800000000001</v>
      </c>
      <c r="C62" s="68">
        <v>24.421600000000002</v>
      </c>
      <c r="D62" s="68">
        <v>2</v>
      </c>
      <c r="E62" s="68" t="s">
        <v>468</v>
      </c>
    </row>
    <row r="63" spans="1:5">
      <c r="A63" s="68">
        <v>0.231073</v>
      </c>
      <c r="B63" s="68">
        <v>0.42385</v>
      </c>
      <c r="C63" s="68">
        <v>24.8245</v>
      </c>
      <c r="D63" s="68">
        <v>2</v>
      </c>
      <c r="E63" s="68" t="s">
        <v>469</v>
      </c>
    </row>
    <row r="64" spans="1:5">
      <c r="A64" s="68">
        <v>0.23247799999999999</v>
      </c>
      <c r="B64" s="68">
        <v>0.42550700000000002</v>
      </c>
      <c r="C64" s="68">
        <v>25.232399999999998</v>
      </c>
      <c r="D64" s="68">
        <v>2</v>
      </c>
      <c r="E64" s="68" t="s">
        <v>470</v>
      </c>
    </row>
    <row r="65" spans="1:5">
      <c r="A65" s="68">
        <v>0.23383899999999999</v>
      </c>
      <c r="B65" s="68">
        <v>0.42672599999999999</v>
      </c>
      <c r="C65" s="68">
        <v>25.6374</v>
      </c>
      <c r="D65" s="68">
        <v>2</v>
      </c>
      <c r="E65" s="68" t="s">
        <v>471</v>
      </c>
    </row>
    <row r="66" spans="1:5">
      <c r="A66" s="68">
        <v>0.23507500000000001</v>
      </c>
      <c r="B66" s="68">
        <v>0.42599500000000001</v>
      </c>
      <c r="C66" s="68">
        <v>26.043299999999999</v>
      </c>
      <c r="D66" s="68">
        <v>2</v>
      </c>
      <c r="E66" s="68" t="s">
        <v>472</v>
      </c>
    </row>
    <row r="67" spans="1:5">
      <c r="A67" s="68">
        <v>0.23641599999999999</v>
      </c>
      <c r="B67" s="68">
        <v>0.42548599999999998</v>
      </c>
      <c r="C67" s="68">
        <v>26.454699999999999</v>
      </c>
      <c r="D67" s="68">
        <v>2</v>
      </c>
      <c r="E67" s="68" t="s">
        <v>473</v>
      </c>
    </row>
    <row r="68" spans="1:5">
      <c r="A68" s="68">
        <v>0.23817199999999999</v>
      </c>
      <c r="B68" s="68">
        <v>0.42471799999999998</v>
      </c>
      <c r="C68" s="68">
        <v>26.856200000000001</v>
      </c>
      <c r="D68" s="68">
        <v>2</v>
      </c>
      <c r="E68" s="68" t="s">
        <v>474</v>
      </c>
    </row>
    <row r="69" spans="1:5">
      <c r="A69" s="68">
        <v>0.240421</v>
      </c>
      <c r="B69" s="68">
        <v>0.42404599999999998</v>
      </c>
      <c r="C69" s="68">
        <v>27.2651</v>
      </c>
      <c r="D69" s="68">
        <v>2</v>
      </c>
      <c r="E69" s="68" t="s">
        <v>475</v>
      </c>
    </row>
    <row r="70" spans="1:5">
      <c r="A70" s="68">
        <v>0.242899</v>
      </c>
      <c r="B70" s="68">
        <v>0.42470999999999998</v>
      </c>
      <c r="C70" s="68">
        <v>27.676100000000002</v>
      </c>
      <c r="D70" s="68">
        <v>2</v>
      </c>
      <c r="E70" s="68" t="s">
        <v>476</v>
      </c>
    </row>
    <row r="71" spans="1:5">
      <c r="A71" s="68">
        <v>0.244758</v>
      </c>
      <c r="B71" s="68">
        <v>0.42548900000000001</v>
      </c>
      <c r="C71" s="68">
        <v>28.076000000000001</v>
      </c>
      <c r="D71" s="68">
        <v>2</v>
      </c>
      <c r="E71" s="68" t="s">
        <v>477</v>
      </c>
    </row>
    <row r="72" spans="1:5">
      <c r="A72" s="68">
        <v>0.24634500000000001</v>
      </c>
      <c r="B72" s="68">
        <v>0.425201</v>
      </c>
      <c r="C72" s="68">
        <v>28.484000000000002</v>
      </c>
      <c r="D72" s="68">
        <v>2</v>
      </c>
      <c r="E72" s="68" t="s">
        <v>478</v>
      </c>
    </row>
    <row r="73" spans="1:5">
      <c r="A73" s="68">
        <v>0.24878600000000001</v>
      </c>
      <c r="B73" s="68">
        <v>0.42349100000000001</v>
      </c>
      <c r="C73" s="68">
        <v>28.893799999999999</v>
      </c>
      <c r="D73" s="68">
        <v>2</v>
      </c>
      <c r="E73" s="68" t="s">
        <v>479</v>
      </c>
    </row>
    <row r="74" spans="1:5">
      <c r="A74" s="68">
        <v>0.25052200000000002</v>
      </c>
      <c r="B74" s="68">
        <v>0.41769000000000001</v>
      </c>
      <c r="C74" s="68">
        <v>29.300699999999999</v>
      </c>
      <c r="D74" s="68">
        <v>2</v>
      </c>
      <c r="E74" s="68" t="s">
        <v>480</v>
      </c>
    </row>
    <row r="75" spans="1:5">
      <c r="A75" s="68">
        <v>0.25287500000000002</v>
      </c>
      <c r="B75" s="68">
        <v>0.41588799999999998</v>
      </c>
      <c r="C75" s="68">
        <v>29.702999999999999</v>
      </c>
      <c r="D75" s="68">
        <v>2</v>
      </c>
      <c r="E75" s="68" t="s">
        <v>481</v>
      </c>
    </row>
    <row r="76" spans="1:5">
      <c r="A76" s="68"/>
      <c r="B76" s="68"/>
      <c r="C76" s="68"/>
      <c r="D76" s="68"/>
      <c r="E76" s="68"/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482</v>
      </c>
      <c r="C1" s="66" t="s">
        <v>484</v>
      </c>
      <c r="D1" s="66" t="s">
        <v>485</v>
      </c>
      <c r="E1" s="66" t="s">
        <v>486</v>
      </c>
      <c r="F1" s="66" t="s">
        <v>487</v>
      </c>
      <c r="G1" s="66" t="s">
        <v>488</v>
      </c>
      <c r="H1" s="66" t="s">
        <v>489</v>
      </c>
      <c r="I1" s="66" t="s">
        <v>490</v>
      </c>
      <c r="J1" s="66" t="s">
        <v>491</v>
      </c>
      <c r="K1" s="66" t="s">
        <v>492</v>
      </c>
      <c r="L1" s="66" t="s">
        <v>493</v>
      </c>
      <c r="M1" s="66" t="s">
        <v>494</v>
      </c>
      <c r="N1" s="66"/>
    </row>
    <row r="2" spans="1:14">
      <c r="A2" s="75">
        <v>43607.446851851855</v>
      </c>
      <c r="B2" s="66" t="s">
        <v>483</v>
      </c>
      <c r="C2" s="66"/>
      <c r="D2" s="66"/>
      <c r="E2" s="66">
        <v>4.9234099999999996</v>
      </c>
      <c r="F2" s="66">
        <v>1.02528</v>
      </c>
      <c r="G2" s="66">
        <v>0.59287599999999996</v>
      </c>
      <c r="H2" s="66">
        <v>0</v>
      </c>
      <c r="I2" s="66">
        <v>49825</v>
      </c>
      <c r="J2" s="66">
        <v>39</v>
      </c>
      <c r="K2" s="66">
        <v>39</v>
      </c>
      <c r="L2" s="66">
        <v>0</v>
      </c>
      <c r="M2" s="66" t="s">
        <v>495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2019-05-22T02:44:01Z</cp:lastPrinted>
  <dcterms:created xsi:type="dcterms:W3CDTF">2010-10-29T12:53:05Z</dcterms:created>
  <dcterms:modified xsi:type="dcterms:W3CDTF">2019-05-22T02:44:18Z</dcterms:modified>
</cp:coreProperties>
</file>