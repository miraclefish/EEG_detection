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H19" i="23"/>
  <c r="AH18" i="23"/>
  <c r="AF19" i="23"/>
  <c r="N7" i="23"/>
  <c r="AG18" i="23" l="1"/>
  <c r="Z17" i="23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R2" i="16" s="1" a="1"/>
  <c r="R2" i="16" s="1"/>
  <c r="S12" i="11"/>
  <c r="J2" i="16" s="1" a="1"/>
  <c r="J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<sst xmlns="http://schemas.openxmlformats.org/spreadsheetml/2006/main" count="701" uniqueCount="519">
  <si>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</si>
  <si>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</si>
  <si>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</si>
  <si>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</si>
  <si>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</si>
  <si>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</si>
  <si>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</si>
  <si>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</si>
  <si>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</si>
  <si>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</si>
  <si>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</si>
  <si>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</si>
  <si>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</si>
  <si>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</si>
  <si>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</si>
  <si>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</si>
  <si>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</si>
  <si>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</si>
  <si>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</si>
  <si>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</si>
  <si>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</si>
  <si>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</si>
  <si>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</si>
  <si>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</si>
  <si>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</si>
  <si>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</si>
  <si>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</si>
  <si>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</si>
  <si>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</si>
  <si>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</si>
  <si>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</si>
  <si>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</si>
  <si>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</si>
  <si>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</si>
  <si>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</si>
  <si>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</si>
  <si>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</si>
  <si>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</si>
  <si>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</si>
  <si>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</si>
  <si>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</si>
  <si>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</si>
  <si>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</si>
  <si>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</si>
  <si>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</si>
  <si>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</si>
  <si>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</si>
  <si>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</si>
  <si>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</si>
  <si>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</si>
  <si>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</si>
  <si>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</si>
  <si>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</si>
  <si>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</si>
  <si>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</si>
  <si>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</si>
  <si>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</si>
  <si>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</si>
  <si>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</si>
  <si>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</si>
  <si>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</si>
  <si>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</si>
  <si>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</si>
  <si>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</si>
  <si>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</si>
  <si>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</si>
  <si>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</si>
  <si>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</si>
  <si>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</si>
  <si>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</si>
  <si>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</si>
  <si>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</si>
  <si>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</si>
  <si>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</si>
  <si>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</si>
  <si>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</si>
  <si>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</si>
  <si>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</si>
  <si>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</si>
  <si>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</si>
  <si>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</si>
  <si>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</si>
  <si>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</si>
  <si>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</si>
  <si>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</si>
  <si>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</si>
  <si>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</si>
  <si>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</si>
  <si>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</si>
  <si>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</si>
  <si>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</si>
  <si>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</si>
  <si>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</si>
  <si>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</si>
  <si>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</si>
  <si>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</si>
  <si>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</si>
  <si>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</si>
  <si>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</si>
  <si>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</si>
  <si>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</si>
  <si>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</si>
  <si>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</si>
  <si>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</si>
  <si>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</si>
  <si>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</si>
  <si>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</si>
  <si>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</si>
  <si>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</si>
  <si>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</si>
  <si>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</si>
  <si>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</si>
  <si>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</si>
  <si>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</si>
  <si>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</si>
  <si>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</si>
  <si>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</si>
  <si>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</si>
  <si>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</si>
  <si>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</si>
  <si>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</si>
  <si>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</si>
  <si>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</si>
  <si>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</si>
  <si>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</si>
  <si>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</si>
  <si>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</si>
  <si>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</si>
  <si>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</si>
  <si>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</si>
  <si>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</si>
  <si>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</si>
  <si>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</si>
  <si>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</si>
  <si>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</si>
  <si>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</si>
  <si>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</si>
  <si>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</si>
  <si>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</si>
  <si>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</si>
  <si>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</si>
  <si>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</si>
  <si>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</si>
  <si>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</si>
  <si>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</si>
  <si>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</si>
  <si>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</si>
  <si>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</si>
  <si>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</si>
  <si>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</si>
  <si>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</si>
  <si>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</si>
  <si>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</si>
  <si>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</si>
  <si>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</si>
  <si>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</si>
  <si>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</si>
  <si>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</si>
  <si>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</si>
  <si>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</si>
  <si>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</si>
  <si>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</si>
  <si>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</si>
  <si>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</si>
  <si>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</si>
  <si>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</si>
  <si>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</si>
  <si>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</si>
  <si>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</si>
  <si>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</si>
  <si>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</si>
  <si>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</si>
  <si>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</si>
  <si>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</si>
  <si>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</si>
  <si>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</si>
  <si>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</si>
  <si>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</si>
  <si>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</si>
  <si>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</si>
  <si>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</si>
  <si>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</si>
  <si>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</si>
  <si>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</si>
  <si>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</si>
  <si>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</si>
  <si>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</si>
  <si>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</si>
  <si>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</si>
  <si>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</si>
  <si>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</si>
  <si>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</si>
  <si>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</si>
  <si>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</si>
  <si>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</si>
  <si>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</si>
  <si>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</si>
  <si>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</si>
  <si>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</si>
  <si>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</si>
  <si>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</si>
  <si>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</si>
  <si>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</si>
  <si>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</si>
  <si>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</si>
  <si>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</si>
  <si>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</si>
  <si>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</si>
  <si>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</si>
  <si>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</si>
  <si>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</si>
  <si>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</si>
  <si>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</si>
  <si>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</si>
  <si>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</si>
  <si>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</si>
  <si>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</si>
  <si>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</si>
  <si>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</si>
  <si>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</si>
  <si>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</si>
  <si>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</si>
  <si>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</si>
  <si>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</si>
  <si>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</si>
  <si>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</si>
  <si>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</si>
  <si>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</si>
  <si>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</si>
  <si>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</si>
  <si>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</si>
  <si>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</si>
  <si>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</si>
  <si>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</si>
  <si>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</si>
  <si>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</si>
  <si>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</si>
  <si>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</si>
  <si>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</si>
  <si>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</si>
  <si>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</si>
  <si>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</si>
  <si>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</si>
  <si>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</si>
  <si>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</si>
  <si>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</si>
  <si>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</si>
  <si>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</si>
  <si>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</si>
  <si>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</si>
  <si>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</si>
  <si>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</si>
  <si>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</si>
  <si>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</si>
  <si>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</si>
  <si>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</si>
  <si>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</si>
  <si>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</si>
  <si>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</si>
  <si>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</si>
  <si>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</si>
  <si>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</si>
  <si>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</si>
  <si>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</si>
  <si>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</si>
  <si>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</si>
  <si>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</si>
  <si>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</si>
  <si>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</si>
  <si>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</si>
  <si>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</si>
  <si>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</si>
  <si>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</si>
  <si>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</si>
  <si>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</si>
  <si>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</si>
  <si>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</si>
  <si>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</si>
  <si>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</si>
  <si>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</si>
  <si>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</si>
  <si>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</si>
  <si>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</si>
  <si>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</si>
  <si>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</si>
  <si>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</si>
  <si>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</si>
  <si>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</si>
  <si>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</si>
  <si>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</si>
  <si>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</si>
  <si>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</si>
  <si>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</si>
  <si>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</si>
  <si>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</si>
  <si>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</si>
  <si>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</si>
  <si>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</si>
  <si>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</si>
  <si>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</si>
  <si>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</si>
  <si>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</si>
  <si>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</si>
  <si>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</si>
  <si>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</si>
  <si>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</si>
  <si>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</si>
  <si>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</si>
  <si>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</si>
  <si>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</si>
  <si>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</si>
  <si>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</si>
  <si>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</si>
  <si>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</si>
  <si>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</si>
  <si>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</si>
  <si>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</si>
  <si>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</si>
  <si>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</si>
  <si>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</si>
  <si>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</si>
  <si>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</si>
  <si>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</si>
  <si>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</si>
  <si>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</si>
  <si>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</si>
  <si>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</si>
  <si>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</si>
  <si>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</si>
  <si>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</si>
  <si>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</si>
  <si>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</si>
  <si>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</si>
  <si>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</si>
  <si>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</si>
  <si>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</si>
  <si>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</si>
  <si>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</si>
  <si>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</si>
  <si>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</si>
  <si>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</si>
  <si>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</si>
  <si>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</si>
  <si>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</si>
  <si>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</si>
  <si>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</si>
  <si>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S</t>
    <phoneticPr fontId="29" type="noConversion"/>
  </si>
  <si>
    <t>每秒输出帧率</t>
    <phoneticPr fontId="29" type="noConversion"/>
  </si>
  <si>
    <t>Vi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</si>
  <si>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</si>
  <si>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</si>
  <si>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</si>
  <si>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</si>
  <si>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</si>
  <si>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</si>
  <si>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</si>
  <si>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</si>
  <si>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[0.396555]</t>
  </si>
  <si>
    <t>1 [0.801401]</t>
  </si>
  <si>
    <t>1 [1.208539]</t>
  </si>
  <si>
    <t>1 [1.613388]</t>
  </si>
  <si>
    <t>1 [2.022153]</t>
  </si>
  <si>
    <t>1 [2.427984]</t>
  </si>
  <si>
    <t>1 [2.834303]</t>
  </si>
  <si>
    <t>1 [3.237300]</t>
  </si>
  <si>
    <t>1 [3.646364]</t>
  </si>
  <si>
    <t>1 [4.051914]</t>
  </si>
  <si>
    <t>1 [4.455975]</t>
  </si>
  <si>
    <t>1 [4.864429]</t>
  </si>
  <si>
    <t>1 [5.270146]</t>
  </si>
  <si>
    <t>1 [5.675088]</t>
  </si>
  <si>
    <t>1 [6.082825]</t>
  </si>
  <si>
    <t>1 [6.492484]</t>
  </si>
  <si>
    <t>1 [6.892878]</t>
  </si>
  <si>
    <t>1 [7.299611]</t>
  </si>
  <si>
    <t>1 [7.709055]</t>
  </si>
  <si>
    <t>1 [8.111758]</t>
  </si>
  <si>
    <t>1 [8.522398]</t>
  </si>
  <si>
    <t>1 [8.925679]</t>
  </si>
  <si>
    <t>1 [9.331903]</t>
  </si>
  <si>
    <t>1 [9.738535]</t>
  </si>
  <si>
    <t>1 [10.149486]</t>
  </si>
  <si>
    <t>1 [10.553618]</t>
  </si>
  <si>
    <t>1 [10.957534]</t>
  </si>
  <si>
    <t>1 [11.364504]</t>
  </si>
  <si>
    <t>1 [11.769789]</t>
  </si>
  <si>
    <t>1 [12.176241]</t>
  </si>
  <si>
    <t>1 [12.584612]</t>
  </si>
  <si>
    <t>1 [12.987392]</t>
  </si>
  <si>
    <t>1 [13.395777]</t>
  </si>
  <si>
    <t>1 [13.802317]</t>
  </si>
  <si>
    <t>1 [14.206504]</t>
  </si>
  <si>
    <t>1 [14.612734]</t>
  </si>
  <si>
    <t>1 [15.022195]</t>
  </si>
  <si>
    <t>1 [15.425417]</t>
  </si>
  <si>
    <t>1 [15.833266]</t>
  </si>
  <si>
    <t>1 [16.238357]</t>
  </si>
  <si>
    <t>1 [16.646146]</t>
  </si>
  <si>
    <t>1 [17.053162]</t>
  </si>
  <si>
    <t>1 [17.454866]</t>
  </si>
  <si>
    <t>1 [17.862783]</t>
  </si>
  <si>
    <t>1 [18.271448]</t>
  </si>
  <si>
    <t>1 [18.675230]</t>
  </si>
  <si>
    <t>1 [19.084541]</t>
  </si>
  <si>
    <t>1 [19.487299]</t>
  </si>
  <si>
    <t>1 [19.893991]</t>
  </si>
  <si>
    <t>1 [20.304697]</t>
  </si>
  <si>
    <t>1 [20.707957]</t>
  </si>
  <si>
    <t>1 [21.115161]</t>
  </si>
  <si>
    <t>1 [21.518502]</t>
  </si>
  <si>
    <t>1 [21.928072]</t>
  </si>
  <si>
    <t>1 [22.331900]</t>
  </si>
  <si>
    <t>1 [22.741191]</t>
  </si>
  <si>
    <t>1 [23.148459]</t>
  </si>
  <si>
    <t>1 [23.552653]</t>
  </si>
  <si>
    <t>1 [23.954906]</t>
  </si>
  <si>
    <t>1 [24.364085]</t>
  </si>
  <si>
    <t>1 [24.773329]</t>
  </si>
  <si>
    <t>1 [25.178079]</t>
  </si>
  <si>
    <t>1 [25.585529]</t>
  </si>
  <si>
    <t>1 [25.989946]</t>
  </si>
  <si>
    <t>1 [26.394522]</t>
  </si>
  <si>
    <t>1 [26.803202]</t>
  </si>
  <si>
    <t>1 [27.210130]</t>
  </si>
  <si>
    <t>1 [27.614778]</t>
  </si>
  <si>
    <t>1 [28.019016]</t>
  </si>
  <si>
    <t>1 [28.428270]</t>
  </si>
  <si>
    <t>1 [28.838208]</t>
  </si>
  <si>
    <t>1 [29.241110]</t>
  </si>
  <si>
    <t>1 [29.645532]</t>
  </si>
  <si>
    <t>2 [30.050461]</t>
  </si>
  <si>
    <t>2 [30.509143]</t>
  </si>
  <si>
    <t>2 [30.908574]</t>
  </si>
  <si>
    <t>2 [31.317088]</t>
  </si>
  <si>
    <t>2 [31.722541]</t>
  </si>
  <si>
    <t>2 [32.131306]</t>
  </si>
  <si>
    <t>2 [32.534881]</t>
  </si>
  <si>
    <t>2 [32.941970]</t>
  </si>
  <si>
    <t>2 [33.347339]</t>
  </si>
  <si>
    <t>2 [33.754692]</t>
  </si>
  <si>
    <t>2 [34.160205]</t>
  </si>
  <si>
    <t>2 [34.568478]</t>
  </si>
  <si>
    <t>2 [34.973439]</t>
  </si>
  <si>
    <t>2 [35.376543]</t>
  </si>
  <si>
    <t>2 [35.785651]</t>
  </si>
  <si>
    <t>2 [36.192861]</t>
  </si>
  <si>
    <t>2 [36.600230]</t>
  </si>
  <si>
    <t>2 [37.003196]</t>
  </si>
  <si>
    <t>2 [37.410711]</t>
  </si>
  <si>
    <t>2 [37.816770]</t>
  </si>
  <si>
    <t>2 [38.225699]</t>
  </si>
  <si>
    <t>2 [38.630080]</t>
  </si>
  <si>
    <t>2 [39.039566]</t>
  </si>
  <si>
    <t>2 [39.442059]</t>
  </si>
  <si>
    <t>2 [39.847565]</t>
  </si>
  <si>
    <t>2 [40.254100]</t>
  </si>
  <si>
    <t>2 [40.662728]</t>
  </si>
  <si>
    <t>2 [41.070108]</t>
  </si>
  <si>
    <t>2 [41.472427]</t>
  </si>
  <si>
    <t>2 [41.880167]</t>
  </si>
  <si>
    <t>2 [42.290907]</t>
  </si>
  <si>
    <t>2 [42.693017]</t>
  </si>
  <si>
    <t>2 [43.097119]</t>
  </si>
  <si>
    <t>2 [43.503755]</t>
  </si>
  <si>
    <t>2 [43.907843]</t>
  </si>
  <si>
    <t>2 [44.316782]</t>
  </si>
  <si>
    <t>2 [44.723061]</t>
  </si>
  <si>
    <t>2 [45.128746]</t>
  </si>
  <si>
    <t>2 [45.536043]</t>
  </si>
  <si>
    <t>2 [45.941220]</t>
  </si>
  <si>
    <t>2 [46.349253]</t>
  </si>
  <si>
    <t>2 [46.752592]</t>
  </si>
  <si>
    <t>2 [47.159374]</t>
  </si>
  <si>
    <t>2 [47.568732]</t>
  </si>
  <si>
    <t>2 [47.974117]</t>
  </si>
  <si>
    <t>2 [48.380293]</t>
  </si>
  <si>
    <t>2 [48.785955]</t>
  </si>
  <si>
    <t>2 [49.191422]</t>
  </si>
  <si>
    <t>2 [49.598528]</t>
  </si>
  <si>
    <t>2 [50.003201]</t>
  </si>
  <si>
    <t>2 [50.409467]</t>
  </si>
  <si>
    <t>2 [50.817432]</t>
  </si>
  <si>
    <t>2 [51.220815]</t>
  </si>
  <si>
    <t>2 [51.629773]</t>
  </si>
  <si>
    <t>2 [52.035339]</t>
  </si>
  <si>
    <t>2 [52.442637]</t>
  </si>
  <si>
    <t>2 [52.848478]</t>
  </si>
  <si>
    <t>2 [53.253197]</t>
  </si>
  <si>
    <t>2 [53.659818]</t>
  </si>
  <si>
    <t>2 [54.068993]</t>
  </si>
  <si>
    <t>2 [54.474655]</t>
  </si>
  <si>
    <t>2 [54.880890]</t>
  </si>
  <si>
    <t>2 [55.287661]</t>
  </si>
  <si>
    <t>2 [55.691806]</t>
  </si>
  <si>
    <t>2 [56.102788]</t>
  </si>
  <si>
    <t>2 [56.505570]</t>
  </si>
  <si>
    <t>2 [56.908826]</t>
  </si>
  <si>
    <t>2 [57.315951]</t>
  </si>
  <si>
    <t>2 [57.722349]</t>
  </si>
  <si>
    <t>2 [58.130149]</t>
  </si>
  <si>
    <t>2 [58.542716]</t>
  </si>
  <si>
    <t>2 [58.949579]</t>
  </si>
  <si>
    <t>2 [59.346934]</t>
  </si>
  <si>
    <t>2 [59.756736]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</si>
  <si>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</si>
  <si>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</si>
  <si>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</si>
  <si>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</si>
  <si>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</si>
  <si>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M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</si>
  <si>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</si>
  <si>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</si>
  <si>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</si>
  <si>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</si>
  <si>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</si>
  <si>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</si>
  <si>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</si>
  <si>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</si>
  <si>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乔雁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</si>
</sst>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39.691099999999999</c:v>
                </c:pt>
                <c:pt idx="1">
                  <c:v>30.950199999999999</c:v>
                </c:pt>
                <c:pt idx="2">
                  <c:v>30.104299999999999</c:v>
                </c:pt>
                <c:pt idx="3">
                  <c:v>33.547600000000003</c:v>
                </c:pt>
                <c:pt idx="4">
                  <c:v>63.848300000000002</c:v>
                </c:pt>
                <c:pt idx="5">
                  <c:v>75.119100000000003</c:v>
                </c:pt>
                <c:pt idx="6">
                  <c:v>21.169799999999999</c:v>
                </c:pt>
                <c:pt idx="7">
                  <c:v>69.086799999999997</c:v>
                </c:pt>
                <c:pt idx="8">
                  <c:v>22.431100000000001</c:v>
                </c:pt>
                <c:pt idx="9">
                  <c:v>53.526400000000002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0.4447219246294663</c:v>
                </c:pt>
                <c:pt idx="1">
                  <c:v>0.26054483984508536</c:v>
                </c:pt>
                <c:pt idx="2">
                  <c:v>0.29473323552544839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3868</c:v>
                </c:pt>
                <c:pt idx="7">
                  <c:v>0</c:v>
                </c:pt>
                <c:pt idx="8">
                  <c:v>9254</c:v>
                </c:pt>
                <c:pt idx="9">
                  <c:v>0</c:v>
                </c:pt>
                <c:pt idx="10">
                  <c:v>0</c:v>
                </c:pt>
                <c:pt idx="11">
                  <c:v>13100</c:v>
                </c:pt>
                <c:pt idx="12">
                  <c:v>0</c:v>
                </c:pt>
                <c:pt idx="13">
                  <c:v>20005</c:v>
                </c:pt>
                <c:pt idx="14">
                  <c:v>0</c:v>
                </c:pt>
                <c:pt idx="15">
                  <c:v>0</c:v>
                </c:pt>
                <c:pt idx="16">
                  <c:v>27330</c:v>
                </c:pt>
                <c:pt idx="17">
                  <c:v>0</c:v>
                </c:pt>
                <c:pt idx="18">
                  <c:v>0</c:v>
                </c:pt>
                <c:pt idx="19">
                  <c:v>32927</c:v>
                </c:pt>
                <c:pt idx="20">
                  <c:v>0</c:v>
                </c:pt>
                <c:pt idx="21">
                  <c:v>30669</c:v>
                </c:pt>
                <c:pt idx="22">
                  <c:v>0</c:v>
                </c:pt>
                <c:pt idx="23">
                  <c:v>0</c:v>
                </c:pt>
                <c:pt idx="24">
                  <c:v>30253</c:v>
                </c:pt>
                <c:pt idx="25">
                  <c:v>0</c:v>
                </c:pt>
                <c:pt idx="26">
                  <c:v>37056</c:v>
                </c:pt>
                <c:pt idx="27">
                  <c:v>0</c:v>
                </c:pt>
                <c:pt idx="28">
                  <c:v>0</c:v>
                </c:pt>
                <c:pt idx="29">
                  <c:v>49722</c:v>
                </c:pt>
                <c:pt idx="30">
                  <c:v>0</c:v>
                </c:pt>
                <c:pt idx="31">
                  <c:v>52094</c:v>
                </c:pt>
                <c:pt idx="32">
                  <c:v>0</c:v>
                </c:pt>
                <c:pt idx="33">
                  <c:v>0</c:v>
                </c:pt>
                <c:pt idx="34">
                  <c:v>66148</c:v>
                </c:pt>
                <c:pt idx="35">
                  <c:v>0</c:v>
                </c:pt>
                <c:pt idx="36">
                  <c:v>0</c:v>
                </c:pt>
                <c:pt idx="37">
                  <c:v>68307</c:v>
                </c:pt>
                <c:pt idx="38">
                  <c:v>0</c:v>
                </c:pt>
                <c:pt idx="39">
                  <c:v>74971</c:v>
                </c:pt>
                <c:pt idx="40">
                  <c:v>0</c:v>
                </c:pt>
                <c:pt idx="41">
                  <c:v>0</c:v>
                </c:pt>
                <c:pt idx="42">
                  <c:v>76356</c:v>
                </c:pt>
                <c:pt idx="43">
                  <c:v>0</c:v>
                </c:pt>
                <c:pt idx="44">
                  <c:v>84535</c:v>
                </c:pt>
                <c:pt idx="45">
                  <c:v>0</c:v>
                </c:pt>
                <c:pt idx="46">
                  <c:v>0</c:v>
                </c:pt>
                <c:pt idx="47">
                  <c:v>89217</c:v>
                </c:pt>
                <c:pt idx="48">
                  <c:v>0</c:v>
                </c:pt>
                <c:pt idx="49">
                  <c:v>95646</c:v>
                </c:pt>
                <c:pt idx="50">
                  <c:v>0</c:v>
                </c:pt>
                <c:pt idx="51">
                  <c:v>0</c:v>
                </c:pt>
                <c:pt idx="52">
                  <c:v>114142</c:v>
                </c:pt>
                <c:pt idx="53">
                  <c:v>0</c:v>
                </c:pt>
                <c:pt idx="54">
                  <c:v>0</c:v>
                </c:pt>
                <c:pt idx="55">
                  <c:v>120705</c:v>
                </c:pt>
                <c:pt idx="56">
                  <c:v>0</c:v>
                </c:pt>
                <c:pt idx="57">
                  <c:v>132804</c:v>
                </c:pt>
                <c:pt idx="58">
                  <c:v>0</c:v>
                </c:pt>
                <c:pt idx="59">
                  <c:v>0</c:v>
                </c:pt>
                <c:pt idx="60">
                  <c:v>137820</c:v>
                </c:pt>
                <c:pt idx="61">
                  <c:v>0</c:v>
                </c:pt>
                <c:pt idx="62">
                  <c:v>139477</c:v>
                </c:pt>
                <c:pt idx="63">
                  <c:v>0</c:v>
                </c:pt>
                <c:pt idx="64">
                  <c:v>0</c:v>
                </c:pt>
                <c:pt idx="65">
                  <c:v>162372</c:v>
                </c:pt>
                <c:pt idx="66">
                  <c:v>0</c:v>
                </c:pt>
                <c:pt idx="67">
                  <c:v>143198</c:v>
                </c:pt>
                <c:pt idx="68">
                  <c:v>0</c:v>
                </c:pt>
                <c:pt idx="69">
                  <c:v>0</c:v>
                </c:pt>
                <c:pt idx="70">
                  <c:v>154444</c:v>
                </c:pt>
                <c:pt idx="71">
                  <c:v>0</c:v>
                </c:pt>
                <c:pt idx="72">
                  <c:v>0</c:v>
                </c:pt>
                <c:pt idx="73">
                  <c:v>162001</c:v>
                </c:pt>
                <c:pt idx="74">
                  <c:v>0</c:v>
                </c:pt>
                <c:pt idx="75">
                  <c:v>156055</c:v>
                </c:pt>
                <c:pt idx="76">
                  <c:v>0</c:v>
                </c:pt>
                <c:pt idx="77">
                  <c:v>0</c:v>
                </c:pt>
                <c:pt idx="78">
                  <c:v>155485</c:v>
                </c:pt>
                <c:pt idx="79">
                  <c:v>0</c:v>
                </c:pt>
                <c:pt idx="80">
                  <c:v>149797</c:v>
                </c:pt>
                <c:pt idx="81">
                  <c:v>0</c:v>
                </c:pt>
                <c:pt idx="82">
                  <c:v>0</c:v>
                </c:pt>
                <c:pt idx="83">
                  <c:v>149963</c:v>
                </c:pt>
                <c:pt idx="84">
                  <c:v>0</c:v>
                </c:pt>
                <c:pt idx="85">
                  <c:v>0</c:v>
                </c:pt>
                <c:pt idx="86">
                  <c:v>143766</c:v>
                </c:pt>
                <c:pt idx="87">
                  <c:v>0</c:v>
                </c:pt>
                <c:pt idx="88">
                  <c:v>137278</c:v>
                </c:pt>
                <c:pt idx="89">
                  <c:v>0</c:v>
                </c:pt>
                <c:pt idx="90">
                  <c:v>0</c:v>
                </c:pt>
                <c:pt idx="91">
                  <c:v>141332</c:v>
                </c:pt>
                <c:pt idx="92">
                  <c:v>0</c:v>
                </c:pt>
                <c:pt idx="93">
                  <c:v>132271</c:v>
                </c:pt>
                <c:pt idx="94">
                  <c:v>0</c:v>
                </c:pt>
                <c:pt idx="95">
                  <c:v>0</c:v>
                </c:pt>
                <c:pt idx="96">
                  <c:v>126232</c:v>
                </c:pt>
                <c:pt idx="97">
                  <c:v>0</c:v>
                </c:pt>
                <c:pt idx="98">
                  <c:v>119521</c:v>
                </c:pt>
                <c:pt idx="99">
                  <c:v>0</c:v>
                </c:pt>
                <c:pt idx="100">
                  <c:v>0</c:v>
                </c:pt>
                <c:pt idx="101">
                  <c:v>114768</c:v>
                </c:pt>
                <c:pt idx="102">
                  <c:v>0</c:v>
                </c:pt>
                <c:pt idx="103">
                  <c:v>0</c:v>
                </c:pt>
                <c:pt idx="104">
                  <c:v>106818</c:v>
                </c:pt>
                <c:pt idx="105">
                  <c:v>0</c:v>
                </c:pt>
                <c:pt idx="106">
                  <c:v>98613</c:v>
                </c:pt>
                <c:pt idx="107">
                  <c:v>0</c:v>
                </c:pt>
                <c:pt idx="108">
                  <c:v>0</c:v>
                </c:pt>
                <c:pt idx="109">
                  <c:v>90602</c:v>
                </c:pt>
                <c:pt idx="110">
                  <c:v>0</c:v>
                </c:pt>
                <c:pt idx="111">
                  <c:v>87969</c:v>
                </c:pt>
                <c:pt idx="112">
                  <c:v>0</c:v>
                </c:pt>
                <c:pt idx="113">
                  <c:v>0</c:v>
                </c:pt>
                <c:pt idx="114">
                  <c:v>79053</c:v>
                </c:pt>
                <c:pt idx="115">
                  <c:v>0</c:v>
                </c:pt>
                <c:pt idx="116">
                  <c:v>72291</c:v>
                </c:pt>
                <c:pt idx="117">
                  <c:v>0</c:v>
                </c:pt>
                <c:pt idx="118">
                  <c:v>0</c:v>
                </c:pt>
                <c:pt idx="119">
                  <c:v>72787</c:v>
                </c:pt>
                <c:pt idx="120">
                  <c:v>0</c:v>
                </c:pt>
                <c:pt idx="121">
                  <c:v>0</c:v>
                </c:pt>
                <c:pt idx="122">
                  <c:v>64491</c:v>
                </c:pt>
                <c:pt idx="123">
                  <c:v>0</c:v>
                </c:pt>
                <c:pt idx="124">
                  <c:v>63386</c:v>
                </c:pt>
                <c:pt idx="125">
                  <c:v>0</c:v>
                </c:pt>
                <c:pt idx="126">
                  <c:v>0</c:v>
                </c:pt>
                <c:pt idx="127">
                  <c:v>62046</c:v>
                </c:pt>
                <c:pt idx="128">
                  <c:v>0</c:v>
                </c:pt>
                <c:pt idx="129">
                  <c:v>59971</c:v>
                </c:pt>
                <c:pt idx="130">
                  <c:v>0</c:v>
                </c:pt>
                <c:pt idx="131">
                  <c:v>0</c:v>
                </c:pt>
                <c:pt idx="132">
                  <c:v>57455</c:v>
                </c:pt>
                <c:pt idx="133">
                  <c:v>0</c:v>
                </c:pt>
                <c:pt idx="134">
                  <c:v>47871</c:v>
                </c:pt>
                <c:pt idx="135">
                  <c:v>0</c:v>
                </c:pt>
                <c:pt idx="136">
                  <c:v>0</c:v>
                </c:pt>
                <c:pt idx="137">
                  <c:v>38849</c:v>
                </c:pt>
                <c:pt idx="138">
                  <c:v>0</c:v>
                </c:pt>
                <c:pt idx="139">
                  <c:v>0</c:v>
                </c:pt>
                <c:pt idx="140">
                  <c:v>32237</c:v>
                </c:pt>
                <c:pt idx="141">
                  <c:v>0</c:v>
                </c:pt>
                <c:pt idx="142">
                  <c:v>21396</c:v>
                </c:pt>
                <c:pt idx="143">
                  <c:v>0</c:v>
                </c:pt>
                <c:pt idx="144">
                  <c:v>0</c:v>
                </c:pt>
                <c:pt idx="145">
                  <c:v>18863</c:v>
                </c:pt>
                <c:pt idx="146">
                  <c:v>0</c:v>
                </c:pt>
                <c:pt idx="147">
                  <c:v>14592</c:v>
                </c:pt>
                <c:pt idx="148">
                  <c:v>0</c:v>
                </c:pt>
                <c:pt idx="149">
                  <c:v>0</c:v>
                </c:pt>
                <c:pt idx="150">
                  <c:v>12675</c:v>
                </c:pt>
                <c:pt idx="151">
                  <c:v>0</c:v>
                </c:pt>
                <c:pt idx="152">
                  <c:v>7974</c:v>
                </c:pt>
                <c:pt idx="153">
                  <c:v>0</c:v>
                </c:pt>
                <c:pt idx="154">
                  <c:v>0</c:v>
                </c:pt>
                <c:pt idx="155">
                  <c:v>5829</c:v>
                </c:pt>
                <c:pt idx="156">
                  <c:v>0</c:v>
                </c:pt>
                <c:pt idx="157">
                  <c:v>0</c:v>
                </c:pt>
                <c:pt idx="158">
                  <c:v>4774</c:v>
                </c:pt>
                <c:pt idx="159">
                  <c:v>0</c:v>
                </c:pt>
                <c:pt idx="160">
                  <c:v>2806</c:v>
                </c:pt>
                <c:pt idx="161">
                  <c:v>0</c:v>
                </c:pt>
                <c:pt idx="162">
                  <c:v>0</c:v>
                </c:pt>
                <c:pt idx="163">
                  <c:v>3257</c:v>
                </c:pt>
                <c:pt idx="164">
                  <c:v>0</c:v>
                </c:pt>
                <c:pt idx="165">
                  <c:v>1564</c:v>
                </c:pt>
                <c:pt idx="166">
                  <c:v>0</c:v>
                </c:pt>
                <c:pt idx="167">
                  <c:v>0</c:v>
                </c:pt>
                <c:pt idx="168">
                  <c:v>1757</c:v>
                </c:pt>
                <c:pt idx="169">
                  <c:v>0</c:v>
                </c:pt>
                <c:pt idx="170">
                  <c:v>0</c:v>
                </c:pt>
                <c:pt idx="171">
                  <c:v>1332</c:v>
                </c:pt>
                <c:pt idx="172">
                  <c:v>0</c:v>
                </c:pt>
                <c:pt idx="173">
                  <c:v>1390</c:v>
                </c:pt>
                <c:pt idx="174">
                  <c:v>0</c:v>
                </c:pt>
                <c:pt idx="175">
                  <c:v>0</c:v>
                </c:pt>
                <c:pt idx="176">
                  <c:v>1083</c:v>
                </c:pt>
                <c:pt idx="177">
                  <c:v>0</c:v>
                </c:pt>
                <c:pt idx="178">
                  <c:v>591</c:v>
                </c:pt>
                <c:pt idx="179">
                  <c:v>0</c:v>
                </c:pt>
                <c:pt idx="180">
                  <c:v>0</c:v>
                </c:pt>
                <c:pt idx="181">
                  <c:v>251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2.3476499999999998</c:v>
                </c:pt>
                <c:pt idx="1">
                  <c:v>2.37541</c:v>
                </c:pt>
                <c:pt idx="2">
                  <c:v>2.4029700000000003</c:v>
                </c:pt>
                <c:pt idx="3">
                  <c:v>2.43085</c:v>
                </c:pt>
                <c:pt idx="4">
                  <c:v>2.4586299999999999</c:v>
                </c:pt>
                <c:pt idx="5">
                  <c:v>2.4857999999999998</c:v>
                </c:pt>
                <c:pt idx="6">
                  <c:v>2.5109500000000002</c:v>
                </c:pt>
                <c:pt idx="7">
                  <c:v>2.5356699999999996</c:v>
                </c:pt>
                <c:pt idx="8">
                  <c:v>2.5573299999999999</c:v>
                </c:pt>
                <c:pt idx="9">
                  <c:v>2.5766299999999998</c:v>
                </c:pt>
                <c:pt idx="10">
                  <c:v>2.5914299999999999</c:v>
                </c:pt>
                <c:pt idx="11">
                  <c:v>2.6030899999999999</c:v>
                </c:pt>
                <c:pt idx="12">
                  <c:v>2.6162400000000003</c:v>
                </c:pt>
                <c:pt idx="13">
                  <c:v>2.6265000000000001</c:v>
                </c:pt>
                <c:pt idx="14">
                  <c:v>2.6353399999999998</c:v>
                </c:pt>
                <c:pt idx="15">
                  <c:v>2.6437100000000004</c:v>
                </c:pt>
                <c:pt idx="16">
                  <c:v>2.6521600000000003</c:v>
                </c:pt>
                <c:pt idx="17">
                  <c:v>2.6608499999999999</c:v>
                </c:pt>
                <c:pt idx="18">
                  <c:v>2.6712699999999998</c:v>
                </c:pt>
                <c:pt idx="19">
                  <c:v>2.68038</c:v>
                </c:pt>
                <c:pt idx="20">
                  <c:v>2.68926</c:v>
                </c:pt>
                <c:pt idx="21">
                  <c:v>2.6990399999999997</c:v>
                </c:pt>
                <c:pt idx="22">
                  <c:v>2.70621</c:v>
                </c:pt>
                <c:pt idx="23">
                  <c:v>2.7121499999999998</c:v>
                </c:pt>
                <c:pt idx="24">
                  <c:v>2.7184399999999997</c:v>
                </c:pt>
                <c:pt idx="25">
                  <c:v>2.72546</c:v>
                </c:pt>
                <c:pt idx="26">
                  <c:v>2.7332700000000001</c:v>
                </c:pt>
                <c:pt idx="27">
                  <c:v>2.7428300000000001</c:v>
                </c:pt>
                <c:pt idx="28">
                  <c:v>2.75393</c:v>
                </c:pt>
                <c:pt idx="29">
                  <c:v>2.7641900000000001</c:v>
                </c:pt>
                <c:pt idx="30">
                  <c:v>2.7732200000000002</c:v>
                </c:pt>
                <c:pt idx="31">
                  <c:v>2.7822999999999998</c:v>
                </c:pt>
                <c:pt idx="32">
                  <c:v>2.7926299999999999</c:v>
                </c:pt>
                <c:pt idx="33">
                  <c:v>2.8065199999999999</c:v>
                </c:pt>
                <c:pt idx="34">
                  <c:v>2.8217399999999997</c:v>
                </c:pt>
                <c:pt idx="35">
                  <c:v>2.8394900000000001</c:v>
                </c:pt>
                <c:pt idx="36">
                  <c:v>2.8602799999999999</c:v>
                </c:pt>
                <c:pt idx="37">
                  <c:v>2.8843700000000001</c:v>
                </c:pt>
                <c:pt idx="38">
                  <c:v>2.91201</c:v>
                </c:pt>
                <c:pt idx="39">
                  <c:v>2.9404200000000005</c:v>
                </c:pt>
                <c:pt idx="40">
                  <c:v>2.97072</c:v>
                </c:pt>
                <c:pt idx="41">
                  <c:v>3.0036200000000002</c:v>
                </c:pt>
                <c:pt idx="42">
                  <c:v>3.0369000000000002</c:v>
                </c:pt>
                <c:pt idx="43">
                  <c:v>3.0675300000000001</c:v>
                </c:pt>
                <c:pt idx="44">
                  <c:v>3.0971100000000003</c:v>
                </c:pt>
                <c:pt idx="45">
                  <c:v>3.1249900000000004</c:v>
                </c:pt>
                <c:pt idx="46">
                  <c:v>3.1519399999999997</c:v>
                </c:pt>
                <c:pt idx="47">
                  <c:v>3.17815</c:v>
                </c:pt>
                <c:pt idx="48">
                  <c:v>3.2035200000000001</c:v>
                </c:pt>
                <c:pt idx="49">
                  <c:v>3.2277099999999996</c:v>
                </c:pt>
                <c:pt idx="50">
                  <c:v>3.25386</c:v>
                </c:pt>
                <c:pt idx="51">
                  <c:v>3.2812200000000002</c:v>
                </c:pt>
                <c:pt idx="52">
                  <c:v>3.3000800000000003</c:v>
                </c:pt>
                <c:pt idx="53">
                  <c:v>3.3203300000000002</c:v>
                </c:pt>
                <c:pt idx="54">
                  <c:v>3.34111</c:v>
                </c:pt>
                <c:pt idx="55">
                  <c:v>3.35494</c:v>
                </c:pt>
                <c:pt idx="56">
                  <c:v>3.3736199999999998</c:v>
                </c:pt>
                <c:pt idx="57">
                  <c:v>3.3903499999999998</c:v>
                </c:pt>
                <c:pt idx="58">
                  <c:v>3.4066099999999997</c:v>
                </c:pt>
                <c:pt idx="59">
                  <c:v>3.4202300000000001</c:v>
                </c:pt>
                <c:pt idx="60">
                  <c:v>3.4401299999999999</c:v>
                </c:pt>
                <c:pt idx="61">
                  <c:v>3.4598899999999997</c:v>
                </c:pt>
                <c:pt idx="62">
                  <c:v>3.47207</c:v>
                </c:pt>
                <c:pt idx="63">
                  <c:v>3.4818799999999999</c:v>
                </c:pt>
                <c:pt idx="64">
                  <c:v>3.4913799999999999</c:v>
                </c:pt>
                <c:pt idx="65">
                  <c:v>3.4967600000000001</c:v>
                </c:pt>
                <c:pt idx="66">
                  <c:v>3.4948200000000003</c:v>
                </c:pt>
                <c:pt idx="67">
                  <c:v>3.4905000000000004</c:v>
                </c:pt>
                <c:pt idx="68">
                  <c:v>3.4881099999999998</c:v>
                </c:pt>
                <c:pt idx="69">
                  <c:v>3.4817799999999997</c:v>
                </c:pt>
                <c:pt idx="70">
                  <c:v>3.4754299999999998</c:v>
                </c:pt>
                <c:pt idx="71">
                  <c:v>3.4643899999999999</c:v>
                </c:pt>
                <c:pt idx="72">
                  <c:v>3.4596300000000002</c:v>
                </c:pt>
                <c:pt idx="73">
                  <c:v>3.4556900000000002</c:v>
                </c:pt>
                <c:pt idx="74">
                  <c:v>3.4547600000000003</c:v>
                </c:pt>
                <c:pt idx="75">
                  <c:v>3.4469100000000004</c:v>
                </c:pt>
                <c:pt idx="76">
                  <c:v>3.44082</c:v>
                </c:pt>
                <c:pt idx="77">
                  <c:v>3.4358599999999999</c:v>
                </c:pt>
                <c:pt idx="78">
                  <c:v>3.4303900000000001</c:v>
                </c:pt>
                <c:pt idx="79">
                  <c:v>3.42889</c:v>
                </c:pt>
                <c:pt idx="80">
                  <c:v>3.4271800000000003</c:v>
                </c:pt>
                <c:pt idx="81">
                  <c:v>3.4209099999999997</c:v>
                </c:pt>
                <c:pt idx="82">
                  <c:v>3.4099300000000001</c:v>
                </c:pt>
                <c:pt idx="83">
                  <c:v>3.3981699999999999</c:v>
                </c:pt>
                <c:pt idx="84">
                  <c:v>3.3853499999999999</c:v>
                </c:pt>
                <c:pt idx="85">
                  <c:v>3.37358</c:v>
                </c:pt>
                <c:pt idx="86">
                  <c:v>3.3597999999999999</c:v>
                </c:pt>
                <c:pt idx="87">
                  <c:v>3.3427000000000002</c:v>
                </c:pt>
                <c:pt idx="88">
                  <c:v>3.327</c:v>
                </c:pt>
                <c:pt idx="89">
                  <c:v>3.31115</c:v>
                </c:pt>
                <c:pt idx="90">
                  <c:v>3.2957900000000002</c:v>
                </c:pt>
                <c:pt idx="91">
                  <c:v>3.2831999999999999</c:v>
                </c:pt>
                <c:pt idx="92">
                  <c:v>3.2739800000000003</c:v>
                </c:pt>
                <c:pt idx="93">
                  <c:v>3.2692199999999998</c:v>
                </c:pt>
                <c:pt idx="94">
                  <c:v>3.2687300000000001</c:v>
                </c:pt>
                <c:pt idx="95">
                  <c:v>3.2695999999999996</c:v>
                </c:pt>
                <c:pt idx="96">
                  <c:v>3.2741599999999997</c:v>
                </c:pt>
                <c:pt idx="97">
                  <c:v>3.2782899999999997</c:v>
                </c:pt>
                <c:pt idx="98">
                  <c:v>3.28193</c:v>
                </c:pt>
                <c:pt idx="99">
                  <c:v>3.2834500000000002</c:v>
                </c:pt>
                <c:pt idx="100">
                  <c:v>3.2815899999999996</c:v>
                </c:pt>
                <c:pt idx="101">
                  <c:v>3.2781199999999999</c:v>
                </c:pt>
                <c:pt idx="102">
                  <c:v>3.27684</c:v>
                </c:pt>
                <c:pt idx="103">
                  <c:v>3.2775500000000002</c:v>
                </c:pt>
                <c:pt idx="104">
                  <c:v>3.2780800000000001</c:v>
                </c:pt>
                <c:pt idx="105">
                  <c:v>3.2786200000000001</c:v>
                </c:pt>
                <c:pt idx="106">
                  <c:v>3.28355</c:v>
                </c:pt>
                <c:pt idx="107">
                  <c:v>3.29312</c:v>
                </c:pt>
                <c:pt idx="108">
                  <c:v>3.3053400000000002</c:v>
                </c:pt>
                <c:pt idx="109">
                  <c:v>3.3196099999999999</c:v>
                </c:pt>
                <c:pt idx="110">
                  <c:v>3.3326000000000002</c:v>
                </c:pt>
                <c:pt idx="111">
                  <c:v>3.3456599999999996</c:v>
                </c:pt>
                <c:pt idx="112">
                  <c:v>3.3613999999999997</c:v>
                </c:pt>
                <c:pt idx="113">
                  <c:v>3.3773999999999997</c:v>
                </c:pt>
                <c:pt idx="114">
                  <c:v>3.3917799999999998</c:v>
                </c:pt>
                <c:pt idx="115">
                  <c:v>3.4088000000000003</c:v>
                </c:pt>
                <c:pt idx="116">
                  <c:v>3.4261999999999997</c:v>
                </c:pt>
                <c:pt idx="117">
                  <c:v>3.4419399999999998</c:v>
                </c:pt>
                <c:pt idx="118">
                  <c:v>3.4567700000000001</c:v>
                </c:pt>
                <c:pt idx="119">
                  <c:v>3.47079</c:v>
                </c:pt>
                <c:pt idx="120">
                  <c:v>3.48353</c:v>
                </c:pt>
                <c:pt idx="121">
                  <c:v>3.4946300000000003</c:v>
                </c:pt>
                <c:pt idx="122">
                  <c:v>3.5045999999999999</c:v>
                </c:pt>
                <c:pt idx="123">
                  <c:v>3.5183599999999999</c:v>
                </c:pt>
                <c:pt idx="124">
                  <c:v>3.5268199999999998</c:v>
                </c:pt>
                <c:pt idx="125">
                  <c:v>3.5373900000000003</c:v>
                </c:pt>
                <c:pt idx="126">
                  <c:v>3.5486400000000002</c:v>
                </c:pt>
                <c:pt idx="127">
                  <c:v>3.5587800000000005</c:v>
                </c:pt>
                <c:pt idx="128">
                  <c:v>3.5682399999999999</c:v>
                </c:pt>
                <c:pt idx="129">
                  <c:v>3.5767799999999998</c:v>
                </c:pt>
                <c:pt idx="130">
                  <c:v>3.5867</c:v>
                </c:pt>
                <c:pt idx="131">
                  <c:v>3.5947</c:v>
                </c:pt>
                <c:pt idx="132">
                  <c:v>3.6008800000000001</c:v>
                </c:pt>
                <c:pt idx="133">
                  <c:v>3.6005199999999999</c:v>
                </c:pt>
                <c:pt idx="134">
                  <c:v>3.5929899999999999</c:v>
                </c:pt>
                <c:pt idx="135">
                  <c:v>3.5853099999999998</c:v>
                </c:pt>
                <c:pt idx="136">
                  <c:v>3.5832199999999998</c:v>
                </c:pt>
                <c:pt idx="137">
                  <c:v>3.5830099999999998</c:v>
                </c:pt>
                <c:pt idx="138">
                  <c:v>3.5820699999999999</c:v>
                </c:pt>
                <c:pt idx="139">
                  <c:v>3.5865900000000002</c:v>
                </c:pt>
                <c:pt idx="140">
                  <c:v>3.5927899999999999</c:v>
                </c:pt>
                <c:pt idx="141">
                  <c:v>3.6016500000000002</c:v>
                </c:pt>
                <c:pt idx="142">
                  <c:v>3.6155300000000001</c:v>
                </c:pt>
                <c:pt idx="143">
                  <c:v>3.6288100000000001</c:v>
                </c:pt>
                <c:pt idx="144">
                  <c:v>3.6386500000000002</c:v>
                </c:pt>
                <c:pt idx="145">
                  <c:v>3.6571899999999999</c:v>
                </c:pt>
                <c:pt idx="146">
                  <c:v>3.6659100000000002</c:v>
                </c:pt>
                <c:pt idx="147">
                  <c:v>3.7133100000000003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56.519799999999996</c:v>
                </c:pt>
                <c:pt idx="1">
                  <c:v>55.950999999999993</c:v>
                </c:pt>
                <c:pt idx="2">
                  <c:v>55.340599999999995</c:v>
                </c:pt>
                <c:pt idx="3">
                  <c:v>54.729199999999999</c:v>
                </c:pt>
                <c:pt idx="4">
                  <c:v>54.043699999999994</c:v>
                </c:pt>
                <c:pt idx="5">
                  <c:v>53.240200000000002</c:v>
                </c:pt>
                <c:pt idx="6">
                  <c:v>52.380300000000005</c:v>
                </c:pt>
                <c:pt idx="7">
                  <c:v>51.477799999999995</c:v>
                </c:pt>
                <c:pt idx="8">
                  <c:v>50.616399999999992</c:v>
                </c:pt>
                <c:pt idx="9">
                  <c:v>49.861400000000003</c:v>
                </c:pt>
                <c:pt idx="10">
                  <c:v>49.167999999999999</c:v>
                </c:pt>
                <c:pt idx="11">
                  <c:v>48.4985</c:v>
                </c:pt>
                <c:pt idx="12">
                  <c:v>47.820599999999999</c:v>
                </c:pt>
                <c:pt idx="13">
                  <c:v>47.189399999999999</c:v>
                </c:pt>
                <c:pt idx="14">
                  <c:v>46.611399999999996</c:v>
                </c:pt>
                <c:pt idx="15">
                  <c:v>46.069500000000005</c:v>
                </c:pt>
                <c:pt idx="16">
                  <c:v>45.527799999999999</c:v>
                </c:pt>
                <c:pt idx="17">
                  <c:v>45.040100000000002</c:v>
                </c:pt>
                <c:pt idx="18">
                  <c:v>44.5852</c:v>
                </c:pt>
                <c:pt idx="19">
                  <c:v>44.248899999999999</c:v>
                </c:pt>
                <c:pt idx="20">
                  <c:v>43.997100000000003</c:v>
                </c:pt>
                <c:pt idx="21">
                  <c:v>43.773299999999999</c:v>
                </c:pt>
                <c:pt idx="22">
                  <c:v>43.585599999999999</c:v>
                </c:pt>
                <c:pt idx="23">
                  <c:v>43.439699999999995</c:v>
                </c:pt>
                <c:pt idx="24">
                  <c:v>43.2973</c:v>
                </c:pt>
                <c:pt idx="25">
                  <c:v>43.166600000000003</c:v>
                </c:pt>
                <c:pt idx="26">
                  <c:v>43.052300000000002</c:v>
                </c:pt>
                <c:pt idx="27">
                  <c:v>42.928800000000003</c:v>
                </c:pt>
                <c:pt idx="28">
                  <c:v>42.819400000000002</c:v>
                </c:pt>
                <c:pt idx="29">
                  <c:v>42.759799999999998</c:v>
                </c:pt>
                <c:pt idx="30">
                  <c:v>42.683500000000002</c:v>
                </c:pt>
                <c:pt idx="31">
                  <c:v>42.601499999999994</c:v>
                </c:pt>
                <c:pt idx="32">
                  <c:v>42.561999999999998</c:v>
                </c:pt>
                <c:pt idx="33">
                  <c:v>42.485599999999998</c:v>
                </c:pt>
                <c:pt idx="34">
                  <c:v>42.384100000000004</c:v>
                </c:pt>
                <c:pt idx="35">
                  <c:v>42.329099999999997</c:v>
                </c:pt>
                <c:pt idx="36">
                  <c:v>42.281100000000002</c:v>
                </c:pt>
                <c:pt idx="37">
                  <c:v>42.146799999999999</c:v>
                </c:pt>
                <c:pt idx="38">
                  <c:v>42.026899999999998</c:v>
                </c:pt>
                <c:pt idx="39">
                  <c:v>41.934800000000003</c:v>
                </c:pt>
                <c:pt idx="40">
                  <c:v>41.866100000000003</c:v>
                </c:pt>
                <c:pt idx="41">
                  <c:v>41.752299999999998</c:v>
                </c:pt>
                <c:pt idx="42">
                  <c:v>41.6188</c:v>
                </c:pt>
                <c:pt idx="43">
                  <c:v>41.544599999999996</c:v>
                </c:pt>
                <c:pt idx="44">
                  <c:v>41.513800000000003</c:v>
                </c:pt>
                <c:pt idx="45">
                  <c:v>41.4908</c:v>
                </c:pt>
                <c:pt idx="46">
                  <c:v>41.455999999999996</c:v>
                </c:pt>
                <c:pt idx="47">
                  <c:v>41.464199999999998</c:v>
                </c:pt>
                <c:pt idx="48">
                  <c:v>41.517299999999999</c:v>
                </c:pt>
                <c:pt idx="49">
                  <c:v>41.536200000000001</c:v>
                </c:pt>
                <c:pt idx="50">
                  <c:v>41.483199999999997</c:v>
                </c:pt>
                <c:pt idx="51">
                  <c:v>41.343800000000002</c:v>
                </c:pt>
                <c:pt idx="52">
                  <c:v>41.290100000000002</c:v>
                </c:pt>
                <c:pt idx="53">
                  <c:v>41.117599999999996</c:v>
                </c:pt>
                <c:pt idx="54">
                  <c:v>40.868000000000002</c:v>
                </c:pt>
                <c:pt idx="55">
                  <c:v>40.8414</c:v>
                </c:pt>
                <c:pt idx="56">
                  <c:v>40.699600000000004</c:v>
                </c:pt>
                <c:pt idx="57">
                  <c:v>40.572200000000002</c:v>
                </c:pt>
                <c:pt idx="58">
                  <c:v>40.400599999999997</c:v>
                </c:pt>
                <c:pt idx="59">
                  <c:v>40.278599999999997</c:v>
                </c:pt>
                <c:pt idx="60">
                  <c:v>40.051700000000004</c:v>
                </c:pt>
                <c:pt idx="61">
                  <c:v>39.800400000000003</c:v>
                </c:pt>
                <c:pt idx="62">
                  <c:v>39.628999999999998</c:v>
                </c:pt>
                <c:pt idx="63">
                  <c:v>39.520800000000001</c:v>
                </c:pt>
                <c:pt idx="64">
                  <c:v>39.4529</c:v>
                </c:pt>
                <c:pt idx="65">
                  <c:v>39.382899999999999</c:v>
                </c:pt>
                <c:pt idx="66">
                  <c:v>39.496600000000001</c:v>
                </c:pt>
                <c:pt idx="67">
                  <c:v>39.597500000000004</c:v>
                </c:pt>
                <c:pt idx="68">
                  <c:v>39.600900000000003</c:v>
                </c:pt>
                <c:pt idx="69">
                  <c:v>39.623000000000005</c:v>
                </c:pt>
                <c:pt idx="70">
                  <c:v>39.6051</c:v>
                </c:pt>
                <c:pt idx="71">
                  <c:v>39.650600000000004</c:v>
                </c:pt>
                <c:pt idx="72">
                  <c:v>39.668700000000001</c:v>
                </c:pt>
                <c:pt idx="73">
                  <c:v>39.668799999999997</c:v>
                </c:pt>
                <c:pt idx="74">
                  <c:v>39.668500000000002</c:v>
                </c:pt>
                <c:pt idx="75">
                  <c:v>39.8399</c:v>
                </c:pt>
                <c:pt idx="76">
                  <c:v>40.017699999999998</c:v>
                </c:pt>
                <c:pt idx="77">
                  <c:v>40.235999999999997</c:v>
                </c:pt>
                <c:pt idx="78">
                  <c:v>40.480899999999998</c:v>
                </c:pt>
                <c:pt idx="79">
                  <c:v>40.676699999999997</c:v>
                </c:pt>
                <c:pt idx="80">
                  <c:v>40.875299999999996</c:v>
                </c:pt>
                <c:pt idx="81">
                  <c:v>41.074599999999997</c:v>
                </c:pt>
                <c:pt idx="82">
                  <c:v>41.267900000000004</c:v>
                </c:pt>
                <c:pt idx="83">
                  <c:v>41.470199999999998</c:v>
                </c:pt>
                <c:pt idx="84">
                  <c:v>41.735199999999999</c:v>
                </c:pt>
                <c:pt idx="85">
                  <c:v>42.020499999999998</c:v>
                </c:pt>
                <c:pt idx="86">
                  <c:v>42.356100000000005</c:v>
                </c:pt>
                <c:pt idx="87">
                  <c:v>42.688600000000001</c:v>
                </c:pt>
                <c:pt idx="88">
                  <c:v>42.904599999999995</c:v>
                </c:pt>
                <c:pt idx="89">
                  <c:v>43.064</c:v>
                </c:pt>
                <c:pt idx="90">
                  <c:v>43.112499999999997</c:v>
                </c:pt>
                <c:pt idx="91">
                  <c:v>43.1083</c:v>
                </c:pt>
                <c:pt idx="92">
                  <c:v>43.067399999999999</c:v>
                </c:pt>
                <c:pt idx="93">
                  <c:v>42.9694</c:v>
                </c:pt>
                <c:pt idx="94">
                  <c:v>42.847499999999997</c:v>
                </c:pt>
                <c:pt idx="95">
                  <c:v>42.731499999999997</c:v>
                </c:pt>
                <c:pt idx="96">
                  <c:v>42.572299999999998</c:v>
                </c:pt>
                <c:pt idx="97">
                  <c:v>42.398299999999999</c:v>
                </c:pt>
                <c:pt idx="98">
                  <c:v>42.238700000000001</c:v>
                </c:pt>
                <c:pt idx="99">
                  <c:v>42.094300000000004</c:v>
                </c:pt>
                <c:pt idx="100">
                  <c:v>42.006399999999999</c:v>
                </c:pt>
                <c:pt idx="101">
                  <c:v>41.927500000000002</c:v>
                </c:pt>
                <c:pt idx="102">
                  <c:v>41.825000000000003</c:v>
                </c:pt>
                <c:pt idx="103">
                  <c:v>41.743499999999997</c:v>
                </c:pt>
                <c:pt idx="104">
                  <c:v>41.683100000000003</c:v>
                </c:pt>
                <c:pt idx="105">
                  <c:v>41.595399999999998</c:v>
                </c:pt>
                <c:pt idx="106">
                  <c:v>41.446199999999997</c:v>
                </c:pt>
                <c:pt idx="107">
                  <c:v>41.274300000000004</c:v>
                </c:pt>
                <c:pt idx="108">
                  <c:v>41.05</c:v>
                </c:pt>
                <c:pt idx="109">
                  <c:v>40.749400000000001</c:v>
                </c:pt>
                <c:pt idx="110">
                  <c:v>40.457599999999999</c:v>
                </c:pt>
                <c:pt idx="111">
                  <c:v>40.228400000000001</c:v>
                </c:pt>
                <c:pt idx="112">
                  <c:v>40.035800000000002</c:v>
                </c:pt>
                <c:pt idx="113">
                  <c:v>39.868200000000002</c:v>
                </c:pt>
                <c:pt idx="114">
                  <c:v>39.744399999999999</c:v>
                </c:pt>
                <c:pt idx="115">
                  <c:v>39.650600000000004</c:v>
                </c:pt>
                <c:pt idx="116">
                  <c:v>39.534300000000002</c:v>
                </c:pt>
                <c:pt idx="117">
                  <c:v>39.430799999999998</c:v>
                </c:pt>
                <c:pt idx="118">
                  <c:v>39.3108</c:v>
                </c:pt>
                <c:pt idx="119">
                  <c:v>39.155099999999997</c:v>
                </c:pt>
                <c:pt idx="120">
                  <c:v>38.988299999999995</c:v>
                </c:pt>
                <c:pt idx="121">
                  <c:v>38.7624</c:v>
                </c:pt>
                <c:pt idx="122">
                  <c:v>38.5762</c:v>
                </c:pt>
                <c:pt idx="123">
                  <c:v>38.370199999999997</c:v>
                </c:pt>
                <c:pt idx="124">
                  <c:v>38.320799999999998</c:v>
                </c:pt>
                <c:pt idx="125">
                  <c:v>38.255000000000003</c:v>
                </c:pt>
                <c:pt idx="126">
                  <c:v>38.186100000000003</c:v>
                </c:pt>
                <c:pt idx="127">
                  <c:v>38.105400000000003</c:v>
                </c:pt>
                <c:pt idx="128">
                  <c:v>37.988499999999995</c:v>
                </c:pt>
                <c:pt idx="129">
                  <c:v>37.854199999999999</c:v>
                </c:pt>
                <c:pt idx="130">
                  <c:v>37.730000000000004</c:v>
                </c:pt>
                <c:pt idx="131">
                  <c:v>37.6066</c:v>
                </c:pt>
                <c:pt idx="132">
                  <c:v>37.465699999999998</c:v>
                </c:pt>
                <c:pt idx="133">
                  <c:v>37.379300000000001</c:v>
                </c:pt>
                <c:pt idx="134">
                  <c:v>37.380499999999998</c:v>
                </c:pt>
                <c:pt idx="135">
                  <c:v>37.366899999999994</c:v>
                </c:pt>
                <c:pt idx="136">
                  <c:v>37.226999999999997</c:v>
                </c:pt>
                <c:pt idx="137">
                  <c:v>37.042900000000003</c:v>
                </c:pt>
                <c:pt idx="138">
                  <c:v>36.879600000000003</c:v>
                </c:pt>
                <c:pt idx="139">
                  <c:v>36.667999999999999</c:v>
                </c:pt>
                <c:pt idx="140">
                  <c:v>36.448999999999998</c:v>
                </c:pt>
                <c:pt idx="141">
                  <c:v>36.1556</c:v>
                </c:pt>
                <c:pt idx="142">
                  <c:v>35.758499999999998</c:v>
                </c:pt>
                <c:pt idx="143">
                  <c:v>35.374400000000001</c:v>
                </c:pt>
                <c:pt idx="144">
                  <c:v>35.051500000000004</c:v>
                </c:pt>
                <c:pt idx="145">
                  <c:v>34.723100000000002</c:v>
                </c:pt>
                <c:pt idx="146">
                  <c:v>34.750399999999999</c:v>
                </c:pt>
                <c:pt idx="147">
                  <c:v>34.767900000000004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2.3476499999999998</c:v>
                </c:pt>
                <c:pt idx="1">
                  <c:v>2.37541</c:v>
                </c:pt>
                <c:pt idx="2">
                  <c:v>2.4029700000000003</c:v>
                </c:pt>
                <c:pt idx="3">
                  <c:v>2.43085</c:v>
                </c:pt>
                <c:pt idx="4">
                  <c:v>2.4586299999999999</c:v>
                </c:pt>
                <c:pt idx="5">
                  <c:v>2.4857999999999998</c:v>
                </c:pt>
                <c:pt idx="6">
                  <c:v>2.5109500000000002</c:v>
                </c:pt>
                <c:pt idx="7">
                  <c:v>2.5356699999999996</c:v>
                </c:pt>
                <c:pt idx="8">
                  <c:v>2.5573299999999999</c:v>
                </c:pt>
                <c:pt idx="9">
                  <c:v>2.5766299999999998</c:v>
                </c:pt>
                <c:pt idx="10">
                  <c:v>2.5914299999999999</c:v>
                </c:pt>
                <c:pt idx="11">
                  <c:v>2.6030899999999999</c:v>
                </c:pt>
                <c:pt idx="12">
                  <c:v>2.6162400000000003</c:v>
                </c:pt>
                <c:pt idx="13">
                  <c:v>2.6265000000000001</c:v>
                </c:pt>
                <c:pt idx="14">
                  <c:v>2.6353399999999998</c:v>
                </c:pt>
                <c:pt idx="15">
                  <c:v>2.6437100000000004</c:v>
                </c:pt>
                <c:pt idx="16">
                  <c:v>2.6521600000000003</c:v>
                </c:pt>
                <c:pt idx="17">
                  <c:v>2.6608499999999999</c:v>
                </c:pt>
                <c:pt idx="18">
                  <c:v>2.6712699999999998</c:v>
                </c:pt>
                <c:pt idx="19">
                  <c:v>2.68038</c:v>
                </c:pt>
                <c:pt idx="20">
                  <c:v>2.68926</c:v>
                </c:pt>
                <c:pt idx="21">
                  <c:v>2.6990399999999997</c:v>
                </c:pt>
                <c:pt idx="22">
                  <c:v>2.70621</c:v>
                </c:pt>
                <c:pt idx="23">
                  <c:v>2.7121499999999998</c:v>
                </c:pt>
                <c:pt idx="24">
                  <c:v>2.7184399999999997</c:v>
                </c:pt>
                <c:pt idx="25">
                  <c:v>2.72546</c:v>
                </c:pt>
                <c:pt idx="26">
                  <c:v>2.7332700000000001</c:v>
                </c:pt>
                <c:pt idx="27">
                  <c:v>2.7428300000000001</c:v>
                </c:pt>
                <c:pt idx="28">
                  <c:v>2.75393</c:v>
                </c:pt>
                <c:pt idx="29">
                  <c:v>2.7641900000000001</c:v>
                </c:pt>
                <c:pt idx="30">
                  <c:v>2.7732200000000002</c:v>
                </c:pt>
                <c:pt idx="31">
                  <c:v>2.7822999999999998</c:v>
                </c:pt>
                <c:pt idx="32">
                  <c:v>2.7926299999999999</c:v>
                </c:pt>
                <c:pt idx="33">
                  <c:v>2.8065199999999999</c:v>
                </c:pt>
                <c:pt idx="34">
                  <c:v>2.8217399999999997</c:v>
                </c:pt>
                <c:pt idx="35">
                  <c:v>2.8394900000000001</c:v>
                </c:pt>
                <c:pt idx="36">
                  <c:v>2.8602799999999999</c:v>
                </c:pt>
                <c:pt idx="37">
                  <c:v>2.8843700000000001</c:v>
                </c:pt>
                <c:pt idx="38">
                  <c:v>2.91201</c:v>
                </c:pt>
                <c:pt idx="39">
                  <c:v>2.9404200000000005</c:v>
                </c:pt>
                <c:pt idx="40">
                  <c:v>2.97072</c:v>
                </c:pt>
                <c:pt idx="41">
                  <c:v>3.0036200000000002</c:v>
                </c:pt>
                <c:pt idx="42">
                  <c:v>3.0369000000000002</c:v>
                </c:pt>
                <c:pt idx="43">
                  <c:v>3.0675300000000001</c:v>
                </c:pt>
                <c:pt idx="44">
                  <c:v>3.0971100000000003</c:v>
                </c:pt>
                <c:pt idx="45">
                  <c:v>3.1249900000000004</c:v>
                </c:pt>
                <c:pt idx="46">
                  <c:v>3.1519399999999997</c:v>
                </c:pt>
                <c:pt idx="47">
                  <c:v>3.17815</c:v>
                </c:pt>
                <c:pt idx="48">
                  <c:v>3.2035200000000001</c:v>
                </c:pt>
                <c:pt idx="49">
                  <c:v>3.2277099999999996</c:v>
                </c:pt>
                <c:pt idx="50">
                  <c:v>3.25386</c:v>
                </c:pt>
                <c:pt idx="51">
                  <c:v>3.2812200000000002</c:v>
                </c:pt>
                <c:pt idx="52">
                  <c:v>3.3000800000000003</c:v>
                </c:pt>
                <c:pt idx="53">
                  <c:v>3.3203300000000002</c:v>
                </c:pt>
                <c:pt idx="54">
                  <c:v>3.34111</c:v>
                </c:pt>
                <c:pt idx="55">
                  <c:v>3.35494</c:v>
                </c:pt>
                <c:pt idx="56">
                  <c:v>3.3736199999999998</c:v>
                </c:pt>
                <c:pt idx="57">
                  <c:v>3.3903499999999998</c:v>
                </c:pt>
                <c:pt idx="58">
                  <c:v>3.4066099999999997</c:v>
                </c:pt>
                <c:pt idx="59">
                  <c:v>3.4202300000000001</c:v>
                </c:pt>
                <c:pt idx="60">
                  <c:v>3.4401299999999999</c:v>
                </c:pt>
                <c:pt idx="61">
                  <c:v>3.4598899999999997</c:v>
                </c:pt>
                <c:pt idx="62">
                  <c:v>3.47207</c:v>
                </c:pt>
                <c:pt idx="63">
                  <c:v>3.4818799999999999</c:v>
                </c:pt>
                <c:pt idx="64">
                  <c:v>3.4913799999999999</c:v>
                </c:pt>
                <c:pt idx="65">
                  <c:v>3.4967600000000001</c:v>
                </c:pt>
                <c:pt idx="66">
                  <c:v>3.4948200000000003</c:v>
                </c:pt>
                <c:pt idx="67">
                  <c:v>3.4905000000000004</c:v>
                </c:pt>
                <c:pt idx="68">
                  <c:v>3.4881099999999998</c:v>
                </c:pt>
                <c:pt idx="69">
                  <c:v>3.4817799999999997</c:v>
                </c:pt>
                <c:pt idx="70">
                  <c:v>3.4754299999999998</c:v>
                </c:pt>
                <c:pt idx="71">
                  <c:v>3.4643899999999999</c:v>
                </c:pt>
                <c:pt idx="72">
                  <c:v>3.4596300000000002</c:v>
                </c:pt>
                <c:pt idx="73">
                  <c:v>3.4556900000000002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56.519799999999996</c:v>
                </c:pt>
                <c:pt idx="1">
                  <c:v>55.950999999999993</c:v>
                </c:pt>
                <c:pt idx="2">
                  <c:v>55.340599999999995</c:v>
                </c:pt>
                <c:pt idx="3">
                  <c:v>54.729199999999999</c:v>
                </c:pt>
                <c:pt idx="4">
                  <c:v>54.043699999999994</c:v>
                </c:pt>
                <c:pt idx="5">
                  <c:v>53.240200000000002</c:v>
                </c:pt>
                <c:pt idx="6">
                  <c:v>52.380300000000005</c:v>
                </c:pt>
                <c:pt idx="7">
                  <c:v>51.477799999999995</c:v>
                </c:pt>
                <c:pt idx="8">
                  <c:v>50.616399999999992</c:v>
                </c:pt>
                <c:pt idx="9">
                  <c:v>49.861400000000003</c:v>
                </c:pt>
                <c:pt idx="10">
                  <c:v>49.167999999999999</c:v>
                </c:pt>
                <c:pt idx="11">
                  <c:v>48.4985</c:v>
                </c:pt>
                <c:pt idx="12">
                  <c:v>47.820599999999999</c:v>
                </c:pt>
                <c:pt idx="13">
                  <c:v>47.189399999999999</c:v>
                </c:pt>
                <c:pt idx="14">
                  <c:v>46.611399999999996</c:v>
                </c:pt>
                <c:pt idx="15">
                  <c:v>46.069500000000005</c:v>
                </c:pt>
                <c:pt idx="16">
                  <c:v>45.527799999999999</c:v>
                </c:pt>
                <c:pt idx="17">
                  <c:v>45.040100000000002</c:v>
                </c:pt>
                <c:pt idx="18">
                  <c:v>44.5852</c:v>
                </c:pt>
                <c:pt idx="19">
                  <c:v>44.248899999999999</c:v>
                </c:pt>
                <c:pt idx="20">
                  <c:v>43.997100000000003</c:v>
                </c:pt>
                <c:pt idx="21">
                  <c:v>43.773299999999999</c:v>
                </c:pt>
                <c:pt idx="22">
                  <c:v>43.585599999999999</c:v>
                </c:pt>
                <c:pt idx="23">
                  <c:v>43.439699999999995</c:v>
                </c:pt>
                <c:pt idx="24">
                  <c:v>43.2973</c:v>
                </c:pt>
                <c:pt idx="25">
                  <c:v>43.166600000000003</c:v>
                </c:pt>
                <c:pt idx="26">
                  <c:v>43.052300000000002</c:v>
                </c:pt>
                <c:pt idx="27">
                  <c:v>42.928800000000003</c:v>
                </c:pt>
                <c:pt idx="28">
                  <c:v>42.819400000000002</c:v>
                </c:pt>
                <c:pt idx="29">
                  <c:v>42.759799999999998</c:v>
                </c:pt>
                <c:pt idx="30">
                  <c:v>42.683500000000002</c:v>
                </c:pt>
                <c:pt idx="31">
                  <c:v>42.601499999999994</c:v>
                </c:pt>
                <c:pt idx="32">
                  <c:v>42.561999999999998</c:v>
                </c:pt>
                <c:pt idx="33">
                  <c:v>42.485599999999998</c:v>
                </c:pt>
                <c:pt idx="34">
                  <c:v>42.384100000000004</c:v>
                </c:pt>
                <c:pt idx="35">
                  <c:v>42.329099999999997</c:v>
                </c:pt>
                <c:pt idx="36">
                  <c:v>42.281100000000002</c:v>
                </c:pt>
                <c:pt idx="37">
                  <c:v>42.146799999999999</c:v>
                </c:pt>
                <c:pt idx="38">
                  <c:v>42.026899999999998</c:v>
                </c:pt>
                <c:pt idx="39">
                  <c:v>41.934800000000003</c:v>
                </c:pt>
                <c:pt idx="40">
                  <c:v>41.866100000000003</c:v>
                </c:pt>
                <c:pt idx="41">
                  <c:v>41.752299999999998</c:v>
                </c:pt>
                <c:pt idx="42">
                  <c:v>41.6188</c:v>
                </c:pt>
                <c:pt idx="43">
                  <c:v>41.544599999999996</c:v>
                </c:pt>
                <c:pt idx="44">
                  <c:v>41.513800000000003</c:v>
                </c:pt>
                <c:pt idx="45">
                  <c:v>41.4908</c:v>
                </c:pt>
                <c:pt idx="46">
                  <c:v>41.455999999999996</c:v>
                </c:pt>
                <c:pt idx="47">
                  <c:v>41.464199999999998</c:v>
                </c:pt>
                <c:pt idx="48">
                  <c:v>41.517299999999999</c:v>
                </c:pt>
                <c:pt idx="49">
                  <c:v>41.536200000000001</c:v>
                </c:pt>
                <c:pt idx="50">
                  <c:v>41.483199999999997</c:v>
                </c:pt>
                <c:pt idx="51">
                  <c:v>41.343800000000002</c:v>
                </c:pt>
                <c:pt idx="52">
                  <c:v>41.290100000000002</c:v>
                </c:pt>
                <c:pt idx="53">
                  <c:v>41.117599999999996</c:v>
                </c:pt>
                <c:pt idx="54">
                  <c:v>40.868000000000002</c:v>
                </c:pt>
                <c:pt idx="55">
                  <c:v>40.8414</c:v>
                </c:pt>
                <c:pt idx="56">
                  <c:v>40.699600000000004</c:v>
                </c:pt>
                <c:pt idx="57">
                  <c:v>40.572200000000002</c:v>
                </c:pt>
                <c:pt idx="58">
                  <c:v>40.400599999999997</c:v>
                </c:pt>
                <c:pt idx="59">
                  <c:v>40.278599999999997</c:v>
                </c:pt>
                <c:pt idx="60">
                  <c:v>40.051700000000004</c:v>
                </c:pt>
                <c:pt idx="61">
                  <c:v>39.800400000000003</c:v>
                </c:pt>
                <c:pt idx="62">
                  <c:v>39.628999999999998</c:v>
                </c:pt>
                <c:pt idx="63">
                  <c:v>39.520800000000001</c:v>
                </c:pt>
                <c:pt idx="64">
                  <c:v>39.4529</c:v>
                </c:pt>
                <c:pt idx="65">
                  <c:v>39.382899999999999</c:v>
                </c:pt>
                <c:pt idx="66">
                  <c:v>39.496600000000001</c:v>
                </c:pt>
                <c:pt idx="67">
                  <c:v>39.597500000000004</c:v>
                </c:pt>
                <c:pt idx="68">
                  <c:v>39.600900000000003</c:v>
                </c:pt>
                <c:pt idx="69">
                  <c:v>39.623000000000005</c:v>
                </c:pt>
                <c:pt idx="70">
                  <c:v>39.6051</c:v>
                </c:pt>
                <c:pt idx="71">
                  <c:v>39.650600000000004</c:v>
                </c:pt>
                <c:pt idx="72">
                  <c:v>39.668700000000001</c:v>
                </c:pt>
                <c:pt idx="73">
                  <c:v>39.668799999999997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3.4556900000000002</c:v>
                </c:pt>
                <c:pt idx="1">
                  <c:v>3.4547600000000003</c:v>
                </c:pt>
                <c:pt idx="2">
                  <c:v>3.4469100000000004</c:v>
                </c:pt>
                <c:pt idx="3">
                  <c:v>3.44082</c:v>
                </c:pt>
                <c:pt idx="4">
                  <c:v>3.4358599999999999</c:v>
                </c:pt>
                <c:pt idx="5">
                  <c:v>3.4303900000000001</c:v>
                </c:pt>
                <c:pt idx="6">
                  <c:v>3.42889</c:v>
                </c:pt>
                <c:pt idx="7">
                  <c:v>3.4271800000000003</c:v>
                </c:pt>
                <c:pt idx="8">
                  <c:v>3.4209099999999997</c:v>
                </c:pt>
                <c:pt idx="9">
                  <c:v>3.4099300000000001</c:v>
                </c:pt>
                <c:pt idx="10">
                  <c:v>3.3981699999999999</c:v>
                </c:pt>
                <c:pt idx="11">
                  <c:v>3.3853499999999999</c:v>
                </c:pt>
                <c:pt idx="12">
                  <c:v>3.37358</c:v>
                </c:pt>
                <c:pt idx="13">
                  <c:v>3.3597999999999999</c:v>
                </c:pt>
                <c:pt idx="14">
                  <c:v>3.3427000000000002</c:v>
                </c:pt>
                <c:pt idx="15">
                  <c:v>3.327</c:v>
                </c:pt>
                <c:pt idx="16">
                  <c:v>3.31115</c:v>
                </c:pt>
                <c:pt idx="17">
                  <c:v>3.2957900000000002</c:v>
                </c:pt>
                <c:pt idx="18">
                  <c:v>3.2831999999999999</c:v>
                </c:pt>
                <c:pt idx="19">
                  <c:v>3.2739800000000003</c:v>
                </c:pt>
                <c:pt idx="20">
                  <c:v>3.2692199999999998</c:v>
                </c:pt>
                <c:pt idx="21">
                  <c:v>3.2687300000000001</c:v>
                </c:pt>
                <c:pt idx="22">
                  <c:v>3.2695999999999996</c:v>
                </c:pt>
                <c:pt idx="23">
                  <c:v>3.2741599999999997</c:v>
                </c:pt>
                <c:pt idx="24">
                  <c:v>3.2782899999999997</c:v>
                </c:pt>
                <c:pt idx="25">
                  <c:v>3.28193</c:v>
                </c:pt>
                <c:pt idx="26">
                  <c:v>3.2834500000000002</c:v>
                </c:pt>
                <c:pt idx="27">
                  <c:v>3.2815899999999996</c:v>
                </c:pt>
                <c:pt idx="28">
                  <c:v>3.2781199999999999</c:v>
                </c:pt>
                <c:pt idx="29">
                  <c:v>3.27684</c:v>
                </c:pt>
                <c:pt idx="30">
                  <c:v>3.2775500000000002</c:v>
                </c:pt>
                <c:pt idx="31">
                  <c:v>3.2780800000000001</c:v>
                </c:pt>
                <c:pt idx="32">
                  <c:v>3.2786200000000001</c:v>
                </c:pt>
                <c:pt idx="33">
                  <c:v>3.28355</c:v>
                </c:pt>
                <c:pt idx="34">
                  <c:v>3.29312</c:v>
                </c:pt>
                <c:pt idx="35">
                  <c:v>3.3053400000000002</c:v>
                </c:pt>
                <c:pt idx="36">
                  <c:v>3.3196099999999999</c:v>
                </c:pt>
                <c:pt idx="37">
                  <c:v>3.3326000000000002</c:v>
                </c:pt>
                <c:pt idx="38">
                  <c:v>3.3456599999999996</c:v>
                </c:pt>
                <c:pt idx="39">
                  <c:v>3.3613999999999997</c:v>
                </c:pt>
                <c:pt idx="40">
                  <c:v>3.3773999999999997</c:v>
                </c:pt>
                <c:pt idx="41">
                  <c:v>3.3917799999999998</c:v>
                </c:pt>
                <c:pt idx="42">
                  <c:v>3.4088000000000003</c:v>
                </c:pt>
                <c:pt idx="43">
                  <c:v>3.4261999999999997</c:v>
                </c:pt>
                <c:pt idx="44">
                  <c:v>3.4419399999999998</c:v>
                </c:pt>
                <c:pt idx="45">
                  <c:v>3.4567700000000001</c:v>
                </c:pt>
                <c:pt idx="46">
                  <c:v>3.47079</c:v>
                </c:pt>
                <c:pt idx="47">
                  <c:v>3.48353</c:v>
                </c:pt>
                <c:pt idx="48">
                  <c:v>3.4946300000000003</c:v>
                </c:pt>
                <c:pt idx="49">
                  <c:v>3.5045999999999999</c:v>
                </c:pt>
                <c:pt idx="50">
                  <c:v>3.5183599999999999</c:v>
                </c:pt>
                <c:pt idx="51">
                  <c:v>3.5268199999999998</c:v>
                </c:pt>
                <c:pt idx="52">
                  <c:v>3.5373900000000003</c:v>
                </c:pt>
                <c:pt idx="53">
                  <c:v>3.5486400000000002</c:v>
                </c:pt>
                <c:pt idx="54">
                  <c:v>3.5587800000000005</c:v>
                </c:pt>
                <c:pt idx="55">
                  <c:v>3.5682399999999999</c:v>
                </c:pt>
                <c:pt idx="56">
                  <c:v>3.5767799999999998</c:v>
                </c:pt>
                <c:pt idx="57">
                  <c:v>3.5867</c:v>
                </c:pt>
                <c:pt idx="58">
                  <c:v>3.5947</c:v>
                </c:pt>
                <c:pt idx="59">
                  <c:v>3.6008800000000001</c:v>
                </c:pt>
                <c:pt idx="60">
                  <c:v>3.6005199999999999</c:v>
                </c:pt>
                <c:pt idx="61">
                  <c:v>3.5929899999999999</c:v>
                </c:pt>
                <c:pt idx="62">
                  <c:v>3.5853099999999998</c:v>
                </c:pt>
                <c:pt idx="63">
                  <c:v>3.5832199999999998</c:v>
                </c:pt>
                <c:pt idx="64">
                  <c:v>3.5830099999999998</c:v>
                </c:pt>
                <c:pt idx="65">
                  <c:v>3.5820699999999999</c:v>
                </c:pt>
                <c:pt idx="66">
                  <c:v>3.5865900000000002</c:v>
                </c:pt>
                <c:pt idx="67">
                  <c:v>3.5927899999999999</c:v>
                </c:pt>
                <c:pt idx="68">
                  <c:v>3.6016500000000002</c:v>
                </c:pt>
                <c:pt idx="69">
                  <c:v>3.6155300000000001</c:v>
                </c:pt>
                <c:pt idx="70">
                  <c:v>3.6288100000000001</c:v>
                </c:pt>
                <c:pt idx="71">
                  <c:v>3.6386500000000002</c:v>
                </c:pt>
                <c:pt idx="72">
                  <c:v>3.6571899999999999</c:v>
                </c:pt>
                <c:pt idx="73">
                  <c:v>3.6659100000000002</c:v>
                </c:pt>
                <c:pt idx="74">
                  <c:v>3.7133100000000003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39.668799999999997</c:v>
                </c:pt>
                <c:pt idx="1">
                  <c:v>39.668500000000002</c:v>
                </c:pt>
                <c:pt idx="2">
                  <c:v>39.8399</c:v>
                </c:pt>
                <c:pt idx="3">
                  <c:v>40.017699999999998</c:v>
                </c:pt>
                <c:pt idx="4">
                  <c:v>40.235999999999997</c:v>
                </c:pt>
                <c:pt idx="5">
                  <c:v>40.480899999999998</c:v>
                </c:pt>
                <c:pt idx="6">
                  <c:v>40.676699999999997</c:v>
                </c:pt>
                <c:pt idx="7">
                  <c:v>40.875299999999996</c:v>
                </c:pt>
                <c:pt idx="8">
                  <c:v>41.074599999999997</c:v>
                </c:pt>
                <c:pt idx="9">
                  <c:v>41.267900000000004</c:v>
                </c:pt>
                <c:pt idx="10">
                  <c:v>41.470199999999998</c:v>
                </c:pt>
                <c:pt idx="11">
                  <c:v>41.735199999999999</c:v>
                </c:pt>
                <c:pt idx="12">
                  <c:v>42.020499999999998</c:v>
                </c:pt>
                <c:pt idx="13">
                  <c:v>42.356100000000005</c:v>
                </c:pt>
                <c:pt idx="14">
                  <c:v>42.688600000000001</c:v>
                </c:pt>
                <c:pt idx="15">
                  <c:v>42.904599999999995</c:v>
                </c:pt>
                <c:pt idx="16">
                  <c:v>43.064</c:v>
                </c:pt>
                <c:pt idx="17">
                  <c:v>43.112499999999997</c:v>
                </c:pt>
                <c:pt idx="18">
                  <c:v>43.1083</c:v>
                </c:pt>
                <c:pt idx="19">
                  <c:v>43.067399999999999</c:v>
                </c:pt>
                <c:pt idx="20">
                  <c:v>42.9694</c:v>
                </c:pt>
                <c:pt idx="21">
                  <c:v>42.847499999999997</c:v>
                </c:pt>
                <c:pt idx="22">
                  <c:v>42.731499999999997</c:v>
                </c:pt>
                <c:pt idx="23">
                  <c:v>42.572299999999998</c:v>
                </c:pt>
                <c:pt idx="24">
                  <c:v>42.398299999999999</c:v>
                </c:pt>
                <c:pt idx="25">
                  <c:v>42.238700000000001</c:v>
                </c:pt>
                <c:pt idx="26">
                  <c:v>42.094300000000004</c:v>
                </c:pt>
                <c:pt idx="27">
                  <c:v>42.006399999999999</c:v>
                </c:pt>
                <c:pt idx="28">
                  <c:v>41.927500000000002</c:v>
                </c:pt>
                <c:pt idx="29">
                  <c:v>41.825000000000003</c:v>
                </c:pt>
                <c:pt idx="30">
                  <c:v>41.743499999999997</c:v>
                </c:pt>
                <c:pt idx="31">
                  <c:v>41.683100000000003</c:v>
                </c:pt>
                <c:pt idx="32">
                  <c:v>41.595399999999998</c:v>
                </c:pt>
                <c:pt idx="33">
                  <c:v>41.446199999999997</c:v>
                </c:pt>
                <c:pt idx="34">
                  <c:v>41.274300000000004</c:v>
                </c:pt>
                <c:pt idx="35">
                  <c:v>41.05</c:v>
                </c:pt>
                <c:pt idx="36">
                  <c:v>40.749400000000001</c:v>
                </c:pt>
                <c:pt idx="37">
                  <c:v>40.457599999999999</c:v>
                </c:pt>
                <c:pt idx="38">
                  <c:v>40.228400000000001</c:v>
                </c:pt>
                <c:pt idx="39">
                  <c:v>40.035800000000002</c:v>
                </c:pt>
                <c:pt idx="40">
                  <c:v>39.868200000000002</c:v>
                </c:pt>
                <c:pt idx="41">
                  <c:v>39.744399999999999</c:v>
                </c:pt>
                <c:pt idx="42">
                  <c:v>39.650600000000004</c:v>
                </c:pt>
                <c:pt idx="43">
                  <c:v>39.534300000000002</c:v>
                </c:pt>
                <c:pt idx="44">
                  <c:v>39.430799999999998</c:v>
                </c:pt>
                <c:pt idx="45">
                  <c:v>39.3108</c:v>
                </c:pt>
                <c:pt idx="46">
                  <c:v>39.155099999999997</c:v>
                </c:pt>
                <c:pt idx="47">
                  <c:v>38.988299999999995</c:v>
                </c:pt>
                <c:pt idx="48">
                  <c:v>38.7624</c:v>
                </c:pt>
                <c:pt idx="49">
                  <c:v>38.5762</c:v>
                </c:pt>
                <c:pt idx="50">
                  <c:v>38.370199999999997</c:v>
                </c:pt>
                <c:pt idx="51">
                  <c:v>38.320799999999998</c:v>
                </c:pt>
                <c:pt idx="52">
                  <c:v>38.255000000000003</c:v>
                </c:pt>
                <c:pt idx="53">
                  <c:v>38.186100000000003</c:v>
                </c:pt>
                <c:pt idx="54">
                  <c:v>38.105400000000003</c:v>
                </c:pt>
                <c:pt idx="55">
                  <c:v>37.988499999999995</c:v>
                </c:pt>
                <c:pt idx="56">
                  <c:v>37.854199999999999</c:v>
                </c:pt>
                <c:pt idx="57">
                  <c:v>37.730000000000004</c:v>
                </c:pt>
                <c:pt idx="58">
                  <c:v>37.6066</c:v>
                </c:pt>
                <c:pt idx="59">
                  <c:v>37.465699999999998</c:v>
                </c:pt>
                <c:pt idx="60">
                  <c:v>37.379300000000001</c:v>
                </c:pt>
                <c:pt idx="61">
                  <c:v>37.380499999999998</c:v>
                </c:pt>
                <c:pt idx="62">
                  <c:v>37.366899999999994</c:v>
                </c:pt>
                <c:pt idx="63">
                  <c:v>37.226999999999997</c:v>
                </c:pt>
                <c:pt idx="64">
                  <c:v>37.042900000000003</c:v>
                </c:pt>
                <c:pt idx="65">
                  <c:v>36.879600000000003</c:v>
                </c:pt>
                <c:pt idx="66">
                  <c:v>36.667999999999999</c:v>
                </c:pt>
                <c:pt idx="67">
                  <c:v>36.448999999999998</c:v>
                </c:pt>
                <c:pt idx="68">
                  <c:v>36.1556</c:v>
                </c:pt>
                <c:pt idx="69">
                  <c:v>35.758499999999998</c:v>
                </c:pt>
                <c:pt idx="70">
                  <c:v>35.374400000000001</c:v>
                </c:pt>
                <c:pt idx="71">
                  <c:v>35.051500000000004</c:v>
                </c:pt>
                <c:pt idx="72">
                  <c:v>34.723100000000002</c:v>
                </c:pt>
                <c:pt idx="73">
                  <c:v>34.750399999999999</c:v>
                </c:pt>
                <c:pt idx="74">
                  <c:v>34.767900000000004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2.9713191891891895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43.710529729729721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3.4376366216216221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39.721860810810817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3.4376366216216221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39.721860810810817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0.15004439505156167</c:v>
                </c:pt>
                <c:pt idx="1">
                  <c:v>0.269437129289123</c:v>
                </c:pt>
                <c:pt idx="2">
                  <c:v>0.58051847565931525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0.39655499999999999</c:v>
                </c:pt>
                <c:pt idx="2">
                  <c:v>0.80140100000000003</c:v>
                </c:pt>
                <c:pt idx="3">
                  <c:v>1.2085399999999999</c:v>
                </c:pt>
                <c:pt idx="4">
                  <c:v>1.6133900000000001</c:v>
                </c:pt>
                <c:pt idx="5">
                  <c:v>2.0221499999999999</c:v>
                </c:pt>
                <c:pt idx="6">
                  <c:v>2.4279799999999998</c:v>
                </c:pt>
                <c:pt idx="7">
                  <c:v>2.8342999999999998</c:v>
                </c:pt>
                <c:pt idx="8">
                  <c:v>3.2372999999999998</c:v>
                </c:pt>
                <c:pt idx="9">
                  <c:v>3.64636</c:v>
                </c:pt>
                <c:pt idx="10">
                  <c:v>4.0519100000000003</c:v>
                </c:pt>
                <c:pt idx="11">
                  <c:v>4.4559699999999998</c:v>
                </c:pt>
                <c:pt idx="12">
                  <c:v>4.8644299999999996</c:v>
                </c:pt>
                <c:pt idx="13">
                  <c:v>5.2701500000000001</c:v>
                </c:pt>
                <c:pt idx="14">
                  <c:v>5.67509</c:v>
                </c:pt>
                <c:pt idx="15">
                  <c:v>6.0828300000000004</c:v>
                </c:pt>
                <c:pt idx="16">
                  <c:v>6.4924799999999996</c:v>
                </c:pt>
                <c:pt idx="17">
                  <c:v>6.8928799999999999</c:v>
                </c:pt>
                <c:pt idx="18">
                  <c:v>7.2996100000000004</c:v>
                </c:pt>
                <c:pt idx="19">
                  <c:v>7.70906</c:v>
                </c:pt>
                <c:pt idx="20">
                  <c:v>8.1117600000000003</c:v>
                </c:pt>
                <c:pt idx="21">
                  <c:v>8.5223999999999993</c:v>
                </c:pt>
                <c:pt idx="22">
                  <c:v>8.9256799999999998</c:v>
                </c:pt>
                <c:pt idx="23">
                  <c:v>9.3318999999999992</c:v>
                </c:pt>
                <c:pt idx="24">
                  <c:v>9.7385400000000004</c:v>
                </c:pt>
                <c:pt idx="25">
                  <c:v>10.1495</c:v>
                </c:pt>
                <c:pt idx="26">
                  <c:v>10.553599999999999</c:v>
                </c:pt>
                <c:pt idx="27">
                  <c:v>10.9575</c:v>
                </c:pt>
                <c:pt idx="28">
                  <c:v>11.3645</c:v>
                </c:pt>
                <c:pt idx="29">
                  <c:v>11.7698</c:v>
                </c:pt>
                <c:pt idx="30">
                  <c:v>12.1762</c:v>
                </c:pt>
                <c:pt idx="31">
                  <c:v>12.5846</c:v>
                </c:pt>
                <c:pt idx="32">
                  <c:v>12.987399999999999</c:v>
                </c:pt>
                <c:pt idx="33">
                  <c:v>13.395799999999999</c:v>
                </c:pt>
                <c:pt idx="34">
                  <c:v>13.802300000000001</c:v>
                </c:pt>
                <c:pt idx="35">
                  <c:v>14.2065</c:v>
                </c:pt>
                <c:pt idx="36">
                  <c:v>14.6127</c:v>
                </c:pt>
                <c:pt idx="37">
                  <c:v>15.0222</c:v>
                </c:pt>
                <c:pt idx="38">
                  <c:v>15.4254</c:v>
                </c:pt>
                <c:pt idx="39">
                  <c:v>15.833299999999999</c:v>
                </c:pt>
                <c:pt idx="40">
                  <c:v>16.238399999999999</c:v>
                </c:pt>
                <c:pt idx="41">
                  <c:v>16.646100000000001</c:v>
                </c:pt>
                <c:pt idx="42">
                  <c:v>17.0532</c:v>
                </c:pt>
                <c:pt idx="43">
                  <c:v>17.454899999999999</c:v>
                </c:pt>
                <c:pt idx="44">
                  <c:v>17.8628</c:v>
                </c:pt>
                <c:pt idx="45">
                  <c:v>18.2714</c:v>
                </c:pt>
                <c:pt idx="46">
                  <c:v>18.6752</c:v>
                </c:pt>
                <c:pt idx="47">
                  <c:v>19.084499999999998</c:v>
                </c:pt>
                <c:pt idx="48">
                  <c:v>19.487300000000001</c:v>
                </c:pt>
                <c:pt idx="49">
                  <c:v>19.893999999999998</c:v>
                </c:pt>
                <c:pt idx="50">
                  <c:v>20.3047</c:v>
                </c:pt>
                <c:pt idx="51">
                  <c:v>20.707999999999998</c:v>
                </c:pt>
                <c:pt idx="52">
                  <c:v>21.115200000000002</c:v>
                </c:pt>
                <c:pt idx="53">
                  <c:v>21.5185</c:v>
                </c:pt>
                <c:pt idx="54">
                  <c:v>21.928100000000001</c:v>
                </c:pt>
                <c:pt idx="55">
                  <c:v>22.331900000000001</c:v>
                </c:pt>
                <c:pt idx="56">
                  <c:v>22.741199999999999</c:v>
                </c:pt>
                <c:pt idx="57">
                  <c:v>23.148499999999999</c:v>
                </c:pt>
                <c:pt idx="58">
                  <c:v>23.552700000000002</c:v>
                </c:pt>
                <c:pt idx="59">
                  <c:v>23.954899999999999</c:v>
                </c:pt>
                <c:pt idx="60">
                  <c:v>24.364100000000001</c:v>
                </c:pt>
                <c:pt idx="61">
                  <c:v>24.773299999999999</c:v>
                </c:pt>
                <c:pt idx="62">
                  <c:v>25.178100000000001</c:v>
                </c:pt>
                <c:pt idx="63">
                  <c:v>25.5855</c:v>
                </c:pt>
                <c:pt idx="64">
                  <c:v>25.989899999999999</c:v>
                </c:pt>
                <c:pt idx="65">
                  <c:v>26.394500000000001</c:v>
                </c:pt>
                <c:pt idx="66">
                  <c:v>26.8032</c:v>
                </c:pt>
                <c:pt idx="67">
                  <c:v>27.210100000000001</c:v>
                </c:pt>
                <c:pt idx="68">
                  <c:v>27.614799999999999</c:v>
                </c:pt>
                <c:pt idx="69">
                  <c:v>28.018999999999998</c:v>
                </c:pt>
                <c:pt idx="70">
                  <c:v>28.4283</c:v>
                </c:pt>
                <c:pt idx="71">
                  <c:v>28.838200000000001</c:v>
                </c:pt>
                <c:pt idx="72">
                  <c:v>29.241099999999999</c:v>
                </c:pt>
                <c:pt idx="73">
                  <c:v>29.645499999999998</c:v>
                </c:pt>
                <c:pt idx="74">
                  <c:v>30.0505</c:v>
                </c:pt>
                <c:pt idx="75">
                  <c:v>30.5091</c:v>
                </c:pt>
                <c:pt idx="76">
                  <c:v>30.9086</c:v>
                </c:pt>
                <c:pt idx="77">
                  <c:v>31.3171</c:v>
                </c:pt>
                <c:pt idx="78">
                  <c:v>31.7225</c:v>
                </c:pt>
                <c:pt idx="79">
                  <c:v>32.131300000000003</c:v>
                </c:pt>
                <c:pt idx="80">
                  <c:v>32.5349</c:v>
                </c:pt>
                <c:pt idx="81">
                  <c:v>32.942</c:v>
                </c:pt>
                <c:pt idx="82">
                  <c:v>33.347299999999997</c:v>
                </c:pt>
                <c:pt idx="83">
                  <c:v>33.7547</c:v>
                </c:pt>
                <c:pt idx="84">
                  <c:v>34.160200000000003</c:v>
                </c:pt>
                <c:pt idx="85">
                  <c:v>34.5685</c:v>
                </c:pt>
                <c:pt idx="86">
                  <c:v>34.973399999999998</c:v>
                </c:pt>
                <c:pt idx="87">
                  <c:v>35.3765</c:v>
                </c:pt>
                <c:pt idx="88">
                  <c:v>35.785699999999999</c:v>
                </c:pt>
                <c:pt idx="89">
                  <c:v>36.192900000000002</c:v>
                </c:pt>
                <c:pt idx="90">
                  <c:v>36.600200000000001</c:v>
                </c:pt>
                <c:pt idx="91">
                  <c:v>37.0032</c:v>
                </c:pt>
                <c:pt idx="92">
                  <c:v>37.410699999999999</c:v>
                </c:pt>
                <c:pt idx="93">
                  <c:v>37.816800000000001</c:v>
                </c:pt>
                <c:pt idx="94">
                  <c:v>38.225700000000003</c:v>
                </c:pt>
                <c:pt idx="95">
                  <c:v>38.630099999999999</c:v>
                </c:pt>
                <c:pt idx="96">
                  <c:v>39.0396</c:v>
                </c:pt>
                <c:pt idx="97">
                  <c:v>39.442100000000003</c:v>
                </c:pt>
                <c:pt idx="98">
                  <c:v>39.8476</c:v>
                </c:pt>
                <c:pt idx="99">
                  <c:v>40.254100000000001</c:v>
                </c:pt>
                <c:pt idx="100">
                  <c:v>40.662700000000001</c:v>
                </c:pt>
                <c:pt idx="101">
                  <c:v>41.070099999999996</c:v>
                </c:pt>
                <c:pt idx="102">
                  <c:v>41.4724</c:v>
                </c:pt>
                <c:pt idx="103">
                  <c:v>41.880200000000002</c:v>
                </c:pt>
                <c:pt idx="104">
                  <c:v>42.290900000000001</c:v>
                </c:pt>
                <c:pt idx="105">
                  <c:v>42.692999999999998</c:v>
                </c:pt>
                <c:pt idx="106">
                  <c:v>43.097099999999998</c:v>
                </c:pt>
                <c:pt idx="107">
                  <c:v>43.503799999999998</c:v>
                </c:pt>
                <c:pt idx="108">
                  <c:v>43.907800000000002</c:v>
                </c:pt>
                <c:pt idx="109">
                  <c:v>44.316800000000001</c:v>
                </c:pt>
                <c:pt idx="110">
                  <c:v>44.723100000000002</c:v>
                </c:pt>
                <c:pt idx="111">
                  <c:v>45.128700000000002</c:v>
                </c:pt>
                <c:pt idx="112">
                  <c:v>45.536000000000001</c:v>
                </c:pt>
                <c:pt idx="113">
                  <c:v>45.941200000000002</c:v>
                </c:pt>
                <c:pt idx="114">
                  <c:v>46.349299999999999</c:v>
                </c:pt>
                <c:pt idx="115">
                  <c:v>46.752600000000001</c:v>
                </c:pt>
                <c:pt idx="116">
                  <c:v>47.159399999999998</c:v>
                </c:pt>
                <c:pt idx="117">
                  <c:v>47.5687</c:v>
                </c:pt>
                <c:pt idx="118">
                  <c:v>47.9741</c:v>
                </c:pt>
                <c:pt idx="119">
                  <c:v>48.380299999999998</c:v>
                </c:pt>
                <c:pt idx="120">
                  <c:v>48.786000000000001</c:v>
                </c:pt>
                <c:pt idx="121">
                  <c:v>49.191400000000002</c:v>
                </c:pt>
                <c:pt idx="122">
                  <c:v>49.598500000000001</c:v>
                </c:pt>
                <c:pt idx="123">
                  <c:v>50.0032</c:v>
                </c:pt>
                <c:pt idx="124">
                  <c:v>50.409500000000001</c:v>
                </c:pt>
                <c:pt idx="125">
                  <c:v>50.817399999999999</c:v>
                </c:pt>
                <c:pt idx="126">
                  <c:v>51.220799999999997</c:v>
                </c:pt>
                <c:pt idx="127">
                  <c:v>51.629800000000003</c:v>
                </c:pt>
                <c:pt idx="128">
                  <c:v>52.035299999999999</c:v>
                </c:pt>
                <c:pt idx="129">
                  <c:v>52.442599999999999</c:v>
                </c:pt>
                <c:pt idx="130">
                  <c:v>52.848500000000001</c:v>
                </c:pt>
                <c:pt idx="131">
                  <c:v>53.2532</c:v>
                </c:pt>
                <c:pt idx="132">
                  <c:v>53.659799999999997</c:v>
                </c:pt>
                <c:pt idx="133">
                  <c:v>54.069000000000003</c:v>
                </c:pt>
                <c:pt idx="134">
                  <c:v>54.474699999999999</c:v>
                </c:pt>
                <c:pt idx="135">
                  <c:v>54.880899999999997</c:v>
                </c:pt>
                <c:pt idx="136">
                  <c:v>55.287700000000001</c:v>
                </c:pt>
                <c:pt idx="137">
                  <c:v>55.691800000000001</c:v>
                </c:pt>
                <c:pt idx="138">
                  <c:v>56.102800000000002</c:v>
                </c:pt>
                <c:pt idx="139">
                  <c:v>56.505600000000001</c:v>
                </c:pt>
                <c:pt idx="140">
                  <c:v>56.908799999999999</c:v>
                </c:pt>
                <c:pt idx="141">
                  <c:v>57.316000000000003</c:v>
                </c:pt>
                <c:pt idx="142">
                  <c:v>57.722299999999997</c:v>
                </c:pt>
                <c:pt idx="143">
                  <c:v>58.130099999999999</c:v>
                </c:pt>
                <c:pt idx="144">
                  <c:v>58.542700000000004</c:v>
                </c:pt>
                <c:pt idx="145">
                  <c:v>58.949599999999997</c:v>
                </c:pt>
                <c:pt idx="146">
                  <c:v>59.346899999999998</c:v>
                </c:pt>
                <c:pt idx="147">
                  <c:v>59.756700000000002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2.3476499999999998</c:v>
                </c:pt>
                <c:pt idx="1">
                  <c:v>2.37541</c:v>
                </c:pt>
                <c:pt idx="2">
                  <c:v>2.4029700000000003</c:v>
                </c:pt>
                <c:pt idx="3">
                  <c:v>2.43085</c:v>
                </c:pt>
                <c:pt idx="4">
                  <c:v>2.4586299999999999</c:v>
                </c:pt>
                <c:pt idx="5">
                  <c:v>2.4857999999999998</c:v>
                </c:pt>
                <c:pt idx="6">
                  <c:v>2.5109500000000002</c:v>
                </c:pt>
                <c:pt idx="7">
                  <c:v>2.5356699999999996</c:v>
                </c:pt>
                <c:pt idx="8">
                  <c:v>2.5573299999999999</c:v>
                </c:pt>
                <c:pt idx="9">
                  <c:v>2.5766299999999998</c:v>
                </c:pt>
                <c:pt idx="10">
                  <c:v>2.5914299999999999</c:v>
                </c:pt>
                <c:pt idx="11">
                  <c:v>2.6030899999999999</c:v>
                </c:pt>
                <c:pt idx="12">
                  <c:v>2.6162400000000003</c:v>
                </c:pt>
                <c:pt idx="13">
                  <c:v>2.6265000000000001</c:v>
                </c:pt>
                <c:pt idx="14">
                  <c:v>2.6353399999999998</c:v>
                </c:pt>
                <c:pt idx="15">
                  <c:v>2.6437100000000004</c:v>
                </c:pt>
                <c:pt idx="16">
                  <c:v>2.6521600000000003</c:v>
                </c:pt>
                <c:pt idx="17">
                  <c:v>2.6608499999999999</c:v>
                </c:pt>
                <c:pt idx="18">
                  <c:v>2.6712699999999998</c:v>
                </c:pt>
                <c:pt idx="19">
                  <c:v>2.68038</c:v>
                </c:pt>
                <c:pt idx="20">
                  <c:v>2.68926</c:v>
                </c:pt>
                <c:pt idx="21">
                  <c:v>2.6990399999999997</c:v>
                </c:pt>
                <c:pt idx="22">
                  <c:v>2.70621</c:v>
                </c:pt>
                <c:pt idx="23">
                  <c:v>2.7121499999999998</c:v>
                </c:pt>
                <c:pt idx="24">
                  <c:v>2.7184399999999997</c:v>
                </c:pt>
                <c:pt idx="25">
                  <c:v>2.72546</c:v>
                </c:pt>
                <c:pt idx="26">
                  <c:v>2.7332700000000001</c:v>
                </c:pt>
                <c:pt idx="27">
                  <c:v>2.7428300000000001</c:v>
                </c:pt>
                <c:pt idx="28">
                  <c:v>2.75393</c:v>
                </c:pt>
                <c:pt idx="29">
                  <c:v>2.7641900000000001</c:v>
                </c:pt>
                <c:pt idx="30">
                  <c:v>2.7732200000000002</c:v>
                </c:pt>
                <c:pt idx="31">
                  <c:v>2.7822999999999998</c:v>
                </c:pt>
                <c:pt idx="32">
                  <c:v>2.7926299999999999</c:v>
                </c:pt>
                <c:pt idx="33">
                  <c:v>2.8065199999999999</c:v>
                </c:pt>
                <c:pt idx="34">
                  <c:v>2.8217399999999997</c:v>
                </c:pt>
                <c:pt idx="35">
                  <c:v>2.8394900000000001</c:v>
                </c:pt>
                <c:pt idx="36">
                  <c:v>2.8602799999999999</c:v>
                </c:pt>
                <c:pt idx="37">
                  <c:v>2.8843700000000001</c:v>
                </c:pt>
                <c:pt idx="38">
                  <c:v>2.91201</c:v>
                </c:pt>
                <c:pt idx="39">
                  <c:v>2.9404200000000005</c:v>
                </c:pt>
                <c:pt idx="40">
                  <c:v>2.97072</c:v>
                </c:pt>
                <c:pt idx="41">
                  <c:v>3.0036200000000002</c:v>
                </c:pt>
                <c:pt idx="42">
                  <c:v>3.0369000000000002</c:v>
                </c:pt>
                <c:pt idx="43">
                  <c:v>3.0675300000000001</c:v>
                </c:pt>
                <c:pt idx="44">
                  <c:v>3.0971100000000003</c:v>
                </c:pt>
                <c:pt idx="45">
                  <c:v>3.1249900000000004</c:v>
                </c:pt>
                <c:pt idx="46">
                  <c:v>3.1519399999999997</c:v>
                </c:pt>
                <c:pt idx="47">
                  <c:v>3.17815</c:v>
                </c:pt>
                <c:pt idx="48">
                  <c:v>3.2035200000000001</c:v>
                </c:pt>
                <c:pt idx="49">
                  <c:v>3.2277099999999996</c:v>
                </c:pt>
                <c:pt idx="50">
                  <c:v>3.25386</c:v>
                </c:pt>
                <c:pt idx="51">
                  <c:v>3.2812200000000002</c:v>
                </c:pt>
                <c:pt idx="52">
                  <c:v>3.3000800000000003</c:v>
                </c:pt>
                <c:pt idx="53">
                  <c:v>3.3203300000000002</c:v>
                </c:pt>
                <c:pt idx="54">
                  <c:v>3.34111</c:v>
                </c:pt>
                <c:pt idx="55">
                  <c:v>3.35494</c:v>
                </c:pt>
                <c:pt idx="56">
                  <c:v>3.3736199999999998</c:v>
                </c:pt>
                <c:pt idx="57">
                  <c:v>3.3903499999999998</c:v>
                </c:pt>
                <c:pt idx="58">
                  <c:v>3.4066099999999997</c:v>
                </c:pt>
                <c:pt idx="59">
                  <c:v>3.4202300000000001</c:v>
                </c:pt>
                <c:pt idx="60">
                  <c:v>3.4401299999999999</c:v>
                </c:pt>
                <c:pt idx="61">
                  <c:v>3.4598899999999997</c:v>
                </c:pt>
                <c:pt idx="62">
                  <c:v>3.47207</c:v>
                </c:pt>
                <c:pt idx="63">
                  <c:v>3.4818799999999999</c:v>
                </c:pt>
                <c:pt idx="64">
                  <c:v>3.4913799999999999</c:v>
                </c:pt>
                <c:pt idx="65">
                  <c:v>3.4967600000000001</c:v>
                </c:pt>
                <c:pt idx="66">
                  <c:v>3.4948200000000003</c:v>
                </c:pt>
                <c:pt idx="67">
                  <c:v>3.4905000000000004</c:v>
                </c:pt>
                <c:pt idx="68">
                  <c:v>3.4881099999999998</c:v>
                </c:pt>
                <c:pt idx="69">
                  <c:v>3.4817799999999997</c:v>
                </c:pt>
                <c:pt idx="70">
                  <c:v>3.4754299999999998</c:v>
                </c:pt>
                <c:pt idx="71">
                  <c:v>3.4643899999999999</c:v>
                </c:pt>
                <c:pt idx="72">
                  <c:v>3.4596300000000002</c:v>
                </c:pt>
                <c:pt idx="73">
                  <c:v>3.4556900000000002</c:v>
                </c:pt>
                <c:pt idx="74">
                  <c:v>3.4547600000000003</c:v>
                </c:pt>
                <c:pt idx="75">
                  <c:v>3.4469100000000004</c:v>
                </c:pt>
                <c:pt idx="76">
                  <c:v>3.44082</c:v>
                </c:pt>
                <c:pt idx="77">
                  <c:v>3.4358599999999999</c:v>
                </c:pt>
                <c:pt idx="78">
                  <c:v>3.4303900000000001</c:v>
                </c:pt>
                <c:pt idx="79">
                  <c:v>3.42889</c:v>
                </c:pt>
                <c:pt idx="80">
                  <c:v>3.4271800000000003</c:v>
                </c:pt>
                <c:pt idx="81">
                  <c:v>3.4209099999999997</c:v>
                </c:pt>
                <c:pt idx="82">
                  <c:v>3.4099300000000001</c:v>
                </c:pt>
                <c:pt idx="83">
                  <c:v>3.3981699999999999</c:v>
                </c:pt>
                <c:pt idx="84">
                  <c:v>3.3853499999999999</c:v>
                </c:pt>
                <c:pt idx="85">
                  <c:v>3.37358</c:v>
                </c:pt>
                <c:pt idx="86">
                  <c:v>3.3597999999999999</c:v>
                </c:pt>
                <c:pt idx="87">
                  <c:v>3.3427000000000002</c:v>
                </c:pt>
                <c:pt idx="88">
                  <c:v>3.327</c:v>
                </c:pt>
                <c:pt idx="89">
                  <c:v>3.31115</c:v>
                </c:pt>
                <c:pt idx="90">
                  <c:v>3.2957900000000002</c:v>
                </c:pt>
                <c:pt idx="91">
                  <c:v>3.2831999999999999</c:v>
                </c:pt>
                <c:pt idx="92">
                  <c:v>3.2739800000000003</c:v>
                </c:pt>
                <c:pt idx="93">
                  <c:v>3.2692199999999998</c:v>
                </c:pt>
                <c:pt idx="94">
                  <c:v>3.2687300000000001</c:v>
                </c:pt>
                <c:pt idx="95">
                  <c:v>3.2695999999999996</c:v>
                </c:pt>
                <c:pt idx="96">
                  <c:v>3.2741599999999997</c:v>
                </c:pt>
                <c:pt idx="97">
                  <c:v>3.2782899999999997</c:v>
                </c:pt>
                <c:pt idx="98">
                  <c:v>3.28193</c:v>
                </c:pt>
                <c:pt idx="99">
                  <c:v>3.2834500000000002</c:v>
                </c:pt>
                <c:pt idx="100">
                  <c:v>3.2815899999999996</c:v>
                </c:pt>
                <c:pt idx="101">
                  <c:v>3.2781199999999999</c:v>
                </c:pt>
                <c:pt idx="102">
                  <c:v>3.27684</c:v>
                </c:pt>
                <c:pt idx="103">
                  <c:v>3.2775500000000002</c:v>
                </c:pt>
                <c:pt idx="104">
                  <c:v>3.2780800000000001</c:v>
                </c:pt>
                <c:pt idx="105">
                  <c:v>3.2786200000000001</c:v>
                </c:pt>
                <c:pt idx="106">
                  <c:v>3.28355</c:v>
                </c:pt>
                <c:pt idx="107">
                  <c:v>3.29312</c:v>
                </c:pt>
                <c:pt idx="108">
                  <c:v>3.3053400000000002</c:v>
                </c:pt>
                <c:pt idx="109">
                  <c:v>3.3196099999999999</c:v>
                </c:pt>
                <c:pt idx="110">
                  <c:v>3.3326000000000002</c:v>
                </c:pt>
                <c:pt idx="111">
                  <c:v>3.3456599999999996</c:v>
                </c:pt>
                <c:pt idx="112">
                  <c:v>3.3613999999999997</c:v>
                </c:pt>
                <c:pt idx="113">
                  <c:v>3.3773999999999997</c:v>
                </c:pt>
                <c:pt idx="114">
                  <c:v>3.3917799999999998</c:v>
                </c:pt>
                <c:pt idx="115">
                  <c:v>3.4088000000000003</c:v>
                </c:pt>
                <c:pt idx="116">
                  <c:v>3.4261999999999997</c:v>
                </c:pt>
                <c:pt idx="117">
                  <c:v>3.4419399999999998</c:v>
                </c:pt>
                <c:pt idx="118">
                  <c:v>3.4567700000000001</c:v>
                </c:pt>
                <c:pt idx="119">
                  <c:v>3.47079</c:v>
                </c:pt>
                <c:pt idx="120">
                  <c:v>3.48353</c:v>
                </c:pt>
                <c:pt idx="121">
                  <c:v>3.4946300000000003</c:v>
                </c:pt>
                <c:pt idx="122">
                  <c:v>3.5045999999999999</c:v>
                </c:pt>
                <c:pt idx="123">
                  <c:v>3.5183599999999999</c:v>
                </c:pt>
                <c:pt idx="124">
                  <c:v>3.5268199999999998</c:v>
                </c:pt>
                <c:pt idx="125">
                  <c:v>3.5373900000000003</c:v>
                </c:pt>
                <c:pt idx="126">
                  <c:v>3.5486400000000002</c:v>
                </c:pt>
                <c:pt idx="127">
                  <c:v>3.5587800000000005</c:v>
                </c:pt>
                <c:pt idx="128">
                  <c:v>3.5682399999999999</c:v>
                </c:pt>
                <c:pt idx="129">
                  <c:v>3.5767799999999998</c:v>
                </c:pt>
                <c:pt idx="130">
                  <c:v>3.5867</c:v>
                </c:pt>
                <c:pt idx="131">
                  <c:v>3.5947</c:v>
                </c:pt>
                <c:pt idx="132">
                  <c:v>3.6008800000000001</c:v>
                </c:pt>
                <c:pt idx="133">
                  <c:v>3.6005199999999999</c:v>
                </c:pt>
                <c:pt idx="134">
                  <c:v>3.5929899999999999</c:v>
                </c:pt>
                <c:pt idx="135">
                  <c:v>3.5853099999999998</c:v>
                </c:pt>
                <c:pt idx="136">
                  <c:v>3.5832199999999998</c:v>
                </c:pt>
                <c:pt idx="137">
                  <c:v>3.5830099999999998</c:v>
                </c:pt>
                <c:pt idx="138">
                  <c:v>3.5820699999999999</c:v>
                </c:pt>
                <c:pt idx="139">
                  <c:v>3.5865900000000002</c:v>
                </c:pt>
                <c:pt idx="140">
                  <c:v>3.5927899999999999</c:v>
                </c:pt>
                <c:pt idx="141">
                  <c:v>3.6016500000000002</c:v>
                </c:pt>
                <c:pt idx="142">
                  <c:v>3.6155300000000001</c:v>
                </c:pt>
                <c:pt idx="143">
                  <c:v>3.6288100000000001</c:v>
                </c:pt>
                <c:pt idx="144">
                  <c:v>3.6386500000000002</c:v>
                </c:pt>
                <c:pt idx="145">
                  <c:v>3.6571899999999999</c:v>
                </c:pt>
                <c:pt idx="146">
                  <c:v>3.6659100000000002</c:v>
                </c:pt>
                <c:pt idx="147">
                  <c:v>3.7133100000000003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0.39655499999999999</c:v>
                </c:pt>
                <c:pt idx="2">
                  <c:v>0.80140100000000003</c:v>
                </c:pt>
                <c:pt idx="3">
                  <c:v>1.2085399999999999</c:v>
                </c:pt>
                <c:pt idx="4">
                  <c:v>1.6133900000000001</c:v>
                </c:pt>
                <c:pt idx="5">
                  <c:v>2.0221499999999999</c:v>
                </c:pt>
                <c:pt idx="6">
                  <c:v>2.4279799999999998</c:v>
                </c:pt>
                <c:pt idx="7">
                  <c:v>2.8342999999999998</c:v>
                </c:pt>
                <c:pt idx="8">
                  <c:v>3.2372999999999998</c:v>
                </c:pt>
                <c:pt idx="9">
                  <c:v>3.64636</c:v>
                </c:pt>
                <c:pt idx="10">
                  <c:v>4.0519100000000003</c:v>
                </c:pt>
                <c:pt idx="11">
                  <c:v>4.4559699999999998</c:v>
                </c:pt>
                <c:pt idx="12">
                  <c:v>4.8644299999999996</c:v>
                </c:pt>
                <c:pt idx="13">
                  <c:v>5.2701500000000001</c:v>
                </c:pt>
                <c:pt idx="14">
                  <c:v>5.67509</c:v>
                </c:pt>
                <c:pt idx="15">
                  <c:v>6.0828300000000004</c:v>
                </c:pt>
                <c:pt idx="16">
                  <c:v>6.4924799999999996</c:v>
                </c:pt>
                <c:pt idx="17">
                  <c:v>6.8928799999999999</c:v>
                </c:pt>
                <c:pt idx="18">
                  <c:v>7.2996100000000004</c:v>
                </c:pt>
                <c:pt idx="19">
                  <c:v>7.70906</c:v>
                </c:pt>
                <c:pt idx="20">
                  <c:v>8.1117600000000003</c:v>
                </c:pt>
                <c:pt idx="21">
                  <c:v>8.5223999999999993</c:v>
                </c:pt>
                <c:pt idx="22">
                  <c:v>8.9256799999999998</c:v>
                </c:pt>
                <c:pt idx="23">
                  <c:v>9.3318999999999992</c:v>
                </c:pt>
                <c:pt idx="24">
                  <c:v>9.7385400000000004</c:v>
                </c:pt>
                <c:pt idx="25">
                  <c:v>10.1495</c:v>
                </c:pt>
                <c:pt idx="26">
                  <c:v>10.553599999999999</c:v>
                </c:pt>
                <c:pt idx="27">
                  <c:v>10.9575</c:v>
                </c:pt>
                <c:pt idx="28">
                  <c:v>11.3645</c:v>
                </c:pt>
                <c:pt idx="29">
                  <c:v>11.7698</c:v>
                </c:pt>
                <c:pt idx="30">
                  <c:v>12.1762</c:v>
                </c:pt>
                <c:pt idx="31">
                  <c:v>12.5846</c:v>
                </c:pt>
                <c:pt idx="32">
                  <c:v>12.987399999999999</c:v>
                </c:pt>
                <c:pt idx="33">
                  <c:v>13.395799999999999</c:v>
                </c:pt>
                <c:pt idx="34">
                  <c:v>13.802300000000001</c:v>
                </c:pt>
                <c:pt idx="35">
                  <c:v>14.2065</c:v>
                </c:pt>
                <c:pt idx="36">
                  <c:v>14.6127</c:v>
                </c:pt>
                <c:pt idx="37">
                  <c:v>15.0222</c:v>
                </c:pt>
                <c:pt idx="38">
                  <c:v>15.4254</c:v>
                </c:pt>
                <c:pt idx="39">
                  <c:v>15.833299999999999</c:v>
                </c:pt>
                <c:pt idx="40">
                  <c:v>16.238399999999999</c:v>
                </c:pt>
                <c:pt idx="41">
                  <c:v>16.646100000000001</c:v>
                </c:pt>
                <c:pt idx="42">
                  <c:v>17.0532</c:v>
                </c:pt>
                <c:pt idx="43">
                  <c:v>17.454899999999999</c:v>
                </c:pt>
                <c:pt idx="44">
                  <c:v>17.8628</c:v>
                </c:pt>
                <c:pt idx="45">
                  <c:v>18.2714</c:v>
                </c:pt>
                <c:pt idx="46">
                  <c:v>18.6752</c:v>
                </c:pt>
                <c:pt idx="47">
                  <c:v>19.084499999999998</c:v>
                </c:pt>
                <c:pt idx="48">
                  <c:v>19.487300000000001</c:v>
                </c:pt>
                <c:pt idx="49">
                  <c:v>19.893999999999998</c:v>
                </c:pt>
                <c:pt idx="50">
                  <c:v>20.3047</c:v>
                </c:pt>
                <c:pt idx="51">
                  <c:v>20.707999999999998</c:v>
                </c:pt>
                <c:pt idx="52">
                  <c:v>21.115200000000002</c:v>
                </c:pt>
                <c:pt idx="53">
                  <c:v>21.5185</c:v>
                </c:pt>
                <c:pt idx="54">
                  <c:v>21.928100000000001</c:v>
                </c:pt>
                <c:pt idx="55">
                  <c:v>22.331900000000001</c:v>
                </c:pt>
                <c:pt idx="56">
                  <c:v>22.741199999999999</c:v>
                </c:pt>
                <c:pt idx="57">
                  <c:v>23.148499999999999</c:v>
                </c:pt>
                <c:pt idx="58">
                  <c:v>23.552700000000002</c:v>
                </c:pt>
                <c:pt idx="59">
                  <c:v>23.954899999999999</c:v>
                </c:pt>
                <c:pt idx="60">
                  <c:v>24.364100000000001</c:v>
                </c:pt>
                <c:pt idx="61">
                  <c:v>24.773299999999999</c:v>
                </c:pt>
                <c:pt idx="62">
                  <c:v>25.178100000000001</c:v>
                </c:pt>
                <c:pt idx="63">
                  <c:v>25.5855</c:v>
                </c:pt>
                <c:pt idx="64">
                  <c:v>25.989899999999999</c:v>
                </c:pt>
                <c:pt idx="65">
                  <c:v>26.394500000000001</c:v>
                </c:pt>
                <c:pt idx="66">
                  <c:v>26.8032</c:v>
                </c:pt>
                <c:pt idx="67">
                  <c:v>27.210100000000001</c:v>
                </c:pt>
                <c:pt idx="68">
                  <c:v>27.614799999999999</c:v>
                </c:pt>
                <c:pt idx="69">
                  <c:v>28.018999999999998</c:v>
                </c:pt>
                <c:pt idx="70">
                  <c:v>28.4283</c:v>
                </c:pt>
                <c:pt idx="71">
                  <c:v>28.838200000000001</c:v>
                </c:pt>
                <c:pt idx="72">
                  <c:v>29.241099999999999</c:v>
                </c:pt>
                <c:pt idx="73">
                  <c:v>29.645499999999998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2.3476499999999998</c:v>
                </c:pt>
                <c:pt idx="1">
                  <c:v>2.37541</c:v>
                </c:pt>
                <c:pt idx="2">
                  <c:v>2.4029700000000003</c:v>
                </c:pt>
                <c:pt idx="3">
                  <c:v>2.43085</c:v>
                </c:pt>
                <c:pt idx="4">
                  <c:v>2.4586299999999999</c:v>
                </c:pt>
                <c:pt idx="5">
                  <c:v>2.4857999999999998</c:v>
                </c:pt>
                <c:pt idx="6">
                  <c:v>2.5109500000000002</c:v>
                </c:pt>
                <c:pt idx="7">
                  <c:v>2.5356699999999996</c:v>
                </c:pt>
                <c:pt idx="8">
                  <c:v>2.5573299999999999</c:v>
                </c:pt>
                <c:pt idx="9">
                  <c:v>2.5766299999999998</c:v>
                </c:pt>
                <c:pt idx="10">
                  <c:v>2.5914299999999999</c:v>
                </c:pt>
                <c:pt idx="11">
                  <c:v>2.6030899999999999</c:v>
                </c:pt>
                <c:pt idx="12">
                  <c:v>2.6162400000000003</c:v>
                </c:pt>
                <c:pt idx="13">
                  <c:v>2.6265000000000001</c:v>
                </c:pt>
                <c:pt idx="14">
                  <c:v>2.6353399999999998</c:v>
                </c:pt>
                <c:pt idx="15">
                  <c:v>2.6437100000000004</c:v>
                </c:pt>
                <c:pt idx="16">
                  <c:v>2.6521600000000003</c:v>
                </c:pt>
                <c:pt idx="17">
                  <c:v>2.6608499999999999</c:v>
                </c:pt>
                <c:pt idx="18">
                  <c:v>2.6712699999999998</c:v>
                </c:pt>
                <c:pt idx="19">
                  <c:v>2.68038</c:v>
                </c:pt>
                <c:pt idx="20">
                  <c:v>2.68926</c:v>
                </c:pt>
                <c:pt idx="21">
                  <c:v>2.6990399999999997</c:v>
                </c:pt>
                <c:pt idx="22">
                  <c:v>2.70621</c:v>
                </c:pt>
                <c:pt idx="23">
                  <c:v>2.7121499999999998</c:v>
                </c:pt>
                <c:pt idx="24">
                  <c:v>2.7184399999999997</c:v>
                </c:pt>
                <c:pt idx="25">
                  <c:v>2.72546</c:v>
                </c:pt>
                <c:pt idx="26">
                  <c:v>2.7332700000000001</c:v>
                </c:pt>
                <c:pt idx="27">
                  <c:v>2.7428300000000001</c:v>
                </c:pt>
                <c:pt idx="28">
                  <c:v>2.75393</c:v>
                </c:pt>
                <c:pt idx="29">
                  <c:v>2.7641900000000001</c:v>
                </c:pt>
                <c:pt idx="30">
                  <c:v>2.7732200000000002</c:v>
                </c:pt>
                <c:pt idx="31">
                  <c:v>2.7822999999999998</c:v>
                </c:pt>
                <c:pt idx="32">
                  <c:v>2.7926299999999999</c:v>
                </c:pt>
                <c:pt idx="33">
                  <c:v>2.8065199999999999</c:v>
                </c:pt>
                <c:pt idx="34">
                  <c:v>2.8217399999999997</c:v>
                </c:pt>
                <c:pt idx="35">
                  <c:v>2.8394900000000001</c:v>
                </c:pt>
                <c:pt idx="36">
                  <c:v>2.8602799999999999</c:v>
                </c:pt>
                <c:pt idx="37">
                  <c:v>2.8843700000000001</c:v>
                </c:pt>
                <c:pt idx="38">
                  <c:v>2.91201</c:v>
                </c:pt>
                <c:pt idx="39">
                  <c:v>2.9404200000000005</c:v>
                </c:pt>
                <c:pt idx="40">
                  <c:v>2.97072</c:v>
                </c:pt>
                <c:pt idx="41">
                  <c:v>3.0036200000000002</c:v>
                </c:pt>
                <c:pt idx="42">
                  <c:v>3.0369000000000002</c:v>
                </c:pt>
                <c:pt idx="43">
                  <c:v>3.0675300000000001</c:v>
                </c:pt>
                <c:pt idx="44">
                  <c:v>3.0971100000000003</c:v>
                </c:pt>
                <c:pt idx="45">
                  <c:v>3.1249900000000004</c:v>
                </c:pt>
                <c:pt idx="46">
                  <c:v>3.1519399999999997</c:v>
                </c:pt>
                <c:pt idx="47">
                  <c:v>3.17815</c:v>
                </c:pt>
                <c:pt idx="48">
                  <c:v>3.2035200000000001</c:v>
                </c:pt>
                <c:pt idx="49">
                  <c:v>3.2277099999999996</c:v>
                </c:pt>
                <c:pt idx="50">
                  <c:v>3.25386</c:v>
                </c:pt>
                <c:pt idx="51">
                  <c:v>3.2812200000000002</c:v>
                </c:pt>
                <c:pt idx="52">
                  <c:v>3.3000800000000003</c:v>
                </c:pt>
                <c:pt idx="53">
                  <c:v>3.3203300000000002</c:v>
                </c:pt>
                <c:pt idx="54">
                  <c:v>3.34111</c:v>
                </c:pt>
                <c:pt idx="55">
                  <c:v>3.35494</c:v>
                </c:pt>
                <c:pt idx="56">
                  <c:v>3.3736199999999998</c:v>
                </c:pt>
                <c:pt idx="57">
                  <c:v>3.3903499999999998</c:v>
                </c:pt>
                <c:pt idx="58">
                  <c:v>3.4066099999999997</c:v>
                </c:pt>
                <c:pt idx="59">
                  <c:v>3.4202300000000001</c:v>
                </c:pt>
                <c:pt idx="60">
                  <c:v>3.4401299999999999</c:v>
                </c:pt>
                <c:pt idx="61">
                  <c:v>3.4598899999999997</c:v>
                </c:pt>
                <c:pt idx="62">
                  <c:v>3.47207</c:v>
                </c:pt>
                <c:pt idx="63">
                  <c:v>3.4818799999999999</c:v>
                </c:pt>
                <c:pt idx="64">
                  <c:v>3.4913799999999999</c:v>
                </c:pt>
                <c:pt idx="65">
                  <c:v>3.4967600000000001</c:v>
                </c:pt>
                <c:pt idx="66">
                  <c:v>3.4948200000000003</c:v>
                </c:pt>
                <c:pt idx="67">
                  <c:v>3.4905000000000004</c:v>
                </c:pt>
                <c:pt idx="68">
                  <c:v>3.4881099999999998</c:v>
                </c:pt>
                <c:pt idx="69">
                  <c:v>3.4817799999999997</c:v>
                </c:pt>
                <c:pt idx="70">
                  <c:v>3.4754299999999998</c:v>
                </c:pt>
                <c:pt idx="71">
                  <c:v>3.4643899999999999</c:v>
                </c:pt>
                <c:pt idx="72">
                  <c:v>3.4596300000000002</c:v>
                </c:pt>
                <c:pt idx="73">
                  <c:v>3.4556900000000002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29.645499999999998</c:v>
                </c:pt>
                <c:pt idx="1">
                  <c:v>30.0505</c:v>
                </c:pt>
                <c:pt idx="2">
                  <c:v>30.5091</c:v>
                </c:pt>
                <c:pt idx="3">
                  <c:v>30.9086</c:v>
                </c:pt>
                <c:pt idx="4">
                  <c:v>31.3171</c:v>
                </c:pt>
                <c:pt idx="5">
                  <c:v>31.7225</c:v>
                </c:pt>
                <c:pt idx="6">
                  <c:v>32.131300000000003</c:v>
                </c:pt>
                <c:pt idx="7">
                  <c:v>32.5349</c:v>
                </c:pt>
                <c:pt idx="8">
                  <c:v>32.942</c:v>
                </c:pt>
                <c:pt idx="9">
                  <c:v>33.347299999999997</c:v>
                </c:pt>
                <c:pt idx="10">
                  <c:v>33.7547</c:v>
                </c:pt>
                <c:pt idx="11">
                  <c:v>34.160200000000003</c:v>
                </c:pt>
                <c:pt idx="12">
                  <c:v>34.5685</c:v>
                </c:pt>
                <c:pt idx="13">
                  <c:v>34.973399999999998</c:v>
                </c:pt>
                <c:pt idx="14">
                  <c:v>35.3765</c:v>
                </c:pt>
                <c:pt idx="15">
                  <c:v>35.785699999999999</c:v>
                </c:pt>
                <c:pt idx="16">
                  <c:v>36.192900000000002</c:v>
                </c:pt>
                <c:pt idx="17">
                  <c:v>36.600200000000001</c:v>
                </c:pt>
                <c:pt idx="18">
                  <c:v>37.0032</c:v>
                </c:pt>
                <c:pt idx="19">
                  <c:v>37.410699999999999</c:v>
                </c:pt>
                <c:pt idx="20">
                  <c:v>37.816800000000001</c:v>
                </c:pt>
                <c:pt idx="21">
                  <c:v>38.225700000000003</c:v>
                </c:pt>
                <c:pt idx="22">
                  <c:v>38.630099999999999</c:v>
                </c:pt>
                <c:pt idx="23">
                  <c:v>39.0396</c:v>
                </c:pt>
                <c:pt idx="24">
                  <c:v>39.442100000000003</c:v>
                </c:pt>
                <c:pt idx="25">
                  <c:v>39.8476</c:v>
                </c:pt>
                <c:pt idx="26">
                  <c:v>40.254100000000001</c:v>
                </c:pt>
                <c:pt idx="27">
                  <c:v>40.662700000000001</c:v>
                </c:pt>
                <c:pt idx="28">
                  <c:v>41.070099999999996</c:v>
                </c:pt>
                <c:pt idx="29">
                  <c:v>41.4724</c:v>
                </c:pt>
                <c:pt idx="30">
                  <c:v>41.880200000000002</c:v>
                </c:pt>
                <c:pt idx="31">
                  <c:v>42.290900000000001</c:v>
                </c:pt>
                <c:pt idx="32">
                  <c:v>42.692999999999998</c:v>
                </c:pt>
                <c:pt idx="33">
                  <c:v>43.097099999999998</c:v>
                </c:pt>
                <c:pt idx="34">
                  <c:v>43.503799999999998</c:v>
                </c:pt>
                <c:pt idx="35">
                  <c:v>43.907800000000002</c:v>
                </c:pt>
                <c:pt idx="36">
                  <c:v>44.316800000000001</c:v>
                </c:pt>
                <c:pt idx="37">
                  <c:v>44.723100000000002</c:v>
                </c:pt>
                <c:pt idx="38">
                  <c:v>45.128700000000002</c:v>
                </c:pt>
                <c:pt idx="39">
                  <c:v>45.536000000000001</c:v>
                </c:pt>
                <c:pt idx="40">
                  <c:v>45.941200000000002</c:v>
                </c:pt>
                <c:pt idx="41">
                  <c:v>46.349299999999999</c:v>
                </c:pt>
                <c:pt idx="42">
                  <c:v>46.752600000000001</c:v>
                </c:pt>
                <c:pt idx="43">
                  <c:v>47.159399999999998</c:v>
                </c:pt>
                <c:pt idx="44">
                  <c:v>47.5687</c:v>
                </c:pt>
                <c:pt idx="45">
                  <c:v>47.9741</c:v>
                </c:pt>
                <c:pt idx="46">
                  <c:v>48.380299999999998</c:v>
                </c:pt>
                <c:pt idx="47">
                  <c:v>48.786000000000001</c:v>
                </c:pt>
                <c:pt idx="48">
                  <c:v>49.191400000000002</c:v>
                </c:pt>
                <c:pt idx="49">
                  <c:v>49.598500000000001</c:v>
                </c:pt>
                <c:pt idx="50">
                  <c:v>50.0032</c:v>
                </c:pt>
                <c:pt idx="51">
                  <c:v>50.409500000000001</c:v>
                </c:pt>
                <c:pt idx="52">
                  <c:v>50.817399999999999</c:v>
                </c:pt>
                <c:pt idx="53">
                  <c:v>51.220799999999997</c:v>
                </c:pt>
                <c:pt idx="54">
                  <c:v>51.629800000000003</c:v>
                </c:pt>
                <c:pt idx="55">
                  <c:v>52.035299999999999</c:v>
                </c:pt>
                <c:pt idx="56">
                  <c:v>52.442599999999999</c:v>
                </c:pt>
                <c:pt idx="57">
                  <c:v>52.848500000000001</c:v>
                </c:pt>
                <c:pt idx="58">
                  <c:v>53.2532</c:v>
                </c:pt>
                <c:pt idx="59">
                  <c:v>53.659799999999997</c:v>
                </c:pt>
                <c:pt idx="60">
                  <c:v>54.069000000000003</c:v>
                </c:pt>
                <c:pt idx="61">
                  <c:v>54.474699999999999</c:v>
                </c:pt>
                <c:pt idx="62">
                  <c:v>54.880899999999997</c:v>
                </c:pt>
                <c:pt idx="63">
                  <c:v>55.287700000000001</c:v>
                </c:pt>
                <c:pt idx="64">
                  <c:v>55.691800000000001</c:v>
                </c:pt>
                <c:pt idx="65">
                  <c:v>56.102800000000002</c:v>
                </c:pt>
                <c:pt idx="66">
                  <c:v>56.505600000000001</c:v>
                </c:pt>
                <c:pt idx="67">
                  <c:v>56.908799999999999</c:v>
                </c:pt>
                <c:pt idx="68">
                  <c:v>57.316000000000003</c:v>
                </c:pt>
                <c:pt idx="69">
                  <c:v>57.722299999999997</c:v>
                </c:pt>
                <c:pt idx="70">
                  <c:v>58.130099999999999</c:v>
                </c:pt>
                <c:pt idx="71">
                  <c:v>58.542700000000004</c:v>
                </c:pt>
                <c:pt idx="72">
                  <c:v>58.949599999999997</c:v>
                </c:pt>
                <c:pt idx="73">
                  <c:v>59.346899999999998</c:v>
                </c:pt>
                <c:pt idx="74">
                  <c:v>59.756700000000002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3.4556900000000002</c:v>
                </c:pt>
                <c:pt idx="1">
                  <c:v>3.4547600000000003</c:v>
                </c:pt>
                <c:pt idx="2">
                  <c:v>3.4469100000000004</c:v>
                </c:pt>
                <c:pt idx="3">
                  <c:v>3.44082</c:v>
                </c:pt>
                <c:pt idx="4">
                  <c:v>3.4358599999999999</c:v>
                </c:pt>
                <c:pt idx="5">
                  <c:v>3.4303900000000001</c:v>
                </c:pt>
                <c:pt idx="6">
                  <c:v>3.42889</c:v>
                </c:pt>
                <c:pt idx="7">
                  <c:v>3.4271800000000003</c:v>
                </c:pt>
                <c:pt idx="8">
                  <c:v>3.4209099999999997</c:v>
                </c:pt>
                <c:pt idx="9">
                  <c:v>3.4099300000000001</c:v>
                </c:pt>
                <c:pt idx="10">
                  <c:v>3.3981699999999999</c:v>
                </c:pt>
                <c:pt idx="11">
                  <c:v>3.3853499999999999</c:v>
                </c:pt>
                <c:pt idx="12">
                  <c:v>3.37358</c:v>
                </c:pt>
                <c:pt idx="13">
                  <c:v>3.3597999999999999</c:v>
                </c:pt>
                <c:pt idx="14">
                  <c:v>3.3427000000000002</c:v>
                </c:pt>
                <c:pt idx="15">
                  <c:v>3.327</c:v>
                </c:pt>
                <c:pt idx="16">
                  <c:v>3.31115</c:v>
                </c:pt>
                <c:pt idx="17">
                  <c:v>3.2957900000000002</c:v>
                </c:pt>
                <c:pt idx="18">
                  <c:v>3.2831999999999999</c:v>
                </c:pt>
                <c:pt idx="19">
                  <c:v>3.2739800000000003</c:v>
                </c:pt>
                <c:pt idx="20">
                  <c:v>3.2692199999999998</c:v>
                </c:pt>
                <c:pt idx="21">
                  <c:v>3.2687300000000001</c:v>
                </c:pt>
                <c:pt idx="22">
                  <c:v>3.2695999999999996</c:v>
                </c:pt>
                <c:pt idx="23">
                  <c:v>3.2741599999999997</c:v>
                </c:pt>
                <c:pt idx="24">
                  <c:v>3.2782899999999997</c:v>
                </c:pt>
                <c:pt idx="25">
                  <c:v>3.28193</c:v>
                </c:pt>
                <c:pt idx="26">
                  <c:v>3.2834500000000002</c:v>
                </c:pt>
                <c:pt idx="27">
                  <c:v>3.2815899999999996</c:v>
                </c:pt>
                <c:pt idx="28">
                  <c:v>3.2781199999999999</c:v>
                </c:pt>
                <c:pt idx="29">
                  <c:v>3.27684</c:v>
                </c:pt>
                <c:pt idx="30">
                  <c:v>3.2775500000000002</c:v>
                </c:pt>
                <c:pt idx="31">
                  <c:v>3.2780800000000001</c:v>
                </c:pt>
                <c:pt idx="32">
                  <c:v>3.2786200000000001</c:v>
                </c:pt>
                <c:pt idx="33">
                  <c:v>3.28355</c:v>
                </c:pt>
                <c:pt idx="34">
                  <c:v>3.29312</c:v>
                </c:pt>
                <c:pt idx="35">
                  <c:v>3.3053400000000002</c:v>
                </c:pt>
                <c:pt idx="36">
                  <c:v>3.3196099999999999</c:v>
                </c:pt>
                <c:pt idx="37">
                  <c:v>3.3326000000000002</c:v>
                </c:pt>
                <c:pt idx="38">
                  <c:v>3.3456599999999996</c:v>
                </c:pt>
                <c:pt idx="39">
                  <c:v>3.3613999999999997</c:v>
                </c:pt>
                <c:pt idx="40">
                  <c:v>3.3773999999999997</c:v>
                </c:pt>
                <c:pt idx="41">
                  <c:v>3.3917799999999998</c:v>
                </c:pt>
                <c:pt idx="42">
                  <c:v>3.4088000000000003</c:v>
                </c:pt>
                <c:pt idx="43">
                  <c:v>3.4261999999999997</c:v>
                </c:pt>
                <c:pt idx="44">
                  <c:v>3.4419399999999998</c:v>
                </c:pt>
                <c:pt idx="45">
                  <c:v>3.4567700000000001</c:v>
                </c:pt>
                <c:pt idx="46">
                  <c:v>3.47079</c:v>
                </c:pt>
                <c:pt idx="47">
                  <c:v>3.48353</c:v>
                </c:pt>
                <c:pt idx="48">
                  <c:v>3.4946300000000003</c:v>
                </c:pt>
                <c:pt idx="49">
                  <c:v>3.5045999999999999</c:v>
                </c:pt>
                <c:pt idx="50">
                  <c:v>3.5183599999999999</c:v>
                </c:pt>
                <c:pt idx="51">
                  <c:v>3.5268199999999998</c:v>
                </c:pt>
                <c:pt idx="52">
                  <c:v>3.5373900000000003</c:v>
                </c:pt>
                <c:pt idx="53">
                  <c:v>3.5486400000000002</c:v>
                </c:pt>
                <c:pt idx="54">
                  <c:v>3.5587800000000005</c:v>
                </c:pt>
                <c:pt idx="55">
                  <c:v>3.5682399999999999</c:v>
                </c:pt>
                <c:pt idx="56">
                  <c:v>3.5767799999999998</c:v>
                </c:pt>
                <c:pt idx="57">
                  <c:v>3.5867</c:v>
                </c:pt>
                <c:pt idx="58">
                  <c:v>3.5947</c:v>
                </c:pt>
                <c:pt idx="59">
                  <c:v>3.6008800000000001</c:v>
                </c:pt>
                <c:pt idx="60">
                  <c:v>3.6005199999999999</c:v>
                </c:pt>
                <c:pt idx="61">
                  <c:v>3.5929899999999999</c:v>
                </c:pt>
                <c:pt idx="62">
                  <c:v>3.5853099999999998</c:v>
                </c:pt>
                <c:pt idx="63">
                  <c:v>3.5832199999999998</c:v>
                </c:pt>
                <c:pt idx="64">
                  <c:v>3.5830099999999998</c:v>
                </c:pt>
                <c:pt idx="65">
                  <c:v>3.5820699999999999</c:v>
                </c:pt>
                <c:pt idx="66">
                  <c:v>3.5865900000000002</c:v>
                </c:pt>
                <c:pt idx="67">
                  <c:v>3.5927899999999999</c:v>
                </c:pt>
                <c:pt idx="68">
                  <c:v>3.6016500000000002</c:v>
                </c:pt>
                <c:pt idx="69">
                  <c:v>3.6155300000000001</c:v>
                </c:pt>
                <c:pt idx="70">
                  <c:v>3.6288100000000001</c:v>
                </c:pt>
                <c:pt idx="71">
                  <c:v>3.6386500000000002</c:v>
                </c:pt>
                <c:pt idx="72">
                  <c:v>3.6571899999999999</c:v>
                </c:pt>
                <c:pt idx="73">
                  <c:v>3.6659100000000002</c:v>
                </c:pt>
                <c:pt idx="74">
                  <c:v>3.7133100000000003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14.939175000000001</c:v>
                </c:pt>
                <c:pt idx="1">
                  <c:v>44.817525000000003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2.9713191891891895</c:v>
                </c:pt>
                <c:pt idx="1">
                  <c:v>3.4376366216216221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0.39655499999999999</c:v>
                </c:pt>
                <c:pt idx="2">
                  <c:v>0.80140100000000003</c:v>
                </c:pt>
                <c:pt idx="3">
                  <c:v>1.2085399999999999</c:v>
                </c:pt>
                <c:pt idx="4">
                  <c:v>1.6133900000000001</c:v>
                </c:pt>
                <c:pt idx="5">
                  <c:v>2.0221499999999999</c:v>
                </c:pt>
                <c:pt idx="6">
                  <c:v>2.4279799999999998</c:v>
                </c:pt>
                <c:pt idx="7">
                  <c:v>2.8342999999999998</c:v>
                </c:pt>
                <c:pt idx="8">
                  <c:v>3.2372999999999998</c:v>
                </c:pt>
                <c:pt idx="9">
                  <c:v>3.64636</c:v>
                </c:pt>
                <c:pt idx="10">
                  <c:v>4.0519100000000003</c:v>
                </c:pt>
                <c:pt idx="11">
                  <c:v>4.4559699999999998</c:v>
                </c:pt>
                <c:pt idx="12">
                  <c:v>4.8644299999999996</c:v>
                </c:pt>
                <c:pt idx="13">
                  <c:v>5.2701500000000001</c:v>
                </c:pt>
                <c:pt idx="14">
                  <c:v>5.67509</c:v>
                </c:pt>
                <c:pt idx="15">
                  <c:v>6.0828300000000004</c:v>
                </c:pt>
                <c:pt idx="16">
                  <c:v>6.4924799999999996</c:v>
                </c:pt>
                <c:pt idx="17">
                  <c:v>6.8928799999999999</c:v>
                </c:pt>
                <c:pt idx="18">
                  <c:v>7.2996100000000004</c:v>
                </c:pt>
                <c:pt idx="19">
                  <c:v>7.70906</c:v>
                </c:pt>
                <c:pt idx="20">
                  <c:v>8.1117600000000003</c:v>
                </c:pt>
                <c:pt idx="21">
                  <c:v>8.5223999999999993</c:v>
                </c:pt>
                <c:pt idx="22">
                  <c:v>8.9256799999999998</c:v>
                </c:pt>
                <c:pt idx="23">
                  <c:v>9.3318999999999992</c:v>
                </c:pt>
                <c:pt idx="24">
                  <c:v>9.7385400000000004</c:v>
                </c:pt>
                <c:pt idx="25">
                  <c:v>10.1495</c:v>
                </c:pt>
                <c:pt idx="26">
                  <c:v>10.553599999999999</c:v>
                </c:pt>
                <c:pt idx="27">
                  <c:v>10.9575</c:v>
                </c:pt>
                <c:pt idx="28">
                  <c:v>11.3645</c:v>
                </c:pt>
                <c:pt idx="29">
                  <c:v>11.7698</c:v>
                </c:pt>
                <c:pt idx="30">
                  <c:v>12.1762</c:v>
                </c:pt>
                <c:pt idx="31">
                  <c:v>12.5846</c:v>
                </c:pt>
                <c:pt idx="32">
                  <c:v>12.987399999999999</c:v>
                </c:pt>
                <c:pt idx="33">
                  <c:v>13.395799999999999</c:v>
                </c:pt>
                <c:pt idx="34">
                  <c:v>13.802300000000001</c:v>
                </c:pt>
                <c:pt idx="35">
                  <c:v>14.2065</c:v>
                </c:pt>
                <c:pt idx="36">
                  <c:v>14.6127</c:v>
                </c:pt>
                <c:pt idx="37">
                  <c:v>15.0222</c:v>
                </c:pt>
                <c:pt idx="38">
                  <c:v>15.4254</c:v>
                </c:pt>
                <c:pt idx="39">
                  <c:v>15.833299999999999</c:v>
                </c:pt>
                <c:pt idx="40">
                  <c:v>16.238399999999999</c:v>
                </c:pt>
                <c:pt idx="41">
                  <c:v>16.646100000000001</c:v>
                </c:pt>
                <c:pt idx="42">
                  <c:v>17.0532</c:v>
                </c:pt>
                <c:pt idx="43">
                  <c:v>17.454899999999999</c:v>
                </c:pt>
                <c:pt idx="44">
                  <c:v>17.8628</c:v>
                </c:pt>
                <c:pt idx="45">
                  <c:v>18.2714</c:v>
                </c:pt>
                <c:pt idx="46">
                  <c:v>18.6752</c:v>
                </c:pt>
                <c:pt idx="47">
                  <c:v>19.084499999999998</c:v>
                </c:pt>
                <c:pt idx="48">
                  <c:v>19.487300000000001</c:v>
                </c:pt>
                <c:pt idx="49">
                  <c:v>19.893999999999998</c:v>
                </c:pt>
                <c:pt idx="50">
                  <c:v>20.3047</c:v>
                </c:pt>
                <c:pt idx="51">
                  <c:v>20.707999999999998</c:v>
                </c:pt>
                <c:pt idx="52">
                  <c:v>21.115200000000002</c:v>
                </c:pt>
                <c:pt idx="53">
                  <c:v>21.5185</c:v>
                </c:pt>
                <c:pt idx="54">
                  <c:v>21.928100000000001</c:v>
                </c:pt>
                <c:pt idx="55">
                  <c:v>22.331900000000001</c:v>
                </c:pt>
                <c:pt idx="56">
                  <c:v>22.741199999999999</c:v>
                </c:pt>
                <c:pt idx="57">
                  <c:v>23.148499999999999</c:v>
                </c:pt>
                <c:pt idx="58">
                  <c:v>23.552700000000002</c:v>
                </c:pt>
                <c:pt idx="59">
                  <c:v>23.954899999999999</c:v>
                </c:pt>
                <c:pt idx="60">
                  <c:v>24.364100000000001</c:v>
                </c:pt>
                <c:pt idx="61">
                  <c:v>24.773299999999999</c:v>
                </c:pt>
                <c:pt idx="62">
                  <c:v>25.178100000000001</c:v>
                </c:pt>
                <c:pt idx="63">
                  <c:v>25.5855</c:v>
                </c:pt>
                <c:pt idx="64">
                  <c:v>25.989899999999999</c:v>
                </c:pt>
                <c:pt idx="65">
                  <c:v>26.394500000000001</c:v>
                </c:pt>
                <c:pt idx="66">
                  <c:v>26.8032</c:v>
                </c:pt>
                <c:pt idx="67">
                  <c:v>27.210100000000001</c:v>
                </c:pt>
                <c:pt idx="68">
                  <c:v>27.614799999999999</c:v>
                </c:pt>
                <c:pt idx="69">
                  <c:v>28.018999999999998</c:v>
                </c:pt>
                <c:pt idx="70">
                  <c:v>28.4283</c:v>
                </c:pt>
                <c:pt idx="71">
                  <c:v>28.838200000000001</c:v>
                </c:pt>
                <c:pt idx="72">
                  <c:v>29.241099999999999</c:v>
                </c:pt>
                <c:pt idx="73">
                  <c:v>29.645499999999998</c:v>
                </c:pt>
                <c:pt idx="74">
                  <c:v>30.0505</c:v>
                </c:pt>
                <c:pt idx="75">
                  <c:v>30.5091</c:v>
                </c:pt>
                <c:pt idx="76">
                  <c:v>30.9086</c:v>
                </c:pt>
                <c:pt idx="77">
                  <c:v>31.3171</c:v>
                </c:pt>
                <c:pt idx="78">
                  <c:v>31.7225</c:v>
                </c:pt>
                <c:pt idx="79">
                  <c:v>32.131300000000003</c:v>
                </c:pt>
                <c:pt idx="80">
                  <c:v>32.5349</c:v>
                </c:pt>
                <c:pt idx="81">
                  <c:v>32.942</c:v>
                </c:pt>
                <c:pt idx="82">
                  <c:v>33.347299999999997</c:v>
                </c:pt>
                <c:pt idx="83">
                  <c:v>33.7547</c:v>
                </c:pt>
                <c:pt idx="84">
                  <c:v>34.160200000000003</c:v>
                </c:pt>
                <c:pt idx="85">
                  <c:v>34.5685</c:v>
                </c:pt>
                <c:pt idx="86">
                  <c:v>34.973399999999998</c:v>
                </c:pt>
                <c:pt idx="87">
                  <c:v>35.3765</c:v>
                </c:pt>
                <c:pt idx="88">
                  <c:v>35.785699999999999</c:v>
                </c:pt>
                <c:pt idx="89">
                  <c:v>36.192900000000002</c:v>
                </c:pt>
                <c:pt idx="90">
                  <c:v>36.600200000000001</c:v>
                </c:pt>
                <c:pt idx="91">
                  <c:v>37.0032</c:v>
                </c:pt>
                <c:pt idx="92">
                  <c:v>37.410699999999999</c:v>
                </c:pt>
                <c:pt idx="93">
                  <c:v>37.816800000000001</c:v>
                </c:pt>
                <c:pt idx="94">
                  <c:v>38.225700000000003</c:v>
                </c:pt>
                <c:pt idx="95">
                  <c:v>38.630099999999999</c:v>
                </c:pt>
                <c:pt idx="96">
                  <c:v>39.0396</c:v>
                </c:pt>
                <c:pt idx="97">
                  <c:v>39.442100000000003</c:v>
                </c:pt>
                <c:pt idx="98">
                  <c:v>39.8476</c:v>
                </c:pt>
                <c:pt idx="99">
                  <c:v>40.254100000000001</c:v>
                </c:pt>
                <c:pt idx="100">
                  <c:v>40.662700000000001</c:v>
                </c:pt>
                <c:pt idx="101">
                  <c:v>41.070099999999996</c:v>
                </c:pt>
                <c:pt idx="102">
                  <c:v>41.4724</c:v>
                </c:pt>
                <c:pt idx="103">
                  <c:v>41.880200000000002</c:v>
                </c:pt>
                <c:pt idx="104">
                  <c:v>42.290900000000001</c:v>
                </c:pt>
                <c:pt idx="105">
                  <c:v>42.692999999999998</c:v>
                </c:pt>
                <c:pt idx="106">
                  <c:v>43.097099999999998</c:v>
                </c:pt>
                <c:pt idx="107">
                  <c:v>43.503799999999998</c:v>
                </c:pt>
                <c:pt idx="108">
                  <c:v>43.907800000000002</c:v>
                </c:pt>
                <c:pt idx="109">
                  <c:v>44.316800000000001</c:v>
                </c:pt>
                <c:pt idx="110">
                  <c:v>44.723100000000002</c:v>
                </c:pt>
                <c:pt idx="111">
                  <c:v>45.128700000000002</c:v>
                </c:pt>
                <c:pt idx="112">
                  <c:v>45.536000000000001</c:v>
                </c:pt>
                <c:pt idx="113">
                  <c:v>45.941200000000002</c:v>
                </c:pt>
                <c:pt idx="114">
                  <c:v>46.349299999999999</c:v>
                </c:pt>
                <c:pt idx="115">
                  <c:v>46.752600000000001</c:v>
                </c:pt>
                <c:pt idx="116">
                  <c:v>47.159399999999998</c:v>
                </c:pt>
                <c:pt idx="117">
                  <c:v>47.5687</c:v>
                </c:pt>
                <c:pt idx="118">
                  <c:v>47.9741</c:v>
                </c:pt>
                <c:pt idx="119">
                  <c:v>48.380299999999998</c:v>
                </c:pt>
                <c:pt idx="120">
                  <c:v>48.786000000000001</c:v>
                </c:pt>
                <c:pt idx="121">
                  <c:v>49.191400000000002</c:v>
                </c:pt>
                <c:pt idx="122">
                  <c:v>49.598500000000001</c:v>
                </c:pt>
                <c:pt idx="123">
                  <c:v>50.0032</c:v>
                </c:pt>
                <c:pt idx="124">
                  <c:v>50.409500000000001</c:v>
                </c:pt>
                <c:pt idx="125">
                  <c:v>50.817399999999999</c:v>
                </c:pt>
                <c:pt idx="126">
                  <c:v>51.220799999999997</c:v>
                </c:pt>
                <c:pt idx="127">
                  <c:v>51.629800000000003</c:v>
                </c:pt>
                <c:pt idx="128">
                  <c:v>52.035299999999999</c:v>
                </c:pt>
                <c:pt idx="129">
                  <c:v>52.442599999999999</c:v>
                </c:pt>
                <c:pt idx="130">
                  <c:v>52.848500000000001</c:v>
                </c:pt>
                <c:pt idx="131">
                  <c:v>53.2532</c:v>
                </c:pt>
                <c:pt idx="132">
                  <c:v>53.659799999999997</c:v>
                </c:pt>
                <c:pt idx="133">
                  <c:v>54.069000000000003</c:v>
                </c:pt>
                <c:pt idx="134">
                  <c:v>54.474699999999999</c:v>
                </c:pt>
                <c:pt idx="135">
                  <c:v>54.880899999999997</c:v>
                </c:pt>
                <c:pt idx="136">
                  <c:v>55.287700000000001</c:v>
                </c:pt>
                <c:pt idx="137">
                  <c:v>55.691800000000001</c:v>
                </c:pt>
                <c:pt idx="138">
                  <c:v>56.102800000000002</c:v>
                </c:pt>
                <c:pt idx="139">
                  <c:v>56.505600000000001</c:v>
                </c:pt>
                <c:pt idx="140">
                  <c:v>56.908799999999999</c:v>
                </c:pt>
                <c:pt idx="141">
                  <c:v>57.316000000000003</c:v>
                </c:pt>
                <c:pt idx="142">
                  <c:v>57.722299999999997</c:v>
                </c:pt>
                <c:pt idx="143">
                  <c:v>58.130099999999999</c:v>
                </c:pt>
                <c:pt idx="144">
                  <c:v>58.542700000000004</c:v>
                </c:pt>
                <c:pt idx="145">
                  <c:v>58.949599999999997</c:v>
                </c:pt>
                <c:pt idx="146">
                  <c:v>59.346899999999998</c:v>
                </c:pt>
                <c:pt idx="147">
                  <c:v>59.756700000000002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56.519799999999996</c:v>
                </c:pt>
                <c:pt idx="1">
                  <c:v>55.950999999999993</c:v>
                </c:pt>
                <c:pt idx="2">
                  <c:v>55.340599999999995</c:v>
                </c:pt>
                <c:pt idx="3">
                  <c:v>54.729199999999999</c:v>
                </c:pt>
                <c:pt idx="4">
                  <c:v>54.043699999999994</c:v>
                </c:pt>
                <c:pt idx="5">
                  <c:v>53.240200000000002</c:v>
                </c:pt>
                <c:pt idx="6">
                  <c:v>52.380300000000005</c:v>
                </c:pt>
                <c:pt idx="7">
                  <c:v>51.477799999999995</c:v>
                </c:pt>
                <c:pt idx="8">
                  <c:v>50.616399999999992</c:v>
                </c:pt>
                <c:pt idx="9">
                  <c:v>49.861400000000003</c:v>
                </c:pt>
                <c:pt idx="10">
                  <c:v>49.167999999999999</c:v>
                </c:pt>
                <c:pt idx="11">
                  <c:v>48.4985</c:v>
                </c:pt>
                <c:pt idx="12">
                  <c:v>47.820599999999999</c:v>
                </c:pt>
                <c:pt idx="13">
                  <c:v>47.189399999999999</c:v>
                </c:pt>
                <c:pt idx="14">
                  <c:v>46.611399999999996</c:v>
                </c:pt>
                <c:pt idx="15">
                  <c:v>46.069500000000005</c:v>
                </c:pt>
                <c:pt idx="16">
                  <c:v>45.527799999999999</c:v>
                </c:pt>
                <c:pt idx="17">
                  <c:v>45.040100000000002</c:v>
                </c:pt>
                <c:pt idx="18">
                  <c:v>44.5852</c:v>
                </c:pt>
                <c:pt idx="19">
                  <c:v>44.248899999999999</c:v>
                </c:pt>
                <c:pt idx="20">
                  <c:v>43.997100000000003</c:v>
                </c:pt>
                <c:pt idx="21">
                  <c:v>43.773299999999999</c:v>
                </c:pt>
                <c:pt idx="22">
                  <c:v>43.585599999999999</c:v>
                </c:pt>
                <c:pt idx="23">
                  <c:v>43.439699999999995</c:v>
                </c:pt>
                <c:pt idx="24">
                  <c:v>43.2973</c:v>
                </c:pt>
                <c:pt idx="25">
                  <c:v>43.166600000000003</c:v>
                </c:pt>
                <c:pt idx="26">
                  <c:v>43.052300000000002</c:v>
                </c:pt>
                <c:pt idx="27">
                  <c:v>42.928800000000003</c:v>
                </c:pt>
                <c:pt idx="28">
                  <c:v>42.819400000000002</c:v>
                </c:pt>
                <c:pt idx="29">
                  <c:v>42.759799999999998</c:v>
                </c:pt>
                <c:pt idx="30">
                  <c:v>42.683500000000002</c:v>
                </c:pt>
                <c:pt idx="31">
                  <c:v>42.601499999999994</c:v>
                </c:pt>
                <c:pt idx="32">
                  <c:v>42.561999999999998</c:v>
                </c:pt>
                <c:pt idx="33">
                  <c:v>42.485599999999998</c:v>
                </c:pt>
                <c:pt idx="34">
                  <c:v>42.384100000000004</c:v>
                </c:pt>
                <c:pt idx="35">
                  <c:v>42.329099999999997</c:v>
                </c:pt>
                <c:pt idx="36">
                  <c:v>42.281100000000002</c:v>
                </c:pt>
                <c:pt idx="37">
                  <c:v>42.146799999999999</c:v>
                </c:pt>
                <c:pt idx="38">
                  <c:v>42.026899999999998</c:v>
                </c:pt>
                <c:pt idx="39">
                  <c:v>41.934800000000003</c:v>
                </c:pt>
                <c:pt idx="40">
                  <c:v>41.866100000000003</c:v>
                </c:pt>
                <c:pt idx="41">
                  <c:v>41.752299999999998</c:v>
                </c:pt>
                <c:pt idx="42">
                  <c:v>41.6188</c:v>
                </c:pt>
                <c:pt idx="43">
                  <c:v>41.544599999999996</c:v>
                </c:pt>
                <c:pt idx="44">
                  <c:v>41.513800000000003</c:v>
                </c:pt>
                <c:pt idx="45">
                  <c:v>41.4908</c:v>
                </c:pt>
                <c:pt idx="46">
                  <c:v>41.455999999999996</c:v>
                </c:pt>
                <c:pt idx="47">
                  <c:v>41.464199999999998</c:v>
                </c:pt>
                <c:pt idx="48">
                  <c:v>41.517299999999999</c:v>
                </c:pt>
                <c:pt idx="49">
                  <c:v>41.536200000000001</c:v>
                </c:pt>
                <c:pt idx="50">
                  <c:v>41.483199999999997</c:v>
                </c:pt>
                <c:pt idx="51">
                  <c:v>41.343800000000002</c:v>
                </c:pt>
                <c:pt idx="52">
                  <c:v>41.290100000000002</c:v>
                </c:pt>
                <c:pt idx="53">
                  <c:v>41.117599999999996</c:v>
                </c:pt>
                <c:pt idx="54">
                  <c:v>40.868000000000002</c:v>
                </c:pt>
                <c:pt idx="55">
                  <c:v>40.8414</c:v>
                </c:pt>
                <c:pt idx="56">
                  <c:v>40.699600000000004</c:v>
                </c:pt>
                <c:pt idx="57">
                  <c:v>40.572200000000002</c:v>
                </c:pt>
                <c:pt idx="58">
                  <c:v>40.400599999999997</c:v>
                </c:pt>
                <c:pt idx="59">
                  <c:v>40.278599999999997</c:v>
                </c:pt>
                <c:pt idx="60">
                  <c:v>40.051700000000004</c:v>
                </c:pt>
                <c:pt idx="61">
                  <c:v>39.800400000000003</c:v>
                </c:pt>
                <c:pt idx="62">
                  <c:v>39.628999999999998</c:v>
                </c:pt>
                <c:pt idx="63">
                  <c:v>39.520800000000001</c:v>
                </c:pt>
                <c:pt idx="64">
                  <c:v>39.4529</c:v>
                </c:pt>
                <c:pt idx="65">
                  <c:v>39.382899999999999</c:v>
                </c:pt>
                <c:pt idx="66">
                  <c:v>39.496600000000001</c:v>
                </c:pt>
                <c:pt idx="67">
                  <c:v>39.597500000000004</c:v>
                </c:pt>
                <c:pt idx="68">
                  <c:v>39.600900000000003</c:v>
                </c:pt>
                <c:pt idx="69">
                  <c:v>39.623000000000005</c:v>
                </c:pt>
                <c:pt idx="70">
                  <c:v>39.6051</c:v>
                </c:pt>
                <c:pt idx="71">
                  <c:v>39.650600000000004</c:v>
                </c:pt>
                <c:pt idx="72">
                  <c:v>39.668700000000001</c:v>
                </c:pt>
                <c:pt idx="73">
                  <c:v>39.668799999999997</c:v>
                </c:pt>
                <c:pt idx="74">
                  <c:v>39.668500000000002</c:v>
                </c:pt>
                <c:pt idx="75">
                  <c:v>39.8399</c:v>
                </c:pt>
                <c:pt idx="76">
                  <c:v>40.017699999999998</c:v>
                </c:pt>
                <c:pt idx="77">
                  <c:v>40.235999999999997</c:v>
                </c:pt>
                <c:pt idx="78">
                  <c:v>40.480899999999998</c:v>
                </c:pt>
                <c:pt idx="79">
                  <c:v>40.676699999999997</c:v>
                </c:pt>
                <c:pt idx="80">
                  <c:v>40.875299999999996</c:v>
                </c:pt>
                <c:pt idx="81">
                  <c:v>41.074599999999997</c:v>
                </c:pt>
                <c:pt idx="82">
                  <c:v>41.267900000000004</c:v>
                </c:pt>
                <c:pt idx="83">
                  <c:v>41.470199999999998</c:v>
                </c:pt>
                <c:pt idx="84">
                  <c:v>41.735199999999999</c:v>
                </c:pt>
                <c:pt idx="85">
                  <c:v>42.020499999999998</c:v>
                </c:pt>
                <c:pt idx="86">
                  <c:v>42.356100000000005</c:v>
                </c:pt>
                <c:pt idx="87">
                  <c:v>42.688600000000001</c:v>
                </c:pt>
                <c:pt idx="88">
                  <c:v>42.904599999999995</c:v>
                </c:pt>
                <c:pt idx="89">
                  <c:v>43.064</c:v>
                </c:pt>
                <c:pt idx="90">
                  <c:v>43.112499999999997</c:v>
                </c:pt>
                <c:pt idx="91">
                  <c:v>43.1083</c:v>
                </c:pt>
                <c:pt idx="92">
                  <c:v>43.067399999999999</c:v>
                </c:pt>
                <c:pt idx="93">
                  <c:v>42.9694</c:v>
                </c:pt>
                <c:pt idx="94">
                  <c:v>42.847499999999997</c:v>
                </c:pt>
                <c:pt idx="95">
                  <c:v>42.731499999999997</c:v>
                </c:pt>
                <c:pt idx="96">
                  <c:v>42.572299999999998</c:v>
                </c:pt>
                <c:pt idx="97">
                  <c:v>42.398299999999999</c:v>
                </c:pt>
                <c:pt idx="98">
                  <c:v>42.238700000000001</c:v>
                </c:pt>
                <c:pt idx="99">
                  <c:v>42.094300000000004</c:v>
                </c:pt>
                <c:pt idx="100">
                  <c:v>42.006399999999999</c:v>
                </c:pt>
                <c:pt idx="101">
                  <c:v>41.927500000000002</c:v>
                </c:pt>
                <c:pt idx="102">
                  <c:v>41.825000000000003</c:v>
                </c:pt>
                <c:pt idx="103">
                  <c:v>41.743499999999997</c:v>
                </c:pt>
                <c:pt idx="104">
                  <c:v>41.683100000000003</c:v>
                </c:pt>
                <c:pt idx="105">
                  <c:v>41.595399999999998</c:v>
                </c:pt>
                <c:pt idx="106">
                  <c:v>41.446199999999997</c:v>
                </c:pt>
                <c:pt idx="107">
                  <c:v>41.274300000000004</c:v>
                </c:pt>
                <c:pt idx="108">
                  <c:v>41.05</c:v>
                </c:pt>
                <c:pt idx="109">
                  <c:v>40.749400000000001</c:v>
                </c:pt>
                <c:pt idx="110">
                  <c:v>40.457599999999999</c:v>
                </c:pt>
                <c:pt idx="111">
                  <c:v>40.228400000000001</c:v>
                </c:pt>
                <c:pt idx="112">
                  <c:v>40.035800000000002</c:v>
                </c:pt>
                <c:pt idx="113">
                  <c:v>39.868200000000002</c:v>
                </c:pt>
                <c:pt idx="114">
                  <c:v>39.744399999999999</c:v>
                </c:pt>
                <c:pt idx="115">
                  <c:v>39.650600000000004</c:v>
                </c:pt>
                <c:pt idx="116">
                  <c:v>39.534300000000002</c:v>
                </c:pt>
                <c:pt idx="117">
                  <c:v>39.430799999999998</c:v>
                </c:pt>
                <c:pt idx="118">
                  <c:v>39.3108</c:v>
                </c:pt>
                <c:pt idx="119">
                  <c:v>39.155099999999997</c:v>
                </c:pt>
                <c:pt idx="120">
                  <c:v>38.988299999999995</c:v>
                </c:pt>
                <c:pt idx="121">
                  <c:v>38.7624</c:v>
                </c:pt>
                <c:pt idx="122">
                  <c:v>38.5762</c:v>
                </c:pt>
                <c:pt idx="123">
                  <c:v>38.370199999999997</c:v>
                </c:pt>
                <c:pt idx="124">
                  <c:v>38.320799999999998</c:v>
                </c:pt>
                <c:pt idx="125">
                  <c:v>38.255000000000003</c:v>
                </c:pt>
                <c:pt idx="126">
                  <c:v>38.186100000000003</c:v>
                </c:pt>
                <c:pt idx="127">
                  <c:v>38.105400000000003</c:v>
                </c:pt>
                <c:pt idx="128">
                  <c:v>37.988499999999995</c:v>
                </c:pt>
                <c:pt idx="129">
                  <c:v>37.854199999999999</c:v>
                </c:pt>
                <c:pt idx="130">
                  <c:v>37.730000000000004</c:v>
                </c:pt>
                <c:pt idx="131">
                  <c:v>37.6066</c:v>
                </c:pt>
                <c:pt idx="132">
                  <c:v>37.465699999999998</c:v>
                </c:pt>
                <c:pt idx="133">
                  <c:v>37.379300000000001</c:v>
                </c:pt>
                <c:pt idx="134">
                  <c:v>37.380499999999998</c:v>
                </c:pt>
                <c:pt idx="135">
                  <c:v>37.366899999999994</c:v>
                </c:pt>
                <c:pt idx="136">
                  <c:v>37.226999999999997</c:v>
                </c:pt>
                <c:pt idx="137">
                  <c:v>37.042900000000003</c:v>
                </c:pt>
                <c:pt idx="138">
                  <c:v>36.879600000000003</c:v>
                </c:pt>
                <c:pt idx="139">
                  <c:v>36.667999999999999</c:v>
                </c:pt>
                <c:pt idx="140">
                  <c:v>36.448999999999998</c:v>
                </c:pt>
                <c:pt idx="141">
                  <c:v>36.1556</c:v>
                </c:pt>
                <c:pt idx="142">
                  <c:v>35.758499999999998</c:v>
                </c:pt>
                <c:pt idx="143">
                  <c:v>35.374400000000001</c:v>
                </c:pt>
                <c:pt idx="144">
                  <c:v>35.051500000000004</c:v>
                </c:pt>
                <c:pt idx="145">
                  <c:v>34.723100000000002</c:v>
                </c:pt>
                <c:pt idx="146">
                  <c:v>34.750399999999999</c:v>
                </c:pt>
                <c:pt idx="147">
                  <c:v>34.767900000000004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0.39655499999999999</c:v>
                </c:pt>
                <c:pt idx="2">
                  <c:v>0.80140100000000003</c:v>
                </c:pt>
                <c:pt idx="3">
                  <c:v>1.2085399999999999</c:v>
                </c:pt>
                <c:pt idx="4">
                  <c:v>1.6133900000000001</c:v>
                </c:pt>
                <c:pt idx="5">
                  <c:v>2.0221499999999999</c:v>
                </c:pt>
                <c:pt idx="6">
                  <c:v>2.4279799999999998</c:v>
                </c:pt>
                <c:pt idx="7">
                  <c:v>2.8342999999999998</c:v>
                </c:pt>
                <c:pt idx="8">
                  <c:v>3.2372999999999998</c:v>
                </c:pt>
                <c:pt idx="9">
                  <c:v>3.64636</c:v>
                </c:pt>
                <c:pt idx="10">
                  <c:v>4.0519100000000003</c:v>
                </c:pt>
                <c:pt idx="11">
                  <c:v>4.4559699999999998</c:v>
                </c:pt>
                <c:pt idx="12">
                  <c:v>4.8644299999999996</c:v>
                </c:pt>
                <c:pt idx="13">
                  <c:v>5.2701500000000001</c:v>
                </c:pt>
                <c:pt idx="14">
                  <c:v>5.67509</c:v>
                </c:pt>
                <c:pt idx="15">
                  <c:v>6.0828300000000004</c:v>
                </c:pt>
                <c:pt idx="16">
                  <c:v>6.4924799999999996</c:v>
                </c:pt>
                <c:pt idx="17">
                  <c:v>6.8928799999999999</c:v>
                </c:pt>
                <c:pt idx="18">
                  <c:v>7.2996100000000004</c:v>
                </c:pt>
                <c:pt idx="19">
                  <c:v>7.70906</c:v>
                </c:pt>
                <c:pt idx="20">
                  <c:v>8.1117600000000003</c:v>
                </c:pt>
                <c:pt idx="21">
                  <c:v>8.5223999999999993</c:v>
                </c:pt>
                <c:pt idx="22">
                  <c:v>8.9256799999999998</c:v>
                </c:pt>
                <c:pt idx="23">
                  <c:v>9.3318999999999992</c:v>
                </c:pt>
                <c:pt idx="24">
                  <c:v>9.7385400000000004</c:v>
                </c:pt>
                <c:pt idx="25">
                  <c:v>10.1495</c:v>
                </c:pt>
                <c:pt idx="26">
                  <c:v>10.553599999999999</c:v>
                </c:pt>
                <c:pt idx="27">
                  <c:v>10.9575</c:v>
                </c:pt>
                <c:pt idx="28">
                  <c:v>11.3645</c:v>
                </c:pt>
                <c:pt idx="29">
                  <c:v>11.7698</c:v>
                </c:pt>
                <c:pt idx="30">
                  <c:v>12.1762</c:v>
                </c:pt>
                <c:pt idx="31">
                  <c:v>12.5846</c:v>
                </c:pt>
                <c:pt idx="32">
                  <c:v>12.987399999999999</c:v>
                </c:pt>
                <c:pt idx="33">
                  <c:v>13.395799999999999</c:v>
                </c:pt>
                <c:pt idx="34">
                  <c:v>13.802300000000001</c:v>
                </c:pt>
                <c:pt idx="35">
                  <c:v>14.2065</c:v>
                </c:pt>
                <c:pt idx="36">
                  <c:v>14.6127</c:v>
                </c:pt>
                <c:pt idx="37">
                  <c:v>15.0222</c:v>
                </c:pt>
                <c:pt idx="38">
                  <c:v>15.4254</c:v>
                </c:pt>
                <c:pt idx="39">
                  <c:v>15.833299999999999</c:v>
                </c:pt>
                <c:pt idx="40">
                  <c:v>16.238399999999999</c:v>
                </c:pt>
                <c:pt idx="41">
                  <c:v>16.646100000000001</c:v>
                </c:pt>
                <c:pt idx="42">
                  <c:v>17.0532</c:v>
                </c:pt>
                <c:pt idx="43">
                  <c:v>17.454899999999999</c:v>
                </c:pt>
                <c:pt idx="44">
                  <c:v>17.8628</c:v>
                </c:pt>
                <c:pt idx="45">
                  <c:v>18.2714</c:v>
                </c:pt>
                <c:pt idx="46">
                  <c:v>18.6752</c:v>
                </c:pt>
                <c:pt idx="47">
                  <c:v>19.084499999999998</c:v>
                </c:pt>
                <c:pt idx="48">
                  <c:v>19.487300000000001</c:v>
                </c:pt>
                <c:pt idx="49">
                  <c:v>19.893999999999998</c:v>
                </c:pt>
                <c:pt idx="50">
                  <c:v>20.3047</c:v>
                </c:pt>
                <c:pt idx="51">
                  <c:v>20.707999999999998</c:v>
                </c:pt>
                <c:pt idx="52">
                  <c:v>21.115200000000002</c:v>
                </c:pt>
                <c:pt idx="53">
                  <c:v>21.5185</c:v>
                </c:pt>
                <c:pt idx="54">
                  <c:v>21.928100000000001</c:v>
                </c:pt>
                <c:pt idx="55">
                  <c:v>22.331900000000001</c:v>
                </c:pt>
                <c:pt idx="56">
                  <c:v>22.741199999999999</c:v>
                </c:pt>
                <c:pt idx="57">
                  <c:v>23.148499999999999</c:v>
                </c:pt>
                <c:pt idx="58">
                  <c:v>23.552700000000002</c:v>
                </c:pt>
                <c:pt idx="59">
                  <c:v>23.954899999999999</c:v>
                </c:pt>
                <c:pt idx="60">
                  <c:v>24.364100000000001</c:v>
                </c:pt>
                <c:pt idx="61">
                  <c:v>24.773299999999999</c:v>
                </c:pt>
                <c:pt idx="62">
                  <c:v>25.178100000000001</c:v>
                </c:pt>
                <c:pt idx="63">
                  <c:v>25.5855</c:v>
                </c:pt>
                <c:pt idx="64">
                  <c:v>25.989899999999999</c:v>
                </c:pt>
                <c:pt idx="65">
                  <c:v>26.394500000000001</c:v>
                </c:pt>
                <c:pt idx="66">
                  <c:v>26.8032</c:v>
                </c:pt>
                <c:pt idx="67">
                  <c:v>27.210100000000001</c:v>
                </c:pt>
                <c:pt idx="68">
                  <c:v>27.614799999999999</c:v>
                </c:pt>
                <c:pt idx="69">
                  <c:v>28.018999999999998</c:v>
                </c:pt>
                <c:pt idx="70">
                  <c:v>28.4283</c:v>
                </c:pt>
                <c:pt idx="71">
                  <c:v>28.838200000000001</c:v>
                </c:pt>
                <c:pt idx="72">
                  <c:v>29.241099999999999</c:v>
                </c:pt>
                <c:pt idx="73">
                  <c:v>29.645499999999998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56.519799999999996</c:v>
                </c:pt>
                <c:pt idx="1">
                  <c:v>55.950999999999993</c:v>
                </c:pt>
                <c:pt idx="2">
                  <c:v>55.340599999999995</c:v>
                </c:pt>
                <c:pt idx="3">
                  <c:v>54.729199999999999</c:v>
                </c:pt>
                <c:pt idx="4">
                  <c:v>54.043699999999994</c:v>
                </c:pt>
                <c:pt idx="5">
                  <c:v>53.240200000000002</c:v>
                </c:pt>
                <c:pt idx="6">
                  <c:v>52.380300000000005</c:v>
                </c:pt>
                <c:pt idx="7">
                  <c:v>51.477799999999995</c:v>
                </c:pt>
                <c:pt idx="8">
                  <c:v>50.616399999999992</c:v>
                </c:pt>
                <c:pt idx="9">
                  <c:v>49.861400000000003</c:v>
                </c:pt>
                <c:pt idx="10">
                  <c:v>49.167999999999999</c:v>
                </c:pt>
                <c:pt idx="11">
                  <c:v>48.4985</c:v>
                </c:pt>
                <c:pt idx="12">
                  <c:v>47.820599999999999</c:v>
                </c:pt>
                <c:pt idx="13">
                  <c:v>47.189399999999999</c:v>
                </c:pt>
                <c:pt idx="14">
                  <c:v>46.611399999999996</c:v>
                </c:pt>
                <c:pt idx="15">
                  <c:v>46.069500000000005</c:v>
                </c:pt>
                <c:pt idx="16">
                  <c:v>45.527799999999999</c:v>
                </c:pt>
                <c:pt idx="17">
                  <c:v>45.040100000000002</c:v>
                </c:pt>
                <c:pt idx="18">
                  <c:v>44.5852</c:v>
                </c:pt>
                <c:pt idx="19">
                  <c:v>44.248899999999999</c:v>
                </c:pt>
                <c:pt idx="20">
                  <c:v>43.997100000000003</c:v>
                </c:pt>
                <c:pt idx="21">
                  <c:v>43.773299999999999</c:v>
                </c:pt>
                <c:pt idx="22">
                  <c:v>43.585599999999999</c:v>
                </c:pt>
                <c:pt idx="23">
                  <c:v>43.439699999999995</c:v>
                </c:pt>
                <c:pt idx="24">
                  <c:v>43.2973</c:v>
                </c:pt>
                <c:pt idx="25">
                  <c:v>43.166600000000003</c:v>
                </c:pt>
                <c:pt idx="26">
                  <c:v>43.052300000000002</c:v>
                </c:pt>
                <c:pt idx="27">
                  <c:v>42.928800000000003</c:v>
                </c:pt>
                <c:pt idx="28">
                  <c:v>42.819400000000002</c:v>
                </c:pt>
                <c:pt idx="29">
                  <c:v>42.759799999999998</c:v>
                </c:pt>
                <c:pt idx="30">
                  <c:v>42.683500000000002</c:v>
                </c:pt>
                <c:pt idx="31">
                  <c:v>42.601499999999994</c:v>
                </c:pt>
                <c:pt idx="32">
                  <c:v>42.561999999999998</c:v>
                </c:pt>
                <c:pt idx="33">
                  <c:v>42.485599999999998</c:v>
                </c:pt>
                <c:pt idx="34">
                  <c:v>42.384100000000004</c:v>
                </c:pt>
                <c:pt idx="35">
                  <c:v>42.329099999999997</c:v>
                </c:pt>
                <c:pt idx="36">
                  <c:v>42.281100000000002</c:v>
                </c:pt>
                <c:pt idx="37">
                  <c:v>42.146799999999999</c:v>
                </c:pt>
                <c:pt idx="38">
                  <c:v>42.026899999999998</c:v>
                </c:pt>
                <c:pt idx="39">
                  <c:v>41.934800000000003</c:v>
                </c:pt>
                <c:pt idx="40">
                  <c:v>41.866100000000003</c:v>
                </c:pt>
                <c:pt idx="41">
                  <c:v>41.752299999999998</c:v>
                </c:pt>
                <c:pt idx="42">
                  <c:v>41.6188</c:v>
                </c:pt>
                <c:pt idx="43">
                  <c:v>41.544599999999996</c:v>
                </c:pt>
                <c:pt idx="44">
                  <c:v>41.513800000000003</c:v>
                </c:pt>
                <c:pt idx="45">
                  <c:v>41.4908</c:v>
                </c:pt>
                <c:pt idx="46">
                  <c:v>41.455999999999996</c:v>
                </c:pt>
                <c:pt idx="47">
                  <c:v>41.464199999999998</c:v>
                </c:pt>
                <c:pt idx="48">
                  <c:v>41.517299999999999</c:v>
                </c:pt>
                <c:pt idx="49">
                  <c:v>41.536200000000001</c:v>
                </c:pt>
                <c:pt idx="50">
                  <c:v>41.483199999999997</c:v>
                </c:pt>
                <c:pt idx="51">
                  <c:v>41.343800000000002</c:v>
                </c:pt>
                <c:pt idx="52">
                  <c:v>41.290100000000002</c:v>
                </c:pt>
                <c:pt idx="53">
                  <c:v>41.117599999999996</c:v>
                </c:pt>
                <c:pt idx="54">
                  <c:v>40.868000000000002</c:v>
                </c:pt>
                <c:pt idx="55">
                  <c:v>40.8414</c:v>
                </c:pt>
                <c:pt idx="56">
                  <c:v>40.699600000000004</c:v>
                </c:pt>
                <c:pt idx="57">
                  <c:v>40.572200000000002</c:v>
                </c:pt>
                <c:pt idx="58">
                  <c:v>40.400599999999997</c:v>
                </c:pt>
                <c:pt idx="59">
                  <c:v>40.278599999999997</c:v>
                </c:pt>
                <c:pt idx="60">
                  <c:v>40.051700000000004</c:v>
                </c:pt>
                <c:pt idx="61">
                  <c:v>39.800400000000003</c:v>
                </c:pt>
                <c:pt idx="62">
                  <c:v>39.628999999999998</c:v>
                </c:pt>
                <c:pt idx="63">
                  <c:v>39.520800000000001</c:v>
                </c:pt>
                <c:pt idx="64">
                  <c:v>39.4529</c:v>
                </c:pt>
                <c:pt idx="65">
                  <c:v>39.382899999999999</c:v>
                </c:pt>
                <c:pt idx="66">
                  <c:v>39.496600000000001</c:v>
                </c:pt>
                <c:pt idx="67">
                  <c:v>39.597500000000004</c:v>
                </c:pt>
                <c:pt idx="68">
                  <c:v>39.600900000000003</c:v>
                </c:pt>
                <c:pt idx="69">
                  <c:v>39.623000000000005</c:v>
                </c:pt>
                <c:pt idx="70">
                  <c:v>39.6051</c:v>
                </c:pt>
                <c:pt idx="71">
                  <c:v>39.650600000000004</c:v>
                </c:pt>
                <c:pt idx="72">
                  <c:v>39.668700000000001</c:v>
                </c:pt>
                <c:pt idx="73">
                  <c:v>39.668799999999997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29.645499999999998</c:v>
                </c:pt>
                <c:pt idx="1">
                  <c:v>30.0505</c:v>
                </c:pt>
                <c:pt idx="2">
                  <c:v>30.5091</c:v>
                </c:pt>
                <c:pt idx="3">
                  <c:v>30.9086</c:v>
                </c:pt>
                <c:pt idx="4">
                  <c:v>31.3171</c:v>
                </c:pt>
                <c:pt idx="5">
                  <c:v>31.7225</c:v>
                </c:pt>
                <c:pt idx="6">
                  <c:v>32.131300000000003</c:v>
                </c:pt>
                <c:pt idx="7">
                  <c:v>32.5349</c:v>
                </c:pt>
                <c:pt idx="8">
                  <c:v>32.942</c:v>
                </c:pt>
                <c:pt idx="9">
                  <c:v>33.347299999999997</c:v>
                </c:pt>
                <c:pt idx="10">
                  <c:v>33.7547</c:v>
                </c:pt>
                <c:pt idx="11">
                  <c:v>34.160200000000003</c:v>
                </c:pt>
                <c:pt idx="12">
                  <c:v>34.5685</c:v>
                </c:pt>
                <c:pt idx="13">
                  <c:v>34.973399999999998</c:v>
                </c:pt>
                <c:pt idx="14">
                  <c:v>35.3765</c:v>
                </c:pt>
                <c:pt idx="15">
                  <c:v>35.785699999999999</c:v>
                </c:pt>
                <c:pt idx="16">
                  <c:v>36.192900000000002</c:v>
                </c:pt>
                <c:pt idx="17">
                  <c:v>36.600200000000001</c:v>
                </c:pt>
                <c:pt idx="18">
                  <c:v>37.0032</c:v>
                </c:pt>
                <c:pt idx="19">
                  <c:v>37.410699999999999</c:v>
                </c:pt>
                <c:pt idx="20">
                  <c:v>37.816800000000001</c:v>
                </c:pt>
                <c:pt idx="21">
                  <c:v>38.225700000000003</c:v>
                </c:pt>
                <c:pt idx="22">
                  <c:v>38.630099999999999</c:v>
                </c:pt>
                <c:pt idx="23">
                  <c:v>39.0396</c:v>
                </c:pt>
                <c:pt idx="24">
                  <c:v>39.442100000000003</c:v>
                </c:pt>
                <c:pt idx="25">
                  <c:v>39.8476</c:v>
                </c:pt>
                <c:pt idx="26">
                  <c:v>40.254100000000001</c:v>
                </c:pt>
                <c:pt idx="27">
                  <c:v>40.662700000000001</c:v>
                </c:pt>
                <c:pt idx="28">
                  <c:v>41.070099999999996</c:v>
                </c:pt>
                <c:pt idx="29">
                  <c:v>41.4724</c:v>
                </c:pt>
                <c:pt idx="30">
                  <c:v>41.880200000000002</c:v>
                </c:pt>
                <c:pt idx="31">
                  <c:v>42.290900000000001</c:v>
                </c:pt>
                <c:pt idx="32">
                  <c:v>42.692999999999998</c:v>
                </c:pt>
                <c:pt idx="33">
                  <c:v>43.097099999999998</c:v>
                </c:pt>
                <c:pt idx="34">
                  <c:v>43.503799999999998</c:v>
                </c:pt>
                <c:pt idx="35">
                  <c:v>43.907800000000002</c:v>
                </c:pt>
                <c:pt idx="36">
                  <c:v>44.316800000000001</c:v>
                </c:pt>
                <c:pt idx="37">
                  <c:v>44.723100000000002</c:v>
                </c:pt>
                <c:pt idx="38">
                  <c:v>45.128700000000002</c:v>
                </c:pt>
                <c:pt idx="39">
                  <c:v>45.536000000000001</c:v>
                </c:pt>
                <c:pt idx="40">
                  <c:v>45.941200000000002</c:v>
                </c:pt>
                <c:pt idx="41">
                  <c:v>46.349299999999999</c:v>
                </c:pt>
                <c:pt idx="42">
                  <c:v>46.752600000000001</c:v>
                </c:pt>
                <c:pt idx="43">
                  <c:v>47.159399999999998</c:v>
                </c:pt>
                <c:pt idx="44">
                  <c:v>47.5687</c:v>
                </c:pt>
                <c:pt idx="45">
                  <c:v>47.9741</c:v>
                </c:pt>
                <c:pt idx="46">
                  <c:v>48.380299999999998</c:v>
                </c:pt>
                <c:pt idx="47">
                  <c:v>48.786000000000001</c:v>
                </c:pt>
                <c:pt idx="48">
                  <c:v>49.191400000000002</c:v>
                </c:pt>
                <c:pt idx="49">
                  <c:v>49.598500000000001</c:v>
                </c:pt>
                <c:pt idx="50">
                  <c:v>50.0032</c:v>
                </c:pt>
                <c:pt idx="51">
                  <c:v>50.409500000000001</c:v>
                </c:pt>
                <c:pt idx="52">
                  <c:v>50.817399999999999</c:v>
                </c:pt>
                <c:pt idx="53">
                  <c:v>51.220799999999997</c:v>
                </c:pt>
                <c:pt idx="54">
                  <c:v>51.629800000000003</c:v>
                </c:pt>
                <c:pt idx="55">
                  <c:v>52.035299999999999</c:v>
                </c:pt>
                <c:pt idx="56">
                  <c:v>52.442599999999999</c:v>
                </c:pt>
                <c:pt idx="57">
                  <c:v>52.848500000000001</c:v>
                </c:pt>
                <c:pt idx="58">
                  <c:v>53.2532</c:v>
                </c:pt>
                <c:pt idx="59">
                  <c:v>53.659799999999997</c:v>
                </c:pt>
                <c:pt idx="60">
                  <c:v>54.069000000000003</c:v>
                </c:pt>
                <c:pt idx="61">
                  <c:v>54.474699999999999</c:v>
                </c:pt>
                <c:pt idx="62">
                  <c:v>54.880899999999997</c:v>
                </c:pt>
                <c:pt idx="63">
                  <c:v>55.287700000000001</c:v>
                </c:pt>
                <c:pt idx="64">
                  <c:v>55.691800000000001</c:v>
                </c:pt>
                <c:pt idx="65">
                  <c:v>56.102800000000002</c:v>
                </c:pt>
                <c:pt idx="66">
                  <c:v>56.505600000000001</c:v>
                </c:pt>
                <c:pt idx="67">
                  <c:v>56.908799999999999</c:v>
                </c:pt>
                <c:pt idx="68">
                  <c:v>57.316000000000003</c:v>
                </c:pt>
                <c:pt idx="69">
                  <c:v>57.722299999999997</c:v>
                </c:pt>
                <c:pt idx="70">
                  <c:v>58.130099999999999</c:v>
                </c:pt>
                <c:pt idx="71">
                  <c:v>58.542700000000004</c:v>
                </c:pt>
                <c:pt idx="72">
                  <c:v>58.949599999999997</c:v>
                </c:pt>
                <c:pt idx="73">
                  <c:v>59.346899999999998</c:v>
                </c:pt>
                <c:pt idx="74">
                  <c:v>59.756700000000002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39.668799999999997</c:v>
                </c:pt>
                <c:pt idx="1">
                  <c:v>39.668500000000002</c:v>
                </c:pt>
                <c:pt idx="2">
                  <c:v>39.8399</c:v>
                </c:pt>
                <c:pt idx="3">
                  <c:v>40.017699999999998</c:v>
                </c:pt>
                <c:pt idx="4">
                  <c:v>40.235999999999997</c:v>
                </c:pt>
                <c:pt idx="5">
                  <c:v>40.480899999999998</c:v>
                </c:pt>
                <c:pt idx="6">
                  <c:v>40.676699999999997</c:v>
                </c:pt>
                <c:pt idx="7">
                  <c:v>40.875299999999996</c:v>
                </c:pt>
                <c:pt idx="8">
                  <c:v>41.074599999999997</c:v>
                </c:pt>
                <c:pt idx="9">
                  <c:v>41.267900000000004</c:v>
                </c:pt>
                <c:pt idx="10">
                  <c:v>41.470199999999998</c:v>
                </c:pt>
                <c:pt idx="11">
                  <c:v>41.735199999999999</c:v>
                </c:pt>
                <c:pt idx="12">
                  <c:v>42.020499999999998</c:v>
                </c:pt>
                <c:pt idx="13">
                  <c:v>42.356100000000005</c:v>
                </c:pt>
                <c:pt idx="14">
                  <c:v>42.688600000000001</c:v>
                </c:pt>
                <c:pt idx="15">
                  <c:v>42.904599999999995</c:v>
                </c:pt>
                <c:pt idx="16">
                  <c:v>43.064</c:v>
                </c:pt>
                <c:pt idx="17">
                  <c:v>43.112499999999997</c:v>
                </c:pt>
                <c:pt idx="18">
                  <c:v>43.1083</c:v>
                </c:pt>
                <c:pt idx="19">
                  <c:v>43.067399999999999</c:v>
                </c:pt>
                <c:pt idx="20">
                  <c:v>42.9694</c:v>
                </c:pt>
                <c:pt idx="21">
                  <c:v>42.847499999999997</c:v>
                </c:pt>
                <c:pt idx="22">
                  <c:v>42.731499999999997</c:v>
                </c:pt>
                <c:pt idx="23">
                  <c:v>42.572299999999998</c:v>
                </c:pt>
                <c:pt idx="24">
                  <c:v>42.398299999999999</c:v>
                </c:pt>
                <c:pt idx="25">
                  <c:v>42.238700000000001</c:v>
                </c:pt>
                <c:pt idx="26">
                  <c:v>42.094300000000004</c:v>
                </c:pt>
                <c:pt idx="27">
                  <c:v>42.006399999999999</c:v>
                </c:pt>
                <c:pt idx="28">
                  <c:v>41.927500000000002</c:v>
                </c:pt>
                <c:pt idx="29">
                  <c:v>41.825000000000003</c:v>
                </c:pt>
                <c:pt idx="30">
                  <c:v>41.743499999999997</c:v>
                </c:pt>
                <c:pt idx="31">
                  <c:v>41.683100000000003</c:v>
                </c:pt>
                <c:pt idx="32">
                  <c:v>41.595399999999998</c:v>
                </c:pt>
                <c:pt idx="33">
                  <c:v>41.446199999999997</c:v>
                </c:pt>
                <c:pt idx="34">
                  <c:v>41.274300000000004</c:v>
                </c:pt>
                <c:pt idx="35">
                  <c:v>41.05</c:v>
                </c:pt>
                <c:pt idx="36">
                  <c:v>40.749400000000001</c:v>
                </c:pt>
                <c:pt idx="37">
                  <c:v>40.457599999999999</c:v>
                </c:pt>
                <c:pt idx="38">
                  <c:v>40.228400000000001</c:v>
                </c:pt>
                <c:pt idx="39">
                  <c:v>40.035800000000002</c:v>
                </c:pt>
                <c:pt idx="40">
                  <c:v>39.868200000000002</c:v>
                </c:pt>
                <c:pt idx="41">
                  <c:v>39.744399999999999</c:v>
                </c:pt>
                <c:pt idx="42">
                  <c:v>39.650600000000004</c:v>
                </c:pt>
                <c:pt idx="43">
                  <c:v>39.534300000000002</c:v>
                </c:pt>
                <c:pt idx="44">
                  <c:v>39.430799999999998</c:v>
                </c:pt>
                <c:pt idx="45">
                  <c:v>39.3108</c:v>
                </c:pt>
                <c:pt idx="46">
                  <c:v>39.155099999999997</c:v>
                </c:pt>
                <c:pt idx="47">
                  <c:v>38.988299999999995</c:v>
                </c:pt>
                <c:pt idx="48">
                  <c:v>38.7624</c:v>
                </c:pt>
                <c:pt idx="49">
                  <c:v>38.5762</c:v>
                </c:pt>
                <c:pt idx="50">
                  <c:v>38.370199999999997</c:v>
                </c:pt>
                <c:pt idx="51">
                  <c:v>38.320799999999998</c:v>
                </c:pt>
                <c:pt idx="52">
                  <c:v>38.255000000000003</c:v>
                </c:pt>
                <c:pt idx="53">
                  <c:v>38.186100000000003</c:v>
                </c:pt>
                <c:pt idx="54">
                  <c:v>38.105400000000003</c:v>
                </c:pt>
                <c:pt idx="55">
                  <c:v>37.988499999999995</c:v>
                </c:pt>
                <c:pt idx="56">
                  <c:v>37.854199999999999</c:v>
                </c:pt>
                <c:pt idx="57">
                  <c:v>37.730000000000004</c:v>
                </c:pt>
                <c:pt idx="58">
                  <c:v>37.6066</c:v>
                </c:pt>
                <c:pt idx="59">
                  <c:v>37.465699999999998</c:v>
                </c:pt>
                <c:pt idx="60">
                  <c:v>37.379300000000001</c:v>
                </c:pt>
                <c:pt idx="61">
                  <c:v>37.380499999999998</c:v>
                </c:pt>
                <c:pt idx="62">
                  <c:v>37.366899999999994</c:v>
                </c:pt>
                <c:pt idx="63">
                  <c:v>37.226999999999997</c:v>
                </c:pt>
                <c:pt idx="64">
                  <c:v>37.042900000000003</c:v>
                </c:pt>
                <c:pt idx="65">
                  <c:v>36.879600000000003</c:v>
                </c:pt>
                <c:pt idx="66">
                  <c:v>36.667999999999999</c:v>
                </c:pt>
                <c:pt idx="67">
                  <c:v>36.448999999999998</c:v>
                </c:pt>
                <c:pt idx="68">
                  <c:v>36.1556</c:v>
                </c:pt>
                <c:pt idx="69">
                  <c:v>35.758499999999998</c:v>
                </c:pt>
                <c:pt idx="70">
                  <c:v>35.374400000000001</c:v>
                </c:pt>
                <c:pt idx="71">
                  <c:v>35.051500000000004</c:v>
                </c:pt>
                <c:pt idx="72">
                  <c:v>34.723100000000002</c:v>
                </c:pt>
                <c:pt idx="73">
                  <c:v>34.750399999999999</c:v>
                </c:pt>
                <c:pt idx="74">
                  <c:v>34.767900000000004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14.939175000000001</c:v>
                </c:pt>
                <c:pt idx="1">
                  <c:v>44.817525000000003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43.710529729729721</c:v>
                </c:pt>
                <c:pt idx="1">
                  <c:v>39.721860810810817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35.044699999999999</c:v>
                </c:pt>
                <c:pt idx="1">
                  <c:v>30.525500000000001</c:v>
                </c:pt>
                <c:pt idx="2">
                  <c:v>31.576599999999999</c:v>
                </c:pt>
                <c:pt idx="3">
                  <c:v>31.734000000000002</c:v>
                </c:pt>
                <c:pt idx="4">
                  <c:v>61.183500000000002</c:v>
                </c:pt>
                <c:pt idx="5">
                  <c:v>77.038300000000007</c:v>
                </c:pt>
                <c:pt idx="6">
                  <c:v>15.9567</c:v>
                </c:pt>
                <c:pt idx="7">
                  <c:v>68.588700000000003</c:v>
                </c:pt>
                <c:pt idx="8">
                  <c:v>22.686199999999999</c:v>
                </c:pt>
                <c:pt idx="9">
                  <c:v>52.903100000000002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41.921100000000003</c:v>
                </c:pt>
                <c:pt idx="1">
                  <c:v>31.118300000000001</c:v>
                </c:pt>
                <c:pt idx="2">
                  <c:v>29.654299999999999</c:v>
                </c:pt>
                <c:pt idx="3">
                  <c:v>34.549799999999998</c:v>
                </c:pt>
                <c:pt idx="4">
                  <c:v>65.878200000000007</c:v>
                </c:pt>
                <c:pt idx="5">
                  <c:v>74.170100000000005</c:v>
                </c:pt>
                <c:pt idx="6">
                  <c:v>22.262</c:v>
                </c:pt>
                <c:pt idx="7">
                  <c:v>69.642899999999997</c:v>
                </c:pt>
                <c:pt idx="8">
                  <c:v>21.9862</c:v>
                </c:pt>
                <c:pt idx="9">
                  <c:v>53.411200000000001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0.44302986357523644</c:v>
                </c:pt>
                <c:pt idx="1">
                  <c:v>0.25631261353317425</c:v>
                </c:pt>
                <c:pt idx="2">
                  <c:v>0.30065752289158926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2404</c:v>
                </c:pt>
                <c:pt idx="7">
                  <c:v>0</c:v>
                </c:pt>
                <c:pt idx="8">
                  <c:v>3719</c:v>
                </c:pt>
                <c:pt idx="9">
                  <c:v>0</c:v>
                </c:pt>
                <c:pt idx="10">
                  <c:v>0</c:v>
                </c:pt>
                <c:pt idx="11">
                  <c:v>6443</c:v>
                </c:pt>
                <c:pt idx="12">
                  <c:v>0</c:v>
                </c:pt>
                <c:pt idx="13">
                  <c:v>13370</c:v>
                </c:pt>
                <c:pt idx="14">
                  <c:v>0</c:v>
                </c:pt>
                <c:pt idx="15">
                  <c:v>0</c:v>
                </c:pt>
                <c:pt idx="16">
                  <c:v>17171</c:v>
                </c:pt>
                <c:pt idx="17">
                  <c:v>0</c:v>
                </c:pt>
                <c:pt idx="18">
                  <c:v>0</c:v>
                </c:pt>
                <c:pt idx="19">
                  <c:v>17849</c:v>
                </c:pt>
                <c:pt idx="20">
                  <c:v>0</c:v>
                </c:pt>
                <c:pt idx="21">
                  <c:v>17235</c:v>
                </c:pt>
                <c:pt idx="22">
                  <c:v>0</c:v>
                </c:pt>
                <c:pt idx="23">
                  <c:v>0</c:v>
                </c:pt>
                <c:pt idx="24">
                  <c:v>17277</c:v>
                </c:pt>
                <c:pt idx="25">
                  <c:v>0</c:v>
                </c:pt>
                <c:pt idx="26">
                  <c:v>20858</c:v>
                </c:pt>
                <c:pt idx="27">
                  <c:v>0</c:v>
                </c:pt>
                <c:pt idx="28">
                  <c:v>0</c:v>
                </c:pt>
                <c:pt idx="29">
                  <c:v>31968</c:v>
                </c:pt>
                <c:pt idx="30">
                  <c:v>0</c:v>
                </c:pt>
                <c:pt idx="31">
                  <c:v>29868</c:v>
                </c:pt>
                <c:pt idx="32">
                  <c:v>0</c:v>
                </c:pt>
                <c:pt idx="33">
                  <c:v>0</c:v>
                </c:pt>
                <c:pt idx="34">
                  <c:v>41995</c:v>
                </c:pt>
                <c:pt idx="35">
                  <c:v>0</c:v>
                </c:pt>
                <c:pt idx="36">
                  <c:v>0</c:v>
                </c:pt>
                <c:pt idx="37">
                  <c:v>41679</c:v>
                </c:pt>
                <c:pt idx="38">
                  <c:v>0</c:v>
                </c:pt>
                <c:pt idx="39">
                  <c:v>47469</c:v>
                </c:pt>
                <c:pt idx="40">
                  <c:v>0</c:v>
                </c:pt>
                <c:pt idx="41">
                  <c:v>0</c:v>
                </c:pt>
                <c:pt idx="42">
                  <c:v>46684</c:v>
                </c:pt>
                <c:pt idx="43">
                  <c:v>0</c:v>
                </c:pt>
                <c:pt idx="44">
                  <c:v>54652</c:v>
                </c:pt>
                <c:pt idx="45">
                  <c:v>0</c:v>
                </c:pt>
                <c:pt idx="46">
                  <c:v>0</c:v>
                </c:pt>
                <c:pt idx="47">
                  <c:v>60342</c:v>
                </c:pt>
                <c:pt idx="48">
                  <c:v>0</c:v>
                </c:pt>
                <c:pt idx="49">
                  <c:v>61967</c:v>
                </c:pt>
                <c:pt idx="50">
                  <c:v>0</c:v>
                </c:pt>
                <c:pt idx="51">
                  <c:v>0</c:v>
                </c:pt>
                <c:pt idx="52">
                  <c:v>75574</c:v>
                </c:pt>
                <c:pt idx="53">
                  <c:v>0</c:v>
                </c:pt>
                <c:pt idx="54">
                  <c:v>0</c:v>
                </c:pt>
                <c:pt idx="55">
                  <c:v>80812</c:v>
                </c:pt>
                <c:pt idx="56">
                  <c:v>0</c:v>
                </c:pt>
                <c:pt idx="57">
                  <c:v>88161</c:v>
                </c:pt>
                <c:pt idx="58">
                  <c:v>0</c:v>
                </c:pt>
                <c:pt idx="59">
                  <c:v>0</c:v>
                </c:pt>
                <c:pt idx="60">
                  <c:v>92408</c:v>
                </c:pt>
                <c:pt idx="61">
                  <c:v>0</c:v>
                </c:pt>
                <c:pt idx="62">
                  <c:v>96733</c:v>
                </c:pt>
                <c:pt idx="63">
                  <c:v>0</c:v>
                </c:pt>
                <c:pt idx="64">
                  <c:v>0</c:v>
                </c:pt>
                <c:pt idx="65">
                  <c:v>110173</c:v>
                </c:pt>
                <c:pt idx="66">
                  <c:v>0</c:v>
                </c:pt>
                <c:pt idx="67">
                  <c:v>92462</c:v>
                </c:pt>
                <c:pt idx="68">
                  <c:v>0</c:v>
                </c:pt>
                <c:pt idx="69">
                  <c:v>0</c:v>
                </c:pt>
                <c:pt idx="70">
                  <c:v>97261</c:v>
                </c:pt>
                <c:pt idx="71">
                  <c:v>0</c:v>
                </c:pt>
                <c:pt idx="72">
                  <c:v>0</c:v>
                </c:pt>
                <c:pt idx="73">
                  <c:v>98633</c:v>
                </c:pt>
                <c:pt idx="74">
                  <c:v>0</c:v>
                </c:pt>
                <c:pt idx="75">
                  <c:v>82273</c:v>
                </c:pt>
                <c:pt idx="76">
                  <c:v>0</c:v>
                </c:pt>
                <c:pt idx="77">
                  <c:v>0</c:v>
                </c:pt>
                <c:pt idx="78">
                  <c:v>74080</c:v>
                </c:pt>
                <c:pt idx="79">
                  <c:v>0</c:v>
                </c:pt>
                <c:pt idx="80">
                  <c:v>65481</c:v>
                </c:pt>
                <c:pt idx="81">
                  <c:v>0</c:v>
                </c:pt>
                <c:pt idx="82">
                  <c:v>0</c:v>
                </c:pt>
                <c:pt idx="83">
                  <c:v>65378</c:v>
                </c:pt>
                <c:pt idx="84">
                  <c:v>0</c:v>
                </c:pt>
                <c:pt idx="85">
                  <c:v>0</c:v>
                </c:pt>
                <c:pt idx="86">
                  <c:v>60163</c:v>
                </c:pt>
                <c:pt idx="87">
                  <c:v>0</c:v>
                </c:pt>
                <c:pt idx="88">
                  <c:v>56538</c:v>
                </c:pt>
                <c:pt idx="89">
                  <c:v>0</c:v>
                </c:pt>
                <c:pt idx="90">
                  <c:v>0</c:v>
                </c:pt>
                <c:pt idx="91">
                  <c:v>57000</c:v>
                </c:pt>
                <c:pt idx="92">
                  <c:v>0</c:v>
                </c:pt>
                <c:pt idx="93">
                  <c:v>51867</c:v>
                </c:pt>
                <c:pt idx="94">
                  <c:v>0</c:v>
                </c:pt>
                <c:pt idx="95">
                  <c:v>0</c:v>
                </c:pt>
                <c:pt idx="96">
                  <c:v>47415</c:v>
                </c:pt>
                <c:pt idx="97">
                  <c:v>0</c:v>
                </c:pt>
                <c:pt idx="98">
                  <c:v>43621</c:v>
                </c:pt>
                <c:pt idx="99">
                  <c:v>0</c:v>
                </c:pt>
                <c:pt idx="100">
                  <c:v>0</c:v>
                </c:pt>
                <c:pt idx="101">
                  <c:v>37830</c:v>
                </c:pt>
                <c:pt idx="102">
                  <c:v>0</c:v>
                </c:pt>
                <c:pt idx="103">
                  <c:v>0</c:v>
                </c:pt>
                <c:pt idx="104">
                  <c:v>36192</c:v>
                </c:pt>
                <c:pt idx="105">
                  <c:v>0</c:v>
                </c:pt>
                <c:pt idx="106">
                  <c:v>28625</c:v>
                </c:pt>
                <c:pt idx="107">
                  <c:v>0</c:v>
                </c:pt>
                <c:pt idx="108">
                  <c:v>0</c:v>
                </c:pt>
                <c:pt idx="109">
                  <c:v>27439</c:v>
                </c:pt>
                <c:pt idx="110">
                  <c:v>0</c:v>
                </c:pt>
                <c:pt idx="111">
                  <c:v>24770</c:v>
                </c:pt>
                <c:pt idx="112">
                  <c:v>0</c:v>
                </c:pt>
                <c:pt idx="113">
                  <c:v>0</c:v>
                </c:pt>
                <c:pt idx="114">
                  <c:v>19649</c:v>
                </c:pt>
                <c:pt idx="115">
                  <c:v>0</c:v>
                </c:pt>
                <c:pt idx="116">
                  <c:v>18309</c:v>
                </c:pt>
                <c:pt idx="117">
                  <c:v>0</c:v>
                </c:pt>
                <c:pt idx="118">
                  <c:v>0</c:v>
                </c:pt>
                <c:pt idx="119">
                  <c:v>18633</c:v>
                </c:pt>
                <c:pt idx="120">
                  <c:v>0</c:v>
                </c:pt>
                <c:pt idx="121">
                  <c:v>0</c:v>
                </c:pt>
                <c:pt idx="122">
                  <c:v>18204</c:v>
                </c:pt>
                <c:pt idx="123">
                  <c:v>0</c:v>
                </c:pt>
                <c:pt idx="124">
                  <c:v>16913</c:v>
                </c:pt>
                <c:pt idx="125">
                  <c:v>0</c:v>
                </c:pt>
                <c:pt idx="126">
                  <c:v>0</c:v>
                </c:pt>
                <c:pt idx="127">
                  <c:v>15177</c:v>
                </c:pt>
                <c:pt idx="128">
                  <c:v>0</c:v>
                </c:pt>
                <c:pt idx="129">
                  <c:v>15482</c:v>
                </c:pt>
                <c:pt idx="130">
                  <c:v>0</c:v>
                </c:pt>
                <c:pt idx="131">
                  <c:v>0</c:v>
                </c:pt>
                <c:pt idx="132">
                  <c:v>12490</c:v>
                </c:pt>
                <c:pt idx="133">
                  <c:v>0</c:v>
                </c:pt>
                <c:pt idx="134">
                  <c:v>10980</c:v>
                </c:pt>
                <c:pt idx="135">
                  <c:v>0</c:v>
                </c:pt>
                <c:pt idx="136">
                  <c:v>0</c:v>
                </c:pt>
                <c:pt idx="137">
                  <c:v>10305</c:v>
                </c:pt>
                <c:pt idx="138">
                  <c:v>0</c:v>
                </c:pt>
                <c:pt idx="139">
                  <c:v>0</c:v>
                </c:pt>
                <c:pt idx="140">
                  <c:v>10440</c:v>
                </c:pt>
                <c:pt idx="141">
                  <c:v>0</c:v>
                </c:pt>
                <c:pt idx="142">
                  <c:v>7473</c:v>
                </c:pt>
                <c:pt idx="143">
                  <c:v>0</c:v>
                </c:pt>
                <c:pt idx="144">
                  <c:v>0</c:v>
                </c:pt>
                <c:pt idx="145">
                  <c:v>5836</c:v>
                </c:pt>
                <c:pt idx="146">
                  <c:v>0</c:v>
                </c:pt>
                <c:pt idx="147">
                  <c:v>6257</c:v>
                </c:pt>
                <c:pt idx="148">
                  <c:v>0</c:v>
                </c:pt>
                <c:pt idx="149">
                  <c:v>0</c:v>
                </c:pt>
                <c:pt idx="150">
                  <c:v>5877</c:v>
                </c:pt>
                <c:pt idx="151">
                  <c:v>0</c:v>
                </c:pt>
                <c:pt idx="152">
                  <c:v>3707</c:v>
                </c:pt>
                <c:pt idx="153">
                  <c:v>0</c:v>
                </c:pt>
                <c:pt idx="154">
                  <c:v>0</c:v>
                </c:pt>
                <c:pt idx="155">
                  <c:v>3498</c:v>
                </c:pt>
                <c:pt idx="156">
                  <c:v>0</c:v>
                </c:pt>
                <c:pt idx="157">
                  <c:v>0</c:v>
                </c:pt>
                <c:pt idx="158">
                  <c:v>3228</c:v>
                </c:pt>
                <c:pt idx="159">
                  <c:v>0</c:v>
                </c:pt>
                <c:pt idx="160">
                  <c:v>2067</c:v>
                </c:pt>
                <c:pt idx="161">
                  <c:v>0</c:v>
                </c:pt>
                <c:pt idx="162">
                  <c:v>0</c:v>
                </c:pt>
                <c:pt idx="163">
                  <c:v>2439</c:v>
                </c:pt>
                <c:pt idx="164">
                  <c:v>0</c:v>
                </c:pt>
                <c:pt idx="165">
                  <c:v>1335</c:v>
                </c:pt>
                <c:pt idx="166">
                  <c:v>0</c:v>
                </c:pt>
                <c:pt idx="167">
                  <c:v>0</c:v>
                </c:pt>
                <c:pt idx="168">
                  <c:v>1657</c:v>
                </c:pt>
                <c:pt idx="169">
                  <c:v>0</c:v>
                </c:pt>
                <c:pt idx="170">
                  <c:v>0</c:v>
                </c:pt>
                <c:pt idx="171">
                  <c:v>1106</c:v>
                </c:pt>
                <c:pt idx="172">
                  <c:v>0</c:v>
                </c:pt>
                <c:pt idx="173">
                  <c:v>1086</c:v>
                </c:pt>
                <c:pt idx="174">
                  <c:v>0</c:v>
                </c:pt>
                <c:pt idx="175">
                  <c:v>0</c:v>
                </c:pt>
                <c:pt idx="176">
                  <c:v>728</c:v>
                </c:pt>
                <c:pt idx="177">
                  <c:v>0</c:v>
                </c:pt>
                <c:pt idx="178">
                  <c:v>551</c:v>
                </c:pt>
                <c:pt idx="179">
                  <c:v>0</c:v>
                </c:pt>
                <c:pt idx="180">
                  <c:v>0</c:v>
                </c:pt>
                <c:pt idx="181">
                  <c:v>251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1524</c:v>
                </c:pt>
                <c:pt idx="7">
                  <c:v>0</c:v>
                </c:pt>
                <c:pt idx="8">
                  <c:v>5577</c:v>
                </c:pt>
                <c:pt idx="9">
                  <c:v>0</c:v>
                </c:pt>
                <c:pt idx="10">
                  <c:v>0</c:v>
                </c:pt>
                <c:pt idx="11">
                  <c:v>6693</c:v>
                </c:pt>
                <c:pt idx="12">
                  <c:v>0</c:v>
                </c:pt>
                <c:pt idx="13">
                  <c:v>6717</c:v>
                </c:pt>
                <c:pt idx="14">
                  <c:v>0</c:v>
                </c:pt>
                <c:pt idx="15">
                  <c:v>0</c:v>
                </c:pt>
                <c:pt idx="16">
                  <c:v>10257</c:v>
                </c:pt>
                <c:pt idx="17">
                  <c:v>0</c:v>
                </c:pt>
                <c:pt idx="18">
                  <c:v>0</c:v>
                </c:pt>
                <c:pt idx="19">
                  <c:v>15309</c:v>
                </c:pt>
                <c:pt idx="20">
                  <c:v>0</c:v>
                </c:pt>
                <c:pt idx="21">
                  <c:v>13575</c:v>
                </c:pt>
                <c:pt idx="22">
                  <c:v>0</c:v>
                </c:pt>
                <c:pt idx="23">
                  <c:v>0</c:v>
                </c:pt>
                <c:pt idx="24">
                  <c:v>13179</c:v>
                </c:pt>
                <c:pt idx="25">
                  <c:v>0</c:v>
                </c:pt>
                <c:pt idx="26">
                  <c:v>16339</c:v>
                </c:pt>
                <c:pt idx="27">
                  <c:v>0</c:v>
                </c:pt>
                <c:pt idx="28">
                  <c:v>0</c:v>
                </c:pt>
                <c:pt idx="29">
                  <c:v>17978</c:v>
                </c:pt>
                <c:pt idx="30">
                  <c:v>0</c:v>
                </c:pt>
                <c:pt idx="31">
                  <c:v>22477</c:v>
                </c:pt>
                <c:pt idx="32">
                  <c:v>0</c:v>
                </c:pt>
                <c:pt idx="33">
                  <c:v>0</c:v>
                </c:pt>
                <c:pt idx="34">
                  <c:v>24480</c:v>
                </c:pt>
                <c:pt idx="35">
                  <c:v>0</c:v>
                </c:pt>
                <c:pt idx="36">
                  <c:v>0</c:v>
                </c:pt>
                <c:pt idx="37">
                  <c:v>27104</c:v>
                </c:pt>
                <c:pt idx="38">
                  <c:v>0</c:v>
                </c:pt>
                <c:pt idx="39">
                  <c:v>27989</c:v>
                </c:pt>
                <c:pt idx="40">
                  <c:v>0</c:v>
                </c:pt>
                <c:pt idx="41">
                  <c:v>0</c:v>
                </c:pt>
                <c:pt idx="42">
                  <c:v>30525</c:v>
                </c:pt>
                <c:pt idx="43">
                  <c:v>0</c:v>
                </c:pt>
                <c:pt idx="44">
                  <c:v>30563</c:v>
                </c:pt>
                <c:pt idx="45">
                  <c:v>0</c:v>
                </c:pt>
                <c:pt idx="46">
                  <c:v>0</c:v>
                </c:pt>
                <c:pt idx="47">
                  <c:v>29483</c:v>
                </c:pt>
                <c:pt idx="48">
                  <c:v>0</c:v>
                </c:pt>
                <c:pt idx="49">
                  <c:v>34173</c:v>
                </c:pt>
                <c:pt idx="50">
                  <c:v>0</c:v>
                </c:pt>
                <c:pt idx="51">
                  <c:v>0</c:v>
                </c:pt>
                <c:pt idx="52">
                  <c:v>38955</c:v>
                </c:pt>
                <c:pt idx="53">
                  <c:v>0</c:v>
                </c:pt>
                <c:pt idx="54">
                  <c:v>0</c:v>
                </c:pt>
                <c:pt idx="55">
                  <c:v>40425</c:v>
                </c:pt>
                <c:pt idx="56">
                  <c:v>0</c:v>
                </c:pt>
                <c:pt idx="57">
                  <c:v>45239</c:v>
                </c:pt>
                <c:pt idx="58">
                  <c:v>0</c:v>
                </c:pt>
                <c:pt idx="59">
                  <c:v>0</c:v>
                </c:pt>
                <c:pt idx="60">
                  <c:v>46025</c:v>
                </c:pt>
                <c:pt idx="61">
                  <c:v>0</c:v>
                </c:pt>
                <c:pt idx="62">
                  <c:v>43222</c:v>
                </c:pt>
                <c:pt idx="63">
                  <c:v>0</c:v>
                </c:pt>
                <c:pt idx="64">
                  <c:v>0</c:v>
                </c:pt>
                <c:pt idx="65">
                  <c:v>52881</c:v>
                </c:pt>
                <c:pt idx="66">
                  <c:v>0</c:v>
                </c:pt>
                <c:pt idx="67">
                  <c:v>51455</c:v>
                </c:pt>
                <c:pt idx="68">
                  <c:v>0</c:v>
                </c:pt>
                <c:pt idx="69">
                  <c:v>0</c:v>
                </c:pt>
                <c:pt idx="70">
                  <c:v>57927</c:v>
                </c:pt>
                <c:pt idx="71">
                  <c:v>0</c:v>
                </c:pt>
                <c:pt idx="72">
                  <c:v>0</c:v>
                </c:pt>
                <c:pt idx="73">
                  <c:v>64265</c:v>
                </c:pt>
                <c:pt idx="74">
                  <c:v>0</c:v>
                </c:pt>
                <c:pt idx="75">
                  <c:v>74430</c:v>
                </c:pt>
                <c:pt idx="76">
                  <c:v>0</c:v>
                </c:pt>
                <c:pt idx="77">
                  <c:v>0</c:v>
                </c:pt>
                <c:pt idx="78">
                  <c:v>82255</c:v>
                </c:pt>
                <c:pt idx="79">
                  <c:v>0</c:v>
                </c:pt>
                <c:pt idx="80">
                  <c:v>85347</c:v>
                </c:pt>
                <c:pt idx="81">
                  <c:v>0</c:v>
                </c:pt>
                <c:pt idx="82">
                  <c:v>0</c:v>
                </c:pt>
                <c:pt idx="83">
                  <c:v>85650</c:v>
                </c:pt>
                <c:pt idx="84">
                  <c:v>0</c:v>
                </c:pt>
                <c:pt idx="85">
                  <c:v>0</c:v>
                </c:pt>
                <c:pt idx="86">
                  <c:v>84617</c:v>
                </c:pt>
                <c:pt idx="87">
                  <c:v>0</c:v>
                </c:pt>
                <c:pt idx="88">
                  <c:v>82002</c:v>
                </c:pt>
                <c:pt idx="89">
                  <c:v>0</c:v>
                </c:pt>
                <c:pt idx="90">
                  <c:v>0</c:v>
                </c:pt>
                <c:pt idx="91">
                  <c:v>85473</c:v>
                </c:pt>
                <c:pt idx="92">
                  <c:v>0</c:v>
                </c:pt>
                <c:pt idx="93">
                  <c:v>81904</c:v>
                </c:pt>
                <c:pt idx="94">
                  <c:v>0</c:v>
                </c:pt>
                <c:pt idx="95">
                  <c:v>0</c:v>
                </c:pt>
                <c:pt idx="96">
                  <c:v>80040</c:v>
                </c:pt>
                <c:pt idx="97">
                  <c:v>0</c:v>
                </c:pt>
                <c:pt idx="98">
                  <c:v>77012</c:v>
                </c:pt>
                <c:pt idx="99">
                  <c:v>0</c:v>
                </c:pt>
                <c:pt idx="100">
                  <c:v>0</c:v>
                </c:pt>
                <c:pt idx="101">
                  <c:v>77760</c:v>
                </c:pt>
                <c:pt idx="102">
                  <c:v>0</c:v>
                </c:pt>
                <c:pt idx="103">
                  <c:v>0</c:v>
                </c:pt>
                <c:pt idx="104">
                  <c:v>71676</c:v>
                </c:pt>
                <c:pt idx="105">
                  <c:v>0</c:v>
                </c:pt>
                <c:pt idx="106">
                  <c:v>71066</c:v>
                </c:pt>
                <c:pt idx="107">
                  <c:v>0</c:v>
                </c:pt>
                <c:pt idx="108">
                  <c:v>0</c:v>
                </c:pt>
                <c:pt idx="109">
                  <c:v>64146</c:v>
                </c:pt>
                <c:pt idx="110">
                  <c:v>0</c:v>
                </c:pt>
                <c:pt idx="111">
                  <c:v>64356</c:v>
                </c:pt>
                <c:pt idx="112">
                  <c:v>0</c:v>
                </c:pt>
                <c:pt idx="113">
                  <c:v>0</c:v>
                </c:pt>
                <c:pt idx="114">
                  <c:v>60599</c:v>
                </c:pt>
                <c:pt idx="115">
                  <c:v>0</c:v>
                </c:pt>
                <c:pt idx="116">
                  <c:v>55018</c:v>
                </c:pt>
                <c:pt idx="117">
                  <c:v>0</c:v>
                </c:pt>
                <c:pt idx="118">
                  <c:v>0</c:v>
                </c:pt>
                <c:pt idx="119">
                  <c:v>55045</c:v>
                </c:pt>
                <c:pt idx="120">
                  <c:v>0</c:v>
                </c:pt>
                <c:pt idx="121">
                  <c:v>0</c:v>
                </c:pt>
                <c:pt idx="122">
                  <c:v>47454</c:v>
                </c:pt>
                <c:pt idx="123">
                  <c:v>0</c:v>
                </c:pt>
                <c:pt idx="124">
                  <c:v>47288</c:v>
                </c:pt>
                <c:pt idx="125">
                  <c:v>0</c:v>
                </c:pt>
                <c:pt idx="126">
                  <c:v>0</c:v>
                </c:pt>
                <c:pt idx="127">
                  <c:v>47741</c:v>
                </c:pt>
                <c:pt idx="128">
                  <c:v>0</c:v>
                </c:pt>
                <c:pt idx="129">
                  <c:v>45467</c:v>
                </c:pt>
                <c:pt idx="130">
                  <c:v>0</c:v>
                </c:pt>
                <c:pt idx="131">
                  <c:v>0</c:v>
                </c:pt>
                <c:pt idx="132">
                  <c:v>45571</c:v>
                </c:pt>
                <c:pt idx="133">
                  <c:v>0</c:v>
                </c:pt>
                <c:pt idx="134">
                  <c:v>37268</c:v>
                </c:pt>
                <c:pt idx="135">
                  <c:v>0</c:v>
                </c:pt>
                <c:pt idx="136">
                  <c:v>0</c:v>
                </c:pt>
                <c:pt idx="137">
                  <c:v>28874</c:v>
                </c:pt>
                <c:pt idx="138">
                  <c:v>0</c:v>
                </c:pt>
                <c:pt idx="139">
                  <c:v>0</c:v>
                </c:pt>
                <c:pt idx="140">
                  <c:v>21849</c:v>
                </c:pt>
                <c:pt idx="141">
                  <c:v>0</c:v>
                </c:pt>
                <c:pt idx="142">
                  <c:v>13975</c:v>
                </c:pt>
                <c:pt idx="143">
                  <c:v>0</c:v>
                </c:pt>
                <c:pt idx="144">
                  <c:v>0</c:v>
                </c:pt>
                <c:pt idx="145">
                  <c:v>13131</c:v>
                </c:pt>
                <c:pt idx="146">
                  <c:v>0</c:v>
                </c:pt>
                <c:pt idx="147">
                  <c:v>8335</c:v>
                </c:pt>
                <c:pt idx="148">
                  <c:v>0</c:v>
                </c:pt>
                <c:pt idx="149">
                  <c:v>0</c:v>
                </c:pt>
                <c:pt idx="150">
                  <c:v>6920</c:v>
                </c:pt>
                <c:pt idx="151">
                  <c:v>0</c:v>
                </c:pt>
                <c:pt idx="152">
                  <c:v>4267</c:v>
                </c:pt>
                <c:pt idx="153">
                  <c:v>0</c:v>
                </c:pt>
                <c:pt idx="154">
                  <c:v>0</c:v>
                </c:pt>
                <c:pt idx="155">
                  <c:v>2331</c:v>
                </c:pt>
                <c:pt idx="156">
                  <c:v>0</c:v>
                </c:pt>
                <c:pt idx="157">
                  <c:v>0</c:v>
                </c:pt>
                <c:pt idx="158">
                  <c:v>1546</c:v>
                </c:pt>
                <c:pt idx="159">
                  <c:v>0</c:v>
                </c:pt>
                <c:pt idx="160">
                  <c:v>739</c:v>
                </c:pt>
                <c:pt idx="161">
                  <c:v>0</c:v>
                </c:pt>
                <c:pt idx="162">
                  <c:v>0</c:v>
                </c:pt>
                <c:pt idx="163">
                  <c:v>818</c:v>
                </c:pt>
                <c:pt idx="164">
                  <c:v>0</c:v>
                </c:pt>
                <c:pt idx="165">
                  <c:v>229</c:v>
                </c:pt>
                <c:pt idx="166">
                  <c:v>0</c:v>
                </c:pt>
                <c:pt idx="167">
                  <c:v>0</c:v>
                </c:pt>
                <c:pt idx="168">
                  <c:v>100</c:v>
                </c:pt>
                <c:pt idx="169">
                  <c:v>0</c:v>
                </c:pt>
                <c:pt idx="170">
                  <c:v>0</c:v>
                </c:pt>
                <c:pt idx="171">
                  <c:v>226</c:v>
                </c:pt>
                <c:pt idx="172">
                  <c:v>0</c:v>
                </c:pt>
                <c:pt idx="173">
                  <c:v>304</c:v>
                </c:pt>
                <c:pt idx="174">
                  <c:v>0</c:v>
                </c:pt>
                <c:pt idx="175">
                  <c:v>0</c:v>
                </c:pt>
                <c:pt idx="176">
                  <c:v>355</c:v>
                </c:pt>
                <c:pt idx="177">
                  <c:v>0</c:v>
                </c:pt>
                <c:pt idx="178">
                  <c:v>40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0.16056464286968686</c:v>
                </c:pt>
                <c:pt idx="1">
                  <c:v>0.2681041368763572</c:v>
                </c:pt>
                <c:pt idx="2">
                  <c:v>0.571331220253956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0.44607113770128931</c:v>
                </c:pt>
                <c:pt idx="1">
                  <c:v>0.26393412200007116</c:v>
                </c:pt>
                <c:pt idx="2">
                  <c:v>0.28999474029863948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4.2286575000000006</c:v>
                </c:pt>
                <c:pt idx="1">
                  <c:v>11.496040000000001</c:v>
                </c:pt>
                <c:pt idx="2">
                  <c:v>30.02505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0.39655499999999999</c:v>
                </c:pt>
                <c:pt idx="2">
                  <c:v>0.80140100000000003</c:v>
                </c:pt>
                <c:pt idx="3">
                  <c:v>1.2085399999999999</c:v>
                </c:pt>
                <c:pt idx="4">
                  <c:v>1.6133900000000001</c:v>
                </c:pt>
                <c:pt idx="5">
                  <c:v>2.0221499999999999</c:v>
                </c:pt>
                <c:pt idx="6">
                  <c:v>2.4279799999999998</c:v>
                </c:pt>
                <c:pt idx="7">
                  <c:v>2.8342999999999998</c:v>
                </c:pt>
                <c:pt idx="8">
                  <c:v>3.2372999999999998</c:v>
                </c:pt>
                <c:pt idx="9">
                  <c:v>3.64636</c:v>
                </c:pt>
                <c:pt idx="10">
                  <c:v>4.0519100000000003</c:v>
                </c:pt>
                <c:pt idx="11">
                  <c:v>4.4559699999999998</c:v>
                </c:pt>
                <c:pt idx="12">
                  <c:v>4.8644299999999996</c:v>
                </c:pt>
                <c:pt idx="13">
                  <c:v>5.2701500000000001</c:v>
                </c:pt>
                <c:pt idx="14">
                  <c:v>5.67509</c:v>
                </c:pt>
                <c:pt idx="15">
                  <c:v>6.0828300000000004</c:v>
                </c:pt>
                <c:pt idx="16">
                  <c:v>6.4924799999999996</c:v>
                </c:pt>
                <c:pt idx="17">
                  <c:v>6.8928799999999999</c:v>
                </c:pt>
                <c:pt idx="18">
                  <c:v>7.2996100000000004</c:v>
                </c:pt>
                <c:pt idx="19">
                  <c:v>7.70906</c:v>
                </c:pt>
                <c:pt idx="20">
                  <c:v>8.1117600000000003</c:v>
                </c:pt>
                <c:pt idx="21">
                  <c:v>8.5223999999999993</c:v>
                </c:pt>
                <c:pt idx="22">
                  <c:v>8.9256799999999998</c:v>
                </c:pt>
                <c:pt idx="23">
                  <c:v>9.3318999999999992</c:v>
                </c:pt>
                <c:pt idx="24">
                  <c:v>9.7385400000000004</c:v>
                </c:pt>
                <c:pt idx="25">
                  <c:v>10.1495</c:v>
                </c:pt>
                <c:pt idx="26">
                  <c:v>10.553599999999999</c:v>
                </c:pt>
                <c:pt idx="27">
                  <c:v>10.9575</c:v>
                </c:pt>
                <c:pt idx="28">
                  <c:v>11.3645</c:v>
                </c:pt>
                <c:pt idx="29">
                  <c:v>11.7698</c:v>
                </c:pt>
                <c:pt idx="30">
                  <c:v>12.1762</c:v>
                </c:pt>
                <c:pt idx="31">
                  <c:v>12.5846</c:v>
                </c:pt>
                <c:pt idx="32">
                  <c:v>12.987399999999999</c:v>
                </c:pt>
                <c:pt idx="33">
                  <c:v>13.395799999999999</c:v>
                </c:pt>
                <c:pt idx="34">
                  <c:v>13.802300000000001</c:v>
                </c:pt>
                <c:pt idx="35">
                  <c:v>14.2065</c:v>
                </c:pt>
                <c:pt idx="36">
                  <c:v>14.6127</c:v>
                </c:pt>
                <c:pt idx="37">
                  <c:v>15.0222</c:v>
                </c:pt>
                <c:pt idx="38">
                  <c:v>15.4254</c:v>
                </c:pt>
                <c:pt idx="39">
                  <c:v>15.833299999999999</c:v>
                </c:pt>
                <c:pt idx="40">
                  <c:v>16.238399999999999</c:v>
                </c:pt>
                <c:pt idx="41">
                  <c:v>16.646100000000001</c:v>
                </c:pt>
                <c:pt idx="42">
                  <c:v>17.0532</c:v>
                </c:pt>
                <c:pt idx="43">
                  <c:v>17.454899999999999</c:v>
                </c:pt>
                <c:pt idx="44">
                  <c:v>17.8628</c:v>
                </c:pt>
                <c:pt idx="45">
                  <c:v>18.2714</c:v>
                </c:pt>
                <c:pt idx="46">
                  <c:v>18.6752</c:v>
                </c:pt>
                <c:pt idx="47">
                  <c:v>19.084499999999998</c:v>
                </c:pt>
                <c:pt idx="48">
                  <c:v>19.487300000000001</c:v>
                </c:pt>
                <c:pt idx="49">
                  <c:v>19.893999999999998</c:v>
                </c:pt>
                <c:pt idx="50">
                  <c:v>20.3047</c:v>
                </c:pt>
                <c:pt idx="51">
                  <c:v>20.707999999999998</c:v>
                </c:pt>
                <c:pt idx="52">
                  <c:v>21.115200000000002</c:v>
                </c:pt>
                <c:pt idx="53">
                  <c:v>21.5185</c:v>
                </c:pt>
                <c:pt idx="54">
                  <c:v>21.928100000000001</c:v>
                </c:pt>
                <c:pt idx="55">
                  <c:v>22.331900000000001</c:v>
                </c:pt>
                <c:pt idx="56">
                  <c:v>22.741199999999999</c:v>
                </c:pt>
                <c:pt idx="57">
                  <c:v>23.148499999999999</c:v>
                </c:pt>
                <c:pt idx="58">
                  <c:v>23.552700000000002</c:v>
                </c:pt>
                <c:pt idx="59">
                  <c:v>23.954899999999999</c:v>
                </c:pt>
                <c:pt idx="60">
                  <c:v>24.364100000000001</c:v>
                </c:pt>
                <c:pt idx="61">
                  <c:v>24.773299999999999</c:v>
                </c:pt>
                <c:pt idx="62">
                  <c:v>25.178100000000001</c:v>
                </c:pt>
                <c:pt idx="63">
                  <c:v>25.5855</c:v>
                </c:pt>
                <c:pt idx="64">
                  <c:v>25.989899999999999</c:v>
                </c:pt>
                <c:pt idx="65">
                  <c:v>26.394500000000001</c:v>
                </c:pt>
                <c:pt idx="66">
                  <c:v>26.8032</c:v>
                </c:pt>
                <c:pt idx="67">
                  <c:v>27.210100000000001</c:v>
                </c:pt>
                <c:pt idx="68">
                  <c:v>27.614799999999999</c:v>
                </c:pt>
                <c:pt idx="69">
                  <c:v>28.018999999999998</c:v>
                </c:pt>
                <c:pt idx="70">
                  <c:v>28.4283</c:v>
                </c:pt>
                <c:pt idx="71">
                  <c:v>28.838200000000001</c:v>
                </c:pt>
                <c:pt idx="72">
                  <c:v>29.241099999999999</c:v>
                </c:pt>
                <c:pt idx="73">
                  <c:v>29.645499999999998</c:v>
                </c:pt>
                <c:pt idx="74">
                  <c:v>30.0505</c:v>
                </c:pt>
                <c:pt idx="75">
                  <c:v>30.5091</c:v>
                </c:pt>
                <c:pt idx="76">
                  <c:v>30.9086</c:v>
                </c:pt>
                <c:pt idx="77">
                  <c:v>31.3171</c:v>
                </c:pt>
                <c:pt idx="78">
                  <c:v>31.7225</c:v>
                </c:pt>
                <c:pt idx="79">
                  <c:v>32.131300000000003</c:v>
                </c:pt>
                <c:pt idx="80">
                  <c:v>32.5349</c:v>
                </c:pt>
                <c:pt idx="81">
                  <c:v>32.942</c:v>
                </c:pt>
                <c:pt idx="82">
                  <c:v>33.347299999999997</c:v>
                </c:pt>
                <c:pt idx="83">
                  <c:v>33.7547</c:v>
                </c:pt>
                <c:pt idx="84">
                  <c:v>34.160200000000003</c:v>
                </c:pt>
                <c:pt idx="85">
                  <c:v>34.5685</c:v>
                </c:pt>
                <c:pt idx="86">
                  <c:v>34.973399999999998</c:v>
                </c:pt>
                <c:pt idx="87">
                  <c:v>35.3765</c:v>
                </c:pt>
                <c:pt idx="88">
                  <c:v>35.785699999999999</c:v>
                </c:pt>
                <c:pt idx="89">
                  <c:v>36.192900000000002</c:v>
                </c:pt>
                <c:pt idx="90">
                  <c:v>36.600200000000001</c:v>
                </c:pt>
                <c:pt idx="91">
                  <c:v>37.0032</c:v>
                </c:pt>
                <c:pt idx="92">
                  <c:v>37.410699999999999</c:v>
                </c:pt>
                <c:pt idx="93">
                  <c:v>37.816800000000001</c:v>
                </c:pt>
                <c:pt idx="94">
                  <c:v>38.225700000000003</c:v>
                </c:pt>
                <c:pt idx="95">
                  <c:v>38.630099999999999</c:v>
                </c:pt>
                <c:pt idx="96">
                  <c:v>39.0396</c:v>
                </c:pt>
                <c:pt idx="97">
                  <c:v>39.442100000000003</c:v>
                </c:pt>
                <c:pt idx="98">
                  <c:v>39.8476</c:v>
                </c:pt>
                <c:pt idx="99">
                  <c:v>40.254100000000001</c:v>
                </c:pt>
                <c:pt idx="100">
                  <c:v>40.662700000000001</c:v>
                </c:pt>
                <c:pt idx="101">
                  <c:v>41.070099999999996</c:v>
                </c:pt>
                <c:pt idx="102">
                  <c:v>41.4724</c:v>
                </c:pt>
                <c:pt idx="103">
                  <c:v>41.880200000000002</c:v>
                </c:pt>
                <c:pt idx="104">
                  <c:v>42.290900000000001</c:v>
                </c:pt>
                <c:pt idx="105">
                  <c:v>42.692999999999998</c:v>
                </c:pt>
                <c:pt idx="106">
                  <c:v>43.097099999999998</c:v>
                </c:pt>
                <c:pt idx="107">
                  <c:v>43.503799999999998</c:v>
                </c:pt>
                <c:pt idx="108">
                  <c:v>43.907800000000002</c:v>
                </c:pt>
                <c:pt idx="109">
                  <c:v>44.316800000000001</c:v>
                </c:pt>
                <c:pt idx="110">
                  <c:v>44.723100000000002</c:v>
                </c:pt>
                <c:pt idx="111">
                  <c:v>45.128700000000002</c:v>
                </c:pt>
                <c:pt idx="112">
                  <c:v>45.536000000000001</c:v>
                </c:pt>
                <c:pt idx="113">
                  <c:v>45.941200000000002</c:v>
                </c:pt>
                <c:pt idx="114">
                  <c:v>46.349299999999999</c:v>
                </c:pt>
                <c:pt idx="115">
                  <c:v>46.752600000000001</c:v>
                </c:pt>
                <c:pt idx="116">
                  <c:v>47.159399999999998</c:v>
                </c:pt>
                <c:pt idx="117">
                  <c:v>47.5687</c:v>
                </c:pt>
                <c:pt idx="118">
                  <c:v>47.9741</c:v>
                </c:pt>
                <c:pt idx="119">
                  <c:v>48.380299999999998</c:v>
                </c:pt>
                <c:pt idx="120">
                  <c:v>48.786000000000001</c:v>
                </c:pt>
                <c:pt idx="121">
                  <c:v>49.191400000000002</c:v>
                </c:pt>
                <c:pt idx="122">
                  <c:v>49.598500000000001</c:v>
                </c:pt>
                <c:pt idx="123">
                  <c:v>50.0032</c:v>
                </c:pt>
                <c:pt idx="124">
                  <c:v>50.409500000000001</c:v>
                </c:pt>
                <c:pt idx="125">
                  <c:v>50.817399999999999</c:v>
                </c:pt>
                <c:pt idx="126">
                  <c:v>51.220799999999997</c:v>
                </c:pt>
                <c:pt idx="127">
                  <c:v>51.629800000000003</c:v>
                </c:pt>
                <c:pt idx="128">
                  <c:v>52.035299999999999</c:v>
                </c:pt>
                <c:pt idx="129">
                  <c:v>52.442599999999999</c:v>
                </c:pt>
                <c:pt idx="130">
                  <c:v>52.848500000000001</c:v>
                </c:pt>
                <c:pt idx="131">
                  <c:v>53.2532</c:v>
                </c:pt>
                <c:pt idx="132">
                  <c:v>53.659799999999997</c:v>
                </c:pt>
                <c:pt idx="133">
                  <c:v>54.069000000000003</c:v>
                </c:pt>
                <c:pt idx="134">
                  <c:v>54.474699999999999</c:v>
                </c:pt>
                <c:pt idx="135">
                  <c:v>54.880899999999997</c:v>
                </c:pt>
                <c:pt idx="136">
                  <c:v>55.287700000000001</c:v>
                </c:pt>
                <c:pt idx="137">
                  <c:v>55.691800000000001</c:v>
                </c:pt>
                <c:pt idx="138">
                  <c:v>56.102800000000002</c:v>
                </c:pt>
                <c:pt idx="139">
                  <c:v>56.505600000000001</c:v>
                </c:pt>
                <c:pt idx="140">
                  <c:v>56.908799999999999</c:v>
                </c:pt>
                <c:pt idx="141">
                  <c:v>57.316000000000003</c:v>
                </c:pt>
                <c:pt idx="142">
                  <c:v>57.722299999999997</c:v>
                </c:pt>
                <c:pt idx="143">
                  <c:v>58.130099999999999</c:v>
                </c:pt>
                <c:pt idx="144">
                  <c:v>58.542700000000004</c:v>
                </c:pt>
                <c:pt idx="145">
                  <c:v>58.949599999999997</c:v>
                </c:pt>
                <c:pt idx="146">
                  <c:v>59.346899999999998</c:v>
                </c:pt>
                <c:pt idx="147">
                  <c:v>59.756700000000002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2.3476499999999998</c:v>
                </c:pt>
                <c:pt idx="1">
                  <c:v>2.37541</c:v>
                </c:pt>
                <c:pt idx="2">
                  <c:v>2.4029700000000003</c:v>
                </c:pt>
                <c:pt idx="3">
                  <c:v>2.43085</c:v>
                </c:pt>
                <c:pt idx="4">
                  <c:v>2.4586299999999999</c:v>
                </c:pt>
                <c:pt idx="5">
                  <c:v>2.4857999999999998</c:v>
                </c:pt>
                <c:pt idx="6">
                  <c:v>2.5109500000000002</c:v>
                </c:pt>
                <c:pt idx="7">
                  <c:v>2.5356699999999996</c:v>
                </c:pt>
                <c:pt idx="8">
                  <c:v>2.5573299999999999</c:v>
                </c:pt>
                <c:pt idx="9">
                  <c:v>2.5766299999999998</c:v>
                </c:pt>
                <c:pt idx="10">
                  <c:v>2.5914299999999999</c:v>
                </c:pt>
                <c:pt idx="11">
                  <c:v>2.6030899999999999</c:v>
                </c:pt>
                <c:pt idx="12">
                  <c:v>2.6162400000000003</c:v>
                </c:pt>
                <c:pt idx="13">
                  <c:v>2.6265000000000001</c:v>
                </c:pt>
                <c:pt idx="14">
                  <c:v>2.6353399999999998</c:v>
                </c:pt>
                <c:pt idx="15">
                  <c:v>2.6437100000000004</c:v>
                </c:pt>
                <c:pt idx="16">
                  <c:v>2.6521600000000003</c:v>
                </c:pt>
                <c:pt idx="17">
                  <c:v>2.6608499999999999</c:v>
                </c:pt>
                <c:pt idx="18">
                  <c:v>2.6712699999999998</c:v>
                </c:pt>
                <c:pt idx="19">
                  <c:v>2.68038</c:v>
                </c:pt>
                <c:pt idx="20">
                  <c:v>2.68926</c:v>
                </c:pt>
                <c:pt idx="21">
                  <c:v>2.6990399999999997</c:v>
                </c:pt>
                <c:pt idx="22">
                  <c:v>2.70621</c:v>
                </c:pt>
                <c:pt idx="23">
                  <c:v>2.7121499999999998</c:v>
                </c:pt>
                <c:pt idx="24">
                  <c:v>2.7184399999999997</c:v>
                </c:pt>
                <c:pt idx="25">
                  <c:v>2.72546</c:v>
                </c:pt>
                <c:pt idx="26">
                  <c:v>2.7332700000000001</c:v>
                </c:pt>
                <c:pt idx="27">
                  <c:v>2.7428300000000001</c:v>
                </c:pt>
                <c:pt idx="28">
                  <c:v>2.75393</c:v>
                </c:pt>
                <c:pt idx="29">
                  <c:v>2.7641900000000001</c:v>
                </c:pt>
                <c:pt idx="30">
                  <c:v>2.7732200000000002</c:v>
                </c:pt>
                <c:pt idx="31">
                  <c:v>2.7822999999999998</c:v>
                </c:pt>
                <c:pt idx="32">
                  <c:v>2.7926299999999999</c:v>
                </c:pt>
                <c:pt idx="33">
                  <c:v>2.8065199999999999</c:v>
                </c:pt>
                <c:pt idx="34">
                  <c:v>2.8217399999999997</c:v>
                </c:pt>
                <c:pt idx="35">
                  <c:v>2.8394900000000001</c:v>
                </c:pt>
                <c:pt idx="36">
                  <c:v>2.8602799999999999</c:v>
                </c:pt>
                <c:pt idx="37">
                  <c:v>2.8843700000000001</c:v>
                </c:pt>
                <c:pt idx="38">
                  <c:v>2.91201</c:v>
                </c:pt>
                <c:pt idx="39">
                  <c:v>2.9404200000000005</c:v>
                </c:pt>
                <c:pt idx="40">
                  <c:v>2.97072</c:v>
                </c:pt>
                <c:pt idx="41">
                  <c:v>3.0036200000000002</c:v>
                </c:pt>
                <c:pt idx="42">
                  <c:v>3.0369000000000002</c:v>
                </c:pt>
                <c:pt idx="43">
                  <c:v>3.0675300000000001</c:v>
                </c:pt>
                <c:pt idx="44">
                  <c:v>3.0971100000000003</c:v>
                </c:pt>
                <c:pt idx="45">
                  <c:v>3.1249900000000004</c:v>
                </c:pt>
                <c:pt idx="46">
                  <c:v>3.1519399999999997</c:v>
                </c:pt>
                <c:pt idx="47">
                  <c:v>3.17815</c:v>
                </c:pt>
                <c:pt idx="48">
                  <c:v>3.2035200000000001</c:v>
                </c:pt>
                <c:pt idx="49">
                  <c:v>3.2277099999999996</c:v>
                </c:pt>
                <c:pt idx="50">
                  <c:v>3.25386</c:v>
                </c:pt>
                <c:pt idx="51">
                  <c:v>3.2812200000000002</c:v>
                </c:pt>
                <c:pt idx="52">
                  <c:v>3.3000800000000003</c:v>
                </c:pt>
                <c:pt idx="53">
                  <c:v>3.3203300000000002</c:v>
                </c:pt>
                <c:pt idx="54">
                  <c:v>3.34111</c:v>
                </c:pt>
                <c:pt idx="55">
                  <c:v>3.35494</c:v>
                </c:pt>
                <c:pt idx="56">
                  <c:v>3.3736199999999998</c:v>
                </c:pt>
                <c:pt idx="57">
                  <c:v>3.3903499999999998</c:v>
                </c:pt>
                <c:pt idx="58">
                  <c:v>3.4066099999999997</c:v>
                </c:pt>
                <c:pt idx="59">
                  <c:v>3.4202300000000001</c:v>
                </c:pt>
                <c:pt idx="60">
                  <c:v>3.4401299999999999</c:v>
                </c:pt>
                <c:pt idx="61">
                  <c:v>3.4598899999999997</c:v>
                </c:pt>
                <c:pt idx="62">
                  <c:v>3.47207</c:v>
                </c:pt>
                <c:pt idx="63">
                  <c:v>3.4818799999999999</c:v>
                </c:pt>
                <c:pt idx="64">
                  <c:v>3.4913799999999999</c:v>
                </c:pt>
                <c:pt idx="65">
                  <c:v>3.4967600000000001</c:v>
                </c:pt>
                <c:pt idx="66">
                  <c:v>3.4948200000000003</c:v>
                </c:pt>
                <c:pt idx="67">
                  <c:v>3.4905000000000004</c:v>
                </c:pt>
                <c:pt idx="68">
                  <c:v>3.4881099999999998</c:v>
                </c:pt>
                <c:pt idx="69">
                  <c:v>3.4817799999999997</c:v>
                </c:pt>
                <c:pt idx="70">
                  <c:v>3.4754299999999998</c:v>
                </c:pt>
                <c:pt idx="71">
                  <c:v>3.4643899999999999</c:v>
                </c:pt>
                <c:pt idx="72">
                  <c:v>3.4596300000000002</c:v>
                </c:pt>
                <c:pt idx="73">
                  <c:v>3.4556900000000002</c:v>
                </c:pt>
                <c:pt idx="74">
                  <c:v>3.4547600000000003</c:v>
                </c:pt>
                <c:pt idx="75">
                  <c:v>3.4469100000000004</c:v>
                </c:pt>
                <c:pt idx="76">
                  <c:v>3.44082</c:v>
                </c:pt>
                <c:pt idx="77">
                  <c:v>3.4358599999999999</c:v>
                </c:pt>
                <c:pt idx="78">
                  <c:v>3.4303900000000001</c:v>
                </c:pt>
                <c:pt idx="79">
                  <c:v>3.42889</c:v>
                </c:pt>
                <c:pt idx="80">
                  <c:v>3.4271800000000003</c:v>
                </c:pt>
                <c:pt idx="81">
                  <c:v>3.4209099999999997</c:v>
                </c:pt>
                <c:pt idx="82">
                  <c:v>3.4099300000000001</c:v>
                </c:pt>
                <c:pt idx="83">
                  <c:v>3.3981699999999999</c:v>
                </c:pt>
                <c:pt idx="84">
                  <c:v>3.3853499999999999</c:v>
                </c:pt>
                <c:pt idx="85">
                  <c:v>3.37358</c:v>
                </c:pt>
                <c:pt idx="86">
                  <c:v>3.3597999999999999</c:v>
                </c:pt>
                <c:pt idx="87">
                  <c:v>3.3427000000000002</c:v>
                </c:pt>
                <c:pt idx="88">
                  <c:v>3.327</c:v>
                </c:pt>
                <c:pt idx="89">
                  <c:v>3.31115</c:v>
                </c:pt>
                <c:pt idx="90">
                  <c:v>3.2957900000000002</c:v>
                </c:pt>
                <c:pt idx="91">
                  <c:v>3.2831999999999999</c:v>
                </c:pt>
                <c:pt idx="92">
                  <c:v>3.2739800000000003</c:v>
                </c:pt>
                <c:pt idx="93">
                  <c:v>3.2692199999999998</c:v>
                </c:pt>
                <c:pt idx="94">
                  <c:v>3.2687300000000001</c:v>
                </c:pt>
                <c:pt idx="95">
                  <c:v>3.2695999999999996</c:v>
                </c:pt>
                <c:pt idx="96">
                  <c:v>3.2741599999999997</c:v>
                </c:pt>
                <c:pt idx="97">
                  <c:v>3.2782899999999997</c:v>
                </c:pt>
                <c:pt idx="98">
                  <c:v>3.28193</c:v>
                </c:pt>
                <c:pt idx="99">
                  <c:v>3.2834500000000002</c:v>
                </c:pt>
                <c:pt idx="100">
                  <c:v>3.2815899999999996</c:v>
                </c:pt>
                <c:pt idx="101">
                  <c:v>3.2781199999999999</c:v>
                </c:pt>
                <c:pt idx="102">
                  <c:v>3.27684</c:v>
                </c:pt>
                <c:pt idx="103">
                  <c:v>3.2775500000000002</c:v>
                </c:pt>
                <c:pt idx="104">
                  <c:v>3.2780800000000001</c:v>
                </c:pt>
                <c:pt idx="105">
                  <c:v>3.2786200000000001</c:v>
                </c:pt>
                <c:pt idx="106">
                  <c:v>3.28355</c:v>
                </c:pt>
                <c:pt idx="107">
                  <c:v>3.29312</c:v>
                </c:pt>
                <c:pt idx="108">
                  <c:v>3.3053400000000002</c:v>
                </c:pt>
                <c:pt idx="109">
                  <c:v>3.3196099999999999</c:v>
                </c:pt>
                <c:pt idx="110">
                  <c:v>3.3326000000000002</c:v>
                </c:pt>
                <c:pt idx="111">
                  <c:v>3.3456599999999996</c:v>
                </c:pt>
                <c:pt idx="112">
                  <c:v>3.3613999999999997</c:v>
                </c:pt>
                <c:pt idx="113">
                  <c:v>3.3773999999999997</c:v>
                </c:pt>
                <c:pt idx="114">
                  <c:v>3.3917799999999998</c:v>
                </c:pt>
                <c:pt idx="115">
                  <c:v>3.4088000000000003</c:v>
                </c:pt>
                <c:pt idx="116">
                  <c:v>3.4261999999999997</c:v>
                </c:pt>
                <c:pt idx="117">
                  <c:v>3.4419399999999998</c:v>
                </c:pt>
                <c:pt idx="118">
                  <c:v>3.4567700000000001</c:v>
                </c:pt>
                <c:pt idx="119">
                  <c:v>3.47079</c:v>
                </c:pt>
                <c:pt idx="120">
                  <c:v>3.48353</c:v>
                </c:pt>
                <c:pt idx="121">
                  <c:v>3.4946300000000003</c:v>
                </c:pt>
                <c:pt idx="122">
                  <c:v>3.5045999999999999</c:v>
                </c:pt>
                <c:pt idx="123">
                  <c:v>3.5183599999999999</c:v>
                </c:pt>
                <c:pt idx="124">
                  <c:v>3.5268199999999998</c:v>
                </c:pt>
                <c:pt idx="125">
                  <c:v>3.5373900000000003</c:v>
                </c:pt>
                <c:pt idx="126">
                  <c:v>3.5486400000000002</c:v>
                </c:pt>
                <c:pt idx="127">
                  <c:v>3.5587800000000005</c:v>
                </c:pt>
                <c:pt idx="128">
                  <c:v>3.5682399999999999</c:v>
                </c:pt>
                <c:pt idx="129">
                  <c:v>3.5767799999999998</c:v>
                </c:pt>
                <c:pt idx="130">
                  <c:v>3.5867</c:v>
                </c:pt>
                <c:pt idx="131">
                  <c:v>3.5947</c:v>
                </c:pt>
                <c:pt idx="132">
                  <c:v>3.6008800000000001</c:v>
                </c:pt>
                <c:pt idx="133">
                  <c:v>3.6005199999999999</c:v>
                </c:pt>
                <c:pt idx="134">
                  <c:v>3.5929899999999999</c:v>
                </c:pt>
                <c:pt idx="135">
                  <c:v>3.5853099999999998</c:v>
                </c:pt>
                <c:pt idx="136">
                  <c:v>3.5832199999999998</c:v>
                </c:pt>
                <c:pt idx="137">
                  <c:v>3.5830099999999998</c:v>
                </c:pt>
                <c:pt idx="138">
                  <c:v>3.5820699999999999</c:v>
                </c:pt>
                <c:pt idx="139">
                  <c:v>3.5865900000000002</c:v>
                </c:pt>
                <c:pt idx="140">
                  <c:v>3.5927899999999999</c:v>
                </c:pt>
                <c:pt idx="141">
                  <c:v>3.6016500000000002</c:v>
                </c:pt>
                <c:pt idx="142">
                  <c:v>3.6155300000000001</c:v>
                </c:pt>
                <c:pt idx="143">
                  <c:v>3.6288100000000001</c:v>
                </c:pt>
                <c:pt idx="144">
                  <c:v>3.6386500000000002</c:v>
                </c:pt>
                <c:pt idx="145">
                  <c:v>3.6571899999999999</c:v>
                </c:pt>
                <c:pt idx="146">
                  <c:v>3.6659100000000002</c:v>
                </c:pt>
                <c:pt idx="147">
                  <c:v>3.7133100000000003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0.39655499999999999</c:v>
                </c:pt>
                <c:pt idx="2">
                  <c:v>0.80140100000000003</c:v>
                </c:pt>
                <c:pt idx="3">
                  <c:v>1.2085399999999999</c:v>
                </c:pt>
                <c:pt idx="4">
                  <c:v>1.6133900000000001</c:v>
                </c:pt>
                <c:pt idx="5">
                  <c:v>2.0221499999999999</c:v>
                </c:pt>
                <c:pt idx="6">
                  <c:v>2.4279799999999998</c:v>
                </c:pt>
                <c:pt idx="7">
                  <c:v>2.8342999999999998</c:v>
                </c:pt>
                <c:pt idx="8">
                  <c:v>3.2372999999999998</c:v>
                </c:pt>
                <c:pt idx="9">
                  <c:v>3.64636</c:v>
                </c:pt>
                <c:pt idx="10">
                  <c:v>4.0519100000000003</c:v>
                </c:pt>
                <c:pt idx="11">
                  <c:v>4.4559699999999998</c:v>
                </c:pt>
                <c:pt idx="12">
                  <c:v>4.8644299999999996</c:v>
                </c:pt>
                <c:pt idx="13">
                  <c:v>5.2701500000000001</c:v>
                </c:pt>
                <c:pt idx="14">
                  <c:v>5.67509</c:v>
                </c:pt>
                <c:pt idx="15">
                  <c:v>6.0828300000000004</c:v>
                </c:pt>
                <c:pt idx="16">
                  <c:v>6.4924799999999996</c:v>
                </c:pt>
                <c:pt idx="17">
                  <c:v>6.8928799999999999</c:v>
                </c:pt>
                <c:pt idx="18">
                  <c:v>7.2996100000000004</c:v>
                </c:pt>
                <c:pt idx="19">
                  <c:v>7.70906</c:v>
                </c:pt>
                <c:pt idx="20">
                  <c:v>8.1117600000000003</c:v>
                </c:pt>
                <c:pt idx="21">
                  <c:v>8.5223999999999993</c:v>
                </c:pt>
                <c:pt idx="22">
                  <c:v>8.9256799999999998</c:v>
                </c:pt>
                <c:pt idx="23">
                  <c:v>9.3318999999999992</c:v>
                </c:pt>
                <c:pt idx="24">
                  <c:v>9.7385400000000004</c:v>
                </c:pt>
                <c:pt idx="25">
                  <c:v>10.1495</c:v>
                </c:pt>
                <c:pt idx="26">
                  <c:v>10.553599999999999</c:v>
                </c:pt>
                <c:pt idx="27">
                  <c:v>10.9575</c:v>
                </c:pt>
                <c:pt idx="28">
                  <c:v>11.3645</c:v>
                </c:pt>
                <c:pt idx="29">
                  <c:v>11.7698</c:v>
                </c:pt>
                <c:pt idx="30">
                  <c:v>12.1762</c:v>
                </c:pt>
                <c:pt idx="31">
                  <c:v>12.5846</c:v>
                </c:pt>
                <c:pt idx="32">
                  <c:v>12.987399999999999</c:v>
                </c:pt>
                <c:pt idx="33">
                  <c:v>13.395799999999999</c:v>
                </c:pt>
                <c:pt idx="34">
                  <c:v>13.802300000000001</c:v>
                </c:pt>
                <c:pt idx="35">
                  <c:v>14.2065</c:v>
                </c:pt>
                <c:pt idx="36">
                  <c:v>14.6127</c:v>
                </c:pt>
                <c:pt idx="37">
                  <c:v>15.0222</c:v>
                </c:pt>
                <c:pt idx="38">
                  <c:v>15.4254</c:v>
                </c:pt>
                <c:pt idx="39">
                  <c:v>15.833299999999999</c:v>
                </c:pt>
                <c:pt idx="40">
                  <c:v>16.238399999999999</c:v>
                </c:pt>
                <c:pt idx="41">
                  <c:v>16.646100000000001</c:v>
                </c:pt>
                <c:pt idx="42">
                  <c:v>17.0532</c:v>
                </c:pt>
                <c:pt idx="43">
                  <c:v>17.454899999999999</c:v>
                </c:pt>
                <c:pt idx="44">
                  <c:v>17.8628</c:v>
                </c:pt>
                <c:pt idx="45">
                  <c:v>18.2714</c:v>
                </c:pt>
                <c:pt idx="46">
                  <c:v>18.6752</c:v>
                </c:pt>
                <c:pt idx="47">
                  <c:v>19.084499999999998</c:v>
                </c:pt>
                <c:pt idx="48">
                  <c:v>19.487300000000001</c:v>
                </c:pt>
                <c:pt idx="49">
                  <c:v>19.893999999999998</c:v>
                </c:pt>
                <c:pt idx="50">
                  <c:v>20.3047</c:v>
                </c:pt>
                <c:pt idx="51">
                  <c:v>20.707999999999998</c:v>
                </c:pt>
                <c:pt idx="52">
                  <c:v>21.115200000000002</c:v>
                </c:pt>
                <c:pt idx="53">
                  <c:v>21.5185</c:v>
                </c:pt>
                <c:pt idx="54">
                  <c:v>21.928100000000001</c:v>
                </c:pt>
                <c:pt idx="55">
                  <c:v>22.331900000000001</c:v>
                </c:pt>
                <c:pt idx="56">
                  <c:v>22.741199999999999</c:v>
                </c:pt>
                <c:pt idx="57">
                  <c:v>23.148499999999999</c:v>
                </c:pt>
                <c:pt idx="58">
                  <c:v>23.552700000000002</c:v>
                </c:pt>
                <c:pt idx="59">
                  <c:v>23.954899999999999</c:v>
                </c:pt>
                <c:pt idx="60">
                  <c:v>24.364100000000001</c:v>
                </c:pt>
                <c:pt idx="61">
                  <c:v>24.773299999999999</c:v>
                </c:pt>
                <c:pt idx="62">
                  <c:v>25.178100000000001</c:v>
                </c:pt>
                <c:pt idx="63">
                  <c:v>25.5855</c:v>
                </c:pt>
                <c:pt idx="64">
                  <c:v>25.989899999999999</c:v>
                </c:pt>
                <c:pt idx="65">
                  <c:v>26.394500000000001</c:v>
                </c:pt>
                <c:pt idx="66">
                  <c:v>26.8032</c:v>
                </c:pt>
                <c:pt idx="67">
                  <c:v>27.210100000000001</c:v>
                </c:pt>
                <c:pt idx="68">
                  <c:v>27.614799999999999</c:v>
                </c:pt>
                <c:pt idx="69">
                  <c:v>28.018999999999998</c:v>
                </c:pt>
                <c:pt idx="70">
                  <c:v>28.4283</c:v>
                </c:pt>
                <c:pt idx="71">
                  <c:v>28.838200000000001</c:v>
                </c:pt>
                <c:pt idx="72">
                  <c:v>29.241099999999999</c:v>
                </c:pt>
                <c:pt idx="73">
                  <c:v>29.645499999999998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2.3476499999999998</c:v>
                </c:pt>
                <c:pt idx="1">
                  <c:v>2.37541</c:v>
                </c:pt>
                <c:pt idx="2">
                  <c:v>2.4029700000000003</c:v>
                </c:pt>
                <c:pt idx="3">
                  <c:v>2.43085</c:v>
                </c:pt>
                <c:pt idx="4">
                  <c:v>2.4586299999999999</c:v>
                </c:pt>
                <c:pt idx="5">
                  <c:v>2.4857999999999998</c:v>
                </c:pt>
                <c:pt idx="6">
                  <c:v>2.5109500000000002</c:v>
                </c:pt>
                <c:pt idx="7">
                  <c:v>2.5356699999999996</c:v>
                </c:pt>
                <c:pt idx="8">
                  <c:v>2.5573299999999999</c:v>
                </c:pt>
                <c:pt idx="9">
                  <c:v>2.5766299999999998</c:v>
                </c:pt>
                <c:pt idx="10">
                  <c:v>2.5914299999999999</c:v>
                </c:pt>
                <c:pt idx="11">
                  <c:v>2.6030899999999999</c:v>
                </c:pt>
                <c:pt idx="12">
                  <c:v>2.6162400000000003</c:v>
                </c:pt>
                <c:pt idx="13">
                  <c:v>2.6265000000000001</c:v>
                </c:pt>
                <c:pt idx="14">
                  <c:v>2.6353399999999998</c:v>
                </c:pt>
                <c:pt idx="15">
                  <c:v>2.6437100000000004</c:v>
                </c:pt>
                <c:pt idx="16">
                  <c:v>2.6521600000000003</c:v>
                </c:pt>
                <c:pt idx="17">
                  <c:v>2.6608499999999999</c:v>
                </c:pt>
                <c:pt idx="18">
                  <c:v>2.6712699999999998</c:v>
                </c:pt>
                <c:pt idx="19">
                  <c:v>2.68038</c:v>
                </c:pt>
                <c:pt idx="20">
                  <c:v>2.68926</c:v>
                </c:pt>
                <c:pt idx="21">
                  <c:v>2.6990399999999997</c:v>
                </c:pt>
                <c:pt idx="22">
                  <c:v>2.70621</c:v>
                </c:pt>
                <c:pt idx="23">
                  <c:v>2.7121499999999998</c:v>
                </c:pt>
                <c:pt idx="24">
                  <c:v>2.7184399999999997</c:v>
                </c:pt>
                <c:pt idx="25">
                  <c:v>2.72546</c:v>
                </c:pt>
                <c:pt idx="26">
                  <c:v>2.7332700000000001</c:v>
                </c:pt>
                <c:pt idx="27">
                  <c:v>2.7428300000000001</c:v>
                </c:pt>
                <c:pt idx="28">
                  <c:v>2.75393</c:v>
                </c:pt>
                <c:pt idx="29">
                  <c:v>2.7641900000000001</c:v>
                </c:pt>
                <c:pt idx="30">
                  <c:v>2.7732200000000002</c:v>
                </c:pt>
                <c:pt idx="31">
                  <c:v>2.7822999999999998</c:v>
                </c:pt>
                <c:pt idx="32">
                  <c:v>2.7926299999999999</c:v>
                </c:pt>
                <c:pt idx="33">
                  <c:v>2.8065199999999999</c:v>
                </c:pt>
                <c:pt idx="34">
                  <c:v>2.8217399999999997</c:v>
                </c:pt>
                <c:pt idx="35">
                  <c:v>2.8394900000000001</c:v>
                </c:pt>
                <c:pt idx="36">
                  <c:v>2.8602799999999999</c:v>
                </c:pt>
                <c:pt idx="37">
                  <c:v>2.8843700000000001</c:v>
                </c:pt>
                <c:pt idx="38">
                  <c:v>2.91201</c:v>
                </c:pt>
                <c:pt idx="39">
                  <c:v>2.9404200000000005</c:v>
                </c:pt>
                <c:pt idx="40">
                  <c:v>2.97072</c:v>
                </c:pt>
                <c:pt idx="41">
                  <c:v>3.0036200000000002</c:v>
                </c:pt>
                <c:pt idx="42">
                  <c:v>3.0369000000000002</c:v>
                </c:pt>
                <c:pt idx="43">
                  <c:v>3.0675300000000001</c:v>
                </c:pt>
                <c:pt idx="44">
                  <c:v>3.0971100000000003</c:v>
                </c:pt>
                <c:pt idx="45">
                  <c:v>3.1249900000000004</c:v>
                </c:pt>
                <c:pt idx="46">
                  <c:v>3.1519399999999997</c:v>
                </c:pt>
                <c:pt idx="47">
                  <c:v>3.17815</c:v>
                </c:pt>
                <c:pt idx="48">
                  <c:v>3.2035200000000001</c:v>
                </c:pt>
                <c:pt idx="49">
                  <c:v>3.2277099999999996</c:v>
                </c:pt>
                <c:pt idx="50">
                  <c:v>3.25386</c:v>
                </c:pt>
                <c:pt idx="51">
                  <c:v>3.2812200000000002</c:v>
                </c:pt>
                <c:pt idx="52">
                  <c:v>3.3000800000000003</c:v>
                </c:pt>
                <c:pt idx="53">
                  <c:v>3.3203300000000002</c:v>
                </c:pt>
                <c:pt idx="54">
                  <c:v>3.34111</c:v>
                </c:pt>
                <c:pt idx="55">
                  <c:v>3.35494</c:v>
                </c:pt>
                <c:pt idx="56">
                  <c:v>3.3736199999999998</c:v>
                </c:pt>
                <c:pt idx="57">
                  <c:v>3.3903499999999998</c:v>
                </c:pt>
                <c:pt idx="58">
                  <c:v>3.4066099999999997</c:v>
                </c:pt>
                <c:pt idx="59">
                  <c:v>3.4202300000000001</c:v>
                </c:pt>
                <c:pt idx="60">
                  <c:v>3.4401299999999999</c:v>
                </c:pt>
                <c:pt idx="61">
                  <c:v>3.4598899999999997</c:v>
                </c:pt>
                <c:pt idx="62">
                  <c:v>3.47207</c:v>
                </c:pt>
                <c:pt idx="63">
                  <c:v>3.4818799999999999</c:v>
                </c:pt>
                <c:pt idx="64">
                  <c:v>3.4913799999999999</c:v>
                </c:pt>
                <c:pt idx="65">
                  <c:v>3.4967600000000001</c:v>
                </c:pt>
                <c:pt idx="66">
                  <c:v>3.4948200000000003</c:v>
                </c:pt>
                <c:pt idx="67">
                  <c:v>3.4905000000000004</c:v>
                </c:pt>
                <c:pt idx="68">
                  <c:v>3.4881099999999998</c:v>
                </c:pt>
                <c:pt idx="69">
                  <c:v>3.4817799999999997</c:v>
                </c:pt>
                <c:pt idx="70">
                  <c:v>3.4754299999999998</c:v>
                </c:pt>
                <c:pt idx="71">
                  <c:v>3.4643899999999999</c:v>
                </c:pt>
                <c:pt idx="72">
                  <c:v>3.4596300000000002</c:v>
                </c:pt>
                <c:pt idx="73">
                  <c:v>3.4556900000000002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29.645499999999998</c:v>
                </c:pt>
                <c:pt idx="1">
                  <c:v>30.0505</c:v>
                </c:pt>
                <c:pt idx="2">
                  <c:v>30.5091</c:v>
                </c:pt>
                <c:pt idx="3">
                  <c:v>30.9086</c:v>
                </c:pt>
                <c:pt idx="4">
                  <c:v>31.3171</c:v>
                </c:pt>
                <c:pt idx="5">
                  <c:v>31.7225</c:v>
                </c:pt>
                <c:pt idx="6">
                  <c:v>32.131300000000003</c:v>
                </c:pt>
                <c:pt idx="7">
                  <c:v>32.5349</c:v>
                </c:pt>
                <c:pt idx="8">
                  <c:v>32.942</c:v>
                </c:pt>
                <c:pt idx="9">
                  <c:v>33.347299999999997</c:v>
                </c:pt>
                <c:pt idx="10">
                  <c:v>33.7547</c:v>
                </c:pt>
                <c:pt idx="11">
                  <c:v>34.160200000000003</c:v>
                </c:pt>
                <c:pt idx="12">
                  <c:v>34.5685</c:v>
                </c:pt>
                <c:pt idx="13">
                  <c:v>34.973399999999998</c:v>
                </c:pt>
                <c:pt idx="14">
                  <c:v>35.3765</c:v>
                </c:pt>
                <c:pt idx="15">
                  <c:v>35.785699999999999</c:v>
                </c:pt>
                <c:pt idx="16">
                  <c:v>36.192900000000002</c:v>
                </c:pt>
                <c:pt idx="17">
                  <c:v>36.600200000000001</c:v>
                </c:pt>
                <c:pt idx="18">
                  <c:v>37.0032</c:v>
                </c:pt>
                <c:pt idx="19">
                  <c:v>37.410699999999999</c:v>
                </c:pt>
                <c:pt idx="20">
                  <c:v>37.816800000000001</c:v>
                </c:pt>
                <c:pt idx="21">
                  <c:v>38.225700000000003</c:v>
                </c:pt>
                <c:pt idx="22">
                  <c:v>38.630099999999999</c:v>
                </c:pt>
                <c:pt idx="23">
                  <c:v>39.0396</c:v>
                </c:pt>
                <c:pt idx="24">
                  <c:v>39.442100000000003</c:v>
                </c:pt>
                <c:pt idx="25">
                  <c:v>39.8476</c:v>
                </c:pt>
                <c:pt idx="26">
                  <c:v>40.254100000000001</c:v>
                </c:pt>
                <c:pt idx="27">
                  <c:v>40.662700000000001</c:v>
                </c:pt>
                <c:pt idx="28">
                  <c:v>41.070099999999996</c:v>
                </c:pt>
                <c:pt idx="29">
                  <c:v>41.4724</c:v>
                </c:pt>
                <c:pt idx="30">
                  <c:v>41.880200000000002</c:v>
                </c:pt>
                <c:pt idx="31">
                  <c:v>42.290900000000001</c:v>
                </c:pt>
                <c:pt idx="32">
                  <c:v>42.692999999999998</c:v>
                </c:pt>
                <c:pt idx="33">
                  <c:v>43.097099999999998</c:v>
                </c:pt>
                <c:pt idx="34">
                  <c:v>43.503799999999998</c:v>
                </c:pt>
                <c:pt idx="35">
                  <c:v>43.907800000000002</c:v>
                </c:pt>
                <c:pt idx="36">
                  <c:v>44.316800000000001</c:v>
                </c:pt>
                <c:pt idx="37">
                  <c:v>44.723100000000002</c:v>
                </c:pt>
                <c:pt idx="38">
                  <c:v>45.128700000000002</c:v>
                </c:pt>
                <c:pt idx="39">
                  <c:v>45.536000000000001</c:v>
                </c:pt>
                <c:pt idx="40">
                  <c:v>45.941200000000002</c:v>
                </c:pt>
                <c:pt idx="41">
                  <c:v>46.349299999999999</c:v>
                </c:pt>
                <c:pt idx="42">
                  <c:v>46.752600000000001</c:v>
                </c:pt>
                <c:pt idx="43">
                  <c:v>47.159399999999998</c:v>
                </c:pt>
                <c:pt idx="44">
                  <c:v>47.5687</c:v>
                </c:pt>
                <c:pt idx="45">
                  <c:v>47.9741</c:v>
                </c:pt>
                <c:pt idx="46">
                  <c:v>48.380299999999998</c:v>
                </c:pt>
                <c:pt idx="47">
                  <c:v>48.786000000000001</c:v>
                </c:pt>
                <c:pt idx="48">
                  <c:v>49.191400000000002</c:v>
                </c:pt>
                <c:pt idx="49">
                  <c:v>49.598500000000001</c:v>
                </c:pt>
                <c:pt idx="50">
                  <c:v>50.0032</c:v>
                </c:pt>
                <c:pt idx="51">
                  <c:v>50.409500000000001</c:v>
                </c:pt>
                <c:pt idx="52">
                  <c:v>50.817399999999999</c:v>
                </c:pt>
                <c:pt idx="53">
                  <c:v>51.220799999999997</c:v>
                </c:pt>
                <c:pt idx="54">
                  <c:v>51.629800000000003</c:v>
                </c:pt>
                <c:pt idx="55">
                  <c:v>52.035299999999999</c:v>
                </c:pt>
                <c:pt idx="56">
                  <c:v>52.442599999999999</c:v>
                </c:pt>
                <c:pt idx="57">
                  <c:v>52.848500000000001</c:v>
                </c:pt>
                <c:pt idx="58">
                  <c:v>53.2532</c:v>
                </c:pt>
                <c:pt idx="59">
                  <c:v>53.659799999999997</c:v>
                </c:pt>
                <c:pt idx="60">
                  <c:v>54.069000000000003</c:v>
                </c:pt>
                <c:pt idx="61">
                  <c:v>54.474699999999999</c:v>
                </c:pt>
                <c:pt idx="62">
                  <c:v>54.880899999999997</c:v>
                </c:pt>
                <c:pt idx="63">
                  <c:v>55.287700000000001</c:v>
                </c:pt>
                <c:pt idx="64">
                  <c:v>55.691800000000001</c:v>
                </c:pt>
                <c:pt idx="65">
                  <c:v>56.102800000000002</c:v>
                </c:pt>
                <c:pt idx="66">
                  <c:v>56.505600000000001</c:v>
                </c:pt>
                <c:pt idx="67">
                  <c:v>56.908799999999999</c:v>
                </c:pt>
                <c:pt idx="68">
                  <c:v>57.316000000000003</c:v>
                </c:pt>
                <c:pt idx="69">
                  <c:v>57.722299999999997</c:v>
                </c:pt>
                <c:pt idx="70">
                  <c:v>58.130099999999999</c:v>
                </c:pt>
                <c:pt idx="71">
                  <c:v>58.542700000000004</c:v>
                </c:pt>
                <c:pt idx="72">
                  <c:v>58.949599999999997</c:v>
                </c:pt>
                <c:pt idx="73">
                  <c:v>59.346899999999998</c:v>
                </c:pt>
                <c:pt idx="74">
                  <c:v>59.756700000000002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3.4556900000000002</c:v>
                </c:pt>
                <c:pt idx="1">
                  <c:v>3.4547600000000003</c:v>
                </c:pt>
                <c:pt idx="2">
                  <c:v>3.4469100000000004</c:v>
                </c:pt>
                <c:pt idx="3">
                  <c:v>3.44082</c:v>
                </c:pt>
                <c:pt idx="4">
                  <c:v>3.4358599999999999</c:v>
                </c:pt>
                <c:pt idx="5">
                  <c:v>3.4303900000000001</c:v>
                </c:pt>
                <c:pt idx="6">
                  <c:v>3.42889</c:v>
                </c:pt>
                <c:pt idx="7">
                  <c:v>3.4271800000000003</c:v>
                </c:pt>
                <c:pt idx="8">
                  <c:v>3.4209099999999997</c:v>
                </c:pt>
                <c:pt idx="9">
                  <c:v>3.4099300000000001</c:v>
                </c:pt>
                <c:pt idx="10">
                  <c:v>3.3981699999999999</c:v>
                </c:pt>
                <c:pt idx="11">
                  <c:v>3.3853499999999999</c:v>
                </c:pt>
                <c:pt idx="12">
                  <c:v>3.37358</c:v>
                </c:pt>
                <c:pt idx="13">
                  <c:v>3.3597999999999999</c:v>
                </c:pt>
                <c:pt idx="14">
                  <c:v>3.3427000000000002</c:v>
                </c:pt>
                <c:pt idx="15">
                  <c:v>3.327</c:v>
                </c:pt>
                <c:pt idx="16">
                  <c:v>3.31115</c:v>
                </c:pt>
                <c:pt idx="17">
                  <c:v>3.2957900000000002</c:v>
                </c:pt>
                <c:pt idx="18">
                  <c:v>3.2831999999999999</c:v>
                </c:pt>
                <c:pt idx="19">
                  <c:v>3.2739800000000003</c:v>
                </c:pt>
                <c:pt idx="20">
                  <c:v>3.2692199999999998</c:v>
                </c:pt>
                <c:pt idx="21">
                  <c:v>3.2687300000000001</c:v>
                </c:pt>
                <c:pt idx="22">
                  <c:v>3.2695999999999996</c:v>
                </c:pt>
                <c:pt idx="23">
                  <c:v>3.2741599999999997</c:v>
                </c:pt>
                <c:pt idx="24">
                  <c:v>3.2782899999999997</c:v>
                </c:pt>
                <c:pt idx="25">
                  <c:v>3.28193</c:v>
                </c:pt>
                <c:pt idx="26">
                  <c:v>3.2834500000000002</c:v>
                </c:pt>
                <c:pt idx="27">
                  <c:v>3.2815899999999996</c:v>
                </c:pt>
                <c:pt idx="28">
                  <c:v>3.2781199999999999</c:v>
                </c:pt>
                <c:pt idx="29">
                  <c:v>3.27684</c:v>
                </c:pt>
                <c:pt idx="30">
                  <c:v>3.2775500000000002</c:v>
                </c:pt>
                <c:pt idx="31">
                  <c:v>3.2780800000000001</c:v>
                </c:pt>
                <c:pt idx="32">
                  <c:v>3.2786200000000001</c:v>
                </c:pt>
                <c:pt idx="33">
                  <c:v>3.28355</c:v>
                </c:pt>
                <c:pt idx="34">
                  <c:v>3.29312</c:v>
                </c:pt>
                <c:pt idx="35">
                  <c:v>3.3053400000000002</c:v>
                </c:pt>
                <c:pt idx="36">
                  <c:v>3.3196099999999999</c:v>
                </c:pt>
                <c:pt idx="37">
                  <c:v>3.3326000000000002</c:v>
                </c:pt>
                <c:pt idx="38">
                  <c:v>3.3456599999999996</c:v>
                </c:pt>
                <c:pt idx="39">
                  <c:v>3.3613999999999997</c:v>
                </c:pt>
                <c:pt idx="40">
                  <c:v>3.3773999999999997</c:v>
                </c:pt>
                <c:pt idx="41">
                  <c:v>3.3917799999999998</c:v>
                </c:pt>
                <c:pt idx="42">
                  <c:v>3.4088000000000003</c:v>
                </c:pt>
                <c:pt idx="43">
                  <c:v>3.4261999999999997</c:v>
                </c:pt>
                <c:pt idx="44">
                  <c:v>3.4419399999999998</c:v>
                </c:pt>
                <c:pt idx="45">
                  <c:v>3.4567700000000001</c:v>
                </c:pt>
                <c:pt idx="46">
                  <c:v>3.47079</c:v>
                </c:pt>
                <c:pt idx="47">
                  <c:v>3.48353</c:v>
                </c:pt>
                <c:pt idx="48">
                  <c:v>3.4946300000000003</c:v>
                </c:pt>
                <c:pt idx="49">
                  <c:v>3.5045999999999999</c:v>
                </c:pt>
                <c:pt idx="50">
                  <c:v>3.5183599999999999</c:v>
                </c:pt>
                <c:pt idx="51">
                  <c:v>3.5268199999999998</c:v>
                </c:pt>
                <c:pt idx="52">
                  <c:v>3.5373900000000003</c:v>
                </c:pt>
                <c:pt idx="53">
                  <c:v>3.5486400000000002</c:v>
                </c:pt>
                <c:pt idx="54">
                  <c:v>3.5587800000000005</c:v>
                </c:pt>
                <c:pt idx="55">
                  <c:v>3.5682399999999999</c:v>
                </c:pt>
                <c:pt idx="56">
                  <c:v>3.5767799999999998</c:v>
                </c:pt>
                <c:pt idx="57">
                  <c:v>3.5867</c:v>
                </c:pt>
                <c:pt idx="58">
                  <c:v>3.5947</c:v>
                </c:pt>
                <c:pt idx="59">
                  <c:v>3.6008800000000001</c:v>
                </c:pt>
                <c:pt idx="60">
                  <c:v>3.6005199999999999</c:v>
                </c:pt>
                <c:pt idx="61">
                  <c:v>3.5929899999999999</c:v>
                </c:pt>
                <c:pt idx="62">
                  <c:v>3.5853099999999998</c:v>
                </c:pt>
                <c:pt idx="63">
                  <c:v>3.5832199999999998</c:v>
                </c:pt>
                <c:pt idx="64">
                  <c:v>3.5830099999999998</c:v>
                </c:pt>
                <c:pt idx="65">
                  <c:v>3.5820699999999999</c:v>
                </c:pt>
                <c:pt idx="66">
                  <c:v>3.5865900000000002</c:v>
                </c:pt>
                <c:pt idx="67">
                  <c:v>3.5927899999999999</c:v>
                </c:pt>
                <c:pt idx="68">
                  <c:v>3.6016500000000002</c:v>
                </c:pt>
                <c:pt idx="69">
                  <c:v>3.6155300000000001</c:v>
                </c:pt>
                <c:pt idx="70">
                  <c:v>3.6288100000000001</c:v>
                </c:pt>
                <c:pt idx="71">
                  <c:v>3.6386500000000002</c:v>
                </c:pt>
                <c:pt idx="72">
                  <c:v>3.6571899999999999</c:v>
                </c:pt>
                <c:pt idx="73">
                  <c:v>3.6659100000000002</c:v>
                </c:pt>
                <c:pt idx="74">
                  <c:v>3.7133100000000003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14.939175000000001</c:v>
                </c:pt>
                <c:pt idx="1">
                  <c:v>44.817525000000003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2.9713191891891895</c:v>
                </c:pt>
                <c:pt idx="1">
                  <c:v>3.4376366216216221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0.39655499999999999</c:v>
                </c:pt>
                <c:pt idx="2">
                  <c:v>0.80140100000000003</c:v>
                </c:pt>
                <c:pt idx="3">
                  <c:v>1.2085399999999999</c:v>
                </c:pt>
                <c:pt idx="4">
                  <c:v>1.6133900000000001</c:v>
                </c:pt>
                <c:pt idx="5">
                  <c:v>2.0221499999999999</c:v>
                </c:pt>
                <c:pt idx="6">
                  <c:v>2.4279799999999998</c:v>
                </c:pt>
                <c:pt idx="7">
                  <c:v>2.8342999999999998</c:v>
                </c:pt>
                <c:pt idx="8">
                  <c:v>3.2372999999999998</c:v>
                </c:pt>
                <c:pt idx="9">
                  <c:v>3.64636</c:v>
                </c:pt>
                <c:pt idx="10">
                  <c:v>4.0519100000000003</c:v>
                </c:pt>
                <c:pt idx="11">
                  <c:v>4.4559699999999998</c:v>
                </c:pt>
                <c:pt idx="12">
                  <c:v>4.8644299999999996</c:v>
                </c:pt>
                <c:pt idx="13">
                  <c:v>5.2701500000000001</c:v>
                </c:pt>
                <c:pt idx="14">
                  <c:v>5.67509</c:v>
                </c:pt>
                <c:pt idx="15">
                  <c:v>6.0828300000000004</c:v>
                </c:pt>
                <c:pt idx="16">
                  <c:v>6.4924799999999996</c:v>
                </c:pt>
                <c:pt idx="17">
                  <c:v>6.8928799999999999</c:v>
                </c:pt>
                <c:pt idx="18">
                  <c:v>7.2996100000000004</c:v>
                </c:pt>
                <c:pt idx="19">
                  <c:v>7.70906</c:v>
                </c:pt>
                <c:pt idx="20">
                  <c:v>8.1117600000000003</c:v>
                </c:pt>
                <c:pt idx="21">
                  <c:v>8.5223999999999993</c:v>
                </c:pt>
                <c:pt idx="22">
                  <c:v>8.9256799999999998</c:v>
                </c:pt>
                <c:pt idx="23">
                  <c:v>9.3318999999999992</c:v>
                </c:pt>
                <c:pt idx="24">
                  <c:v>9.7385400000000004</c:v>
                </c:pt>
                <c:pt idx="25">
                  <c:v>10.1495</c:v>
                </c:pt>
                <c:pt idx="26">
                  <c:v>10.553599999999999</c:v>
                </c:pt>
                <c:pt idx="27">
                  <c:v>10.9575</c:v>
                </c:pt>
                <c:pt idx="28">
                  <c:v>11.3645</c:v>
                </c:pt>
                <c:pt idx="29">
                  <c:v>11.7698</c:v>
                </c:pt>
                <c:pt idx="30">
                  <c:v>12.1762</c:v>
                </c:pt>
                <c:pt idx="31">
                  <c:v>12.5846</c:v>
                </c:pt>
                <c:pt idx="32">
                  <c:v>12.987399999999999</c:v>
                </c:pt>
                <c:pt idx="33">
                  <c:v>13.395799999999999</c:v>
                </c:pt>
                <c:pt idx="34">
                  <c:v>13.802300000000001</c:v>
                </c:pt>
                <c:pt idx="35">
                  <c:v>14.2065</c:v>
                </c:pt>
                <c:pt idx="36">
                  <c:v>14.6127</c:v>
                </c:pt>
                <c:pt idx="37">
                  <c:v>15.0222</c:v>
                </c:pt>
                <c:pt idx="38">
                  <c:v>15.4254</c:v>
                </c:pt>
                <c:pt idx="39">
                  <c:v>15.833299999999999</c:v>
                </c:pt>
                <c:pt idx="40">
                  <c:v>16.238399999999999</c:v>
                </c:pt>
                <c:pt idx="41">
                  <c:v>16.646100000000001</c:v>
                </c:pt>
                <c:pt idx="42">
                  <c:v>17.0532</c:v>
                </c:pt>
                <c:pt idx="43">
                  <c:v>17.454899999999999</c:v>
                </c:pt>
                <c:pt idx="44">
                  <c:v>17.8628</c:v>
                </c:pt>
                <c:pt idx="45">
                  <c:v>18.2714</c:v>
                </c:pt>
                <c:pt idx="46">
                  <c:v>18.6752</c:v>
                </c:pt>
                <c:pt idx="47">
                  <c:v>19.084499999999998</c:v>
                </c:pt>
                <c:pt idx="48">
                  <c:v>19.487300000000001</c:v>
                </c:pt>
                <c:pt idx="49">
                  <c:v>19.893999999999998</c:v>
                </c:pt>
                <c:pt idx="50">
                  <c:v>20.3047</c:v>
                </c:pt>
                <c:pt idx="51">
                  <c:v>20.707999999999998</c:v>
                </c:pt>
                <c:pt idx="52">
                  <c:v>21.115200000000002</c:v>
                </c:pt>
                <c:pt idx="53">
                  <c:v>21.5185</c:v>
                </c:pt>
                <c:pt idx="54">
                  <c:v>21.928100000000001</c:v>
                </c:pt>
                <c:pt idx="55">
                  <c:v>22.331900000000001</c:v>
                </c:pt>
                <c:pt idx="56">
                  <c:v>22.741199999999999</c:v>
                </c:pt>
                <c:pt idx="57">
                  <c:v>23.148499999999999</c:v>
                </c:pt>
                <c:pt idx="58">
                  <c:v>23.552700000000002</c:v>
                </c:pt>
                <c:pt idx="59">
                  <c:v>23.954899999999999</c:v>
                </c:pt>
                <c:pt idx="60">
                  <c:v>24.364100000000001</c:v>
                </c:pt>
                <c:pt idx="61">
                  <c:v>24.773299999999999</c:v>
                </c:pt>
                <c:pt idx="62">
                  <c:v>25.178100000000001</c:v>
                </c:pt>
                <c:pt idx="63">
                  <c:v>25.5855</c:v>
                </c:pt>
                <c:pt idx="64">
                  <c:v>25.989899999999999</c:v>
                </c:pt>
                <c:pt idx="65">
                  <c:v>26.394500000000001</c:v>
                </c:pt>
                <c:pt idx="66">
                  <c:v>26.8032</c:v>
                </c:pt>
                <c:pt idx="67">
                  <c:v>27.210100000000001</c:v>
                </c:pt>
                <c:pt idx="68">
                  <c:v>27.614799999999999</c:v>
                </c:pt>
                <c:pt idx="69">
                  <c:v>28.018999999999998</c:v>
                </c:pt>
                <c:pt idx="70">
                  <c:v>28.4283</c:v>
                </c:pt>
                <c:pt idx="71">
                  <c:v>28.838200000000001</c:v>
                </c:pt>
                <c:pt idx="72">
                  <c:v>29.241099999999999</c:v>
                </c:pt>
                <c:pt idx="73">
                  <c:v>29.645499999999998</c:v>
                </c:pt>
                <c:pt idx="74">
                  <c:v>30.0505</c:v>
                </c:pt>
                <c:pt idx="75">
                  <c:v>30.5091</c:v>
                </c:pt>
                <c:pt idx="76">
                  <c:v>30.9086</c:v>
                </c:pt>
                <c:pt idx="77">
                  <c:v>31.3171</c:v>
                </c:pt>
                <c:pt idx="78">
                  <c:v>31.7225</c:v>
                </c:pt>
                <c:pt idx="79">
                  <c:v>32.131300000000003</c:v>
                </c:pt>
                <c:pt idx="80">
                  <c:v>32.5349</c:v>
                </c:pt>
                <c:pt idx="81">
                  <c:v>32.942</c:v>
                </c:pt>
                <c:pt idx="82">
                  <c:v>33.347299999999997</c:v>
                </c:pt>
                <c:pt idx="83">
                  <c:v>33.7547</c:v>
                </c:pt>
                <c:pt idx="84">
                  <c:v>34.160200000000003</c:v>
                </c:pt>
                <c:pt idx="85">
                  <c:v>34.5685</c:v>
                </c:pt>
                <c:pt idx="86">
                  <c:v>34.973399999999998</c:v>
                </c:pt>
                <c:pt idx="87">
                  <c:v>35.3765</c:v>
                </c:pt>
                <c:pt idx="88">
                  <c:v>35.785699999999999</c:v>
                </c:pt>
                <c:pt idx="89">
                  <c:v>36.192900000000002</c:v>
                </c:pt>
                <c:pt idx="90">
                  <c:v>36.600200000000001</c:v>
                </c:pt>
                <c:pt idx="91">
                  <c:v>37.0032</c:v>
                </c:pt>
                <c:pt idx="92">
                  <c:v>37.410699999999999</c:v>
                </c:pt>
                <c:pt idx="93">
                  <c:v>37.816800000000001</c:v>
                </c:pt>
                <c:pt idx="94">
                  <c:v>38.225700000000003</c:v>
                </c:pt>
                <c:pt idx="95">
                  <c:v>38.630099999999999</c:v>
                </c:pt>
                <c:pt idx="96">
                  <c:v>39.0396</c:v>
                </c:pt>
                <c:pt idx="97">
                  <c:v>39.442100000000003</c:v>
                </c:pt>
                <c:pt idx="98">
                  <c:v>39.8476</c:v>
                </c:pt>
                <c:pt idx="99">
                  <c:v>40.254100000000001</c:v>
                </c:pt>
                <c:pt idx="100">
                  <c:v>40.662700000000001</c:v>
                </c:pt>
                <c:pt idx="101">
                  <c:v>41.070099999999996</c:v>
                </c:pt>
                <c:pt idx="102">
                  <c:v>41.4724</c:v>
                </c:pt>
                <c:pt idx="103">
                  <c:v>41.880200000000002</c:v>
                </c:pt>
                <c:pt idx="104">
                  <c:v>42.290900000000001</c:v>
                </c:pt>
                <c:pt idx="105">
                  <c:v>42.692999999999998</c:v>
                </c:pt>
                <c:pt idx="106">
                  <c:v>43.097099999999998</c:v>
                </c:pt>
                <c:pt idx="107">
                  <c:v>43.503799999999998</c:v>
                </c:pt>
                <c:pt idx="108">
                  <c:v>43.907800000000002</c:v>
                </c:pt>
                <c:pt idx="109">
                  <c:v>44.316800000000001</c:v>
                </c:pt>
                <c:pt idx="110">
                  <c:v>44.723100000000002</c:v>
                </c:pt>
                <c:pt idx="111">
                  <c:v>45.128700000000002</c:v>
                </c:pt>
                <c:pt idx="112">
                  <c:v>45.536000000000001</c:v>
                </c:pt>
                <c:pt idx="113">
                  <c:v>45.941200000000002</c:v>
                </c:pt>
                <c:pt idx="114">
                  <c:v>46.349299999999999</c:v>
                </c:pt>
                <c:pt idx="115">
                  <c:v>46.752600000000001</c:v>
                </c:pt>
                <c:pt idx="116">
                  <c:v>47.159399999999998</c:v>
                </c:pt>
                <c:pt idx="117">
                  <c:v>47.5687</c:v>
                </c:pt>
                <c:pt idx="118">
                  <c:v>47.9741</c:v>
                </c:pt>
                <c:pt idx="119">
                  <c:v>48.380299999999998</c:v>
                </c:pt>
                <c:pt idx="120">
                  <c:v>48.786000000000001</c:v>
                </c:pt>
                <c:pt idx="121">
                  <c:v>49.191400000000002</c:v>
                </c:pt>
                <c:pt idx="122">
                  <c:v>49.598500000000001</c:v>
                </c:pt>
                <c:pt idx="123">
                  <c:v>50.0032</c:v>
                </c:pt>
                <c:pt idx="124">
                  <c:v>50.409500000000001</c:v>
                </c:pt>
                <c:pt idx="125">
                  <c:v>50.817399999999999</c:v>
                </c:pt>
                <c:pt idx="126">
                  <c:v>51.220799999999997</c:v>
                </c:pt>
                <c:pt idx="127">
                  <c:v>51.629800000000003</c:v>
                </c:pt>
                <c:pt idx="128">
                  <c:v>52.035299999999999</c:v>
                </c:pt>
                <c:pt idx="129">
                  <c:v>52.442599999999999</c:v>
                </c:pt>
                <c:pt idx="130">
                  <c:v>52.848500000000001</c:v>
                </c:pt>
                <c:pt idx="131">
                  <c:v>53.2532</c:v>
                </c:pt>
                <c:pt idx="132">
                  <c:v>53.659799999999997</c:v>
                </c:pt>
                <c:pt idx="133">
                  <c:v>54.069000000000003</c:v>
                </c:pt>
                <c:pt idx="134">
                  <c:v>54.474699999999999</c:v>
                </c:pt>
                <c:pt idx="135">
                  <c:v>54.880899999999997</c:v>
                </c:pt>
                <c:pt idx="136">
                  <c:v>55.287700000000001</c:v>
                </c:pt>
                <c:pt idx="137">
                  <c:v>55.691800000000001</c:v>
                </c:pt>
                <c:pt idx="138">
                  <c:v>56.102800000000002</c:v>
                </c:pt>
                <c:pt idx="139">
                  <c:v>56.505600000000001</c:v>
                </c:pt>
                <c:pt idx="140">
                  <c:v>56.908799999999999</c:v>
                </c:pt>
                <c:pt idx="141">
                  <c:v>57.316000000000003</c:v>
                </c:pt>
                <c:pt idx="142">
                  <c:v>57.722299999999997</c:v>
                </c:pt>
                <c:pt idx="143">
                  <c:v>58.130099999999999</c:v>
                </c:pt>
                <c:pt idx="144">
                  <c:v>58.542700000000004</c:v>
                </c:pt>
                <c:pt idx="145">
                  <c:v>58.949599999999997</c:v>
                </c:pt>
                <c:pt idx="146">
                  <c:v>59.346899999999998</c:v>
                </c:pt>
                <c:pt idx="147">
                  <c:v>59.756700000000002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56.519799999999996</c:v>
                </c:pt>
                <c:pt idx="1">
                  <c:v>55.950999999999993</c:v>
                </c:pt>
                <c:pt idx="2">
                  <c:v>55.340599999999995</c:v>
                </c:pt>
                <c:pt idx="3">
                  <c:v>54.729199999999999</c:v>
                </c:pt>
                <c:pt idx="4">
                  <c:v>54.043699999999994</c:v>
                </c:pt>
                <c:pt idx="5">
                  <c:v>53.240200000000002</c:v>
                </c:pt>
                <c:pt idx="6">
                  <c:v>52.380300000000005</c:v>
                </c:pt>
                <c:pt idx="7">
                  <c:v>51.477799999999995</c:v>
                </c:pt>
                <c:pt idx="8">
                  <c:v>50.616399999999992</c:v>
                </c:pt>
                <c:pt idx="9">
                  <c:v>49.861400000000003</c:v>
                </c:pt>
                <c:pt idx="10">
                  <c:v>49.167999999999999</c:v>
                </c:pt>
                <c:pt idx="11">
                  <c:v>48.4985</c:v>
                </c:pt>
                <c:pt idx="12">
                  <c:v>47.820599999999999</c:v>
                </c:pt>
                <c:pt idx="13">
                  <c:v>47.189399999999999</c:v>
                </c:pt>
                <c:pt idx="14">
                  <c:v>46.611399999999996</c:v>
                </c:pt>
                <c:pt idx="15">
                  <c:v>46.069500000000005</c:v>
                </c:pt>
                <c:pt idx="16">
                  <c:v>45.527799999999999</c:v>
                </c:pt>
                <c:pt idx="17">
                  <c:v>45.040100000000002</c:v>
                </c:pt>
                <c:pt idx="18">
                  <c:v>44.5852</c:v>
                </c:pt>
                <c:pt idx="19">
                  <c:v>44.248899999999999</c:v>
                </c:pt>
                <c:pt idx="20">
                  <c:v>43.997100000000003</c:v>
                </c:pt>
                <c:pt idx="21">
                  <c:v>43.773299999999999</c:v>
                </c:pt>
                <c:pt idx="22">
                  <c:v>43.585599999999999</c:v>
                </c:pt>
                <c:pt idx="23">
                  <c:v>43.439699999999995</c:v>
                </c:pt>
                <c:pt idx="24">
                  <c:v>43.2973</c:v>
                </c:pt>
                <c:pt idx="25">
                  <c:v>43.166600000000003</c:v>
                </c:pt>
                <c:pt idx="26">
                  <c:v>43.052300000000002</c:v>
                </c:pt>
                <c:pt idx="27">
                  <c:v>42.928800000000003</c:v>
                </c:pt>
                <c:pt idx="28">
                  <c:v>42.819400000000002</c:v>
                </c:pt>
                <c:pt idx="29">
                  <c:v>42.759799999999998</c:v>
                </c:pt>
                <c:pt idx="30">
                  <c:v>42.683500000000002</c:v>
                </c:pt>
                <c:pt idx="31">
                  <c:v>42.601499999999994</c:v>
                </c:pt>
                <c:pt idx="32">
                  <c:v>42.561999999999998</c:v>
                </c:pt>
                <c:pt idx="33">
                  <c:v>42.485599999999998</c:v>
                </c:pt>
                <c:pt idx="34">
                  <c:v>42.384100000000004</c:v>
                </c:pt>
                <c:pt idx="35">
                  <c:v>42.329099999999997</c:v>
                </c:pt>
                <c:pt idx="36">
                  <c:v>42.281100000000002</c:v>
                </c:pt>
                <c:pt idx="37">
                  <c:v>42.146799999999999</c:v>
                </c:pt>
                <c:pt idx="38">
                  <c:v>42.026899999999998</c:v>
                </c:pt>
                <c:pt idx="39">
                  <c:v>41.934800000000003</c:v>
                </c:pt>
                <c:pt idx="40">
                  <c:v>41.866100000000003</c:v>
                </c:pt>
                <c:pt idx="41">
                  <c:v>41.752299999999998</c:v>
                </c:pt>
                <c:pt idx="42">
                  <c:v>41.6188</c:v>
                </c:pt>
                <c:pt idx="43">
                  <c:v>41.544599999999996</c:v>
                </c:pt>
                <c:pt idx="44">
                  <c:v>41.513800000000003</c:v>
                </c:pt>
                <c:pt idx="45">
                  <c:v>41.4908</c:v>
                </c:pt>
                <c:pt idx="46">
                  <c:v>41.455999999999996</c:v>
                </c:pt>
                <c:pt idx="47">
                  <c:v>41.464199999999998</c:v>
                </c:pt>
                <c:pt idx="48">
                  <c:v>41.517299999999999</c:v>
                </c:pt>
                <c:pt idx="49">
                  <c:v>41.536200000000001</c:v>
                </c:pt>
                <c:pt idx="50">
                  <c:v>41.483199999999997</c:v>
                </c:pt>
                <c:pt idx="51">
                  <c:v>41.343800000000002</c:v>
                </c:pt>
                <c:pt idx="52">
                  <c:v>41.290100000000002</c:v>
                </c:pt>
                <c:pt idx="53">
                  <c:v>41.117599999999996</c:v>
                </c:pt>
                <c:pt idx="54">
                  <c:v>40.868000000000002</c:v>
                </c:pt>
                <c:pt idx="55">
                  <c:v>40.8414</c:v>
                </c:pt>
                <c:pt idx="56">
                  <c:v>40.699600000000004</c:v>
                </c:pt>
                <c:pt idx="57">
                  <c:v>40.572200000000002</c:v>
                </c:pt>
                <c:pt idx="58">
                  <c:v>40.400599999999997</c:v>
                </c:pt>
                <c:pt idx="59">
                  <c:v>40.278599999999997</c:v>
                </c:pt>
                <c:pt idx="60">
                  <c:v>40.051700000000004</c:v>
                </c:pt>
                <c:pt idx="61">
                  <c:v>39.800400000000003</c:v>
                </c:pt>
                <c:pt idx="62">
                  <c:v>39.628999999999998</c:v>
                </c:pt>
                <c:pt idx="63">
                  <c:v>39.520800000000001</c:v>
                </c:pt>
                <c:pt idx="64">
                  <c:v>39.4529</c:v>
                </c:pt>
                <c:pt idx="65">
                  <c:v>39.382899999999999</c:v>
                </c:pt>
                <c:pt idx="66">
                  <c:v>39.496600000000001</c:v>
                </c:pt>
                <c:pt idx="67">
                  <c:v>39.597500000000004</c:v>
                </c:pt>
                <c:pt idx="68">
                  <c:v>39.600900000000003</c:v>
                </c:pt>
                <c:pt idx="69">
                  <c:v>39.623000000000005</c:v>
                </c:pt>
                <c:pt idx="70">
                  <c:v>39.6051</c:v>
                </c:pt>
                <c:pt idx="71">
                  <c:v>39.650600000000004</c:v>
                </c:pt>
                <c:pt idx="72">
                  <c:v>39.668700000000001</c:v>
                </c:pt>
                <c:pt idx="73">
                  <c:v>39.668799999999997</c:v>
                </c:pt>
                <c:pt idx="74">
                  <c:v>39.668500000000002</c:v>
                </c:pt>
                <c:pt idx="75">
                  <c:v>39.8399</c:v>
                </c:pt>
                <c:pt idx="76">
                  <c:v>40.017699999999998</c:v>
                </c:pt>
                <c:pt idx="77">
                  <c:v>40.235999999999997</c:v>
                </c:pt>
                <c:pt idx="78">
                  <c:v>40.480899999999998</c:v>
                </c:pt>
                <c:pt idx="79">
                  <c:v>40.676699999999997</c:v>
                </c:pt>
                <c:pt idx="80">
                  <c:v>40.875299999999996</c:v>
                </c:pt>
                <c:pt idx="81">
                  <c:v>41.074599999999997</c:v>
                </c:pt>
                <c:pt idx="82">
                  <c:v>41.267900000000004</c:v>
                </c:pt>
                <c:pt idx="83">
                  <c:v>41.470199999999998</c:v>
                </c:pt>
                <c:pt idx="84">
                  <c:v>41.735199999999999</c:v>
                </c:pt>
                <c:pt idx="85">
                  <c:v>42.020499999999998</c:v>
                </c:pt>
                <c:pt idx="86">
                  <c:v>42.356100000000005</c:v>
                </c:pt>
                <c:pt idx="87">
                  <c:v>42.688600000000001</c:v>
                </c:pt>
                <c:pt idx="88">
                  <c:v>42.904599999999995</c:v>
                </c:pt>
                <c:pt idx="89">
                  <c:v>43.064</c:v>
                </c:pt>
                <c:pt idx="90">
                  <c:v>43.112499999999997</c:v>
                </c:pt>
                <c:pt idx="91">
                  <c:v>43.1083</c:v>
                </c:pt>
                <c:pt idx="92">
                  <c:v>43.067399999999999</c:v>
                </c:pt>
                <c:pt idx="93">
                  <c:v>42.9694</c:v>
                </c:pt>
                <c:pt idx="94">
                  <c:v>42.847499999999997</c:v>
                </c:pt>
                <c:pt idx="95">
                  <c:v>42.731499999999997</c:v>
                </c:pt>
                <c:pt idx="96">
                  <c:v>42.572299999999998</c:v>
                </c:pt>
                <c:pt idx="97">
                  <c:v>42.398299999999999</c:v>
                </c:pt>
                <c:pt idx="98">
                  <c:v>42.238700000000001</c:v>
                </c:pt>
                <c:pt idx="99">
                  <c:v>42.094300000000004</c:v>
                </c:pt>
                <c:pt idx="100">
                  <c:v>42.006399999999999</c:v>
                </c:pt>
                <c:pt idx="101">
                  <c:v>41.927500000000002</c:v>
                </c:pt>
                <c:pt idx="102">
                  <c:v>41.825000000000003</c:v>
                </c:pt>
                <c:pt idx="103">
                  <c:v>41.743499999999997</c:v>
                </c:pt>
                <c:pt idx="104">
                  <c:v>41.683100000000003</c:v>
                </c:pt>
                <c:pt idx="105">
                  <c:v>41.595399999999998</c:v>
                </c:pt>
                <c:pt idx="106">
                  <c:v>41.446199999999997</c:v>
                </c:pt>
                <c:pt idx="107">
                  <c:v>41.274300000000004</c:v>
                </c:pt>
                <c:pt idx="108">
                  <c:v>41.05</c:v>
                </c:pt>
                <c:pt idx="109">
                  <c:v>40.749400000000001</c:v>
                </c:pt>
                <c:pt idx="110">
                  <c:v>40.457599999999999</c:v>
                </c:pt>
                <c:pt idx="111">
                  <c:v>40.228400000000001</c:v>
                </c:pt>
                <c:pt idx="112">
                  <c:v>40.035800000000002</c:v>
                </c:pt>
                <c:pt idx="113">
                  <c:v>39.868200000000002</c:v>
                </c:pt>
                <c:pt idx="114">
                  <c:v>39.744399999999999</c:v>
                </c:pt>
                <c:pt idx="115">
                  <c:v>39.650600000000004</c:v>
                </c:pt>
                <c:pt idx="116">
                  <c:v>39.534300000000002</c:v>
                </c:pt>
                <c:pt idx="117">
                  <c:v>39.430799999999998</c:v>
                </c:pt>
                <c:pt idx="118">
                  <c:v>39.3108</c:v>
                </c:pt>
                <c:pt idx="119">
                  <c:v>39.155099999999997</c:v>
                </c:pt>
                <c:pt idx="120">
                  <c:v>38.988299999999995</c:v>
                </c:pt>
                <c:pt idx="121">
                  <c:v>38.7624</c:v>
                </c:pt>
                <c:pt idx="122">
                  <c:v>38.5762</c:v>
                </c:pt>
                <c:pt idx="123">
                  <c:v>38.370199999999997</c:v>
                </c:pt>
                <c:pt idx="124">
                  <c:v>38.320799999999998</c:v>
                </c:pt>
                <c:pt idx="125">
                  <c:v>38.255000000000003</c:v>
                </c:pt>
                <c:pt idx="126">
                  <c:v>38.186100000000003</c:v>
                </c:pt>
                <c:pt idx="127">
                  <c:v>38.105400000000003</c:v>
                </c:pt>
                <c:pt idx="128">
                  <c:v>37.988499999999995</c:v>
                </c:pt>
                <c:pt idx="129">
                  <c:v>37.854199999999999</c:v>
                </c:pt>
                <c:pt idx="130">
                  <c:v>37.730000000000004</c:v>
                </c:pt>
                <c:pt idx="131">
                  <c:v>37.6066</c:v>
                </c:pt>
                <c:pt idx="132">
                  <c:v>37.465699999999998</c:v>
                </c:pt>
                <c:pt idx="133">
                  <c:v>37.379300000000001</c:v>
                </c:pt>
                <c:pt idx="134">
                  <c:v>37.380499999999998</c:v>
                </c:pt>
                <c:pt idx="135">
                  <c:v>37.366899999999994</c:v>
                </c:pt>
                <c:pt idx="136">
                  <c:v>37.226999999999997</c:v>
                </c:pt>
                <c:pt idx="137">
                  <c:v>37.042900000000003</c:v>
                </c:pt>
                <c:pt idx="138">
                  <c:v>36.879600000000003</c:v>
                </c:pt>
                <c:pt idx="139">
                  <c:v>36.667999999999999</c:v>
                </c:pt>
                <c:pt idx="140">
                  <c:v>36.448999999999998</c:v>
                </c:pt>
                <c:pt idx="141">
                  <c:v>36.1556</c:v>
                </c:pt>
                <c:pt idx="142">
                  <c:v>35.758499999999998</c:v>
                </c:pt>
                <c:pt idx="143">
                  <c:v>35.374400000000001</c:v>
                </c:pt>
                <c:pt idx="144">
                  <c:v>35.051500000000004</c:v>
                </c:pt>
                <c:pt idx="145">
                  <c:v>34.723100000000002</c:v>
                </c:pt>
                <c:pt idx="146">
                  <c:v>34.750399999999999</c:v>
                </c:pt>
                <c:pt idx="147">
                  <c:v>34.767900000000004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0.39655499999999999</c:v>
                </c:pt>
                <c:pt idx="2">
                  <c:v>0.80140100000000003</c:v>
                </c:pt>
                <c:pt idx="3">
                  <c:v>1.2085399999999999</c:v>
                </c:pt>
                <c:pt idx="4">
                  <c:v>1.6133900000000001</c:v>
                </c:pt>
                <c:pt idx="5">
                  <c:v>2.0221499999999999</c:v>
                </c:pt>
                <c:pt idx="6">
                  <c:v>2.4279799999999998</c:v>
                </c:pt>
                <c:pt idx="7">
                  <c:v>2.8342999999999998</c:v>
                </c:pt>
                <c:pt idx="8">
                  <c:v>3.2372999999999998</c:v>
                </c:pt>
                <c:pt idx="9">
                  <c:v>3.64636</c:v>
                </c:pt>
                <c:pt idx="10">
                  <c:v>4.0519100000000003</c:v>
                </c:pt>
                <c:pt idx="11">
                  <c:v>4.4559699999999998</c:v>
                </c:pt>
                <c:pt idx="12">
                  <c:v>4.8644299999999996</c:v>
                </c:pt>
                <c:pt idx="13">
                  <c:v>5.2701500000000001</c:v>
                </c:pt>
                <c:pt idx="14">
                  <c:v>5.67509</c:v>
                </c:pt>
                <c:pt idx="15">
                  <c:v>6.0828300000000004</c:v>
                </c:pt>
                <c:pt idx="16">
                  <c:v>6.4924799999999996</c:v>
                </c:pt>
                <c:pt idx="17">
                  <c:v>6.8928799999999999</c:v>
                </c:pt>
                <c:pt idx="18">
                  <c:v>7.2996100000000004</c:v>
                </c:pt>
                <c:pt idx="19">
                  <c:v>7.70906</c:v>
                </c:pt>
                <c:pt idx="20">
                  <c:v>8.1117600000000003</c:v>
                </c:pt>
                <c:pt idx="21">
                  <c:v>8.5223999999999993</c:v>
                </c:pt>
                <c:pt idx="22">
                  <c:v>8.9256799999999998</c:v>
                </c:pt>
                <c:pt idx="23">
                  <c:v>9.3318999999999992</c:v>
                </c:pt>
                <c:pt idx="24">
                  <c:v>9.7385400000000004</c:v>
                </c:pt>
                <c:pt idx="25">
                  <c:v>10.1495</c:v>
                </c:pt>
                <c:pt idx="26">
                  <c:v>10.553599999999999</c:v>
                </c:pt>
                <c:pt idx="27">
                  <c:v>10.9575</c:v>
                </c:pt>
                <c:pt idx="28">
                  <c:v>11.3645</c:v>
                </c:pt>
                <c:pt idx="29">
                  <c:v>11.7698</c:v>
                </c:pt>
                <c:pt idx="30">
                  <c:v>12.1762</c:v>
                </c:pt>
                <c:pt idx="31">
                  <c:v>12.5846</c:v>
                </c:pt>
                <c:pt idx="32">
                  <c:v>12.987399999999999</c:v>
                </c:pt>
                <c:pt idx="33">
                  <c:v>13.395799999999999</c:v>
                </c:pt>
                <c:pt idx="34">
                  <c:v>13.802300000000001</c:v>
                </c:pt>
                <c:pt idx="35">
                  <c:v>14.2065</c:v>
                </c:pt>
                <c:pt idx="36">
                  <c:v>14.6127</c:v>
                </c:pt>
                <c:pt idx="37">
                  <c:v>15.0222</c:v>
                </c:pt>
                <c:pt idx="38">
                  <c:v>15.4254</c:v>
                </c:pt>
                <c:pt idx="39">
                  <c:v>15.833299999999999</c:v>
                </c:pt>
                <c:pt idx="40">
                  <c:v>16.238399999999999</c:v>
                </c:pt>
                <c:pt idx="41">
                  <c:v>16.646100000000001</c:v>
                </c:pt>
                <c:pt idx="42">
                  <c:v>17.0532</c:v>
                </c:pt>
                <c:pt idx="43">
                  <c:v>17.454899999999999</c:v>
                </c:pt>
                <c:pt idx="44">
                  <c:v>17.8628</c:v>
                </c:pt>
                <c:pt idx="45">
                  <c:v>18.2714</c:v>
                </c:pt>
                <c:pt idx="46">
                  <c:v>18.6752</c:v>
                </c:pt>
                <c:pt idx="47">
                  <c:v>19.084499999999998</c:v>
                </c:pt>
                <c:pt idx="48">
                  <c:v>19.487300000000001</c:v>
                </c:pt>
                <c:pt idx="49">
                  <c:v>19.893999999999998</c:v>
                </c:pt>
                <c:pt idx="50">
                  <c:v>20.3047</c:v>
                </c:pt>
                <c:pt idx="51">
                  <c:v>20.707999999999998</c:v>
                </c:pt>
                <c:pt idx="52">
                  <c:v>21.115200000000002</c:v>
                </c:pt>
                <c:pt idx="53">
                  <c:v>21.5185</c:v>
                </c:pt>
                <c:pt idx="54">
                  <c:v>21.928100000000001</c:v>
                </c:pt>
                <c:pt idx="55">
                  <c:v>22.331900000000001</c:v>
                </c:pt>
                <c:pt idx="56">
                  <c:v>22.741199999999999</c:v>
                </c:pt>
                <c:pt idx="57">
                  <c:v>23.148499999999999</c:v>
                </c:pt>
                <c:pt idx="58">
                  <c:v>23.552700000000002</c:v>
                </c:pt>
                <c:pt idx="59">
                  <c:v>23.954899999999999</c:v>
                </c:pt>
                <c:pt idx="60">
                  <c:v>24.364100000000001</c:v>
                </c:pt>
                <c:pt idx="61">
                  <c:v>24.773299999999999</c:v>
                </c:pt>
                <c:pt idx="62">
                  <c:v>25.178100000000001</c:v>
                </c:pt>
                <c:pt idx="63">
                  <c:v>25.5855</c:v>
                </c:pt>
                <c:pt idx="64">
                  <c:v>25.989899999999999</c:v>
                </c:pt>
                <c:pt idx="65">
                  <c:v>26.394500000000001</c:v>
                </c:pt>
                <c:pt idx="66">
                  <c:v>26.8032</c:v>
                </c:pt>
                <c:pt idx="67">
                  <c:v>27.210100000000001</c:v>
                </c:pt>
                <c:pt idx="68">
                  <c:v>27.614799999999999</c:v>
                </c:pt>
                <c:pt idx="69">
                  <c:v>28.018999999999998</c:v>
                </c:pt>
                <c:pt idx="70">
                  <c:v>28.4283</c:v>
                </c:pt>
                <c:pt idx="71">
                  <c:v>28.838200000000001</c:v>
                </c:pt>
                <c:pt idx="72">
                  <c:v>29.241099999999999</c:v>
                </c:pt>
                <c:pt idx="73">
                  <c:v>29.645499999999998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56.519799999999996</c:v>
                </c:pt>
                <c:pt idx="1">
                  <c:v>55.950999999999993</c:v>
                </c:pt>
                <c:pt idx="2">
                  <c:v>55.340599999999995</c:v>
                </c:pt>
                <c:pt idx="3">
                  <c:v>54.729199999999999</c:v>
                </c:pt>
                <c:pt idx="4">
                  <c:v>54.043699999999994</c:v>
                </c:pt>
                <c:pt idx="5">
                  <c:v>53.240200000000002</c:v>
                </c:pt>
                <c:pt idx="6">
                  <c:v>52.380300000000005</c:v>
                </c:pt>
                <c:pt idx="7">
                  <c:v>51.477799999999995</c:v>
                </c:pt>
                <c:pt idx="8">
                  <c:v>50.616399999999992</c:v>
                </c:pt>
                <c:pt idx="9">
                  <c:v>49.861400000000003</c:v>
                </c:pt>
                <c:pt idx="10">
                  <c:v>49.167999999999999</c:v>
                </c:pt>
                <c:pt idx="11">
                  <c:v>48.4985</c:v>
                </c:pt>
                <c:pt idx="12">
                  <c:v>47.820599999999999</c:v>
                </c:pt>
                <c:pt idx="13">
                  <c:v>47.189399999999999</c:v>
                </c:pt>
                <c:pt idx="14">
                  <c:v>46.611399999999996</c:v>
                </c:pt>
                <c:pt idx="15">
                  <c:v>46.069500000000005</c:v>
                </c:pt>
                <c:pt idx="16">
                  <c:v>45.527799999999999</c:v>
                </c:pt>
                <c:pt idx="17">
                  <c:v>45.040100000000002</c:v>
                </c:pt>
                <c:pt idx="18">
                  <c:v>44.5852</c:v>
                </c:pt>
                <c:pt idx="19">
                  <c:v>44.248899999999999</c:v>
                </c:pt>
                <c:pt idx="20">
                  <c:v>43.997100000000003</c:v>
                </c:pt>
                <c:pt idx="21">
                  <c:v>43.773299999999999</c:v>
                </c:pt>
                <c:pt idx="22">
                  <c:v>43.585599999999999</c:v>
                </c:pt>
                <c:pt idx="23">
                  <c:v>43.439699999999995</c:v>
                </c:pt>
                <c:pt idx="24">
                  <c:v>43.2973</c:v>
                </c:pt>
                <c:pt idx="25">
                  <c:v>43.166600000000003</c:v>
                </c:pt>
                <c:pt idx="26">
                  <c:v>43.052300000000002</c:v>
                </c:pt>
                <c:pt idx="27">
                  <c:v>42.928800000000003</c:v>
                </c:pt>
                <c:pt idx="28">
                  <c:v>42.819400000000002</c:v>
                </c:pt>
                <c:pt idx="29">
                  <c:v>42.759799999999998</c:v>
                </c:pt>
                <c:pt idx="30">
                  <c:v>42.683500000000002</c:v>
                </c:pt>
                <c:pt idx="31">
                  <c:v>42.601499999999994</c:v>
                </c:pt>
                <c:pt idx="32">
                  <c:v>42.561999999999998</c:v>
                </c:pt>
                <c:pt idx="33">
                  <c:v>42.485599999999998</c:v>
                </c:pt>
                <c:pt idx="34">
                  <c:v>42.384100000000004</c:v>
                </c:pt>
                <c:pt idx="35">
                  <c:v>42.329099999999997</c:v>
                </c:pt>
                <c:pt idx="36">
                  <c:v>42.281100000000002</c:v>
                </c:pt>
                <c:pt idx="37">
                  <c:v>42.146799999999999</c:v>
                </c:pt>
                <c:pt idx="38">
                  <c:v>42.026899999999998</c:v>
                </c:pt>
                <c:pt idx="39">
                  <c:v>41.934800000000003</c:v>
                </c:pt>
                <c:pt idx="40">
                  <c:v>41.866100000000003</c:v>
                </c:pt>
                <c:pt idx="41">
                  <c:v>41.752299999999998</c:v>
                </c:pt>
                <c:pt idx="42">
                  <c:v>41.6188</c:v>
                </c:pt>
                <c:pt idx="43">
                  <c:v>41.544599999999996</c:v>
                </c:pt>
                <c:pt idx="44">
                  <c:v>41.513800000000003</c:v>
                </c:pt>
                <c:pt idx="45">
                  <c:v>41.4908</c:v>
                </c:pt>
                <c:pt idx="46">
                  <c:v>41.455999999999996</c:v>
                </c:pt>
                <c:pt idx="47">
                  <c:v>41.464199999999998</c:v>
                </c:pt>
                <c:pt idx="48">
                  <c:v>41.517299999999999</c:v>
                </c:pt>
                <c:pt idx="49">
                  <c:v>41.536200000000001</c:v>
                </c:pt>
                <c:pt idx="50">
                  <c:v>41.483199999999997</c:v>
                </c:pt>
                <c:pt idx="51">
                  <c:v>41.343800000000002</c:v>
                </c:pt>
                <c:pt idx="52">
                  <c:v>41.290100000000002</c:v>
                </c:pt>
                <c:pt idx="53">
                  <c:v>41.117599999999996</c:v>
                </c:pt>
                <c:pt idx="54">
                  <c:v>40.868000000000002</c:v>
                </c:pt>
                <c:pt idx="55">
                  <c:v>40.8414</c:v>
                </c:pt>
                <c:pt idx="56">
                  <c:v>40.699600000000004</c:v>
                </c:pt>
                <c:pt idx="57">
                  <c:v>40.572200000000002</c:v>
                </c:pt>
                <c:pt idx="58">
                  <c:v>40.400599999999997</c:v>
                </c:pt>
                <c:pt idx="59">
                  <c:v>40.278599999999997</c:v>
                </c:pt>
                <c:pt idx="60">
                  <c:v>40.051700000000004</c:v>
                </c:pt>
                <c:pt idx="61">
                  <c:v>39.800400000000003</c:v>
                </c:pt>
                <c:pt idx="62">
                  <c:v>39.628999999999998</c:v>
                </c:pt>
                <c:pt idx="63">
                  <c:v>39.520800000000001</c:v>
                </c:pt>
                <c:pt idx="64">
                  <c:v>39.4529</c:v>
                </c:pt>
                <c:pt idx="65">
                  <c:v>39.382899999999999</c:v>
                </c:pt>
                <c:pt idx="66">
                  <c:v>39.496600000000001</c:v>
                </c:pt>
                <c:pt idx="67">
                  <c:v>39.597500000000004</c:v>
                </c:pt>
                <c:pt idx="68">
                  <c:v>39.600900000000003</c:v>
                </c:pt>
                <c:pt idx="69">
                  <c:v>39.623000000000005</c:v>
                </c:pt>
                <c:pt idx="70">
                  <c:v>39.6051</c:v>
                </c:pt>
                <c:pt idx="71">
                  <c:v>39.650600000000004</c:v>
                </c:pt>
                <c:pt idx="72">
                  <c:v>39.668700000000001</c:v>
                </c:pt>
                <c:pt idx="73">
                  <c:v>39.668799999999997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29.645499999999998</c:v>
                </c:pt>
                <c:pt idx="1">
                  <c:v>30.0505</c:v>
                </c:pt>
                <c:pt idx="2">
                  <c:v>30.5091</c:v>
                </c:pt>
                <c:pt idx="3">
                  <c:v>30.9086</c:v>
                </c:pt>
                <c:pt idx="4">
                  <c:v>31.3171</c:v>
                </c:pt>
                <c:pt idx="5">
                  <c:v>31.7225</c:v>
                </c:pt>
                <c:pt idx="6">
                  <c:v>32.131300000000003</c:v>
                </c:pt>
                <c:pt idx="7">
                  <c:v>32.5349</c:v>
                </c:pt>
                <c:pt idx="8">
                  <c:v>32.942</c:v>
                </c:pt>
                <c:pt idx="9">
                  <c:v>33.347299999999997</c:v>
                </c:pt>
                <c:pt idx="10">
                  <c:v>33.7547</c:v>
                </c:pt>
                <c:pt idx="11">
                  <c:v>34.160200000000003</c:v>
                </c:pt>
                <c:pt idx="12">
                  <c:v>34.5685</c:v>
                </c:pt>
                <c:pt idx="13">
                  <c:v>34.973399999999998</c:v>
                </c:pt>
                <c:pt idx="14">
                  <c:v>35.3765</c:v>
                </c:pt>
                <c:pt idx="15">
                  <c:v>35.785699999999999</c:v>
                </c:pt>
                <c:pt idx="16">
                  <c:v>36.192900000000002</c:v>
                </c:pt>
                <c:pt idx="17">
                  <c:v>36.600200000000001</c:v>
                </c:pt>
                <c:pt idx="18">
                  <c:v>37.0032</c:v>
                </c:pt>
                <c:pt idx="19">
                  <c:v>37.410699999999999</c:v>
                </c:pt>
                <c:pt idx="20">
                  <c:v>37.816800000000001</c:v>
                </c:pt>
                <c:pt idx="21">
                  <c:v>38.225700000000003</c:v>
                </c:pt>
                <c:pt idx="22">
                  <c:v>38.630099999999999</c:v>
                </c:pt>
                <c:pt idx="23">
                  <c:v>39.0396</c:v>
                </c:pt>
                <c:pt idx="24">
                  <c:v>39.442100000000003</c:v>
                </c:pt>
                <c:pt idx="25">
                  <c:v>39.8476</c:v>
                </c:pt>
                <c:pt idx="26">
                  <c:v>40.254100000000001</c:v>
                </c:pt>
                <c:pt idx="27">
                  <c:v>40.662700000000001</c:v>
                </c:pt>
                <c:pt idx="28">
                  <c:v>41.070099999999996</c:v>
                </c:pt>
                <c:pt idx="29">
                  <c:v>41.4724</c:v>
                </c:pt>
                <c:pt idx="30">
                  <c:v>41.880200000000002</c:v>
                </c:pt>
                <c:pt idx="31">
                  <c:v>42.290900000000001</c:v>
                </c:pt>
                <c:pt idx="32">
                  <c:v>42.692999999999998</c:v>
                </c:pt>
                <c:pt idx="33">
                  <c:v>43.097099999999998</c:v>
                </c:pt>
                <c:pt idx="34">
                  <c:v>43.503799999999998</c:v>
                </c:pt>
                <c:pt idx="35">
                  <c:v>43.907800000000002</c:v>
                </c:pt>
                <c:pt idx="36">
                  <c:v>44.316800000000001</c:v>
                </c:pt>
                <c:pt idx="37">
                  <c:v>44.723100000000002</c:v>
                </c:pt>
                <c:pt idx="38">
                  <c:v>45.128700000000002</c:v>
                </c:pt>
                <c:pt idx="39">
                  <c:v>45.536000000000001</c:v>
                </c:pt>
                <c:pt idx="40">
                  <c:v>45.941200000000002</c:v>
                </c:pt>
                <c:pt idx="41">
                  <c:v>46.349299999999999</c:v>
                </c:pt>
                <c:pt idx="42">
                  <c:v>46.752600000000001</c:v>
                </c:pt>
                <c:pt idx="43">
                  <c:v>47.159399999999998</c:v>
                </c:pt>
                <c:pt idx="44">
                  <c:v>47.5687</c:v>
                </c:pt>
                <c:pt idx="45">
                  <c:v>47.9741</c:v>
                </c:pt>
                <c:pt idx="46">
                  <c:v>48.380299999999998</c:v>
                </c:pt>
                <c:pt idx="47">
                  <c:v>48.786000000000001</c:v>
                </c:pt>
                <c:pt idx="48">
                  <c:v>49.191400000000002</c:v>
                </c:pt>
                <c:pt idx="49">
                  <c:v>49.598500000000001</c:v>
                </c:pt>
                <c:pt idx="50">
                  <c:v>50.0032</c:v>
                </c:pt>
                <c:pt idx="51">
                  <c:v>50.409500000000001</c:v>
                </c:pt>
                <c:pt idx="52">
                  <c:v>50.817399999999999</c:v>
                </c:pt>
                <c:pt idx="53">
                  <c:v>51.220799999999997</c:v>
                </c:pt>
                <c:pt idx="54">
                  <c:v>51.629800000000003</c:v>
                </c:pt>
                <c:pt idx="55">
                  <c:v>52.035299999999999</c:v>
                </c:pt>
                <c:pt idx="56">
                  <c:v>52.442599999999999</c:v>
                </c:pt>
                <c:pt idx="57">
                  <c:v>52.848500000000001</c:v>
                </c:pt>
                <c:pt idx="58">
                  <c:v>53.2532</c:v>
                </c:pt>
                <c:pt idx="59">
                  <c:v>53.659799999999997</c:v>
                </c:pt>
                <c:pt idx="60">
                  <c:v>54.069000000000003</c:v>
                </c:pt>
                <c:pt idx="61">
                  <c:v>54.474699999999999</c:v>
                </c:pt>
                <c:pt idx="62">
                  <c:v>54.880899999999997</c:v>
                </c:pt>
                <c:pt idx="63">
                  <c:v>55.287700000000001</c:v>
                </c:pt>
                <c:pt idx="64">
                  <c:v>55.691800000000001</c:v>
                </c:pt>
                <c:pt idx="65">
                  <c:v>56.102800000000002</c:v>
                </c:pt>
                <c:pt idx="66">
                  <c:v>56.505600000000001</c:v>
                </c:pt>
                <c:pt idx="67">
                  <c:v>56.908799999999999</c:v>
                </c:pt>
                <c:pt idx="68">
                  <c:v>57.316000000000003</c:v>
                </c:pt>
                <c:pt idx="69">
                  <c:v>57.722299999999997</c:v>
                </c:pt>
                <c:pt idx="70">
                  <c:v>58.130099999999999</c:v>
                </c:pt>
                <c:pt idx="71">
                  <c:v>58.542700000000004</c:v>
                </c:pt>
                <c:pt idx="72">
                  <c:v>58.949599999999997</c:v>
                </c:pt>
                <c:pt idx="73">
                  <c:v>59.346899999999998</c:v>
                </c:pt>
                <c:pt idx="74">
                  <c:v>59.756700000000002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39.668799999999997</c:v>
                </c:pt>
                <c:pt idx="1">
                  <c:v>39.668500000000002</c:v>
                </c:pt>
                <c:pt idx="2">
                  <c:v>39.8399</c:v>
                </c:pt>
                <c:pt idx="3">
                  <c:v>40.017699999999998</c:v>
                </c:pt>
                <c:pt idx="4">
                  <c:v>40.235999999999997</c:v>
                </c:pt>
                <c:pt idx="5">
                  <c:v>40.480899999999998</c:v>
                </c:pt>
                <c:pt idx="6">
                  <c:v>40.676699999999997</c:v>
                </c:pt>
                <c:pt idx="7">
                  <c:v>40.875299999999996</c:v>
                </c:pt>
                <c:pt idx="8">
                  <c:v>41.074599999999997</c:v>
                </c:pt>
                <c:pt idx="9">
                  <c:v>41.267900000000004</c:v>
                </c:pt>
                <c:pt idx="10">
                  <c:v>41.470199999999998</c:v>
                </c:pt>
                <c:pt idx="11">
                  <c:v>41.735199999999999</c:v>
                </c:pt>
                <c:pt idx="12">
                  <c:v>42.020499999999998</c:v>
                </c:pt>
                <c:pt idx="13">
                  <c:v>42.356100000000005</c:v>
                </c:pt>
                <c:pt idx="14">
                  <c:v>42.688600000000001</c:v>
                </c:pt>
                <c:pt idx="15">
                  <c:v>42.904599999999995</c:v>
                </c:pt>
                <c:pt idx="16">
                  <c:v>43.064</c:v>
                </c:pt>
                <c:pt idx="17">
                  <c:v>43.112499999999997</c:v>
                </c:pt>
                <c:pt idx="18">
                  <c:v>43.1083</c:v>
                </c:pt>
                <c:pt idx="19">
                  <c:v>43.067399999999999</c:v>
                </c:pt>
                <c:pt idx="20">
                  <c:v>42.9694</c:v>
                </c:pt>
                <c:pt idx="21">
                  <c:v>42.847499999999997</c:v>
                </c:pt>
                <c:pt idx="22">
                  <c:v>42.731499999999997</c:v>
                </c:pt>
                <c:pt idx="23">
                  <c:v>42.572299999999998</c:v>
                </c:pt>
                <c:pt idx="24">
                  <c:v>42.398299999999999</c:v>
                </c:pt>
                <c:pt idx="25">
                  <c:v>42.238700000000001</c:v>
                </c:pt>
                <c:pt idx="26">
                  <c:v>42.094300000000004</c:v>
                </c:pt>
                <c:pt idx="27">
                  <c:v>42.006399999999999</c:v>
                </c:pt>
                <c:pt idx="28">
                  <c:v>41.927500000000002</c:v>
                </c:pt>
                <c:pt idx="29">
                  <c:v>41.825000000000003</c:v>
                </c:pt>
                <c:pt idx="30">
                  <c:v>41.743499999999997</c:v>
                </c:pt>
                <c:pt idx="31">
                  <c:v>41.683100000000003</c:v>
                </c:pt>
                <c:pt idx="32">
                  <c:v>41.595399999999998</c:v>
                </c:pt>
                <c:pt idx="33">
                  <c:v>41.446199999999997</c:v>
                </c:pt>
                <c:pt idx="34">
                  <c:v>41.274300000000004</c:v>
                </c:pt>
                <c:pt idx="35">
                  <c:v>41.05</c:v>
                </c:pt>
                <c:pt idx="36">
                  <c:v>40.749400000000001</c:v>
                </c:pt>
                <c:pt idx="37">
                  <c:v>40.457599999999999</c:v>
                </c:pt>
                <c:pt idx="38">
                  <c:v>40.228400000000001</c:v>
                </c:pt>
                <c:pt idx="39">
                  <c:v>40.035800000000002</c:v>
                </c:pt>
                <c:pt idx="40">
                  <c:v>39.868200000000002</c:v>
                </c:pt>
                <c:pt idx="41">
                  <c:v>39.744399999999999</c:v>
                </c:pt>
                <c:pt idx="42">
                  <c:v>39.650600000000004</c:v>
                </c:pt>
                <c:pt idx="43">
                  <c:v>39.534300000000002</c:v>
                </c:pt>
                <c:pt idx="44">
                  <c:v>39.430799999999998</c:v>
                </c:pt>
                <c:pt idx="45">
                  <c:v>39.3108</c:v>
                </c:pt>
                <c:pt idx="46">
                  <c:v>39.155099999999997</c:v>
                </c:pt>
                <c:pt idx="47">
                  <c:v>38.988299999999995</c:v>
                </c:pt>
                <c:pt idx="48">
                  <c:v>38.7624</c:v>
                </c:pt>
                <c:pt idx="49">
                  <c:v>38.5762</c:v>
                </c:pt>
                <c:pt idx="50">
                  <c:v>38.370199999999997</c:v>
                </c:pt>
                <c:pt idx="51">
                  <c:v>38.320799999999998</c:v>
                </c:pt>
                <c:pt idx="52">
                  <c:v>38.255000000000003</c:v>
                </c:pt>
                <c:pt idx="53">
                  <c:v>38.186100000000003</c:v>
                </c:pt>
                <c:pt idx="54">
                  <c:v>38.105400000000003</c:v>
                </c:pt>
                <c:pt idx="55">
                  <c:v>37.988499999999995</c:v>
                </c:pt>
                <c:pt idx="56">
                  <c:v>37.854199999999999</c:v>
                </c:pt>
                <c:pt idx="57">
                  <c:v>37.730000000000004</c:v>
                </c:pt>
                <c:pt idx="58">
                  <c:v>37.6066</c:v>
                </c:pt>
                <c:pt idx="59">
                  <c:v>37.465699999999998</c:v>
                </c:pt>
                <c:pt idx="60">
                  <c:v>37.379300000000001</c:v>
                </c:pt>
                <c:pt idx="61">
                  <c:v>37.380499999999998</c:v>
                </c:pt>
                <c:pt idx="62">
                  <c:v>37.366899999999994</c:v>
                </c:pt>
                <c:pt idx="63">
                  <c:v>37.226999999999997</c:v>
                </c:pt>
                <c:pt idx="64">
                  <c:v>37.042900000000003</c:v>
                </c:pt>
                <c:pt idx="65">
                  <c:v>36.879600000000003</c:v>
                </c:pt>
                <c:pt idx="66">
                  <c:v>36.667999999999999</c:v>
                </c:pt>
                <c:pt idx="67">
                  <c:v>36.448999999999998</c:v>
                </c:pt>
                <c:pt idx="68">
                  <c:v>36.1556</c:v>
                </c:pt>
                <c:pt idx="69">
                  <c:v>35.758499999999998</c:v>
                </c:pt>
                <c:pt idx="70">
                  <c:v>35.374400000000001</c:v>
                </c:pt>
                <c:pt idx="71">
                  <c:v>35.051500000000004</c:v>
                </c:pt>
                <c:pt idx="72">
                  <c:v>34.723100000000002</c:v>
                </c:pt>
                <c:pt idx="73">
                  <c:v>34.750399999999999</c:v>
                </c:pt>
                <c:pt idx="74">
                  <c:v>34.767900000000004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14.939175000000001</c:v>
                </c:pt>
                <c:pt idx="1">
                  <c:v>44.817525000000003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43.710529729729721</c:v>
                </c:pt>
                <c:pt idx="1">
                  <c:v>39.721860810810817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2.3476499999999998</c:v>
                </c:pt>
                <c:pt idx="1">
                  <c:v>2.37541</c:v>
                </c:pt>
                <c:pt idx="2">
                  <c:v>2.4029700000000003</c:v>
                </c:pt>
                <c:pt idx="3">
                  <c:v>2.43085</c:v>
                </c:pt>
                <c:pt idx="4">
                  <c:v>2.4586299999999999</c:v>
                </c:pt>
                <c:pt idx="5">
                  <c:v>2.4857999999999998</c:v>
                </c:pt>
                <c:pt idx="6">
                  <c:v>2.5109500000000002</c:v>
                </c:pt>
                <c:pt idx="7">
                  <c:v>2.5356699999999996</c:v>
                </c:pt>
                <c:pt idx="8">
                  <c:v>2.5573299999999999</c:v>
                </c:pt>
                <c:pt idx="9">
                  <c:v>2.5766299999999998</c:v>
                </c:pt>
                <c:pt idx="10">
                  <c:v>2.5914299999999999</c:v>
                </c:pt>
                <c:pt idx="11">
                  <c:v>2.6030899999999999</c:v>
                </c:pt>
                <c:pt idx="12">
                  <c:v>2.6162400000000003</c:v>
                </c:pt>
                <c:pt idx="13">
                  <c:v>2.6265000000000001</c:v>
                </c:pt>
                <c:pt idx="14">
                  <c:v>2.6353399999999998</c:v>
                </c:pt>
                <c:pt idx="15">
                  <c:v>2.6437100000000004</c:v>
                </c:pt>
                <c:pt idx="16">
                  <c:v>2.6521600000000003</c:v>
                </c:pt>
                <c:pt idx="17">
                  <c:v>2.6608499999999999</c:v>
                </c:pt>
                <c:pt idx="18">
                  <c:v>2.6712699999999998</c:v>
                </c:pt>
                <c:pt idx="19">
                  <c:v>2.68038</c:v>
                </c:pt>
                <c:pt idx="20">
                  <c:v>2.68926</c:v>
                </c:pt>
                <c:pt idx="21">
                  <c:v>2.6990399999999997</c:v>
                </c:pt>
                <c:pt idx="22">
                  <c:v>2.70621</c:v>
                </c:pt>
                <c:pt idx="23">
                  <c:v>2.7121499999999998</c:v>
                </c:pt>
                <c:pt idx="24">
                  <c:v>2.7184399999999997</c:v>
                </c:pt>
                <c:pt idx="25">
                  <c:v>2.72546</c:v>
                </c:pt>
                <c:pt idx="26">
                  <c:v>2.7332700000000001</c:v>
                </c:pt>
                <c:pt idx="27">
                  <c:v>2.7428300000000001</c:v>
                </c:pt>
                <c:pt idx="28">
                  <c:v>2.75393</c:v>
                </c:pt>
                <c:pt idx="29">
                  <c:v>2.7641900000000001</c:v>
                </c:pt>
                <c:pt idx="30">
                  <c:v>2.7732200000000002</c:v>
                </c:pt>
                <c:pt idx="31">
                  <c:v>2.7822999999999998</c:v>
                </c:pt>
                <c:pt idx="32">
                  <c:v>2.7926299999999999</c:v>
                </c:pt>
                <c:pt idx="33">
                  <c:v>2.8065199999999999</c:v>
                </c:pt>
                <c:pt idx="34">
                  <c:v>2.8217399999999997</c:v>
                </c:pt>
                <c:pt idx="35">
                  <c:v>2.8394900000000001</c:v>
                </c:pt>
                <c:pt idx="36">
                  <c:v>2.8602799999999999</c:v>
                </c:pt>
                <c:pt idx="37">
                  <c:v>2.8843700000000001</c:v>
                </c:pt>
                <c:pt idx="38">
                  <c:v>2.91201</c:v>
                </c:pt>
                <c:pt idx="39">
                  <c:v>2.9404200000000005</c:v>
                </c:pt>
                <c:pt idx="40">
                  <c:v>2.97072</c:v>
                </c:pt>
                <c:pt idx="41">
                  <c:v>3.0036200000000002</c:v>
                </c:pt>
                <c:pt idx="42">
                  <c:v>3.0369000000000002</c:v>
                </c:pt>
                <c:pt idx="43">
                  <c:v>3.0675300000000001</c:v>
                </c:pt>
                <c:pt idx="44">
                  <c:v>3.0971100000000003</c:v>
                </c:pt>
                <c:pt idx="45">
                  <c:v>3.1249900000000004</c:v>
                </c:pt>
                <c:pt idx="46">
                  <c:v>3.1519399999999997</c:v>
                </c:pt>
                <c:pt idx="47">
                  <c:v>3.17815</c:v>
                </c:pt>
                <c:pt idx="48">
                  <c:v>3.2035200000000001</c:v>
                </c:pt>
                <c:pt idx="49">
                  <c:v>3.2277099999999996</c:v>
                </c:pt>
                <c:pt idx="50">
                  <c:v>3.25386</c:v>
                </c:pt>
                <c:pt idx="51">
                  <c:v>3.2812200000000002</c:v>
                </c:pt>
                <c:pt idx="52">
                  <c:v>3.3000800000000003</c:v>
                </c:pt>
                <c:pt idx="53">
                  <c:v>3.3203300000000002</c:v>
                </c:pt>
                <c:pt idx="54">
                  <c:v>3.34111</c:v>
                </c:pt>
                <c:pt idx="55">
                  <c:v>3.35494</c:v>
                </c:pt>
                <c:pt idx="56">
                  <c:v>3.3736199999999998</c:v>
                </c:pt>
                <c:pt idx="57">
                  <c:v>3.3903499999999998</c:v>
                </c:pt>
                <c:pt idx="58">
                  <c:v>3.4066099999999997</c:v>
                </c:pt>
                <c:pt idx="59">
                  <c:v>3.4202300000000001</c:v>
                </c:pt>
                <c:pt idx="60">
                  <c:v>3.4401299999999999</c:v>
                </c:pt>
                <c:pt idx="61">
                  <c:v>3.4598899999999997</c:v>
                </c:pt>
                <c:pt idx="62">
                  <c:v>3.47207</c:v>
                </c:pt>
                <c:pt idx="63">
                  <c:v>3.4818799999999999</c:v>
                </c:pt>
                <c:pt idx="64">
                  <c:v>3.4913799999999999</c:v>
                </c:pt>
                <c:pt idx="65">
                  <c:v>3.4967600000000001</c:v>
                </c:pt>
                <c:pt idx="66">
                  <c:v>3.4948200000000003</c:v>
                </c:pt>
                <c:pt idx="67">
                  <c:v>3.4905000000000004</c:v>
                </c:pt>
                <c:pt idx="68">
                  <c:v>3.4881099999999998</c:v>
                </c:pt>
                <c:pt idx="69">
                  <c:v>3.4817799999999997</c:v>
                </c:pt>
                <c:pt idx="70">
                  <c:v>3.4754299999999998</c:v>
                </c:pt>
                <c:pt idx="71">
                  <c:v>3.4643899999999999</c:v>
                </c:pt>
                <c:pt idx="72">
                  <c:v>3.4596300000000002</c:v>
                </c:pt>
                <c:pt idx="73">
                  <c:v>3.4556900000000002</c:v>
                </c:pt>
                <c:pt idx="74">
                  <c:v>3.4547600000000003</c:v>
                </c:pt>
                <c:pt idx="75">
                  <c:v>3.4469100000000004</c:v>
                </c:pt>
                <c:pt idx="76">
                  <c:v>3.44082</c:v>
                </c:pt>
                <c:pt idx="77">
                  <c:v>3.4358599999999999</c:v>
                </c:pt>
                <c:pt idx="78">
                  <c:v>3.4303900000000001</c:v>
                </c:pt>
                <c:pt idx="79">
                  <c:v>3.42889</c:v>
                </c:pt>
                <c:pt idx="80">
                  <c:v>3.4271800000000003</c:v>
                </c:pt>
                <c:pt idx="81">
                  <c:v>3.4209099999999997</c:v>
                </c:pt>
                <c:pt idx="82">
                  <c:v>3.4099300000000001</c:v>
                </c:pt>
                <c:pt idx="83">
                  <c:v>3.3981699999999999</c:v>
                </c:pt>
                <c:pt idx="84">
                  <c:v>3.3853499999999999</c:v>
                </c:pt>
                <c:pt idx="85">
                  <c:v>3.37358</c:v>
                </c:pt>
                <c:pt idx="86">
                  <c:v>3.3597999999999999</c:v>
                </c:pt>
                <c:pt idx="87">
                  <c:v>3.3427000000000002</c:v>
                </c:pt>
                <c:pt idx="88">
                  <c:v>3.327</c:v>
                </c:pt>
                <c:pt idx="89">
                  <c:v>3.31115</c:v>
                </c:pt>
                <c:pt idx="90">
                  <c:v>3.2957900000000002</c:v>
                </c:pt>
                <c:pt idx="91">
                  <c:v>3.2831999999999999</c:v>
                </c:pt>
                <c:pt idx="92">
                  <c:v>3.2739800000000003</c:v>
                </c:pt>
                <c:pt idx="93">
                  <c:v>3.2692199999999998</c:v>
                </c:pt>
                <c:pt idx="94">
                  <c:v>3.2687300000000001</c:v>
                </c:pt>
                <c:pt idx="95">
                  <c:v>3.2695999999999996</c:v>
                </c:pt>
                <c:pt idx="96">
                  <c:v>3.2741599999999997</c:v>
                </c:pt>
                <c:pt idx="97">
                  <c:v>3.2782899999999997</c:v>
                </c:pt>
                <c:pt idx="98">
                  <c:v>3.28193</c:v>
                </c:pt>
                <c:pt idx="99">
                  <c:v>3.2834500000000002</c:v>
                </c:pt>
                <c:pt idx="100">
                  <c:v>3.2815899999999996</c:v>
                </c:pt>
                <c:pt idx="101">
                  <c:v>3.2781199999999999</c:v>
                </c:pt>
                <c:pt idx="102">
                  <c:v>3.27684</c:v>
                </c:pt>
                <c:pt idx="103">
                  <c:v>3.2775500000000002</c:v>
                </c:pt>
                <c:pt idx="104">
                  <c:v>3.2780800000000001</c:v>
                </c:pt>
                <c:pt idx="105">
                  <c:v>3.2786200000000001</c:v>
                </c:pt>
                <c:pt idx="106">
                  <c:v>3.28355</c:v>
                </c:pt>
                <c:pt idx="107">
                  <c:v>3.29312</c:v>
                </c:pt>
                <c:pt idx="108">
                  <c:v>3.3053400000000002</c:v>
                </c:pt>
                <c:pt idx="109">
                  <c:v>3.3196099999999999</c:v>
                </c:pt>
                <c:pt idx="110">
                  <c:v>3.3326000000000002</c:v>
                </c:pt>
                <c:pt idx="111">
                  <c:v>3.3456599999999996</c:v>
                </c:pt>
                <c:pt idx="112">
                  <c:v>3.3613999999999997</c:v>
                </c:pt>
                <c:pt idx="113">
                  <c:v>3.3773999999999997</c:v>
                </c:pt>
                <c:pt idx="114">
                  <c:v>3.3917799999999998</c:v>
                </c:pt>
                <c:pt idx="115">
                  <c:v>3.4088000000000003</c:v>
                </c:pt>
                <c:pt idx="116">
                  <c:v>3.4261999999999997</c:v>
                </c:pt>
                <c:pt idx="117">
                  <c:v>3.4419399999999998</c:v>
                </c:pt>
                <c:pt idx="118">
                  <c:v>3.4567700000000001</c:v>
                </c:pt>
                <c:pt idx="119">
                  <c:v>3.47079</c:v>
                </c:pt>
                <c:pt idx="120">
                  <c:v>3.48353</c:v>
                </c:pt>
                <c:pt idx="121">
                  <c:v>3.4946300000000003</c:v>
                </c:pt>
                <c:pt idx="122">
                  <c:v>3.5045999999999999</c:v>
                </c:pt>
                <c:pt idx="123">
                  <c:v>3.5183599999999999</c:v>
                </c:pt>
                <c:pt idx="124">
                  <c:v>3.5268199999999998</c:v>
                </c:pt>
                <c:pt idx="125">
                  <c:v>3.5373900000000003</c:v>
                </c:pt>
                <c:pt idx="126">
                  <c:v>3.5486400000000002</c:v>
                </c:pt>
                <c:pt idx="127">
                  <c:v>3.5587800000000005</c:v>
                </c:pt>
                <c:pt idx="128">
                  <c:v>3.5682399999999999</c:v>
                </c:pt>
                <c:pt idx="129">
                  <c:v>3.5767799999999998</c:v>
                </c:pt>
                <c:pt idx="130">
                  <c:v>3.5867</c:v>
                </c:pt>
                <c:pt idx="131">
                  <c:v>3.5947</c:v>
                </c:pt>
                <c:pt idx="132">
                  <c:v>3.6008800000000001</c:v>
                </c:pt>
                <c:pt idx="133">
                  <c:v>3.6005199999999999</c:v>
                </c:pt>
                <c:pt idx="134">
                  <c:v>3.5929899999999999</c:v>
                </c:pt>
                <c:pt idx="135">
                  <c:v>3.5853099999999998</c:v>
                </c:pt>
                <c:pt idx="136">
                  <c:v>3.5832199999999998</c:v>
                </c:pt>
                <c:pt idx="137">
                  <c:v>3.5830099999999998</c:v>
                </c:pt>
                <c:pt idx="138">
                  <c:v>3.5820699999999999</c:v>
                </c:pt>
                <c:pt idx="139">
                  <c:v>3.5865900000000002</c:v>
                </c:pt>
                <c:pt idx="140">
                  <c:v>3.5927899999999999</c:v>
                </c:pt>
                <c:pt idx="141">
                  <c:v>3.6016500000000002</c:v>
                </c:pt>
                <c:pt idx="142">
                  <c:v>3.6155300000000001</c:v>
                </c:pt>
                <c:pt idx="143">
                  <c:v>3.6288100000000001</c:v>
                </c:pt>
                <c:pt idx="144">
                  <c:v>3.6386500000000002</c:v>
                </c:pt>
                <c:pt idx="145">
                  <c:v>3.6571899999999999</c:v>
                </c:pt>
                <c:pt idx="146">
                  <c:v>3.6659100000000002</c:v>
                </c:pt>
                <c:pt idx="147">
                  <c:v>3.7133100000000003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56.519799999999996</c:v>
                </c:pt>
                <c:pt idx="1">
                  <c:v>55.950999999999993</c:v>
                </c:pt>
                <c:pt idx="2">
                  <c:v>55.340599999999995</c:v>
                </c:pt>
                <c:pt idx="3">
                  <c:v>54.729199999999999</c:v>
                </c:pt>
                <c:pt idx="4">
                  <c:v>54.043699999999994</c:v>
                </c:pt>
                <c:pt idx="5">
                  <c:v>53.240200000000002</c:v>
                </c:pt>
                <c:pt idx="6">
                  <c:v>52.380300000000005</c:v>
                </c:pt>
                <c:pt idx="7">
                  <c:v>51.477799999999995</c:v>
                </c:pt>
                <c:pt idx="8">
                  <c:v>50.616399999999992</c:v>
                </c:pt>
                <c:pt idx="9">
                  <c:v>49.861400000000003</c:v>
                </c:pt>
                <c:pt idx="10">
                  <c:v>49.167999999999999</c:v>
                </c:pt>
                <c:pt idx="11">
                  <c:v>48.4985</c:v>
                </c:pt>
                <c:pt idx="12">
                  <c:v>47.820599999999999</c:v>
                </c:pt>
                <c:pt idx="13">
                  <c:v>47.189399999999999</c:v>
                </c:pt>
                <c:pt idx="14">
                  <c:v>46.611399999999996</c:v>
                </c:pt>
                <c:pt idx="15">
                  <c:v>46.069500000000005</c:v>
                </c:pt>
                <c:pt idx="16">
                  <c:v>45.527799999999999</c:v>
                </c:pt>
                <c:pt idx="17">
                  <c:v>45.040100000000002</c:v>
                </c:pt>
                <c:pt idx="18">
                  <c:v>44.5852</c:v>
                </c:pt>
                <c:pt idx="19">
                  <c:v>44.248899999999999</c:v>
                </c:pt>
                <c:pt idx="20">
                  <c:v>43.997100000000003</c:v>
                </c:pt>
                <c:pt idx="21">
                  <c:v>43.773299999999999</c:v>
                </c:pt>
                <c:pt idx="22">
                  <c:v>43.585599999999999</c:v>
                </c:pt>
                <c:pt idx="23">
                  <c:v>43.439699999999995</c:v>
                </c:pt>
                <c:pt idx="24">
                  <c:v>43.2973</c:v>
                </c:pt>
                <c:pt idx="25">
                  <c:v>43.166600000000003</c:v>
                </c:pt>
                <c:pt idx="26">
                  <c:v>43.052300000000002</c:v>
                </c:pt>
                <c:pt idx="27">
                  <c:v>42.928800000000003</c:v>
                </c:pt>
                <c:pt idx="28">
                  <c:v>42.819400000000002</c:v>
                </c:pt>
                <c:pt idx="29">
                  <c:v>42.759799999999998</c:v>
                </c:pt>
                <c:pt idx="30">
                  <c:v>42.683500000000002</c:v>
                </c:pt>
                <c:pt idx="31">
                  <c:v>42.601499999999994</c:v>
                </c:pt>
                <c:pt idx="32">
                  <c:v>42.561999999999998</c:v>
                </c:pt>
                <c:pt idx="33">
                  <c:v>42.485599999999998</c:v>
                </c:pt>
                <c:pt idx="34">
                  <c:v>42.384100000000004</c:v>
                </c:pt>
                <c:pt idx="35">
                  <c:v>42.329099999999997</c:v>
                </c:pt>
                <c:pt idx="36">
                  <c:v>42.281100000000002</c:v>
                </c:pt>
                <c:pt idx="37">
                  <c:v>42.146799999999999</c:v>
                </c:pt>
                <c:pt idx="38">
                  <c:v>42.026899999999998</c:v>
                </c:pt>
                <c:pt idx="39">
                  <c:v>41.934800000000003</c:v>
                </c:pt>
                <c:pt idx="40">
                  <c:v>41.866100000000003</c:v>
                </c:pt>
                <c:pt idx="41">
                  <c:v>41.752299999999998</c:v>
                </c:pt>
                <c:pt idx="42">
                  <c:v>41.6188</c:v>
                </c:pt>
                <c:pt idx="43">
                  <c:v>41.544599999999996</c:v>
                </c:pt>
                <c:pt idx="44">
                  <c:v>41.513800000000003</c:v>
                </c:pt>
                <c:pt idx="45">
                  <c:v>41.4908</c:v>
                </c:pt>
                <c:pt idx="46">
                  <c:v>41.455999999999996</c:v>
                </c:pt>
                <c:pt idx="47">
                  <c:v>41.464199999999998</c:v>
                </c:pt>
                <c:pt idx="48">
                  <c:v>41.517299999999999</c:v>
                </c:pt>
                <c:pt idx="49">
                  <c:v>41.536200000000001</c:v>
                </c:pt>
                <c:pt idx="50">
                  <c:v>41.483199999999997</c:v>
                </c:pt>
                <c:pt idx="51">
                  <c:v>41.343800000000002</c:v>
                </c:pt>
                <c:pt idx="52">
                  <c:v>41.290100000000002</c:v>
                </c:pt>
                <c:pt idx="53">
                  <c:v>41.117599999999996</c:v>
                </c:pt>
                <c:pt idx="54">
                  <c:v>40.868000000000002</c:v>
                </c:pt>
                <c:pt idx="55">
                  <c:v>40.8414</c:v>
                </c:pt>
                <c:pt idx="56">
                  <c:v>40.699600000000004</c:v>
                </c:pt>
                <c:pt idx="57">
                  <c:v>40.572200000000002</c:v>
                </c:pt>
                <c:pt idx="58">
                  <c:v>40.400599999999997</c:v>
                </c:pt>
                <c:pt idx="59">
                  <c:v>40.278599999999997</c:v>
                </c:pt>
                <c:pt idx="60">
                  <c:v>40.051700000000004</c:v>
                </c:pt>
                <c:pt idx="61">
                  <c:v>39.800400000000003</c:v>
                </c:pt>
                <c:pt idx="62">
                  <c:v>39.628999999999998</c:v>
                </c:pt>
                <c:pt idx="63">
                  <c:v>39.520800000000001</c:v>
                </c:pt>
                <c:pt idx="64">
                  <c:v>39.4529</c:v>
                </c:pt>
                <c:pt idx="65">
                  <c:v>39.382899999999999</c:v>
                </c:pt>
                <c:pt idx="66">
                  <c:v>39.496600000000001</c:v>
                </c:pt>
                <c:pt idx="67">
                  <c:v>39.597500000000004</c:v>
                </c:pt>
                <c:pt idx="68">
                  <c:v>39.600900000000003</c:v>
                </c:pt>
                <c:pt idx="69">
                  <c:v>39.623000000000005</c:v>
                </c:pt>
                <c:pt idx="70">
                  <c:v>39.6051</c:v>
                </c:pt>
                <c:pt idx="71">
                  <c:v>39.650600000000004</c:v>
                </c:pt>
                <c:pt idx="72">
                  <c:v>39.668700000000001</c:v>
                </c:pt>
                <c:pt idx="73">
                  <c:v>39.668799999999997</c:v>
                </c:pt>
                <c:pt idx="74">
                  <c:v>39.668500000000002</c:v>
                </c:pt>
                <c:pt idx="75">
                  <c:v>39.8399</c:v>
                </c:pt>
                <c:pt idx="76">
                  <c:v>40.017699999999998</c:v>
                </c:pt>
                <c:pt idx="77">
                  <c:v>40.235999999999997</c:v>
                </c:pt>
                <c:pt idx="78">
                  <c:v>40.480899999999998</c:v>
                </c:pt>
                <c:pt idx="79">
                  <c:v>40.676699999999997</c:v>
                </c:pt>
                <c:pt idx="80">
                  <c:v>40.875299999999996</c:v>
                </c:pt>
                <c:pt idx="81">
                  <c:v>41.074599999999997</c:v>
                </c:pt>
                <c:pt idx="82">
                  <c:v>41.267900000000004</c:v>
                </c:pt>
                <c:pt idx="83">
                  <c:v>41.470199999999998</c:v>
                </c:pt>
                <c:pt idx="84">
                  <c:v>41.735199999999999</c:v>
                </c:pt>
                <c:pt idx="85">
                  <c:v>42.020499999999998</c:v>
                </c:pt>
                <c:pt idx="86">
                  <c:v>42.356100000000005</c:v>
                </c:pt>
                <c:pt idx="87">
                  <c:v>42.688600000000001</c:v>
                </c:pt>
                <c:pt idx="88">
                  <c:v>42.904599999999995</c:v>
                </c:pt>
                <c:pt idx="89">
                  <c:v>43.064</c:v>
                </c:pt>
                <c:pt idx="90">
                  <c:v>43.112499999999997</c:v>
                </c:pt>
                <c:pt idx="91">
                  <c:v>43.1083</c:v>
                </c:pt>
                <c:pt idx="92">
                  <c:v>43.067399999999999</c:v>
                </c:pt>
                <c:pt idx="93">
                  <c:v>42.9694</c:v>
                </c:pt>
                <c:pt idx="94">
                  <c:v>42.847499999999997</c:v>
                </c:pt>
                <c:pt idx="95">
                  <c:v>42.731499999999997</c:v>
                </c:pt>
                <c:pt idx="96">
                  <c:v>42.572299999999998</c:v>
                </c:pt>
                <c:pt idx="97">
                  <c:v>42.398299999999999</c:v>
                </c:pt>
                <c:pt idx="98">
                  <c:v>42.238700000000001</c:v>
                </c:pt>
                <c:pt idx="99">
                  <c:v>42.094300000000004</c:v>
                </c:pt>
                <c:pt idx="100">
                  <c:v>42.006399999999999</c:v>
                </c:pt>
                <c:pt idx="101">
                  <c:v>41.927500000000002</c:v>
                </c:pt>
                <c:pt idx="102">
                  <c:v>41.825000000000003</c:v>
                </c:pt>
                <c:pt idx="103">
                  <c:v>41.743499999999997</c:v>
                </c:pt>
                <c:pt idx="104">
                  <c:v>41.683100000000003</c:v>
                </c:pt>
                <c:pt idx="105">
                  <c:v>41.595399999999998</c:v>
                </c:pt>
                <c:pt idx="106">
                  <c:v>41.446199999999997</c:v>
                </c:pt>
                <c:pt idx="107">
                  <c:v>41.274300000000004</c:v>
                </c:pt>
                <c:pt idx="108">
                  <c:v>41.05</c:v>
                </c:pt>
                <c:pt idx="109">
                  <c:v>40.749400000000001</c:v>
                </c:pt>
                <c:pt idx="110">
                  <c:v>40.457599999999999</c:v>
                </c:pt>
                <c:pt idx="111">
                  <c:v>40.228400000000001</c:v>
                </c:pt>
                <c:pt idx="112">
                  <c:v>40.035800000000002</c:v>
                </c:pt>
                <c:pt idx="113">
                  <c:v>39.868200000000002</c:v>
                </c:pt>
                <c:pt idx="114">
                  <c:v>39.744399999999999</c:v>
                </c:pt>
                <c:pt idx="115">
                  <c:v>39.650600000000004</c:v>
                </c:pt>
                <c:pt idx="116">
                  <c:v>39.534300000000002</c:v>
                </c:pt>
                <c:pt idx="117">
                  <c:v>39.430799999999998</c:v>
                </c:pt>
                <c:pt idx="118">
                  <c:v>39.3108</c:v>
                </c:pt>
                <c:pt idx="119">
                  <c:v>39.155099999999997</c:v>
                </c:pt>
                <c:pt idx="120">
                  <c:v>38.988299999999995</c:v>
                </c:pt>
                <c:pt idx="121">
                  <c:v>38.7624</c:v>
                </c:pt>
                <c:pt idx="122">
                  <c:v>38.5762</c:v>
                </c:pt>
                <c:pt idx="123">
                  <c:v>38.370199999999997</c:v>
                </c:pt>
                <c:pt idx="124">
                  <c:v>38.320799999999998</c:v>
                </c:pt>
                <c:pt idx="125">
                  <c:v>38.255000000000003</c:v>
                </c:pt>
                <c:pt idx="126">
                  <c:v>38.186100000000003</c:v>
                </c:pt>
                <c:pt idx="127">
                  <c:v>38.105400000000003</c:v>
                </c:pt>
                <c:pt idx="128">
                  <c:v>37.988499999999995</c:v>
                </c:pt>
                <c:pt idx="129">
                  <c:v>37.854199999999999</c:v>
                </c:pt>
                <c:pt idx="130">
                  <c:v>37.730000000000004</c:v>
                </c:pt>
                <c:pt idx="131">
                  <c:v>37.6066</c:v>
                </c:pt>
                <c:pt idx="132">
                  <c:v>37.465699999999998</c:v>
                </c:pt>
                <c:pt idx="133">
                  <c:v>37.379300000000001</c:v>
                </c:pt>
                <c:pt idx="134">
                  <c:v>37.380499999999998</c:v>
                </c:pt>
                <c:pt idx="135">
                  <c:v>37.366899999999994</c:v>
                </c:pt>
                <c:pt idx="136">
                  <c:v>37.226999999999997</c:v>
                </c:pt>
                <c:pt idx="137">
                  <c:v>37.042900000000003</c:v>
                </c:pt>
                <c:pt idx="138">
                  <c:v>36.879600000000003</c:v>
                </c:pt>
                <c:pt idx="139">
                  <c:v>36.667999999999999</c:v>
                </c:pt>
                <c:pt idx="140">
                  <c:v>36.448999999999998</c:v>
                </c:pt>
                <c:pt idx="141">
                  <c:v>36.1556</c:v>
                </c:pt>
                <c:pt idx="142">
                  <c:v>35.758499999999998</c:v>
                </c:pt>
                <c:pt idx="143">
                  <c:v>35.374400000000001</c:v>
                </c:pt>
                <c:pt idx="144">
                  <c:v>35.051500000000004</c:v>
                </c:pt>
                <c:pt idx="145">
                  <c:v>34.723100000000002</c:v>
                </c:pt>
                <c:pt idx="146">
                  <c:v>34.750399999999999</c:v>
                </c:pt>
                <c:pt idx="147">
                  <c:v>34.767900000000004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2.3476499999999998</c:v>
                </c:pt>
                <c:pt idx="1">
                  <c:v>2.37541</c:v>
                </c:pt>
                <c:pt idx="2">
                  <c:v>2.4029700000000003</c:v>
                </c:pt>
                <c:pt idx="3">
                  <c:v>2.43085</c:v>
                </c:pt>
                <c:pt idx="4">
                  <c:v>2.4586299999999999</c:v>
                </c:pt>
                <c:pt idx="5">
                  <c:v>2.4857999999999998</c:v>
                </c:pt>
                <c:pt idx="6">
                  <c:v>2.5109500000000002</c:v>
                </c:pt>
                <c:pt idx="7">
                  <c:v>2.5356699999999996</c:v>
                </c:pt>
                <c:pt idx="8">
                  <c:v>2.5573299999999999</c:v>
                </c:pt>
                <c:pt idx="9">
                  <c:v>2.5766299999999998</c:v>
                </c:pt>
                <c:pt idx="10">
                  <c:v>2.5914299999999999</c:v>
                </c:pt>
                <c:pt idx="11">
                  <c:v>2.6030899999999999</c:v>
                </c:pt>
                <c:pt idx="12">
                  <c:v>2.6162400000000003</c:v>
                </c:pt>
                <c:pt idx="13">
                  <c:v>2.6265000000000001</c:v>
                </c:pt>
                <c:pt idx="14">
                  <c:v>2.6353399999999998</c:v>
                </c:pt>
                <c:pt idx="15">
                  <c:v>2.6437100000000004</c:v>
                </c:pt>
                <c:pt idx="16">
                  <c:v>2.6521600000000003</c:v>
                </c:pt>
                <c:pt idx="17">
                  <c:v>2.6608499999999999</c:v>
                </c:pt>
                <c:pt idx="18">
                  <c:v>2.6712699999999998</c:v>
                </c:pt>
                <c:pt idx="19">
                  <c:v>2.68038</c:v>
                </c:pt>
                <c:pt idx="20">
                  <c:v>2.68926</c:v>
                </c:pt>
                <c:pt idx="21">
                  <c:v>2.6990399999999997</c:v>
                </c:pt>
                <c:pt idx="22">
                  <c:v>2.70621</c:v>
                </c:pt>
                <c:pt idx="23">
                  <c:v>2.7121499999999998</c:v>
                </c:pt>
                <c:pt idx="24">
                  <c:v>2.7184399999999997</c:v>
                </c:pt>
                <c:pt idx="25">
                  <c:v>2.72546</c:v>
                </c:pt>
                <c:pt idx="26">
                  <c:v>2.7332700000000001</c:v>
                </c:pt>
                <c:pt idx="27">
                  <c:v>2.7428300000000001</c:v>
                </c:pt>
                <c:pt idx="28">
                  <c:v>2.75393</c:v>
                </c:pt>
                <c:pt idx="29">
                  <c:v>2.7641900000000001</c:v>
                </c:pt>
                <c:pt idx="30">
                  <c:v>2.7732200000000002</c:v>
                </c:pt>
                <c:pt idx="31">
                  <c:v>2.7822999999999998</c:v>
                </c:pt>
                <c:pt idx="32">
                  <c:v>2.7926299999999999</c:v>
                </c:pt>
                <c:pt idx="33">
                  <c:v>2.8065199999999999</c:v>
                </c:pt>
                <c:pt idx="34">
                  <c:v>2.8217399999999997</c:v>
                </c:pt>
                <c:pt idx="35">
                  <c:v>2.8394900000000001</c:v>
                </c:pt>
                <c:pt idx="36">
                  <c:v>2.8602799999999999</c:v>
                </c:pt>
                <c:pt idx="37">
                  <c:v>2.8843700000000001</c:v>
                </c:pt>
                <c:pt idx="38">
                  <c:v>2.91201</c:v>
                </c:pt>
                <c:pt idx="39">
                  <c:v>2.9404200000000005</c:v>
                </c:pt>
                <c:pt idx="40">
                  <c:v>2.97072</c:v>
                </c:pt>
                <c:pt idx="41">
                  <c:v>3.0036200000000002</c:v>
                </c:pt>
                <c:pt idx="42">
                  <c:v>3.0369000000000002</c:v>
                </c:pt>
                <c:pt idx="43">
                  <c:v>3.0675300000000001</c:v>
                </c:pt>
                <c:pt idx="44">
                  <c:v>3.0971100000000003</c:v>
                </c:pt>
                <c:pt idx="45">
                  <c:v>3.1249900000000004</c:v>
                </c:pt>
                <c:pt idx="46">
                  <c:v>3.1519399999999997</c:v>
                </c:pt>
                <c:pt idx="47">
                  <c:v>3.17815</c:v>
                </c:pt>
                <c:pt idx="48">
                  <c:v>3.2035200000000001</c:v>
                </c:pt>
                <c:pt idx="49">
                  <c:v>3.2277099999999996</c:v>
                </c:pt>
                <c:pt idx="50">
                  <c:v>3.25386</c:v>
                </c:pt>
                <c:pt idx="51">
                  <c:v>3.2812200000000002</c:v>
                </c:pt>
                <c:pt idx="52">
                  <c:v>3.3000800000000003</c:v>
                </c:pt>
                <c:pt idx="53">
                  <c:v>3.3203300000000002</c:v>
                </c:pt>
                <c:pt idx="54">
                  <c:v>3.34111</c:v>
                </c:pt>
                <c:pt idx="55">
                  <c:v>3.35494</c:v>
                </c:pt>
                <c:pt idx="56">
                  <c:v>3.3736199999999998</c:v>
                </c:pt>
                <c:pt idx="57">
                  <c:v>3.3903499999999998</c:v>
                </c:pt>
                <c:pt idx="58">
                  <c:v>3.4066099999999997</c:v>
                </c:pt>
                <c:pt idx="59">
                  <c:v>3.4202300000000001</c:v>
                </c:pt>
                <c:pt idx="60">
                  <c:v>3.4401299999999999</c:v>
                </c:pt>
                <c:pt idx="61">
                  <c:v>3.4598899999999997</c:v>
                </c:pt>
                <c:pt idx="62">
                  <c:v>3.47207</c:v>
                </c:pt>
                <c:pt idx="63">
                  <c:v>3.4818799999999999</c:v>
                </c:pt>
                <c:pt idx="64">
                  <c:v>3.4913799999999999</c:v>
                </c:pt>
                <c:pt idx="65">
                  <c:v>3.4967600000000001</c:v>
                </c:pt>
                <c:pt idx="66">
                  <c:v>3.4948200000000003</c:v>
                </c:pt>
                <c:pt idx="67">
                  <c:v>3.4905000000000004</c:v>
                </c:pt>
                <c:pt idx="68">
                  <c:v>3.4881099999999998</c:v>
                </c:pt>
                <c:pt idx="69">
                  <c:v>3.4817799999999997</c:v>
                </c:pt>
                <c:pt idx="70">
                  <c:v>3.4754299999999998</c:v>
                </c:pt>
                <c:pt idx="71">
                  <c:v>3.4643899999999999</c:v>
                </c:pt>
                <c:pt idx="72">
                  <c:v>3.4596300000000002</c:v>
                </c:pt>
                <c:pt idx="73">
                  <c:v>3.4556900000000002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56.519799999999996</c:v>
                </c:pt>
                <c:pt idx="1">
                  <c:v>55.950999999999993</c:v>
                </c:pt>
                <c:pt idx="2">
                  <c:v>55.340599999999995</c:v>
                </c:pt>
                <c:pt idx="3">
                  <c:v>54.729199999999999</c:v>
                </c:pt>
                <c:pt idx="4">
                  <c:v>54.043699999999994</c:v>
                </c:pt>
                <c:pt idx="5">
                  <c:v>53.240200000000002</c:v>
                </c:pt>
                <c:pt idx="6">
                  <c:v>52.380300000000005</c:v>
                </c:pt>
                <c:pt idx="7">
                  <c:v>51.477799999999995</c:v>
                </c:pt>
                <c:pt idx="8">
                  <c:v>50.616399999999992</c:v>
                </c:pt>
                <c:pt idx="9">
                  <c:v>49.861400000000003</c:v>
                </c:pt>
                <c:pt idx="10">
                  <c:v>49.167999999999999</c:v>
                </c:pt>
                <c:pt idx="11">
                  <c:v>48.4985</c:v>
                </c:pt>
                <c:pt idx="12">
                  <c:v>47.820599999999999</c:v>
                </c:pt>
                <c:pt idx="13">
                  <c:v>47.189399999999999</c:v>
                </c:pt>
                <c:pt idx="14">
                  <c:v>46.611399999999996</c:v>
                </c:pt>
                <c:pt idx="15">
                  <c:v>46.069500000000005</c:v>
                </c:pt>
                <c:pt idx="16">
                  <c:v>45.527799999999999</c:v>
                </c:pt>
                <c:pt idx="17">
                  <c:v>45.040100000000002</c:v>
                </c:pt>
                <c:pt idx="18">
                  <c:v>44.5852</c:v>
                </c:pt>
                <c:pt idx="19">
                  <c:v>44.248899999999999</c:v>
                </c:pt>
                <c:pt idx="20">
                  <c:v>43.997100000000003</c:v>
                </c:pt>
                <c:pt idx="21">
                  <c:v>43.773299999999999</c:v>
                </c:pt>
                <c:pt idx="22">
                  <c:v>43.585599999999999</c:v>
                </c:pt>
                <c:pt idx="23">
                  <c:v>43.439699999999995</c:v>
                </c:pt>
                <c:pt idx="24">
                  <c:v>43.2973</c:v>
                </c:pt>
                <c:pt idx="25">
                  <c:v>43.166600000000003</c:v>
                </c:pt>
                <c:pt idx="26">
                  <c:v>43.052300000000002</c:v>
                </c:pt>
                <c:pt idx="27">
                  <c:v>42.928800000000003</c:v>
                </c:pt>
                <c:pt idx="28">
                  <c:v>42.819400000000002</c:v>
                </c:pt>
                <c:pt idx="29">
                  <c:v>42.759799999999998</c:v>
                </c:pt>
                <c:pt idx="30">
                  <c:v>42.683500000000002</c:v>
                </c:pt>
                <c:pt idx="31">
                  <c:v>42.601499999999994</c:v>
                </c:pt>
                <c:pt idx="32">
                  <c:v>42.561999999999998</c:v>
                </c:pt>
                <c:pt idx="33">
                  <c:v>42.485599999999998</c:v>
                </c:pt>
                <c:pt idx="34">
                  <c:v>42.384100000000004</c:v>
                </c:pt>
                <c:pt idx="35">
                  <c:v>42.329099999999997</c:v>
                </c:pt>
                <c:pt idx="36">
                  <c:v>42.281100000000002</c:v>
                </c:pt>
                <c:pt idx="37">
                  <c:v>42.146799999999999</c:v>
                </c:pt>
                <c:pt idx="38">
                  <c:v>42.026899999999998</c:v>
                </c:pt>
                <c:pt idx="39">
                  <c:v>41.934800000000003</c:v>
                </c:pt>
                <c:pt idx="40">
                  <c:v>41.866100000000003</c:v>
                </c:pt>
                <c:pt idx="41">
                  <c:v>41.752299999999998</c:v>
                </c:pt>
                <c:pt idx="42">
                  <c:v>41.6188</c:v>
                </c:pt>
                <c:pt idx="43">
                  <c:v>41.544599999999996</c:v>
                </c:pt>
                <c:pt idx="44">
                  <c:v>41.513800000000003</c:v>
                </c:pt>
                <c:pt idx="45">
                  <c:v>41.4908</c:v>
                </c:pt>
                <c:pt idx="46">
                  <c:v>41.455999999999996</c:v>
                </c:pt>
                <c:pt idx="47">
                  <c:v>41.464199999999998</c:v>
                </c:pt>
                <c:pt idx="48">
                  <c:v>41.517299999999999</c:v>
                </c:pt>
                <c:pt idx="49">
                  <c:v>41.536200000000001</c:v>
                </c:pt>
                <c:pt idx="50">
                  <c:v>41.483199999999997</c:v>
                </c:pt>
                <c:pt idx="51">
                  <c:v>41.343800000000002</c:v>
                </c:pt>
                <c:pt idx="52">
                  <c:v>41.290100000000002</c:v>
                </c:pt>
                <c:pt idx="53">
                  <c:v>41.117599999999996</c:v>
                </c:pt>
                <c:pt idx="54">
                  <c:v>40.868000000000002</c:v>
                </c:pt>
                <c:pt idx="55">
                  <c:v>40.8414</c:v>
                </c:pt>
                <c:pt idx="56">
                  <c:v>40.699600000000004</c:v>
                </c:pt>
                <c:pt idx="57">
                  <c:v>40.572200000000002</c:v>
                </c:pt>
                <c:pt idx="58">
                  <c:v>40.400599999999997</c:v>
                </c:pt>
                <c:pt idx="59">
                  <c:v>40.278599999999997</c:v>
                </c:pt>
                <c:pt idx="60">
                  <c:v>40.051700000000004</c:v>
                </c:pt>
                <c:pt idx="61">
                  <c:v>39.800400000000003</c:v>
                </c:pt>
                <c:pt idx="62">
                  <c:v>39.628999999999998</c:v>
                </c:pt>
                <c:pt idx="63">
                  <c:v>39.520800000000001</c:v>
                </c:pt>
                <c:pt idx="64">
                  <c:v>39.4529</c:v>
                </c:pt>
                <c:pt idx="65">
                  <c:v>39.382899999999999</c:v>
                </c:pt>
                <c:pt idx="66">
                  <c:v>39.496600000000001</c:v>
                </c:pt>
                <c:pt idx="67">
                  <c:v>39.597500000000004</c:v>
                </c:pt>
                <c:pt idx="68">
                  <c:v>39.600900000000003</c:v>
                </c:pt>
                <c:pt idx="69">
                  <c:v>39.623000000000005</c:v>
                </c:pt>
                <c:pt idx="70">
                  <c:v>39.6051</c:v>
                </c:pt>
                <c:pt idx="71">
                  <c:v>39.650600000000004</c:v>
                </c:pt>
                <c:pt idx="72">
                  <c:v>39.668700000000001</c:v>
                </c:pt>
                <c:pt idx="73">
                  <c:v>39.668799999999997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3.4556900000000002</c:v>
                </c:pt>
                <c:pt idx="1">
                  <c:v>3.4547600000000003</c:v>
                </c:pt>
                <c:pt idx="2">
                  <c:v>3.4469100000000004</c:v>
                </c:pt>
                <c:pt idx="3">
                  <c:v>3.44082</c:v>
                </c:pt>
                <c:pt idx="4">
                  <c:v>3.4358599999999999</c:v>
                </c:pt>
                <c:pt idx="5">
                  <c:v>3.4303900000000001</c:v>
                </c:pt>
                <c:pt idx="6">
                  <c:v>3.42889</c:v>
                </c:pt>
                <c:pt idx="7">
                  <c:v>3.4271800000000003</c:v>
                </c:pt>
                <c:pt idx="8">
                  <c:v>3.4209099999999997</c:v>
                </c:pt>
                <c:pt idx="9">
                  <c:v>3.4099300000000001</c:v>
                </c:pt>
                <c:pt idx="10">
                  <c:v>3.3981699999999999</c:v>
                </c:pt>
                <c:pt idx="11">
                  <c:v>3.3853499999999999</c:v>
                </c:pt>
                <c:pt idx="12">
                  <c:v>3.37358</c:v>
                </c:pt>
                <c:pt idx="13">
                  <c:v>3.3597999999999999</c:v>
                </c:pt>
                <c:pt idx="14">
                  <c:v>3.3427000000000002</c:v>
                </c:pt>
                <c:pt idx="15">
                  <c:v>3.327</c:v>
                </c:pt>
                <c:pt idx="16">
                  <c:v>3.31115</c:v>
                </c:pt>
                <c:pt idx="17">
                  <c:v>3.2957900000000002</c:v>
                </c:pt>
                <c:pt idx="18">
                  <c:v>3.2831999999999999</c:v>
                </c:pt>
                <c:pt idx="19">
                  <c:v>3.2739800000000003</c:v>
                </c:pt>
                <c:pt idx="20">
                  <c:v>3.2692199999999998</c:v>
                </c:pt>
                <c:pt idx="21">
                  <c:v>3.2687300000000001</c:v>
                </c:pt>
                <c:pt idx="22">
                  <c:v>3.2695999999999996</c:v>
                </c:pt>
                <c:pt idx="23">
                  <c:v>3.2741599999999997</c:v>
                </c:pt>
                <c:pt idx="24">
                  <c:v>3.2782899999999997</c:v>
                </c:pt>
                <c:pt idx="25">
                  <c:v>3.28193</c:v>
                </c:pt>
                <c:pt idx="26">
                  <c:v>3.2834500000000002</c:v>
                </c:pt>
                <c:pt idx="27">
                  <c:v>3.2815899999999996</c:v>
                </c:pt>
                <c:pt idx="28">
                  <c:v>3.2781199999999999</c:v>
                </c:pt>
                <c:pt idx="29">
                  <c:v>3.27684</c:v>
                </c:pt>
                <c:pt idx="30">
                  <c:v>3.2775500000000002</c:v>
                </c:pt>
                <c:pt idx="31">
                  <c:v>3.2780800000000001</c:v>
                </c:pt>
                <c:pt idx="32">
                  <c:v>3.2786200000000001</c:v>
                </c:pt>
                <c:pt idx="33">
                  <c:v>3.28355</c:v>
                </c:pt>
                <c:pt idx="34">
                  <c:v>3.29312</c:v>
                </c:pt>
                <c:pt idx="35">
                  <c:v>3.3053400000000002</c:v>
                </c:pt>
                <c:pt idx="36">
                  <c:v>3.3196099999999999</c:v>
                </c:pt>
                <c:pt idx="37">
                  <c:v>3.3326000000000002</c:v>
                </c:pt>
                <c:pt idx="38">
                  <c:v>3.3456599999999996</c:v>
                </c:pt>
                <c:pt idx="39">
                  <c:v>3.3613999999999997</c:v>
                </c:pt>
                <c:pt idx="40">
                  <c:v>3.3773999999999997</c:v>
                </c:pt>
                <c:pt idx="41">
                  <c:v>3.3917799999999998</c:v>
                </c:pt>
                <c:pt idx="42">
                  <c:v>3.4088000000000003</c:v>
                </c:pt>
                <c:pt idx="43">
                  <c:v>3.4261999999999997</c:v>
                </c:pt>
                <c:pt idx="44">
                  <c:v>3.4419399999999998</c:v>
                </c:pt>
                <c:pt idx="45">
                  <c:v>3.4567700000000001</c:v>
                </c:pt>
                <c:pt idx="46">
                  <c:v>3.47079</c:v>
                </c:pt>
                <c:pt idx="47">
                  <c:v>3.48353</c:v>
                </c:pt>
                <c:pt idx="48">
                  <c:v>3.4946300000000003</c:v>
                </c:pt>
                <c:pt idx="49">
                  <c:v>3.5045999999999999</c:v>
                </c:pt>
                <c:pt idx="50">
                  <c:v>3.5183599999999999</c:v>
                </c:pt>
                <c:pt idx="51">
                  <c:v>3.5268199999999998</c:v>
                </c:pt>
                <c:pt idx="52">
                  <c:v>3.5373900000000003</c:v>
                </c:pt>
                <c:pt idx="53">
                  <c:v>3.5486400000000002</c:v>
                </c:pt>
                <c:pt idx="54">
                  <c:v>3.5587800000000005</c:v>
                </c:pt>
                <c:pt idx="55">
                  <c:v>3.5682399999999999</c:v>
                </c:pt>
                <c:pt idx="56">
                  <c:v>3.5767799999999998</c:v>
                </c:pt>
                <c:pt idx="57">
                  <c:v>3.5867</c:v>
                </c:pt>
                <c:pt idx="58">
                  <c:v>3.5947</c:v>
                </c:pt>
                <c:pt idx="59">
                  <c:v>3.6008800000000001</c:v>
                </c:pt>
                <c:pt idx="60">
                  <c:v>3.6005199999999999</c:v>
                </c:pt>
                <c:pt idx="61">
                  <c:v>3.5929899999999999</c:v>
                </c:pt>
                <c:pt idx="62">
                  <c:v>3.5853099999999998</c:v>
                </c:pt>
                <c:pt idx="63">
                  <c:v>3.5832199999999998</c:v>
                </c:pt>
                <c:pt idx="64">
                  <c:v>3.5830099999999998</c:v>
                </c:pt>
                <c:pt idx="65">
                  <c:v>3.5820699999999999</c:v>
                </c:pt>
                <c:pt idx="66">
                  <c:v>3.5865900000000002</c:v>
                </c:pt>
                <c:pt idx="67">
                  <c:v>3.5927899999999999</c:v>
                </c:pt>
                <c:pt idx="68">
                  <c:v>3.6016500000000002</c:v>
                </c:pt>
                <c:pt idx="69">
                  <c:v>3.6155300000000001</c:v>
                </c:pt>
                <c:pt idx="70">
                  <c:v>3.6288100000000001</c:v>
                </c:pt>
                <c:pt idx="71">
                  <c:v>3.6386500000000002</c:v>
                </c:pt>
                <c:pt idx="72">
                  <c:v>3.6571899999999999</c:v>
                </c:pt>
                <c:pt idx="73">
                  <c:v>3.6659100000000002</c:v>
                </c:pt>
                <c:pt idx="74">
                  <c:v>3.7133100000000003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39.668799999999997</c:v>
                </c:pt>
                <c:pt idx="1">
                  <c:v>39.668500000000002</c:v>
                </c:pt>
                <c:pt idx="2">
                  <c:v>39.8399</c:v>
                </c:pt>
                <c:pt idx="3">
                  <c:v>40.017699999999998</c:v>
                </c:pt>
                <c:pt idx="4">
                  <c:v>40.235999999999997</c:v>
                </c:pt>
                <c:pt idx="5">
                  <c:v>40.480899999999998</c:v>
                </c:pt>
                <c:pt idx="6">
                  <c:v>40.676699999999997</c:v>
                </c:pt>
                <c:pt idx="7">
                  <c:v>40.875299999999996</c:v>
                </c:pt>
                <c:pt idx="8">
                  <c:v>41.074599999999997</c:v>
                </c:pt>
                <c:pt idx="9">
                  <c:v>41.267900000000004</c:v>
                </c:pt>
                <c:pt idx="10">
                  <c:v>41.470199999999998</c:v>
                </c:pt>
                <c:pt idx="11">
                  <c:v>41.735199999999999</c:v>
                </c:pt>
                <c:pt idx="12">
                  <c:v>42.020499999999998</c:v>
                </c:pt>
                <c:pt idx="13">
                  <c:v>42.356100000000005</c:v>
                </c:pt>
                <c:pt idx="14">
                  <c:v>42.688600000000001</c:v>
                </c:pt>
                <c:pt idx="15">
                  <c:v>42.904599999999995</c:v>
                </c:pt>
                <c:pt idx="16">
                  <c:v>43.064</c:v>
                </c:pt>
                <c:pt idx="17">
                  <c:v>43.112499999999997</c:v>
                </c:pt>
                <c:pt idx="18">
                  <c:v>43.1083</c:v>
                </c:pt>
                <c:pt idx="19">
                  <c:v>43.067399999999999</c:v>
                </c:pt>
                <c:pt idx="20">
                  <c:v>42.9694</c:v>
                </c:pt>
                <c:pt idx="21">
                  <c:v>42.847499999999997</c:v>
                </c:pt>
                <c:pt idx="22">
                  <c:v>42.731499999999997</c:v>
                </c:pt>
                <c:pt idx="23">
                  <c:v>42.572299999999998</c:v>
                </c:pt>
                <c:pt idx="24">
                  <c:v>42.398299999999999</c:v>
                </c:pt>
                <c:pt idx="25">
                  <c:v>42.238700000000001</c:v>
                </c:pt>
                <c:pt idx="26">
                  <c:v>42.094300000000004</c:v>
                </c:pt>
                <c:pt idx="27">
                  <c:v>42.006399999999999</c:v>
                </c:pt>
                <c:pt idx="28">
                  <c:v>41.927500000000002</c:v>
                </c:pt>
                <c:pt idx="29">
                  <c:v>41.825000000000003</c:v>
                </c:pt>
                <c:pt idx="30">
                  <c:v>41.743499999999997</c:v>
                </c:pt>
                <c:pt idx="31">
                  <c:v>41.683100000000003</c:v>
                </c:pt>
                <c:pt idx="32">
                  <c:v>41.595399999999998</c:v>
                </c:pt>
                <c:pt idx="33">
                  <c:v>41.446199999999997</c:v>
                </c:pt>
                <c:pt idx="34">
                  <c:v>41.274300000000004</c:v>
                </c:pt>
                <c:pt idx="35">
                  <c:v>41.05</c:v>
                </c:pt>
                <c:pt idx="36">
                  <c:v>40.749400000000001</c:v>
                </c:pt>
                <c:pt idx="37">
                  <c:v>40.457599999999999</c:v>
                </c:pt>
                <c:pt idx="38">
                  <c:v>40.228400000000001</c:v>
                </c:pt>
                <c:pt idx="39">
                  <c:v>40.035800000000002</c:v>
                </c:pt>
                <c:pt idx="40">
                  <c:v>39.868200000000002</c:v>
                </c:pt>
                <c:pt idx="41">
                  <c:v>39.744399999999999</c:v>
                </c:pt>
                <c:pt idx="42">
                  <c:v>39.650600000000004</c:v>
                </c:pt>
                <c:pt idx="43">
                  <c:v>39.534300000000002</c:v>
                </c:pt>
                <c:pt idx="44">
                  <c:v>39.430799999999998</c:v>
                </c:pt>
                <c:pt idx="45">
                  <c:v>39.3108</c:v>
                </c:pt>
                <c:pt idx="46">
                  <c:v>39.155099999999997</c:v>
                </c:pt>
                <c:pt idx="47">
                  <c:v>38.988299999999995</c:v>
                </c:pt>
                <c:pt idx="48">
                  <c:v>38.7624</c:v>
                </c:pt>
                <c:pt idx="49">
                  <c:v>38.5762</c:v>
                </c:pt>
                <c:pt idx="50">
                  <c:v>38.370199999999997</c:v>
                </c:pt>
                <c:pt idx="51">
                  <c:v>38.320799999999998</c:v>
                </c:pt>
                <c:pt idx="52">
                  <c:v>38.255000000000003</c:v>
                </c:pt>
                <c:pt idx="53">
                  <c:v>38.186100000000003</c:v>
                </c:pt>
                <c:pt idx="54">
                  <c:v>38.105400000000003</c:v>
                </c:pt>
                <c:pt idx="55">
                  <c:v>37.988499999999995</c:v>
                </c:pt>
                <c:pt idx="56">
                  <c:v>37.854199999999999</c:v>
                </c:pt>
                <c:pt idx="57">
                  <c:v>37.730000000000004</c:v>
                </c:pt>
                <c:pt idx="58">
                  <c:v>37.6066</c:v>
                </c:pt>
                <c:pt idx="59">
                  <c:v>37.465699999999998</c:v>
                </c:pt>
                <c:pt idx="60">
                  <c:v>37.379300000000001</c:v>
                </c:pt>
                <c:pt idx="61">
                  <c:v>37.380499999999998</c:v>
                </c:pt>
                <c:pt idx="62">
                  <c:v>37.366899999999994</c:v>
                </c:pt>
                <c:pt idx="63">
                  <c:v>37.226999999999997</c:v>
                </c:pt>
                <c:pt idx="64">
                  <c:v>37.042900000000003</c:v>
                </c:pt>
                <c:pt idx="65">
                  <c:v>36.879600000000003</c:v>
                </c:pt>
                <c:pt idx="66">
                  <c:v>36.667999999999999</c:v>
                </c:pt>
                <c:pt idx="67">
                  <c:v>36.448999999999998</c:v>
                </c:pt>
                <c:pt idx="68">
                  <c:v>36.1556</c:v>
                </c:pt>
                <c:pt idx="69">
                  <c:v>35.758499999999998</c:v>
                </c:pt>
                <c:pt idx="70">
                  <c:v>35.374400000000001</c:v>
                </c:pt>
                <c:pt idx="71">
                  <c:v>35.051500000000004</c:v>
                </c:pt>
                <c:pt idx="72">
                  <c:v>34.723100000000002</c:v>
                </c:pt>
                <c:pt idx="73">
                  <c:v>34.750399999999999</c:v>
                </c:pt>
                <c:pt idx="74">
                  <c:v>34.767900000000004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2.3476499999999998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56.519799999999996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2.9713191891891895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43.710529729729721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3.4376366216216221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39.721860810810817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3.4376366216216221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39.721860810810817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8" t="s">
        <v>518</v>
      </c>
      <c r="D5" s="151"/>
      <c r="E5" s="151"/>
      <c r="F5" s="152"/>
      <c r="G5" s="48" t="str">
        <f>lang!B27</f>
        <v>编号</v>
      </c>
      <c r="H5" s="150">
        <v>9</v>
      </c>
      <c r="I5" s="151"/>
      <c r="J5" s="151"/>
      <c r="K5" s="153"/>
    </row>
    <row r="6" spans="2:21" ht="17.25" customHeight="1">
      <c r="B6" s="46" t="str">
        <f>lang!B25</f>
        <v>性别</v>
      </c>
      <c r="C6" s="197" t="s">
        <v>517</v>
      </c>
      <c r="D6" s="188"/>
      <c r="E6" s="188"/>
      <c r="F6" s="189"/>
      <c r="G6" s="49" t="str">
        <f>lang!B28</f>
        <v xml:space="preserve"> 日期</v>
      </c>
      <c r="H6" s="172">
        <f>FH_info!A2</f>
        <v>43628.401446759257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48</v>
      </c>
      <c r="D7" s="191"/>
      <c r="E7" s="191"/>
      <c r="F7" s="192"/>
      <c r="G7" s="50" t="str">
        <f>lang!B29</f>
        <v>误差率（%）</v>
      </c>
      <c r="H7" s="175">
        <f>M!B17*1</f>
        <v>14.5481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39.691099999999999</v>
      </c>
      <c r="O8" s="59">
        <f>M!C5*1</f>
        <v>5.3296599999999996</v>
      </c>
      <c r="P8" s="59">
        <f>M!D5*1</f>
        <v>13.4278</v>
      </c>
      <c r="Q8" s="59">
        <f>M!E5*1</f>
        <v>20</v>
      </c>
      <c r="R8" s="59">
        <f>M!F5*1</f>
        <v>24.253900000000002</v>
      </c>
      <c r="S8" s="59">
        <f>M!G5*1</f>
        <v>50</v>
      </c>
      <c r="T8" s="59">
        <f>M!H5*1</f>
        <v>51.180799999999998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30.950199999999999</v>
      </c>
      <c r="O9" s="59">
        <f>M!C6*1</f>
        <v>1.7249399999999999</v>
      </c>
      <c r="P9" s="59">
        <f>M!D6*1</f>
        <v>5.5732900000000001</v>
      </c>
      <c r="Q9" s="59">
        <f>M!E6*1</f>
        <v>20</v>
      </c>
      <c r="R9" s="59">
        <f>M!F6*1</f>
        <v>26.795000000000002</v>
      </c>
      <c r="S9" s="59">
        <f>M!G6*1</f>
        <v>40</v>
      </c>
      <c r="T9" s="59">
        <f>M!H6*1</f>
        <v>34.5608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24.253900000000002</v>
      </c>
      <c r="D10" s="99">
        <f>N8</f>
        <v>39.691099999999999</v>
      </c>
      <c r="E10" s="100">
        <f>T8</f>
        <v>51.180799999999998</v>
      </c>
      <c r="F10" s="91">
        <f>P8</f>
        <v>13.4278</v>
      </c>
      <c r="G10" s="81" t="str">
        <f>CONCATENATE(M9,"
(20 ~ 40)")</f>
        <v>压力
(20 ~ 40)</v>
      </c>
      <c r="H10" s="98">
        <f>R9</f>
        <v>26.795000000000002</v>
      </c>
      <c r="I10" s="108">
        <f>N9</f>
        <v>30.950199999999999</v>
      </c>
      <c r="J10" s="98">
        <f>T9</f>
        <v>34.5608</v>
      </c>
      <c r="K10" s="92">
        <f>P9</f>
        <v>5.5732900000000001</v>
      </c>
      <c r="L10" s="6"/>
      <c r="M10" s="27" t="str">
        <f>lang!B16</f>
        <v>焦虑</v>
      </c>
      <c r="N10" s="59">
        <f>M!B7*1</f>
        <v>30.104299999999999</v>
      </c>
      <c r="O10" s="59">
        <f>M!C7*1</f>
        <v>7.9547499999999998</v>
      </c>
      <c r="P10" s="59">
        <f>M!D7*1</f>
        <v>26.4239</v>
      </c>
      <c r="Q10" s="59">
        <f>M!E7*1</f>
        <v>15</v>
      </c>
      <c r="R10" s="59">
        <f>M!F7*1</f>
        <v>8.0628299999999999</v>
      </c>
      <c r="S10" s="59">
        <f>M!G7*1</f>
        <v>40</v>
      </c>
      <c r="T10" s="59">
        <f>M!H7*1</f>
        <v>39.281100000000002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8.0628299999999999</v>
      </c>
      <c r="D11" s="102">
        <f>N10</f>
        <v>30.104299999999999</v>
      </c>
      <c r="E11" s="103">
        <f>T10</f>
        <v>39.281100000000002</v>
      </c>
      <c r="F11" s="94">
        <f>P10</f>
        <v>26.4239</v>
      </c>
      <c r="G11" s="52" t="str">
        <f>CONCATENATE(M11,"
(20 ~ 50)")</f>
        <v>可疑
(20 ~ 50)</v>
      </c>
      <c r="H11" s="101">
        <f>R11</f>
        <v>25.227900000000002</v>
      </c>
      <c r="I11" s="104">
        <f>N11</f>
        <v>33.547600000000003</v>
      </c>
      <c r="J11" s="101">
        <f>T11</f>
        <v>38.376100000000001</v>
      </c>
      <c r="K11" s="95">
        <f>P11</f>
        <v>9.8036399999999997</v>
      </c>
      <c r="L11" s="4"/>
      <c r="M11" s="27" t="str">
        <f>lang!B17</f>
        <v>可疑</v>
      </c>
      <c r="N11" s="59">
        <f>M!B8*1</f>
        <v>33.547600000000003</v>
      </c>
      <c r="O11" s="59">
        <f>M!C8*1</f>
        <v>3.2888799999999998</v>
      </c>
      <c r="P11" s="59">
        <f>M!D8*1</f>
        <v>9.8036399999999997</v>
      </c>
      <c r="Q11" s="59">
        <f>M!E8*1</f>
        <v>20</v>
      </c>
      <c r="R11" s="59">
        <f>M!F8*1</f>
        <v>25.227900000000002</v>
      </c>
      <c r="S11" s="59">
        <f>M!G8*1</f>
        <v>50</v>
      </c>
      <c r="T11" s="59">
        <f>M!H8*1</f>
        <v>38.376100000000001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47.7316</v>
      </c>
      <c r="D12" s="104">
        <f>N12</f>
        <v>63.848300000000002</v>
      </c>
      <c r="E12" s="101">
        <f>T12</f>
        <v>78.922300000000007</v>
      </c>
      <c r="F12" s="93">
        <f>P12</f>
        <v>8.4250600000000002</v>
      </c>
      <c r="G12" s="52" t="str">
        <f>CONCATENATE(M13,"
(40 ~ 100)")</f>
        <v>自信
(40 ~ 100)</v>
      </c>
      <c r="H12" s="101">
        <f>R13</f>
        <v>69.6785</v>
      </c>
      <c r="I12" s="104">
        <f>N13</f>
        <v>75.119100000000003</v>
      </c>
      <c r="J12" s="101">
        <f>T13</f>
        <v>80.099100000000007</v>
      </c>
      <c r="K12" s="95">
        <f>P13</f>
        <v>3.2726999999999999</v>
      </c>
      <c r="L12" s="4"/>
      <c r="M12" s="27" t="str">
        <f>lang!B18</f>
        <v>平衡</v>
      </c>
      <c r="N12" s="59">
        <f>M!B9*1</f>
        <v>63.848300000000002</v>
      </c>
      <c r="O12" s="59">
        <f>M!C9*1</f>
        <v>5.3792600000000004</v>
      </c>
      <c r="P12" s="59">
        <f>M!D9*1</f>
        <v>8.4250600000000002</v>
      </c>
      <c r="Q12" s="59">
        <f>M!E9*1</f>
        <v>50</v>
      </c>
      <c r="R12" s="59">
        <f>M!F9*1</f>
        <v>47.7316</v>
      </c>
      <c r="S12" s="59">
        <f>M!G9*1</f>
        <v>100</v>
      </c>
      <c r="T12" s="59">
        <f>M!H9*1</f>
        <v>78.922300000000007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12.1195</v>
      </c>
      <c r="D13" s="102">
        <f>N14</f>
        <v>21.169799999999999</v>
      </c>
      <c r="E13" s="103">
        <f>T14</f>
        <v>24.423100000000002</v>
      </c>
      <c r="F13" s="94">
        <f>P14</f>
        <v>15.6645</v>
      </c>
      <c r="G13" s="52" t="str">
        <f>CONCATENATE(M15,"
(50 ~ 100)")</f>
        <v>自我调节
(50 ~ 100)</v>
      </c>
      <c r="H13" s="101">
        <f>R15</f>
        <v>63.553199999999997</v>
      </c>
      <c r="I13" s="104">
        <f>N15</f>
        <v>69.086799999999997</v>
      </c>
      <c r="J13" s="101">
        <f>T15</f>
        <v>76.651300000000006</v>
      </c>
      <c r="K13" s="95">
        <f>P15</f>
        <v>3.39351</v>
      </c>
      <c r="L13" s="4"/>
      <c r="M13" s="27" t="str">
        <f>lang!B19</f>
        <v>自信</v>
      </c>
      <c r="N13" s="59">
        <f>M!B10*1</f>
        <v>75.119100000000003</v>
      </c>
      <c r="O13" s="59">
        <f>M!C10*1</f>
        <v>2.4584199999999998</v>
      </c>
      <c r="P13" s="59">
        <f>M!D10*1</f>
        <v>3.2726999999999999</v>
      </c>
      <c r="Q13" s="59">
        <f>M!E10*1</f>
        <v>40</v>
      </c>
      <c r="R13" s="59">
        <f>M!F10*1</f>
        <v>69.6785</v>
      </c>
      <c r="S13" s="59">
        <f>M!G10*1</f>
        <v>100</v>
      </c>
      <c r="T13" s="59">
        <f>M!H10*1</f>
        <v>80.099100000000007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15.0144</v>
      </c>
      <c r="D14" s="106">
        <f>N16</f>
        <v>22.431100000000001</v>
      </c>
      <c r="E14" s="107">
        <f>T16</f>
        <v>41.099899999999998</v>
      </c>
      <c r="F14" s="96">
        <f>P16</f>
        <v>23.8626</v>
      </c>
      <c r="G14" s="112" t="str">
        <f>CONCATENATE(M17,"
(10 ~ 50)")</f>
        <v>神经质
(10 ~ 50)</v>
      </c>
      <c r="H14" s="105">
        <f>R17</f>
        <v>2.2680500000000001</v>
      </c>
      <c r="I14" s="106">
        <f>N17</f>
        <v>53.526400000000002</v>
      </c>
      <c r="J14" s="107">
        <f>T17</f>
        <v>68.345100000000002</v>
      </c>
      <c r="K14" s="97">
        <f>P17</f>
        <v>35.634099999999997</v>
      </c>
      <c r="M14" s="27" t="str">
        <f>lang!B20</f>
        <v>活力</v>
      </c>
      <c r="N14" s="59">
        <f>M!B11*1</f>
        <v>21.169799999999999</v>
      </c>
      <c r="O14" s="59">
        <f>M!C11*1</f>
        <v>3.3161499999999999</v>
      </c>
      <c r="P14" s="59">
        <f>M!D11*1</f>
        <v>15.6645</v>
      </c>
      <c r="Q14" s="59">
        <f>M!E11*1</f>
        <v>10</v>
      </c>
      <c r="R14" s="59">
        <f>M!F11*1</f>
        <v>12.1195</v>
      </c>
      <c r="S14" s="59">
        <f>M!G11*1</f>
        <v>50</v>
      </c>
      <c r="T14" s="59">
        <f>M!H11*1</f>
        <v>24.423100000000002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69.086799999999997</v>
      </c>
      <c r="O15" s="59">
        <f>M!C12*1</f>
        <v>2.3444699999999998</v>
      </c>
      <c r="P15" s="59">
        <f>M!D12*1</f>
        <v>3.39351</v>
      </c>
      <c r="Q15" s="59">
        <f>M!E12*1</f>
        <v>50</v>
      </c>
      <c r="R15" s="59">
        <f>M!F12*1</f>
        <v>63.553199999999997</v>
      </c>
      <c r="S15" s="59">
        <f>M!G12*1</f>
        <v>100</v>
      </c>
      <c r="T15" s="59">
        <f>M!H12*1</f>
        <v>76.651300000000006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22.431100000000001</v>
      </c>
      <c r="O16" s="59">
        <f>M!C13*1</f>
        <v>5.3526400000000001</v>
      </c>
      <c r="P16" s="59">
        <f>M!D13*1</f>
        <v>23.8626</v>
      </c>
      <c r="Q16" s="59">
        <f>M!E13*1</f>
        <v>10</v>
      </c>
      <c r="R16" s="59">
        <f>M!F13*1</f>
        <v>15.0144</v>
      </c>
      <c r="S16" s="59">
        <f>M!G13*1</f>
        <v>25</v>
      </c>
      <c r="T16" s="59">
        <f>M!H13*1</f>
        <v>41.099899999999998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53.526400000000002</v>
      </c>
      <c r="O17" s="59">
        <f>M!C14*1</f>
        <v>19.073699999999999</v>
      </c>
      <c r="P17" s="59">
        <f>M!D14*1</f>
        <v>35.634099999999997</v>
      </c>
      <c r="Q17" s="59">
        <f>M!E14*1</f>
        <v>10</v>
      </c>
      <c r="R17" s="59">
        <f>M!F14*1</f>
        <v>2.2680500000000001</v>
      </c>
      <c r="S17" s="59">
        <f>M!G14*1</f>
        <v>50</v>
      </c>
      <c r="T17" s="59">
        <f>M!H14*1</f>
        <v>68.345100000000002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57.305999999999997</v>
      </c>
      <c r="O18" s="22">
        <f>N18/(N18+N19+N20)</f>
        <v>0.4447219246294663</v>
      </c>
      <c r="P18" s="65">
        <f>SUM(P12:P15)/4</f>
        <v>7.6889424999999996</v>
      </c>
      <c r="Q18" s="22">
        <f>P18/(P18+P19+P20)</f>
        <v>0.15004439505156167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33.573300000000003</v>
      </c>
      <c r="O19" s="22">
        <f>N19/(N18+N19+N20)</f>
        <v>0.26054483984508536</v>
      </c>
      <c r="P19" s="18">
        <f>SUM(P8:P11)/4</f>
        <v>13.807157499999999</v>
      </c>
      <c r="Q19" s="22">
        <f>P19/(P18+P19+P20)</f>
        <v>0.269437129289123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37.978750000000005</v>
      </c>
      <c r="O20" s="22">
        <f>N20/(N18+N19+N20)</f>
        <v>0.29473323552544839</v>
      </c>
      <c r="P20" s="18">
        <f>(P16+P17)/2</f>
        <v>29.748349999999999</v>
      </c>
      <c r="Q20" s="22">
        <f>P20/(P18+P19+P20)</f>
        <v>0.58051847565931525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-8.6518432432432346E-2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1.5353542711854142</v>
      </c>
      <c r="D25" s="44" t="str">
        <f>lang!B11</f>
        <v>频率方差</v>
      </c>
      <c r="E25" s="142">
        <f ca="1">FH!L3</f>
        <v>0.59539110870246981</v>
      </c>
      <c r="F25" s="143"/>
      <c r="G25" s="134" t="str">
        <f>lang!B12</f>
        <v>生理变化率</v>
      </c>
      <c r="H25" s="135"/>
      <c r="I25" s="62" t="str">
        <f ca="1">CONCATENATE(info!M7,"-",info!M8)</f>
        <v>34.7-56.5</v>
      </c>
      <c r="J25" s="42" t="str">
        <f>lang!B13</f>
        <v>千卡l/分钟</v>
      </c>
      <c r="K25" s="41" t="str">
        <f ca="1">CONCATENATE(info!M5,"-",info!M6)</f>
        <v>2.3-3.7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54.491799999999998</v>
      </c>
      <c r="F28" s="164"/>
      <c r="G28" s="178" t="str">
        <f>lang!B33</f>
        <v>稳定性</v>
      </c>
      <c r="H28" s="179"/>
      <c r="I28" s="180"/>
      <c r="J28" s="181">
        <f>M!B19*100</f>
        <v>65.5488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⊡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⊠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43628.401446759257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6.8764000000000038</v>
      </c>
      <c r="O7" s="59">
        <f t="shared" ref="O7:T7" si="2">AG7-X7</f>
        <v>-1.6233499999999998</v>
      </c>
      <c r="P7" s="59">
        <f t="shared" si="2"/>
        <v>-6.0713699999999999</v>
      </c>
      <c r="Q7" s="59">
        <f t="shared" si="2"/>
        <v>0</v>
      </c>
      <c r="R7" s="59">
        <f t="shared" si="2"/>
        <v>11.067999999999998</v>
      </c>
      <c r="S7" s="59">
        <f t="shared" si="2"/>
        <v>0</v>
      </c>
      <c r="T7" s="59">
        <f t="shared" si="2"/>
        <v>7.2102000000000004</v>
      </c>
      <c r="U7" s="14"/>
      <c r="V7" s="27" t="str">
        <f>M7</f>
        <v>攻击性</v>
      </c>
      <c r="W7" s="59">
        <f>'M1'!B5*1</f>
        <v>35.044699999999999</v>
      </c>
      <c r="X7" s="59">
        <f>'M1'!C5*1</f>
        <v>4.69794</v>
      </c>
      <c r="Y7" s="59">
        <f>'M1'!D5*1</f>
        <v>13.4056</v>
      </c>
      <c r="Z7" s="59">
        <f>'M1'!E5*1</f>
        <v>20</v>
      </c>
      <c r="AA7" s="59">
        <f>'M1'!F5*1</f>
        <v>24.253900000000002</v>
      </c>
      <c r="AB7" s="59">
        <f>'M1'!G5*1</f>
        <v>50</v>
      </c>
      <c r="AC7" s="59">
        <f>'M1'!H5*1</f>
        <v>43.970599999999997</v>
      </c>
      <c r="AE7" s="27" t="str">
        <f>V7</f>
        <v>攻击性</v>
      </c>
      <c r="AF7" s="59">
        <f>'M2'!B5*1</f>
        <v>41.921100000000003</v>
      </c>
      <c r="AG7" s="59">
        <f>'M2'!C5*1</f>
        <v>3.0745900000000002</v>
      </c>
      <c r="AH7" s="59">
        <f>'M2'!D5*1</f>
        <v>7.3342299999999998</v>
      </c>
      <c r="AI7" s="59">
        <f>'M2'!E5*1</f>
        <v>20</v>
      </c>
      <c r="AJ7" s="59">
        <f>'M2'!F5*1</f>
        <v>35.321899999999999</v>
      </c>
      <c r="AK7" s="59">
        <f>'M2'!G5*1</f>
        <v>50</v>
      </c>
      <c r="AL7" s="59">
        <f>'M2'!H5*1</f>
        <v>51.180799999999998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0.59280000000000044</v>
      </c>
      <c r="O8" s="59">
        <f t="shared" ref="O8:O16" si="5">AG8-X8</f>
        <v>-0.43870999999999993</v>
      </c>
      <c r="P8" s="59">
        <f t="shared" ref="P8:P16" si="6">AH8-Y8</f>
        <v>-1.5271799999999995</v>
      </c>
      <c r="Q8" s="59">
        <f t="shared" ref="Q8:Q16" si="7">AI8-Z8</f>
        <v>0</v>
      </c>
      <c r="R8" s="59">
        <f t="shared" ref="R8:R16" si="8">AJ8-AA8</f>
        <v>2.1829000000000001</v>
      </c>
      <c r="S8" s="59">
        <f t="shared" ref="S8:S16" si="9">AK8-AB8</f>
        <v>0</v>
      </c>
      <c r="T8" s="59">
        <f t="shared" ref="T8:T16" si="10">AL8-AC8</f>
        <v>1.5765999999999991</v>
      </c>
      <c r="U8" s="15"/>
      <c r="V8" s="27" t="str">
        <f t="shared" ref="V8:V16" si="11">M8</f>
        <v>压力</v>
      </c>
      <c r="W8" s="59">
        <f>'M1'!B6*1</f>
        <v>30.525500000000001</v>
      </c>
      <c r="X8" s="59">
        <f>'M1'!C6*1</f>
        <v>1.88046</v>
      </c>
      <c r="Y8" s="59">
        <f>'M1'!D6*1</f>
        <v>6.16031</v>
      </c>
      <c r="Z8" s="59">
        <f>'M1'!E6*1</f>
        <v>20</v>
      </c>
      <c r="AA8" s="59">
        <f>'M1'!F6*1</f>
        <v>26.795000000000002</v>
      </c>
      <c r="AB8" s="59">
        <f>'M1'!G6*1</f>
        <v>40</v>
      </c>
      <c r="AC8" s="59">
        <f>'M1'!H6*1</f>
        <v>32.984200000000001</v>
      </c>
      <c r="AE8" s="27" t="str">
        <f t="shared" ref="AE8:AE16" si="12">V8</f>
        <v>压力</v>
      </c>
      <c r="AF8" s="59">
        <f>'M2'!B6*1</f>
        <v>31.118300000000001</v>
      </c>
      <c r="AG8" s="59">
        <f>'M2'!C6*1</f>
        <v>1.4417500000000001</v>
      </c>
      <c r="AH8" s="59">
        <f>'M2'!D6*1</f>
        <v>4.6331300000000004</v>
      </c>
      <c r="AI8" s="59">
        <f>'M2'!E6*1</f>
        <v>20</v>
      </c>
      <c r="AJ8" s="59">
        <f>'M2'!F6*1</f>
        <v>28.977900000000002</v>
      </c>
      <c r="AK8" s="59">
        <f>'M2'!G6*1</f>
        <v>40</v>
      </c>
      <c r="AL8" s="59">
        <f>'M2'!H6*1</f>
        <v>34.5608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11.067999999999998</v>
      </c>
      <c r="D9" s="78">
        <f>N7</f>
        <v>6.8764000000000038</v>
      </c>
      <c r="E9" s="79">
        <f>T7</f>
        <v>7.2102000000000004</v>
      </c>
      <c r="F9" s="79">
        <f>P7</f>
        <v>-6.0713699999999999</v>
      </c>
      <c r="G9" s="80" t="str">
        <f>CONCATENATE(M8,"
(20 ~ 40)")</f>
        <v>压力
(20 ~ 40)</v>
      </c>
      <c r="H9" s="77">
        <f>R8</f>
        <v>2.1829000000000001</v>
      </c>
      <c r="I9" s="81">
        <f>N8</f>
        <v>0.59280000000000044</v>
      </c>
      <c r="J9" s="77">
        <f>T8</f>
        <v>1.5765999999999991</v>
      </c>
      <c r="K9" s="82">
        <f>P8</f>
        <v>-1.5271799999999995</v>
      </c>
      <c r="L9" s="6"/>
      <c r="M9" s="27" t="str">
        <f>lang!B16</f>
        <v>焦虑</v>
      </c>
      <c r="N9" s="59">
        <f t="shared" si="4"/>
        <v>-1.9222999999999999</v>
      </c>
      <c r="O9" s="59">
        <f t="shared" si="5"/>
        <v>-0.61262000000000061</v>
      </c>
      <c r="P9" s="59">
        <f t="shared" si="6"/>
        <v>-0.37170000000000059</v>
      </c>
      <c r="Q9" s="59">
        <f t="shared" si="7"/>
        <v>0</v>
      </c>
      <c r="R9" s="59">
        <f t="shared" si="8"/>
        <v>-1.5120900000000006</v>
      </c>
      <c r="S9" s="59">
        <f t="shared" si="9"/>
        <v>0</v>
      </c>
      <c r="T9" s="59">
        <f t="shared" si="10"/>
        <v>-1.1532000000000053</v>
      </c>
      <c r="U9" s="14"/>
      <c r="V9" s="27" t="str">
        <f t="shared" si="11"/>
        <v>焦虑</v>
      </c>
      <c r="W9" s="59">
        <f>'M1'!B7*1</f>
        <v>31.576599999999999</v>
      </c>
      <c r="X9" s="59">
        <f>'M1'!C7*1</f>
        <v>8.2526700000000002</v>
      </c>
      <c r="Y9" s="59">
        <f>'M1'!D7*1</f>
        <v>26.135400000000001</v>
      </c>
      <c r="Z9" s="59">
        <f>'M1'!E7*1</f>
        <v>15</v>
      </c>
      <c r="AA9" s="59">
        <f>'M1'!F7*1</f>
        <v>9.5749200000000005</v>
      </c>
      <c r="AB9" s="59">
        <f>'M1'!G7*1</f>
        <v>40</v>
      </c>
      <c r="AC9" s="59">
        <f>'M1'!H7*1</f>
        <v>39.281100000000002</v>
      </c>
      <c r="AE9" s="27" t="str">
        <f t="shared" si="12"/>
        <v>焦虑</v>
      </c>
      <c r="AF9" s="59">
        <f>'M2'!B7*1</f>
        <v>29.654299999999999</v>
      </c>
      <c r="AG9" s="59">
        <f>'M2'!C7*1</f>
        <v>7.6400499999999996</v>
      </c>
      <c r="AH9" s="59">
        <f>'M2'!D7*1</f>
        <v>25.7637</v>
      </c>
      <c r="AI9" s="59">
        <f>'M2'!E7*1</f>
        <v>15</v>
      </c>
      <c r="AJ9" s="59">
        <f>'M2'!F7*1</f>
        <v>8.0628299999999999</v>
      </c>
      <c r="AK9" s="59">
        <f>'M2'!G7*1</f>
        <v>40</v>
      </c>
      <c r="AL9" s="59">
        <f>'M2'!H7*1</f>
        <v>38.127899999999997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-1.5120900000000006</v>
      </c>
      <c r="D10" s="51">
        <f>N9</f>
        <v>-1.9222999999999999</v>
      </c>
      <c r="E10" s="53">
        <f>T9</f>
        <v>-1.1532000000000053</v>
      </c>
      <c r="F10" s="53">
        <f>P9</f>
        <v>-0.37170000000000059</v>
      </c>
      <c r="G10" s="73" t="str">
        <f>CONCATENATE(M10,"
(20 ~ 50)")</f>
        <v>可疑
(20 ~ 50)</v>
      </c>
      <c r="H10" s="24">
        <f>R10</f>
        <v>1.4649999999999999</v>
      </c>
      <c r="I10" s="52">
        <f>N10</f>
        <v>2.8157999999999959</v>
      </c>
      <c r="J10" s="24">
        <f>T10</f>
        <v>2.664200000000001</v>
      </c>
      <c r="K10" s="25">
        <f>P10</f>
        <v>-1.6919199999999996</v>
      </c>
      <c r="L10" s="4"/>
      <c r="M10" s="27" t="str">
        <f>lang!B17</f>
        <v>可疑</v>
      </c>
      <c r="N10" s="59">
        <f t="shared" si="4"/>
        <v>2.8157999999999959</v>
      </c>
      <c r="O10" s="59">
        <f t="shared" si="5"/>
        <v>-0.30452999999999975</v>
      </c>
      <c r="P10" s="59">
        <f t="shared" si="6"/>
        <v>-1.6919199999999996</v>
      </c>
      <c r="Q10" s="59">
        <f t="shared" si="7"/>
        <v>0</v>
      </c>
      <c r="R10" s="59">
        <f t="shared" si="8"/>
        <v>1.4649999999999999</v>
      </c>
      <c r="S10" s="59">
        <f t="shared" si="9"/>
        <v>0</v>
      </c>
      <c r="T10" s="59">
        <f t="shared" si="10"/>
        <v>2.664200000000001</v>
      </c>
      <c r="U10" s="14"/>
      <c r="V10" s="27" t="str">
        <f t="shared" si="11"/>
        <v>可疑</v>
      </c>
      <c r="W10" s="59">
        <f>'M1'!B8*1</f>
        <v>31.734000000000002</v>
      </c>
      <c r="X10" s="59">
        <f>'M1'!C8*1</f>
        <v>3.1559599999999999</v>
      </c>
      <c r="Y10" s="59">
        <f>'M1'!D8*1</f>
        <v>9.9450199999999995</v>
      </c>
      <c r="Z10" s="59">
        <f>'M1'!E8*1</f>
        <v>20</v>
      </c>
      <c r="AA10" s="59">
        <f>'M1'!F8*1</f>
        <v>25.227900000000002</v>
      </c>
      <c r="AB10" s="59">
        <f>'M1'!G8*1</f>
        <v>50</v>
      </c>
      <c r="AC10" s="59">
        <f>'M1'!H8*1</f>
        <v>35.352600000000002</v>
      </c>
      <c r="AE10" s="27" t="str">
        <f t="shared" si="12"/>
        <v>可疑</v>
      </c>
      <c r="AF10" s="59">
        <f>'M2'!B8*1</f>
        <v>34.549799999999998</v>
      </c>
      <c r="AG10" s="59">
        <f>'M2'!C8*1</f>
        <v>2.8514300000000001</v>
      </c>
      <c r="AH10" s="59">
        <f>'M2'!D8*1</f>
        <v>8.2530999999999999</v>
      </c>
      <c r="AI10" s="59">
        <f>'M2'!E8*1</f>
        <v>20</v>
      </c>
      <c r="AJ10" s="59">
        <f>'M2'!F8*1</f>
        <v>26.692900000000002</v>
      </c>
      <c r="AK10" s="59">
        <f>'M2'!G8*1</f>
        <v>50</v>
      </c>
      <c r="AL10" s="59">
        <f>'M2'!H8*1</f>
        <v>38.016800000000003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10.299300000000002</v>
      </c>
      <c r="D11" s="52">
        <f>N11</f>
        <v>4.6947000000000045</v>
      </c>
      <c r="E11" s="24">
        <f>T11</f>
        <v>6.2265000000000015</v>
      </c>
      <c r="F11" s="24">
        <f>P11</f>
        <v>-2.7886599999999993</v>
      </c>
      <c r="G11" s="73" t="str">
        <f>CONCATENATE(M12,"
(40 ~ 100)")</f>
        <v>自信
(40 ~ 100)</v>
      </c>
      <c r="H11" s="24">
        <f>R12</f>
        <v>-2.029200000000003</v>
      </c>
      <c r="I11" s="52">
        <f>N12</f>
        <v>-2.8682000000000016</v>
      </c>
      <c r="J11" s="24">
        <f>T12</f>
        <v>-3.2868000000000137</v>
      </c>
      <c r="K11" s="25">
        <f>P12</f>
        <v>-0.6864300000000001</v>
      </c>
      <c r="L11" s="4"/>
      <c r="M11" s="27" t="str">
        <f>lang!B18</f>
        <v>平衡</v>
      </c>
      <c r="N11" s="59">
        <f t="shared" si="4"/>
        <v>4.6947000000000045</v>
      </c>
      <c r="O11" s="59">
        <f t="shared" si="5"/>
        <v>-1.41526</v>
      </c>
      <c r="P11" s="59">
        <f t="shared" si="6"/>
        <v>-2.7886599999999993</v>
      </c>
      <c r="Q11" s="59">
        <f t="shared" si="7"/>
        <v>0</v>
      </c>
      <c r="R11" s="59">
        <f t="shared" si="8"/>
        <v>10.299300000000002</v>
      </c>
      <c r="S11" s="59">
        <f t="shared" si="9"/>
        <v>0</v>
      </c>
      <c r="T11" s="59">
        <f t="shared" si="10"/>
        <v>6.2265000000000015</v>
      </c>
      <c r="U11" s="14"/>
      <c r="V11" s="27" t="str">
        <f t="shared" si="11"/>
        <v>平衡</v>
      </c>
      <c r="W11" s="59">
        <f>'M1'!B9*1</f>
        <v>61.183500000000002</v>
      </c>
      <c r="X11" s="59">
        <f>'M1'!C9*1</f>
        <v>5.4979500000000003</v>
      </c>
      <c r="Y11" s="59">
        <f>'M1'!D9*1</f>
        <v>8.9859899999999993</v>
      </c>
      <c r="Z11" s="59">
        <f>'M1'!E9*1</f>
        <v>50</v>
      </c>
      <c r="AA11" s="59">
        <f>'M1'!F9*1</f>
        <v>47.7316</v>
      </c>
      <c r="AB11" s="59">
        <f>'M1'!G9*1</f>
        <v>100</v>
      </c>
      <c r="AC11" s="59">
        <f>'M1'!H9*1</f>
        <v>72.695800000000006</v>
      </c>
      <c r="AE11" s="27" t="str">
        <f t="shared" si="12"/>
        <v>平衡</v>
      </c>
      <c r="AF11" s="59">
        <f>'M2'!B9*1</f>
        <v>65.878200000000007</v>
      </c>
      <c r="AG11" s="59">
        <f>'M2'!C9*1</f>
        <v>4.0826900000000004</v>
      </c>
      <c r="AH11" s="59">
        <f>'M2'!D9*1</f>
        <v>6.19733</v>
      </c>
      <c r="AI11" s="59">
        <f>'M2'!E9*1</f>
        <v>50</v>
      </c>
      <c r="AJ11" s="59">
        <f>'M2'!F9*1</f>
        <v>58.030900000000003</v>
      </c>
      <c r="AK11" s="59">
        <f>'M2'!G9*1</f>
        <v>100</v>
      </c>
      <c r="AL11" s="59">
        <f>'M2'!H9*1</f>
        <v>78.922300000000007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7.2114999999999991</v>
      </c>
      <c r="D12" s="51">
        <f>N13</f>
        <v>6.3053000000000008</v>
      </c>
      <c r="E12" s="53">
        <f>T13</f>
        <v>1.508700000000001</v>
      </c>
      <c r="F12" s="53">
        <f>P13</f>
        <v>-12.81648</v>
      </c>
      <c r="G12" s="73" t="str">
        <f>CONCATENATE(M14,"
(50 ~ 100)")</f>
        <v>自我调节
(50 ~ 100)</v>
      </c>
      <c r="H12" s="24">
        <f>R14</f>
        <v>1.6298999999999992</v>
      </c>
      <c r="I12" s="52">
        <f>N14</f>
        <v>1.0541999999999945</v>
      </c>
      <c r="J12" s="24">
        <f>T14</f>
        <v>2.8832000000000022</v>
      </c>
      <c r="K12" s="25">
        <f>P14</f>
        <v>-0.11978</v>
      </c>
      <c r="L12" s="4"/>
      <c r="M12" s="27" t="str">
        <f>lang!B19</f>
        <v>自信</v>
      </c>
      <c r="N12" s="59">
        <f t="shared" si="4"/>
        <v>-2.8682000000000016</v>
      </c>
      <c r="O12" s="59">
        <f t="shared" si="5"/>
        <v>-0.59941000000000022</v>
      </c>
      <c r="P12" s="59">
        <f t="shared" si="6"/>
        <v>-0.6864300000000001</v>
      </c>
      <c r="Q12" s="59">
        <f t="shared" si="7"/>
        <v>0</v>
      </c>
      <c r="R12" s="59">
        <f t="shared" si="8"/>
        <v>-2.029200000000003</v>
      </c>
      <c r="S12" s="59">
        <f t="shared" si="9"/>
        <v>0</v>
      </c>
      <c r="T12" s="59">
        <f t="shared" si="10"/>
        <v>-3.2868000000000137</v>
      </c>
      <c r="U12" s="15"/>
      <c r="V12" s="27" t="str">
        <f t="shared" si="11"/>
        <v>自信</v>
      </c>
      <c r="W12" s="59">
        <f>'M1'!B10*1</f>
        <v>77.038300000000007</v>
      </c>
      <c r="X12" s="59">
        <f>'M1'!C10*1</f>
        <v>2.4249900000000002</v>
      </c>
      <c r="Y12" s="59">
        <f>'M1'!D10*1</f>
        <v>3.14777</v>
      </c>
      <c r="Z12" s="59">
        <f>'M1'!E10*1</f>
        <v>40</v>
      </c>
      <c r="AA12" s="59">
        <f>'M1'!F10*1</f>
        <v>71.747900000000001</v>
      </c>
      <c r="AB12" s="59">
        <f>'M1'!G10*1</f>
        <v>100</v>
      </c>
      <c r="AC12" s="59">
        <f>'M1'!H10*1</f>
        <v>80.099100000000007</v>
      </c>
      <c r="AE12" s="27" t="str">
        <f t="shared" si="12"/>
        <v>自信</v>
      </c>
      <c r="AF12" s="59">
        <f>'M2'!B10*1</f>
        <v>74.170100000000005</v>
      </c>
      <c r="AG12" s="59">
        <f>'M2'!C10*1</f>
        <v>1.82558</v>
      </c>
      <c r="AH12" s="59">
        <f>'M2'!D10*1</f>
        <v>2.4613399999999999</v>
      </c>
      <c r="AI12" s="59">
        <f>'M2'!E10*1</f>
        <v>40</v>
      </c>
      <c r="AJ12" s="59">
        <f>'M2'!F10*1</f>
        <v>69.718699999999998</v>
      </c>
      <c r="AK12" s="59">
        <f>'M2'!G10*1</f>
        <v>100</v>
      </c>
      <c r="AL12" s="59">
        <f>'M2'!H10*1</f>
        <v>76.812299999999993</v>
      </c>
    </row>
    <row r="13" spans="2:38" ht="25.5" customHeight="1" thickBot="1">
      <c r="B13" s="72" t="str">
        <f>CONCATENATE(M15,"
(10 ~ 25)")</f>
        <v>抑郁
(10 ~ 25)</v>
      </c>
      <c r="C13" s="54">
        <f>R15</f>
        <v>0.83259999999999934</v>
      </c>
      <c r="D13" s="55">
        <f>N15</f>
        <v>-0.69999999999999929</v>
      </c>
      <c r="E13" s="56">
        <f>T15</f>
        <v>-3.4994999999999976</v>
      </c>
      <c r="F13" s="56">
        <f>P15</f>
        <v>0.97349999999999781</v>
      </c>
      <c r="G13" s="74" t="str">
        <f>CONCATENATE(M16,"
(10 ~ 50)")</f>
        <v>神经质
(10 ~ 50)</v>
      </c>
      <c r="H13" s="54">
        <f>R16</f>
        <v>-1.9939199999999997</v>
      </c>
      <c r="I13" s="55">
        <f>N16</f>
        <v>0.50809999999999889</v>
      </c>
      <c r="J13" s="56">
        <f>T16</f>
        <v>5.3130000000000024</v>
      </c>
      <c r="K13" s="57">
        <f>P16</f>
        <v>-0.21470000000000056</v>
      </c>
      <c r="M13" s="27" t="str">
        <f>lang!B20</f>
        <v>活力</v>
      </c>
      <c r="N13" s="59">
        <f t="shared" si="4"/>
        <v>6.3053000000000008</v>
      </c>
      <c r="O13" s="59">
        <f t="shared" si="5"/>
        <v>-1.7275799999999999</v>
      </c>
      <c r="P13" s="59">
        <f t="shared" si="6"/>
        <v>-12.81648</v>
      </c>
      <c r="Q13" s="59">
        <f t="shared" si="7"/>
        <v>0</v>
      </c>
      <c r="R13" s="59">
        <f t="shared" si="8"/>
        <v>7.2114999999999991</v>
      </c>
      <c r="S13" s="59">
        <f t="shared" si="9"/>
        <v>0</v>
      </c>
      <c r="T13" s="59">
        <f t="shared" si="10"/>
        <v>1.508700000000001</v>
      </c>
      <c r="U13" s="14"/>
      <c r="V13" s="27" t="str">
        <f t="shared" si="11"/>
        <v>活力</v>
      </c>
      <c r="W13" s="59">
        <f>'M1'!B11*1</f>
        <v>15.9567</v>
      </c>
      <c r="X13" s="59">
        <f>'M1'!C11*1</f>
        <v>2.8486099999999999</v>
      </c>
      <c r="Y13" s="59">
        <f>'M1'!D11*1</f>
        <v>17.8521</v>
      </c>
      <c r="Z13" s="59">
        <f>'M1'!E11*1</f>
        <v>10</v>
      </c>
      <c r="AA13" s="59">
        <f>'M1'!F11*1</f>
        <v>12.1195</v>
      </c>
      <c r="AB13" s="59">
        <f>'M1'!G11*1</f>
        <v>50</v>
      </c>
      <c r="AC13" s="59">
        <f>'M1'!H11*1</f>
        <v>22.914400000000001</v>
      </c>
      <c r="AE13" s="27" t="str">
        <f t="shared" si="12"/>
        <v>活力</v>
      </c>
      <c r="AF13" s="59">
        <f>'M2'!B11*1</f>
        <v>22.262</v>
      </c>
      <c r="AG13" s="59">
        <f>'M2'!C11*1</f>
        <v>1.12103</v>
      </c>
      <c r="AH13" s="59">
        <f>'M2'!D11*1</f>
        <v>5.0356199999999998</v>
      </c>
      <c r="AI13" s="59">
        <f>'M2'!E11*1</f>
        <v>10</v>
      </c>
      <c r="AJ13" s="59">
        <f>'M2'!F11*1</f>
        <v>19.331</v>
      </c>
      <c r="AK13" s="59">
        <f>'M2'!G11*1</f>
        <v>50</v>
      </c>
      <c r="AL13" s="59">
        <f>'M2'!H11*1</f>
        <v>24.423100000000002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1.0541999999999945</v>
      </c>
      <c r="O14" s="59">
        <f t="shared" si="5"/>
        <v>-4.8210000000000086E-2</v>
      </c>
      <c r="P14" s="59">
        <f t="shared" si="6"/>
        <v>-0.11978</v>
      </c>
      <c r="Q14" s="59">
        <f t="shared" si="7"/>
        <v>0</v>
      </c>
      <c r="R14" s="59">
        <f t="shared" si="8"/>
        <v>1.6298999999999992</v>
      </c>
      <c r="S14" s="59">
        <f t="shared" si="9"/>
        <v>0</v>
      </c>
      <c r="T14" s="59">
        <f t="shared" si="10"/>
        <v>2.8832000000000022</v>
      </c>
      <c r="U14" s="14"/>
      <c r="V14" s="27" t="str">
        <f t="shared" si="11"/>
        <v>自我调节</v>
      </c>
      <c r="W14" s="59">
        <f>'M1'!B12*1</f>
        <v>68.588700000000003</v>
      </c>
      <c r="X14" s="59">
        <f>'M1'!C12*1</f>
        <v>2.29094</v>
      </c>
      <c r="Y14" s="59">
        <f>'M1'!D12*1</f>
        <v>3.3401200000000002</v>
      </c>
      <c r="Z14" s="59">
        <f>'M1'!E12*1</f>
        <v>50</v>
      </c>
      <c r="AA14" s="59">
        <f>'M1'!F12*1</f>
        <v>63.553199999999997</v>
      </c>
      <c r="AB14" s="59">
        <f>'M1'!G12*1</f>
        <v>100</v>
      </c>
      <c r="AC14" s="59">
        <f>'M1'!H12*1</f>
        <v>73.768100000000004</v>
      </c>
      <c r="AE14" s="27" t="str">
        <f t="shared" si="12"/>
        <v>自我调节</v>
      </c>
      <c r="AF14" s="59">
        <f>'M2'!B12*1</f>
        <v>69.642899999999997</v>
      </c>
      <c r="AG14" s="59">
        <f>'M2'!C12*1</f>
        <v>2.2427299999999999</v>
      </c>
      <c r="AH14" s="59">
        <f>'M2'!D12*1</f>
        <v>3.2203400000000002</v>
      </c>
      <c r="AI14" s="59">
        <f>'M2'!E12*1</f>
        <v>50</v>
      </c>
      <c r="AJ14" s="59">
        <f>'M2'!F12*1</f>
        <v>65.183099999999996</v>
      </c>
      <c r="AK14" s="59">
        <f>'M2'!G12*1</f>
        <v>100</v>
      </c>
      <c r="AL14" s="59">
        <f>'M2'!H12*1</f>
        <v>76.651300000000006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-0.69999999999999929</v>
      </c>
      <c r="O15" s="59">
        <f t="shared" si="5"/>
        <v>5.0810000000000244E-2</v>
      </c>
      <c r="P15" s="59">
        <f t="shared" si="6"/>
        <v>0.97349999999999781</v>
      </c>
      <c r="Q15" s="59">
        <f t="shared" si="7"/>
        <v>0</v>
      </c>
      <c r="R15" s="59">
        <f t="shared" si="8"/>
        <v>0.83259999999999934</v>
      </c>
      <c r="S15" s="59">
        <f t="shared" si="9"/>
        <v>0</v>
      </c>
      <c r="T15" s="59">
        <f t="shared" si="10"/>
        <v>-3.4994999999999976</v>
      </c>
      <c r="U15" s="14"/>
      <c r="V15" s="27" t="str">
        <f t="shared" si="11"/>
        <v>抑郁</v>
      </c>
      <c r="W15" s="59">
        <f>'M1'!B13*1</f>
        <v>22.686199999999999</v>
      </c>
      <c r="X15" s="59">
        <f>'M1'!C13*1</f>
        <v>5.2903099999999998</v>
      </c>
      <c r="Y15" s="59">
        <f>'M1'!D13*1</f>
        <v>23.319500000000001</v>
      </c>
      <c r="Z15" s="59">
        <f>'M1'!E13*1</f>
        <v>10</v>
      </c>
      <c r="AA15" s="59">
        <f>'M1'!F13*1</f>
        <v>15.0144</v>
      </c>
      <c r="AB15" s="59">
        <f>'M1'!G13*1</f>
        <v>25</v>
      </c>
      <c r="AC15" s="59">
        <f>'M1'!H13*1</f>
        <v>41.099899999999998</v>
      </c>
      <c r="AE15" s="27" t="str">
        <f t="shared" si="12"/>
        <v>抑郁</v>
      </c>
      <c r="AF15" s="59">
        <f>'M2'!B13*1</f>
        <v>21.9862</v>
      </c>
      <c r="AG15" s="59">
        <f>'M2'!C13*1</f>
        <v>5.3411200000000001</v>
      </c>
      <c r="AH15" s="59">
        <f>'M2'!D13*1</f>
        <v>24.292999999999999</v>
      </c>
      <c r="AI15" s="59">
        <f>'M2'!E13*1</f>
        <v>10</v>
      </c>
      <c r="AJ15" s="59">
        <f>'M2'!F13*1</f>
        <v>15.847</v>
      </c>
      <c r="AK15" s="59">
        <f>'M2'!G13*1</f>
        <v>25</v>
      </c>
      <c r="AL15" s="59">
        <f>'M2'!H13*1</f>
        <v>37.6004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0.50809999999999889</v>
      </c>
      <c r="O16" s="59">
        <f t="shared" si="5"/>
        <v>6.8099999999997607E-2</v>
      </c>
      <c r="P16" s="59">
        <f t="shared" si="6"/>
        <v>-0.21470000000000056</v>
      </c>
      <c r="Q16" s="59">
        <f t="shared" si="7"/>
        <v>0</v>
      </c>
      <c r="R16" s="59">
        <f t="shared" si="8"/>
        <v>-1.9939199999999997</v>
      </c>
      <c r="S16" s="59">
        <f t="shared" si="9"/>
        <v>0</v>
      </c>
      <c r="T16" s="59">
        <f t="shared" si="10"/>
        <v>5.3130000000000024</v>
      </c>
      <c r="U16" s="15"/>
      <c r="V16" s="27" t="str">
        <f t="shared" si="11"/>
        <v>神经质</v>
      </c>
      <c r="W16" s="59">
        <f>'M1'!B14*1</f>
        <v>52.903100000000002</v>
      </c>
      <c r="X16" s="59">
        <f>'M1'!C14*1</f>
        <v>19.030200000000001</v>
      </c>
      <c r="Y16" s="59">
        <f>'M1'!D14*1</f>
        <v>35.971800000000002</v>
      </c>
      <c r="Z16" s="59">
        <f>'M1'!E14*1</f>
        <v>10</v>
      </c>
      <c r="AA16" s="59">
        <f>'M1'!F14*1</f>
        <v>4.2619699999999998</v>
      </c>
      <c r="AB16" s="59">
        <f>'M1'!G14*1</f>
        <v>50</v>
      </c>
      <c r="AC16" s="59">
        <f>'M1'!H14*1</f>
        <v>63.0321</v>
      </c>
      <c r="AE16" s="27" t="str">
        <f t="shared" si="12"/>
        <v>神经质</v>
      </c>
      <c r="AF16" s="59">
        <f>'M2'!B14*1</f>
        <v>53.411200000000001</v>
      </c>
      <c r="AG16" s="59">
        <f>'M2'!C14*1</f>
        <v>19.098299999999998</v>
      </c>
      <c r="AH16" s="59">
        <f>'M2'!D14*1</f>
        <v>35.757100000000001</v>
      </c>
      <c r="AI16" s="59">
        <f>'M2'!E14*1</f>
        <v>10</v>
      </c>
      <c r="AJ16" s="59">
        <f>'M2'!F14*1</f>
        <v>2.2680500000000001</v>
      </c>
      <c r="AK16" s="59">
        <f>'M2'!G14*1</f>
        <v>50</v>
      </c>
      <c r="AL16" s="59">
        <f>'M2'!H14*1</f>
        <v>68.345100000000002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2.2964999999999995</v>
      </c>
      <c r="O17" s="22">
        <f>N17/(N17+N18+N19)</f>
        <v>0.53516187102750379</v>
      </c>
      <c r="P17" s="65">
        <f>SUM(P11:P14)/4</f>
        <v>-4.1028374999999997</v>
      </c>
      <c r="Q17" s="22">
        <f>P17/(P17+P18+P19)</f>
        <v>0.66832560132139196</v>
      </c>
      <c r="R17" s="14"/>
      <c r="S17" s="14"/>
      <c r="T17" s="14"/>
      <c r="U17" s="14"/>
      <c r="V17" s="21" t="str">
        <f>M17</f>
        <v>Positive</v>
      </c>
      <c r="W17" s="65">
        <f>SUM(W11:W14)/4</f>
        <v>55.691800000000001</v>
      </c>
      <c r="X17" s="22">
        <f>W17/(W17+W18+W19)</f>
        <v>0.44302986357523644</v>
      </c>
      <c r="Y17" s="65">
        <f>SUM(Y11:Y14)/4</f>
        <v>8.3314950000000003</v>
      </c>
      <c r="Z17" s="22">
        <f>Y17/(Y17+Y18+Y19)</f>
        <v>0.16056464286968686</v>
      </c>
      <c r="AA17" s="14"/>
      <c r="AB17" s="14"/>
      <c r="AC17" s="14"/>
      <c r="AE17" s="21" t="str">
        <f>V17</f>
        <v>Positive</v>
      </c>
      <c r="AF17" s="65">
        <f>SUM(AF11:AF14)/4</f>
        <v>57.988300000000002</v>
      </c>
      <c r="AG17" s="22">
        <f>AF17/(AF17+AF18+AF19)</f>
        <v>0.44607113770128931</v>
      </c>
      <c r="AH17" s="65">
        <f>SUM(AH11:AH14)/4</f>
        <v>4.2286575000000006</v>
      </c>
      <c r="AI17" s="22">
        <f>AH17/(AH17+AH18+AH19)</f>
        <v>9.2430182264940389E-2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2.0906750000000001</v>
      </c>
      <c r="O18" s="22">
        <f>N18/(N17+N18+N19)</f>
        <v>0.48719771160915604</v>
      </c>
      <c r="P18" s="18">
        <f>SUM(P7:P10)/4</f>
        <v>-2.4155424999999999</v>
      </c>
      <c r="Q18" s="22">
        <f>P18/(P17+P18+P19)</f>
        <v>0.39347619637138409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32.220199999999998</v>
      </c>
      <c r="X18" s="22">
        <f>W18/(W17+W18+W19)</f>
        <v>0.25631261353317425</v>
      </c>
      <c r="Y18" s="18">
        <f>SUM(Y7:Y10)/4</f>
        <v>13.9115825</v>
      </c>
      <c r="Z18" s="22">
        <f>Y18/(Y17+Y18+Y19)</f>
        <v>0.2681041368763572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34.310875000000003</v>
      </c>
      <c r="AG18" s="22">
        <f>AF18/(AF17+AF18+AF19)</f>
        <v>0.26393412200007116</v>
      </c>
      <c r="AH18" s="18">
        <f>SUM(AH7:AH10)/4</f>
        <v>11.496040000000001</v>
      </c>
      <c r="AI18" s="22">
        <f>AH18/(AH17+AH18+AH19)</f>
        <v>0.25128094969267317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-9.5950000000000202E-2</v>
      </c>
      <c r="O19" s="22">
        <f>N19/(N17+N18+N19)</f>
        <v>-2.2359582636659749E-2</v>
      </c>
      <c r="P19" s="18">
        <f>(P15+P16)/2</f>
        <v>0.37939999999999863</v>
      </c>
      <c r="Q19" s="22">
        <f>P19/(P17+P18+P19)</f>
        <v>-6.1801797692776092E-2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37.794650000000004</v>
      </c>
      <c r="X19" s="22">
        <f>W19/(W17+W18+W19)</f>
        <v>0.30065752289158926</v>
      </c>
      <c r="Y19" s="18">
        <f>(Y15+Y16)/2</f>
        <v>29.645650000000003</v>
      </c>
      <c r="Z19" s="22">
        <f>Y19/(Y17+Y18+Y19)</f>
        <v>0.571331220253956</v>
      </c>
      <c r="AA19" s="14"/>
      <c r="AB19" s="14"/>
      <c r="AC19" s="14"/>
      <c r="AE19" s="21" t="str">
        <f t="shared" si="14"/>
        <v>Physiological</v>
      </c>
      <c r="AF19" s="18">
        <f>(AF15+AF16)/2</f>
        <v>37.698700000000002</v>
      </c>
      <c r="AG19" s="22">
        <f>AF19/(AF17+AF18+AF19)</f>
        <v>0.28999474029863948</v>
      </c>
      <c r="AH19" s="18">
        <f>(AH15+AH16)/2</f>
        <v>30.02505</v>
      </c>
      <c r="AI19" s="22">
        <f>AH19/(AH17+AH18+AH19)</f>
        <v>0.65628886804238651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1.38/1.68</v>
      </c>
      <c r="D24" s="44" t="str">
        <f>lang!B11</f>
        <v>频率方差</v>
      </c>
      <c r="E24" s="142" t="str">
        <f ca="1">CONCATENATE(ROUND('FH1'!L3,2),"/",ROUND('FH2'!L3,2))</f>
        <v>0.56/0.59</v>
      </c>
      <c r="F24" s="143"/>
      <c r="G24" s="134" t="str">
        <f>lang!B12</f>
        <v>生理变化率</v>
      </c>
      <c r="H24" s="135"/>
      <c r="I24" s="62" t="str">
        <f ca="1">CONCATENATE(info!M7,"-",info!M8)</f>
        <v>34.7-56.5</v>
      </c>
      <c r="J24" s="42" t="str">
        <f>lang!B13</f>
        <v>千卡l/分钟</v>
      </c>
      <c r="K24" s="41" t="str">
        <f ca="1">CONCATENATE(info!M5,"-",info!M6)</f>
        <v>2.3-3.7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4.8804000000000016</v>
      </c>
      <c r="F27" s="164"/>
      <c r="G27" s="178" t="str">
        <f>lang!B33</f>
        <v>稳定性</v>
      </c>
      <c r="H27" s="179"/>
      <c r="I27" s="180"/>
      <c r="J27" s="181">
        <f>dM!B19*100</f>
        <v>8.5447999999999968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⊡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⊠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-0.834399366353889</v>
      </c>
      <c r="C2">
        <f t="array" aca="1" ref="C2" ca="1">CORREL(FT_E02,FT_PH02)</f>
        <v>-0.95317883290173022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2.3476499999999998</v>
      </c>
      <c r="G2" s="61">
        <f>IF(FT!B2&lt;&gt;"",FT!B2*100,"")</f>
        <v>56.519799999999996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4.9207200000000002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1.929694117647059E-2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2.37541</v>
      </c>
      <c r="G3" s="61">
        <f>IF(FT!B3&lt;&gt;"",FT!B3*100,"")</f>
        <v>55.950999999999993</v>
      </c>
      <c r="H3" s="61">
        <f t="shared" ref="H3:H66" si="1">(IF(F3&lt;&gt;"",1,""))</f>
        <v>1</v>
      </c>
      <c r="I3" t="str">
        <f>IF(FT!B3&lt;&gt;"",FT!E3,"")</f>
        <v>1 [0.396555]</v>
      </c>
      <c r="J3">
        <f>IF(FT!B3&lt;&gt;"",FT!C3,"")</f>
        <v>0.39655499999999999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0.43710529729729725</v>
      </c>
      <c r="V3">
        <f ca="1">AVERAGE(OFFSET(FT!B2,info!$L$3/2,0,info!$L$3/2,1))</f>
        <v>0.39721860810810816</v>
      </c>
      <c r="W3">
        <f ca="1">AVERAGE(OFFSET(FT!A2,0,0,info!$L$3/2,1))</f>
        <v>0.29713191891891894</v>
      </c>
      <c r="X3">
        <f ca="1">AVERAGE(OFFSET(FT!A2,info!$L$3/2,0,info!$L$3/2,1))</f>
        <v>0.3437636621621622</v>
      </c>
    </row>
    <row r="4" spans="1:24">
      <c r="A4" s="61">
        <f t="shared" ref="A4:A67" si="2">A3+1</f>
        <v>2</v>
      </c>
      <c r="B4" s="61">
        <f t="shared" si="0"/>
        <v>3.8593882352941179E-2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2.4029700000000003</v>
      </c>
      <c r="G4" s="61">
        <f>IF(FT!B4&lt;&gt;"",FT!B4*100,"")</f>
        <v>55.340599999999995</v>
      </c>
      <c r="H4" s="61">
        <f t="shared" si="1"/>
        <v>1</v>
      </c>
      <c r="I4" t="str">
        <f>IF(FT!B4&lt;&gt;"",FT!E4,"")</f>
        <v>1 [0.801401]</v>
      </c>
      <c r="J4">
        <f>IF(FT!B4&lt;&gt;"",FT!C4,"")</f>
        <v>0.80140100000000003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14.939175000000001</v>
      </c>
      <c r="V4">
        <f>U4*3</f>
        <v>44.817525000000003</v>
      </c>
      <c r="W4">
        <f>U4</f>
        <v>14.939175000000001</v>
      </c>
      <c r="X4">
        <f>V4</f>
        <v>44.817525000000003</v>
      </c>
    </row>
    <row r="5" spans="1:24">
      <c r="A5" s="61">
        <f t="shared" si="2"/>
        <v>3</v>
      </c>
      <c r="B5" s="61">
        <f t="shared" si="0"/>
        <v>5.7890823529411765E-2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2.43085</v>
      </c>
      <c r="G5" s="61">
        <f>IF(FT!B5&lt;&gt;"",FT!B5*100,"")</f>
        <v>54.729199999999999</v>
      </c>
      <c r="H5" s="61">
        <f t="shared" si="1"/>
        <v>1</v>
      </c>
      <c r="I5" t="str">
        <f>IF(FT!B5&lt;&gt;"",FT!E5,"")</f>
        <v>1 [1.208539]</v>
      </c>
      <c r="J5">
        <f>IF(FT!B5&lt;&gt;"",FT!C5,"")</f>
        <v>1.2085399999999999</v>
      </c>
      <c r="K5" t="s">
        <v>53</v>
      </c>
      <c r="L5" s="63">
        <f ca="1">MIN(FT_E)</f>
        <v>2.3476499999999998</v>
      </c>
      <c r="M5" s="63">
        <f ca="1">ROUND(L5,1)</f>
        <v>2.2999999999999998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43.710529729729721</v>
      </c>
      <c r="V5">
        <f ca="1">V3*100</f>
        <v>39.721860810810817</v>
      </c>
      <c r="W5">
        <f ca="1">W3*10</f>
        <v>2.9713191891891895</v>
      </c>
      <c r="X5">
        <f ca="1">X3*10</f>
        <v>3.4376366216216221</v>
      </c>
    </row>
    <row r="6" spans="1:24">
      <c r="A6" s="61">
        <f t="shared" si="2"/>
        <v>4</v>
      </c>
      <c r="B6" s="61">
        <f t="shared" si="0"/>
        <v>7.7187764705882358E-2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2.4586299999999999</v>
      </c>
      <c r="G6" s="61">
        <f>IF(FT!B6&lt;&gt;"",FT!B6*100,"")</f>
        <v>54.043699999999994</v>
      </c>
      <c r="H6" s="61">
        <f t="shared" si="1"/>
        <v>1</v>
      </c>
      <c r="I6" t="str">
        <f>IF(FT!B6&lt;&gt;"",FT!E6,"")</f>
        <v>1 [1.613388]</v>
      </c>
      <c r="J6">
        <f>IF(FT!B6&lt;&gt;"",FT!C6,"")</f>
        <v>1.6133900000000001</v>
      </c>
      <c r="K6" t="s">
        <v>54</v>
      </c>
      <c r="L6" s="63">
        <f ca="1">MAX(FT_E)</f>
        <v>3.7133100000000003</v>
      </c>
      <c r="M6" s="63">
        <f ca="1">ROUND(L6,1)</f>
        <v>3.7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9.6484705882352945E-2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2.4857999999999998</v>
      </c>
      <c r="G7" s="61">
        <f>IF(FT!B7&lt;&gt;"",FT!B7*100,"")</f>
        <v>53.240200000000002</v>
      </c>
      <c r="H7" s="61">
        <f t="shared" si="1"/>
        <v>1</v>
      </c>
      <c r="I7" t="str">
        <f>IF(FT!B7&lt;&gt;"",FT!E7,"")</f>
        <v>1 [2.022153]</v>
      </c>
      <c r="J7">
        <f>IF(FT!B7&lt;&gt;"",FT!C7,"")</f>
        <v>2.0221499999999999</v>
      </c>
      <c r="K7" t="s">
        <v>55</v>
      </c>
      <c r="L7" s="63">
        <f ca="1">MIN(FT_PH)</f>
        <v>34.723100000000002</v>
      </c>
      <c r="M7" s="63">
        <f ca="1">ROUND(L7,1)</f>
        <v>34.700000000000003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0.11578164705882353</v>
      </c>
      <c r="C8" s="61">
        <f>FH!A8*1</f>
        <v>3868</v>
      </c>
      <c r="D8" s="61">
        <f>FH!B8*1</f>
        <v>3868</v>
      </c>
      <c r="E8">
        <f t="shared" si="3"/>
        <v>6</v>
      </c>
      <c r="F8" s="61">
        <f>IF(FT!A8&lt;&gt;"",FT!A8*10,"")</f>
        <v>2.5109500000000002</v>
      </c>
      <c r="G8" s="61">
        <f>IF(FT!B8&lt;&gt;"",FT!B8*100,"")</f>
        <v>52.380300000000005</v>
      </c>
      <c r="H8" s="61">
        <f t="shared" si="1"/>
        <v>1</v>
      </c>
      <c r="I8" t="str">
        <f>IF(FT!B8&lt;&gt;"",FT!E8,"")</f>
        <v>1 [2.427984]</v>
      </c>
      <c r="J8">
        <f>IF(FT!B8&lt;&gt;"",FT!C8,"")</f>
        <v>2.4279799999999998</v>
      </c>
      <c r="K8" t="s">
        <v>56</v>
      </c>
      <c r="L8" s="63">
        <f ca="1">MAX(FT_PH)</f>
        <v>56.519799999999996</v>
      </c>
      <c r="M8" s="63">
        <f ca="1">ROUND(L8,1)</f>
        <v>56.5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0.13507858823529412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2.5356699999999996</v>
      </c>
      <c r="G9" s="61">
        <f>IF(FT!B9&lt;&gt;"",FT!B9*100,"")</f>
        <v>51.477799999999995</v>
      </c>
      <c r="H9" s="61">
        <f t="shared" si="1"/>
        <v>1</v>
      </c>
      <c r="I9" t="str">
        <f>IF(FT!B9&lt;&gt;"",FT!E9,"")</f>
        <v>1 [2.834303]</v>
      </c>
      <c r="J9">
        <f>IF(FT!B9&lt;&gt;"",FT!C9,"")</f>
        <v>2.8342999999999998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0.15437552941176472</v>
      </c>
      <c r="C10" s="61">
        <f>FH!A10*1</f>
        <v>9254</v>
      </c>
      <c r="D10" s="61">
        <f>FH!B10*1</f>
        <v>9254</v>
      </c>
      <c r="E10">
        <f t="shared" si="3"/>
        <v>8</v>
      </c>
      <c r="F10" s="61">
        <f>IF(FT!A10&lt;&gt;"",FT!A10*10,"")</f>
        <v>2.5573299999999999</v>
      </c>
      <c r="G10" s="61">
        <f>IF(FT!B10&lt;&gt;"",FT!B10*100,"")</f>
        <v>50.616399999999992</v>
      </c>
      <c r="H10" s="61">
        <f t="shared" si="1"/>
        <v>1</v>
      </c>
      <c r="I10" t="str">
        <f>IF(FT!B10&lt;&gt;"",FT!E10,"")</f>
        <v>1 [3.237300]</v>
      </c>
      <c r="J10">
        <f>IF(FT!B10&lt;&gt;"",FT!C10,"")</f>
        <v>3.2372999999999998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0.17367247058823529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2.5766299999999998</v>
      </c>
      <c r="G11" s="61">
        <f>IF(FT!B11&lt;&gt;"",FT!B11*100,"")</f>
        <v>49.861400000000003</v>
      </c>
      <c r="H11" s="61">
        <f t="shared" si="1"/>
        <v>1</v>
      </c>
      <c r="I11" t="str">
        <f>IF(FT!B11&lt;&gt;"",FT!E11,"")</f>
        <v>1 [3.646364]</v>
      </c>
      <c r="J11">
        <f>IF(FT!B11&lt;&gt;"",FT!C11,"")</f>
        <v>3.64636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0.19296941176470589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2.5914299999999999</v>
      </c>
      <c r="G12" s="61">
        <f>IF(FT!B12&lt;&gt;"",FT!B12*100,"")</f>
        <v>49.167999999999999</v>
      </c>
      <c r="H12" s="61">
        <f t="shared" si="1"/>
        <v>1</v>
      </c>
      <c r="I12" t="str">
        <f>IF(FT!B12&lt;&gt;"",FT!E12,"")</f>
        <v>1 [4.051914]</v>
      </c>
      <c r="J12">
        <f>IF(FT!B12&lt;&gt;"",FT!C12,"")</f>
        <v>4.0519100000000003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0.21226635294117649</v>
      </c>
      <c r="C13" s="61">
        <f>FH!A13*1</f>
        <v>13100</v>
      </c>
      <c r="D13" s="61">
        <f>FH!B13*1</f>
        <v>13100</v>
      </c>
      <c r="E13">
        <f t="shared" si="3"/>
        <v>11</v>
      </c>
      <c r="F13" s="61">
        <f>IF(FT!A13&lt;&gt;"",FT!A13*10,"")</f>
        <v>2.6030899999999999</v>
      </c>
      <c r="G13" s="61">
        <f>IF(FT!B13&lt;&gt;"",FT!B13*100,"")</f>
        <v>48.4985</v>
      </c>
      <c r="H13" s="61">
        <f t="shared" si="1"/>
        <v>1</v>
      </c>
      <c r="I13" t="str">
        <f>IF(FT!B13&lt;&gt;"",FT!E13,"")</f>
        <v>1 [4.455975]</v>
      </c>
      <c r="J13">
        <f>IF(FT!B13&lt;&gt;"",FT!C13,"")</f>
        <v>4.4559699999999998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0.23156329411764706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2.6162400000000003</v>
      </c>
      <c r="G14" s="61">
        <f>IF(FT!B14&lt;&gt;"",FT!B14*100,"")</f>
        <v>47.820599999999999</v>
      </c>
      <c r="H14" s="61">
        <f t="shared" si="1"/>
        <v>1</v>
      </c>
      <c r="I14" t="str">
        <f>IF(FT!B14&lt;&gt;"",FT!E14,"")</f>
        <v>1 [4.864429]</v>
      </c>
      <c r="J14">
        <f>IF(FT!B14&lt;&gt;"",FT!C14,"")</f>
        <v>4.8644299999999996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0.25086023529411766</v>
      </c>
      <c r="C15" s="61">
        <f>FH!A15*1</f>
        <v>20005</v>
      </c>
      <c r="D15" s="61">
        <f>FH!B15*1</f>
        <v>20005</v>
      </c>
      <c r="E15">
        <f t="shared" si="3"/>
        <v>13</v>
      </c>
      <c r="F15" s="61">
        <f>IF(FT!A15&lt;&gt;"",FT!A15*10,"")</f>
        <v>2.6265000000000001</v>
      </c>
      <c r="G15" s="61">
        <f>IF(FT!B15&lt;&gt;"",FT!B15*100,"")</f>
        <v>47.189399999999999</v>
      </c>
      <c r="H15" s="61">
        <f t="shared" si="1"/>
        <v>1</v>
      </c>
      <c r="I15" t="str">
        <f>IF(FT!B15&lt;&gt;"",FT!E15,"")</f>
        <v>1 [5.270146]</v>
      </c>
      <c r="J15">
        <f>IF(FT!B15&lt;&gt;"",FT!C15,"")</f>
        <v>5.2701500000000001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0.27015717647058823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2.6353399999999998</v>
      </c>
      <c r="G16" s="61">
        <f>IF(FT!B16&lt;&gt;"",FT!B16*100,"")</f>
        <v>46.611399999999996</v>
      </c>
      <c r="H16" s="61">
        <f t="shared" si="1"/>
        <v>1</v>
      </c>
      <c r="I16" t="str">
        <f>IF(FT!B16&lt;&gt;"",FT!E16,"")</f>
        <v>1 [5.675088]</v>
      </c>
      <c r="J16">
        <f>IF(FT!B16&lt;&gt;"",FT!C16,"")</f>
        <v>5.67509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0.28945411764705881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2.6437100000000004</v>
      </c>
      <c r="G17" s="61">
        <f>IF(FT!B17&lt;&gt;"",FT!B17*100,"")</f>
        <v>46.069500000000005</v>
      </c>
      <c r="H17" s="61">
        <f t="shared" si="1"/>
        <v>1</v>
      </c>
      <c r="I17" t="str">
        <f>IF(FT!B17&lt;&gt;"",FT!E17,"")</f>
        <v>1 [6.082825]</v>
      </c>
      <c r="J17">
        <f>IF(FT!B17&lt;&gt;"",FT!C17,"")</f>
        <v>6.0828300000000004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0.30875105882352943</v>
      </c>
      <c r="C18" s="61">
        <f>FH!A18*1</f>
        <v>27330</v>
      </c>
      <c r="D18" s="61">
        <f>FH!B18*1</f>
        <v>27330</v>
      </c>
      <c r="E18">
        <f t="shared" si="3"/>
        <v>16</v>
      </c>
      <c r="F18" s="61">
        <f>IF(FT!A18&lt;&gt;"",FT!A18*10,"")</f>
        <v>2.6521600000000003</v>
      </c>
      <c r="G18" s="61">
        <f>IF(FT!B18&lt;&gt;"",FT!B18*100,"")</f>
        <v>45.527799999999999</v>
      </c>
      <c r="H18" s="61">
        <f t="shared" si="1"/>
        <v>1</v>
      </c>
      <c r="I18" t="str">
        <f>IF(FT!B18&lt;&gt;"",FT!E18,"")</f>
        <v>1 [6.492484]</v>
      </c>
      <c r="J18">
        <f>IF(FT!B18&lt;&gt;"",FT!C18,"")</f>
        <v>6.4924799999999996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0.32804800000000001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2.6608499999999999</v>
      </c>
      <c r="G19" s="61">
        <f>IF(FT!B19&lt;&gt;"",FT!B19*100,"")</f>
        <v>45.040100000000002</v>
      </c>
      <c r="H19" s="61">
        <f t="shared" si="1"/>
        <v>1</v>
      </c>
      <c r="I19" t="str">
        <f>IF(FT!B19&lt;&gt;"",FT!E19,"")</f>
        <v>1 [6.892878]</v>
      </c>
      <c r="J19">
        <f>IF(FT!B19&lt;&gt;"",FT!C19,"")</f>
        <v>6.8928799999999999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0.34734494117647058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2.6712699999999998</v>
      </c>
      <c r="G20" s="61">
        <f>IF(FT!B20&lt;&gt;"",FT!B20*100,"")</f>
        <v>44.5852</v>
      </c>
      <c r="H20" s="61">
        <f t="shared" si="1"/>
        <v>1</v>
      </c>
      <c r="I20" t="str">
        <f>IF(FT!B20&lt;&gt;"",FT!E20,"")</f>
        <v>1 [7.299611]</v>
      </c>
      <c r="J20">
        <f>IF(FT!B20&lt;&gt;"",FT!C20,"")</f>
        <v>7.2996100000000004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0.36664188235294121</v>
      </c>
      <c r="C21" s="61">
        <f>FH!A21*1</f>
        <v>32927</v>
      </c>
      <c r="D21" s="61">
        <f>FH!B21*1</f>
        <v>32927</v>
      </c>
      <c r="E21">
        <f t="shared" si="3"/>
        <v>19</v>
      </c>
      <c r="F21" s="61">
        <f>IF(FT!A21&lt;&gt;"",FT!A21*10,"")</f>
        <v>2.68038</v>
      </c>
      <c r="G21" s="61">
        <f>IF(FT!B21&lt;&gt;"",FT!B21*100,"")</f>
        <v>44.248899999999999</v>
      </c>
      <c r="H21" s="61">
        <f t="shared" si="1"/>
        <v>1</v>
      </c>
      <c r="I21" t="str">
        <f>IF(FT!B21&lt;&gt;"",FT!E21,"")</f>
        <v>1 [7.709055]</v>
      </c>
      <c r="J21">
        <f>IF(FT!B21&lt;&gt;"",FT!C21,"")</f>
        <v>7.70906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0.38593882352941178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2.68926</v>
      </c>
      <c r="G22" s="61">
        <f>IF(FT!B22&lt;&gt;"",FT!B22*100,"")</f>
        <v>43.997100000000003</v>
      </c>
      <c r="H22" s="61">
        <f t="shared" si="1"/>
        <v>1</v>
      </c>
      <c r="I22" t="str">
        <f>IF(FT!B22&lt;&gt;"",FT!E22,"")</f>
        <v>1 [8.111758]</v>
      </c>
      <c r="J22">
        <f>IF(FT!B22&lt;&gt;"",FT!C22,"")</f>
        <v>8.1117600000000003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0.40523576470588235</v>
      </c>
      <c r="C23" s="61">
        <f>FH!A23*1</f>
        <v>30669</v>
      </c>
      <c r="D23" s="61">
        <f>FH!B23*1</f>
        <v>30669</v>
      </c>
      <c r="E23">
        <f t="shared" si="3"/>
        <v>21</v>
      </c>
      <c r="F23" s="61">
        <f>IF(FT!A23&lt;&gt;"",FT!A23*10,"")</f>
        <v>2.6990399999999997</v>
      </c>
      <c r="G23" s="61">
        <f>IF(FT!B23&lt;&gt;"",FT!B23*100,"")</f>
        <v>43.773299999999999</v>
      </c>
      <c r="H23" s="61">
        <f t="shared" si="1"/>
        <v>1</v>
      </c>
      <c r="I23" t="str">
        <f>IF(FT!B23&lt;&gt;"",FT!E23,"")</f>
        <v>1 [8.522398]</v>
      </c>
      <c r="J23">
        <f>IF(FT!B23&lt;&gt;"",FT!C23,"")</f>
        <v>8.5223999999999993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0.42453270588235298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2.70621</v>
      </c>
      <c r="G24" s="61">
        <f>IF(FT!B24&lt;&gt;"",FT!B24*100,"")</f>
        <v>43.585599999999999</v>
      </c>
      <c r="H24" s="61">
        <f t="shared" si="1"/>
        <v>1</v>
      </c>
      <c r="I24" t="str">
        <f>IF(FT!B24&lt;&gt;"",FT!E24,"")</f>
        <v>1 [8.925679]</v>
      </c>
      <c r="J24">
        <f>IF(FT!B24&lt;&gt;"",FT!C24,"")</f>
        <v>8.9256799999999998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0.44382964705882355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2.7121499999999998</v>
      </c>
      <c r="G25" s="61">
        <f>IF(FT!B25&lt;&gt;"",FT!B25*100,"")</f>
        <v>43.439699999999995</v>
      </c>
      <c r="H25" s="61">
        <f t="shared" si="1"/>
        <v>1</v>
      </c>
      <c r="I25" t="str">
        <f>IF(FT!B25&lt;&gt;"",FT!E25,"")</f>
        <v>1 [9.331903]</v>
      </c>
      <c r="J25">
        <f>IF(FT!B25&lt;&gt;"",FT!C25,"")</f>
        <v>9.3318999999999992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0.46312658823529412</v>
      </c>
      <c r="C26" s="61">
        <f>FH!A26*1</f>
        <v>30253</v>
      </c>
      <c r="D26" s="61">
        <f>FH!B26*1</f>
        <v>30253</v>
      </c>
      <c r="E26">
        <f t="shared" si="3"/>
        <v>24</v>
      </c>
      <c r="F26" s="61">
        <f>IF(FT!A26&lt;&gt;"",FT!A26*10,"")</f>
        <v>2.7184399999999997</v>
      </c>
      <c r="G26" s="61">
        <f>IF(FT!B26&lt;&gt;"",FT!B26*100,"")</f>
        <v>43.2973</v>
      </c>
      <c r="H26" s="61">
        <f t="shared" si="1"/>
        <v>1</v>
      </c>
      <c r="I26" t="str">
        <f>IF(FT!B26&lt;&gt;"",FT!E26,"")</f>
        <v>1 [9.738535]</v>
      </c>
      <c r="J26">
        <f>IF(FT!B26&lt;&gt;"",FT!C26,"")</f>
        <v>9.7385400000000004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0.4824235294117647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2.72546</v>
      </c>
      <c r="G27" s="61">
        <f>IF(FT!B27&lt;&gt;"",FT!B27*100,"")</f>
        <v>43.166600000000003</v>
      </c>
      <c r="H27" s="61">
        <f t="shared" si="1"/>
        <v>1</v>
      </c>
      <c r="I27" t="str">
        <f>IF(FT!B27&lt;&gt;"",FT!E27,"")</f>
        <v>1 [10.149486]</v>
      </c>
      <c r="J27">
        <f>IF(FT!B27&lt;&gt;"",FT!C27,"")</f>
        <v>10.1495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0.50172047058823532</v>
      </c>
      <c r="C28" s="61">
        <f>FH!A28*1</f>
        <v>37056</v>
      </c>
      <c r="D28" s="61">
        <f>FH!B28*1</f>
        <v>37056</v>
      </c>
      <c r="E28">
        <f t="shared" si="3"/>
        <v>26</v>
      </c>
      <c r="F28" s="61">
        <f>IF(FT!A28&lt;&gt;"",FT!A28*10,"")</f>
        <v>2.7332700000000001</v>
      </c>
      <c r="G28" s="61">
        <f>IF(FT!B28&lt;&gt;"",FT!B28*100,"")</f>
        <v>43.052300000000002</v>
      </c>
      <c r="H28" s="61">
        <f t="shared" si="1"/>
        <v>1</v>
      </c>
      <c r="I28" t="str">
        <f>IF(FT!B28&lt;&gt;"",FT!E28,"")</f>
        <v>1 [10.553618]</v>
      </c>
      <c r="J28">
        <f>IF(FT!B28&lt;&gt;"",FT!C28,"")</f>
        <v>10.553599999999999</v>
      </c>
    </row>
    <row r="29" spans="1:19">
      <c r="A29" s="61">
        <f t="shared" si="2"/>
        <v>27</v>
      </c>
      <c r="B29" s="61">
        <f t="shared" si="0"/>
        <v>0.52101741176470595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2.7428300000000001</v>
      </c>
      <c r="G29" s="61">
        <f>IF(FT!B29&lt;&gt;"",FT!B29*100,"")</f>
        <v>42.928800000000003</v>
      </c>
      <c r="H29" s="61">
        <f t="shared" si="1"/>
        <v>1</v>
      </c>
      <c r="I29" t="str">
        <f>IF(FT!B29&lt;&gt;"",FT!E29,"")</f>
        <v>1 [10.957534]</v>
      </c>
      <c r="J29">
        <f>IF(FT!B29&lt;&gt;"",FT!C29,"")</f>
        <v>10.9575</v>
      </c>
    </row>
    <row r="30" spans="1:19">
      <c r="A30" s="61">
        <f t="shared" si="2"/>
        <v>28</v>
      </c>
      <c r="B30" s="61">
        <f t="shared" si="0"/>
        <v>0.54031435294117647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2.75393</v>
      </c>
      <c r="G30" s="61">
        <f>IF(FT!B30&lt;&gt;"",FT!B30*100,"")</f>
        <v>42.819400000000002</v>
      </c>
      <c r="H30" s="61">
        <f t="shared" si="1"/>
        <v>1</v>
      </c>
      <c r="I30" t="str">
        <f>IF(FT!B30&lt;&gt;"",FT!E30,"")</f>
        <v>1 [11.364504]</v>
      </c>
      <c r="J30">
        <f>IF(FT!B30&lt;&gt;"",FT!C30,"")</f>
        <v>11.3645</v>
      </c>
    </row>
    <row r="31" spans="1:19">
      <c r="A31" s="61">
        <f t="shared" si="2"/>
        <v>29</v>
      </c>
      <c r="B31" s="61">
        <f t="shared" si="0"/>
        <v>0.5596112941176471</v>
      </c>
      <c r="C31" s="61">
        <f>FH!A31*1</f>
        <v>49722</v>
      </c>
      <c r="D31" s="61">
        <f>FH!B31*1</f>
        <v>49722</v>
      </c>
      <c r="E31">
        <f t="shared" si="3"/>
        <v>29</v>
      </c>
      <c r="F31" s="61">
        <f>IF(FT!A31&lt;&gt;"",FT!A31*10,"")</f>
        <v>2.7641900000000001</v>
      </c>
      <c r="G31" s="61">
        <f>IF(FT!B31&lt;&gt;"",FT!B31*100,"")</f>
        <v>42.759799999999998</v>
      </c>
      <c r="H31" s="61">
        <f t="shared" si="1"/>
        <v>1</v>
      </c>
      <c r="I31" t="str">
        <f>IF(FT!B31&lt;&gt;"",FT!E31,"")</f>
        <v>1 [11.769789]</v>
      </c>
      <c r="J31">
        <f>IF(FT!B31&lt;&gt;"",FT!C31,"")</f>
        <v>11.7698</v>
      </c>
    </row>
    <row r="32" spans="1:19">
      <c r="A32" s="61">
        <f t="shared" si="2"/>
        <v>30</v>
      </c>
      <c r="B32" s="61">
        <f t="shared" si="0"/>
        <v>0.57890823529411761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2.7732200000000002</v>
      </c>
      <c r="G32" s="61">
        <f>IF(FT!B32&lt;&gt;"",FT!B32*100,"")</f>
        <v>42.683500000000002</v>
      </c>
      <c r="H32" s="61">
        <f t="shared" si="1"/>
        <v>1</v>
      </c>
      <c r="I32" t="str">
        <f>IF(FT!B32&lt;&gt;"",FT!E32,"")</f>
        <v>1 [12.176241]</v>
      </c>
      <c r="J32">
        <f>IF(FT!B32&lt;&gt;"",FT!C32,"")</f>
        <v>12.1762</v>
      </c>
    </row>
    <row r="33" spans="1:10">
      <c r="A33" s="61">
        <f t="shared" si="2"/>
        <v>31</v>
      </c>
      <c r="B33" s="61">
        <f t="shared" si="0"/>
        <v>0.59820517647058824</v>
      </c>
      <c r="C33" s="61">
        <f>FH!A33*1</f>
        <v>52094</v>
      </c>
      <c r="D33" s="61">
        <f>FH!B33*1</f>
        <v>52094</v>
      </c>
      <c r="E33">
        <f t="shared" si="3"/>
        <v>31</v>
      </c>
      <c r="F33" s="61">
        <f>IF(FT!A33&lt;&gt;"",FT!A33*10,"")</f>
        <v>2.7822999999999998</v>
      </c>
      <c r="G33" s="61">
        <f>IF(FT!B33&lt;&gt;"",FT!B33*100,"")</f>
        <v>42.601499999999994</v>
      </c>
      <c r="H33" s="61">
        <f t="shared" si="1"/>
        <v>1</v>
      </c>
      <c r="I33" t="str">
        <f>IF(FT!B33&lt;&gt;"",FT!E33,"")</f>
        <v>1 [12.584612]</v>
      </c>
      <c r="J33">
        <f>IF(FT!B33&lt;&gt;"",FT!C33,"")</f>
        <v>12.5846</v>
      </c>
    </row>
    <row r="34" spans="1:10">
      <c r="A34" s="61">
        <f t="shared" si="2"/>
        <v>32</v>
      </c>
      <c r="B34" s="61">
        <f t="shared" si="0"/>
        <v>0.61750211764705887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2.7926299999999999</v>
      </c>
      <c r="G34" s="61">
        <f>IF(FT!B34&lt;&gt;"",FT!B34*100,"")</f>
        <v>42.561999999999998</v>
      </c>
      <c r="H34" s="61">
        <f t="shared" si="1"/>
        <v>1</v>
      </c>
      <c r="I34" t="str">
        <f>IF(FT!B34&lt;&gt;"",FT!E34,"")</f>
        <v>1 [12.987392]</v>
      </c>
      <c r="J34">
        <f>IF(FT!B34&lt;&gt;"",FT!C34,"")</f>
        <v>12.987399999999999</v>
      </c>
    </row>
    <row r="35" spans="1:10">
      <c r="A35" s="61">
        <f t="shared" si="2"/>
        <v>33</v>
      </c>
      <c r="B35" s="61">
        <f t="shared" si="0"/>
        <v>0.6367990588235295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2.8065199999999999</v>
      </c>
      <c r="G35" s="61">
        <f>IF(FT!B35&lt;&gt;"",FT!B35*100,"")</f>
        <v>42.485599999999998</v>
      </c>
      <c r="H35" s="61">
        <f t="shared" si="1"/>
        <v>1</v>
      </c>
      <c r="I35" t="str">
        <f>IF(FT!B35&lt;&gt;"",FT!E35,"")</f>
        <v>1 [13.395777]</v>
      </c>
      <c r="J35">
        <f>IF(FT!B35&lt;&gt;"",FT!C35,"")</f>
        <v>13.395799999999999</v>
      </c>
    </row>
    <row r="36" spans="1:10">
      <c r="A36" s="61">
        <f t="shared" si="2"/>
        <v>34</v>
      </c>
      <c r="B36" s="61">
        <f t="shared" si="0"/>
        <v>0.65609600000000001</v>
      </c>
      <c r="C36" s="61">
        <f>FH!A36*1</f>
        <v>66148</v>
      </c>
      <c r="D36" s="61">
        <f>FH!B36*1</f>
        <v>66148</v>
      </c>
      <c r="E36">
        <f t="shared" si="3"/>
        <v>34</v>
      </c>
      <c r="F36" s="61">
        <f>IF(FT!A36&lt;&gt;"",FT!A36*10,"")</f>
        <v>2.8217399999999997</v>
      </c>
      <c r="G36" s="61">
        <f>IF(FT!B36&lt;&gt;"",FT!B36*100,"")</f>
        <v>42.384100000000004</v>
      </c>
      <c r="H36" s="61">
        <f t="shared" si="1"/>
        <v>1</v>
      </c>
      <c r="I36" t="str">
        <f>IF(FT!B36&lt;&gt;"",FT!E36,"")</f>
        <v>1 [13.802317]</v>
      </c>
      <c r="J36">
        <f>IF(FT!B36&lt;&gt;"",FT!C36,"")</f>
        <v>13.802300000000001</v>
      </c>
    </row>
    <row r="37" spans="1:10">
      <c r="A37" s="61">
        <f t="shared" si="2"/>
        <v>35</v>
      </c>
      <c r="B37" s="61">
        <f t="shared" si="0"/>
        <v>0.67539294117647064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2.8394900000000001</v>
      </c>
      <c r="G37" s="61">
        <f>IF(FT!B37&lt;&gt;"",FT!B37*100,"")</f>
        <v>42.329099999999997</v>
      </c>
      <c r="H37" s="61">
        <f t="shared" si="1"/>
        <v>1</v>
      </c>
      <c r="I37" t="str">
        <f>IF(FT!B37&lt;&gt;"",FT!E37,"")</f>
        <v>1 [14.206504]</v>
      </c>
      <c r="J37">
        <f>IF(FT!B37&lt;&gt;"",FT!C37,"")</f>
        <v>14.2065</v>
      </c>
    </row>
    <row r="38" spans="1:10">
      <c r="A38" s="61">
        <f t="shared" si="2"/>
        <v>36</v>
      </c>
      <c r="B38" s="61">
        <f t="shared" si="0"/>
        <v>0.69468988235294116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2.8602799999999999</v>
      </c>
      <c r="G38" s="61">
        <f>IF(FT!B38&lt;&gt;"",FT!B38*100,"")</f>
        <v>42.281100000000002</v>
      </c>
      <c r="H38" s="61">
        <f t="shared" si="1"/>
        <v>1</v>
      </c>
      <c r="I38" t="str">
        <f>IF(FT!B38&lt;&gt;"",FT!E38,"")</f>
        <v>1 [14.612734]</v>
      </c>
      <c r="J38">
        <f>IF(FT!B38&lt;&gt;"",FT!C38,"")</f>
        <v>14.6127</v>
      </c>
    </row>
    <row r="39" spans="1:10">
      <c r="A39" s="61">
        <f t="shared" si="2"/>
        <v>37</v>
      </c>
      <c r="B39" s="61">
        <f t="shared" si="0"/>
        <v>0.7139868235294119</v>
      </c>
      <c r="C39" s="61">
        <f>FH!A39*1</f>
        <v>68307</v>
      </c>
      <c r="D39" s="61">
        <f>FH!B39*1</f>
        <v>68307</v>
      </c>
      <c r="E39">
        <f t="shared" si="3"/>
        <v>37</v>
      </c>
      <c r="F39" s="61">
        <f>IF(FT!A39&lt;&gt;"",FT!A39*10,"")</f>
        <v>2.8843700000000001</v>
      </c>
      <c r="G39" s="61">
        <f>IF(FT!B39&lt;&gt;"",FT!B39*100,"")</f>
        <v>42.146799999999999</v>
      </c>
      <c r="H39" s="61">
        <f t="shared" si="1"/>
        <v>1</v>
      </c>
      <c r="I39" t="str">
        <f>IF(FT!B39&lt;&gt;"",FT!E39,"")</f>
        <v>1 [15.022195]</v>
      </c>
      <c r="J39">
        <f>IF(FT!B39&lt;&gt;"",FT!C39,"")</f>
        <v>15.0222</v>
      </c>
    </row>
    <row r="40" spans="1:10">
      <c r="A40" s="61">
        <f t="shared" si="2"/>
        <v>38</v>
      </c>
      <c r="B40" s="61">
        <f t="shared" si="0"/>
        <v>0.73328376470588241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2.91201</v>
      </c>
      <c r="G40" s="61">
        <f>IF(FT!B40&lt;&gt;"",FT!B40*100,"")</f>
        <v>42.026899999999998</v>
      </c>
      <c r="H40" s="61">
        <f t="shared" si="1"/>
        <v>1</v>
      </c>
      <c r="I40" t="str">
        <f>IF(FT!B40&lt;&gt;"",FT!E40,"")</f>
        <v>1 [15.425417]</v>
      </c>
      <c r="J40">
        <f>IF(FT!B40&lt;&gt;"",FT!C40,"")</f>
        <v>15.4254</v>
      </c>
    </row>
    <row r="41" spans="1:10">
      <c r="A41" s="61">
        <f t="shared" si="2"/>
        <v>39</v>
      </c>
      <c r="B41" s="61">
        <f t="shared" si="0"/>
        <v>0.75258070588235304</v>
      </c>
      <c r="C41" s="61">
        <f>FH!A41*1</f>
        <v>74971</v>
      </c>
      <c r="D41" s="61">
        <f>FH!B41*1</f>
        <v>74971</v>
      </c>
      <c r="E41">
        <f t="shared" si="3"/>
        <v>39</v>
      </c>
      <c r="F41" s="61">
        <f>IF(FT!A41&lt;&gt;"",FT!A41*10,"")</f>
        <v>2.9404200000000005</v>
      </c>
      <c r="G41" s="61">
        <f>IF(FT!B41&lt;&gt;"",FT!B41*100,"")</f>
        <v>41.934800000000003</v>
      </c>
      <c r="H41" s="61">
        <f t="shared" si="1"/>
        <v>1</v>
      </c>
      <c r="I41" t="str">
        <f>IF(FT!B41&lt;&gt;"",FT!E41,"")</f>
        <v>1 [15.833266]</v>
      </c>
      <c r="J41">
        <f>IF(FT!B41&lt;&gt;"",FT!C41,"")</f>
        <v>15.833299999999999</v>
      </c>
    </row>
    <row r="42" spans="1:10">
      <c r="A42" s="61">
        <f t="shared" si="2"/>
        <v>40</v>
      </c>
      <c r="B42" s="61">
        <f t="shared" si="0"/>
        <v>0.77187764705882356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2.97072</v>
      </c>
      <c r="G42" s="61">
        <f>IF(FT!B42&lt;&gt;"",FT!B42*100,"")</f>
        <v>41.866100000000003</v>
      </c>
      <c r="H42" s="61">
        <f t="shared" si="1"/>
        <v>1</v>
      </c>
      <c r="I42" t="str">
        <f>IF(FT!B42&lt;&gt;"",FT!E42,"")</f>
        <v>1 [16.238357]</v>
      </c>
      <c r="J42">
        <f>IF(FT!B42&lt;&gt;"",FT!C42,"")</f>
        <v>16.238399999999999</v>
      </c>
    </row>
    <row r="43" spans="1:10">
      <c r="A43" s="61">
        <f t="shared" si="2"/>
        <v>41</v>
      </c>
      <c r="B43" s="61">
        <f t="shared" si="0"/>
        <v>0.79117458823529418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3.0036200000000002</v>
      </c>
      <c r="G43" s="61">
        <f>IF(FT!B43&lt;&gt;"",FT!B43*100,"")</f>
        <v>41.752299999999998</v>
      </c>
      <c r="H43" s="61">
        <f t="shared" si="1"/>
        <v>1</v>
      </c>
      <c r="I43" t="str">
        <f>IF(FT!B43&lt;&gt;"",FT!E43,"")</f>
        <v>1 [16.646146]</v>
      </c>
      <c r="J43">
        <f>IF(FT!B43&lt;&gt;"",FT!C43,"")</f>
        <v>16.646100000000001</v>
      </c>
    </row>
    <row r="44" spans="1:10">
      <c r="A44" s="61">
        <f t="shared" si="2"/>
        <v>42</v>
      </c>
      <c r="B44" s="61">
        <f t="shared" si="0"/>
        <v>0.8104715294117647</v>
      </c>
      <c r="C44" s="61">
        <f>FH!A44*1</f>
        <v>76356</v>
      </c>
      <c r="D44" s="61">
        <f>FH!B44*1</f>
        <v>76356</v>
      </c>
      <c r="E44">
        <f t="shared" si="3"/>
        <v>42</v>
      </c>
      <c r="F44" s="61">
        <f>IF(FT!A44&lt;&gt;"",FT!A44*10,"")</f>
        <v>3.0369000000000002</v>
      </c>
      <c r="G44" s="61">
        <f>IF(FT!B44&lt;&gt;"",FT!B44*100,"")</f>
        <v>41.6188</v>
      </c>
      <c r="H44" s="61">
        <f t="shared" si="1"/>
        <v>1</v>
      </c>
      <c r="I44" t="str">
        <f>IF(FT!B44&lt;&gt;"",FT!E44,"")</f>
        <v>1 [17.053162]</v>
      </c>
      <c r="J44">
        <f>IF(FT!B44&lt;&gt;"",FT!C44,"")</f>
        <v>17.0532</v>
      </c>
    </row>
    <row r="45" spans="1:10">
      <c r="A45" s="61">
        <f t="shared" si="2"/>
        <v>43</v>
      </c>
      <c r="B45" s="61">
        <f t="shared" si="0"/>
        <v>0.82976847058823544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3.0675300000000001</v>
      </c>
      <c r="G45" s="61">
        <f>IF(FT!B45&lt;&gt;"",FT!B45*100,"")</f>
        <v>41.544599999999996</v>
      </c>
      <c r="H45" s="61">
        <f t="shared" si="1"/>
        <v>1</v>
      </c>
      <c r="I45" t="str">
        <f>IF(FT!B45&lt;&gt;"",FT!E45,"")</f>
        <v>1 [17.454866]</v>
      </c>
      <c r="J45">
        <f>IF(FT!B45&lt;&gt;"",FT!C45,"")</f>
        <v>17.454899999999999</v>
      </c>
    </row>
    <row r="46" spans="1:10">
      <c r="A46" s="61">
        <f t="shared" si="2"/>
        <v>44</v>
      </c>
      <c r="B46" s="61">
        <f t="shared" si="0"/>
        <v>0.84906541176470596</v>
      </c>
      <c r="C46" s="61">
        <f>FH!A46*1</f>
        <v>84535</v>
      </c>
      <c r="D46" s="61">
        <f>FH!B46*1</f>
        <v>84535</v>
      </c>
      <c r="E46">
        <f t="shared" si="3"/>
        <v>44</v>
      </c>
      <c r="F46" s="61">
        <f>IF(FT!A46&lt;&gt;"",FT!A46*10,"")</f>
        <v>3.0971100000000003</v>
      </c>
      <c r="G46" s="61">
        <f>IF(FT!B46&lt;&gt;"",FT!B46*100,"")</f>
        <v>41.513800000000003</v>
      </c>
      <c r="H46" s="61">
        <f t="shared" si="1"/>
        <v>1</v>
      </c>
      <c r="I46" t="str">
        <f>IF(FT!B46&lt;&gt;"",FT!E46,"")</f>
        <v>1 [17.862783]</v>
      </c>
      <c r="J46">
        <f>IF(FT!B46&lt;&gt;"",FT!C46,"")</f>
        <v>17.8628</v>
      </c>
    </row>
    <row r="47" spans="1:10">
      <c r="A47" s="61">
        <f t="shared" si="2"/>
        <v>45</v>
      </c>
      <c r="B47" s="61">
        <f t="shared" si="0"/>
        <v>0.86836235294117659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3.1249900000000004</v>
      </c>
      <c r="G47" s="61">
        <f>IF(FT!B47&lt;&gt;"",FT!B47*100,"")</f>
        <v>41.4908</v>
      </c>
      <c r="H47" s="61">
        <f t="shared" si="1"/>
        <v>1</v>
      </c>
      <c r="I47" t="str">
        <f>IF(FT!B47&lt;&gt;"",FT!E47,"")</f>
        <v>1 [18.271448]</v>
      </c>
      <c r="J47">
        <f>IF(FT!B47&lt;&gt;"",FT!C47,"")</f>
        <v>18.2714</v>
      </c>
    </row>
    <row r="48" spans="1:10">
      <c r="A48" s="61">
        <f t="shared" si="2"/>
        <v>46</v>
      </c>
      <c r="B48" s="61">
        <f t="shared" si="0"/>
        <v>0.8876592941176471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3.1519399999999997</v>
      </c>
      <c r="G48" s="61">
        <f>IF(FT!B48&lt;&gt;"",FT!B48*100,"")</f>
        <v>41.455999999999996</v>
      </c>
      <c r="H48" s="61">
        <f t="shared" si="1"/>
        <v>1</v>
      </c>
      <c r="I48" t="str">
        <f>IF(FT!B48&lt;&gt;"",FT!E48,"")</f>
        <v>1 [18.675230]</v>
      </c>
      <c r="J48">
        <f>IF(FT!B48&lt;&gt;"",FT!C48,"")</f>
        <v>18.6752</v>
      </c>
    </row>
    <row r="49" spans="1:10">
      <c r="A49" s="61">
        <f t="shared" si="2"/>
        <v>47</v>
      </c>
      <c r="B49" s="61">
        <f t="shared" si="0"/>
        <v>0.90695623529411773</v>
      </c>
      <c r="C49" s="61">
        <f>FH!A49*1</f>
        <v>89217</v>
      </c>
      <c r="D49" s="61">
        <f>FH!B49*1</f>
        <v>89217</v>
      </c>
      <c r="E49">
        <f t="shared" si="3"/>
        <v>47</v>
      </c>
      <c r="F49" s="61">
        <f>IF(FT!A49&lt;&gt;"",FT!A49*10,"")</f>
        <v>3.17815</v>
      </c>
      <c r="G49" s="61">
        <f>IF(FT!B49&lt;&gt;"",FT!B49*100,"")</f>
        <v>41.464199999999998</v>
      </c>
      <c r="H49" s="61">
        <f t="shared" si="1"/>
        <v>1</v>
      </c>
      <c r="I49" t="str">
        <f>IF(FT!B49&lt;&gt;"",FT!E49,"")</f>
        <v>1 [19.084541]</v>
      </c>
      <c r="J49">
        <f>IF(FT!B49&lt;&gt;"",FT!C49,"")</f>
        <v>19.084499999999998</v>
      </c>
    </row>
    <row r="50" spans="1:10">
      <c r="A50" s="61">
        <f t="shared" si="2"/>
        <v>48</v>
      </c>
      <c r="B50" s="61">
        <f t="shared" si="0"/>
        <v>0.92625317647058825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3.2035200000000001</v>
      </c>
      <c r="G50" s="61">
        <f>IF(FT!B50&lt;&gt;"",FT!B50*100,"")</f>
        <v>41.517299999999999</v>
      </c>
      <c r="H50" s="61">
        <f t="shared" si="1"/>
        <v>1</v>
      </c>
      <c r="I50" t="str">
        <f>IF(FT!B50&lt;&gt;"",FT!E50,"")</f>
        <v>1 [19.487299]</v>
      </c>
      <c r="J50">
        <f>IF(FT!B50&lt;&gt;"",FT!C50,"")</f>
        <v>19.487300000000001</v>
      </c>
    </row>
    <row r="51" spans="1:10">
      <c r="A51" s="61">
        <f t="shared" si="2"/>
        <v>49</v>
      </c>
      <c r="B51" s="61">
        <f t="shared" si="0"/>
        <v>0.94555011764705887</v>
      </c>
      <c r="C51" s="61">
        <f>FH!A51*1</f>
        <v>95646</v>
      </c>
      <c r="D51" s="61">
        <f>FH!B51*1</f>
        <v>95646</v>
      </c>
      <c r="E51">
        <f t="shared" si="3"/>
        <v>49</v>
      </c>
      <c r="F51" s="61">
        <f>IF(FT!A51&lt;&gt;"",FT!A51*10,"")</f>
        <v>3.2277099999999996</v>
      </c>
      <c r="G51" s="61">
        <f>IF(FT!B51&lt;&gt;"",FT!B51*100,"")</f>
        <v>41.536200000000001</v>
      </c>
      <c r="H51" s="61">
        <f t="shared" si="1"/>
        <v>1</v>
      </c>
      <c r="I51" t="str">
        <f>IF(FT!B51&lt;&gt;"",FT!E51,"")</f>
        <v>1 [19.893991]</v>
      </c>
      <c r="J51">
        <f>IF(FT!B51&lt;&gt;"",FT!C51,"")</f>
        <v>19.893999999999998</v>
      </c>
    </row>
    <row r="52" spans="1:10">
      <c r="A52" s="61">
        <f t="shared" si="2"/>
        <v>50</v>
      </c>
      <c r="B52" s="61">
        <f t="shared" si="0"/>
        <v>0.96484705882352939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3.25386</v>
      </c>
      <c r="G52" s="61">
        <f>IF(FT!B52&lt;&gt;"",FT!B52*100,"")</f>
        <v>41.483199999999997</v>
      </c>
      <c r="H52" s="61">
        <f t="shared" si="1"/>
        <v>1</v>
      </c>
      <c r="I52" t="str">
        <f>IF(FT!B52&lt;&gt;"",FT!E52,"")</f>
        <v>1 [20.304697]</v>
      </c>
      <c r="J52">
        <f>IF(FT!B52&lt;&gt;"",FT!C52,"")</f>
        <v>20.3047</v>
      </c>
    </row>
    <row r="53" spans="1:10">
      <c r="A53" s="61">
        <f t="shared" si="2"/>
        <v>51</v>
      </c>
      <c r="B53" s="61">
        <f t="shared" si="0"/>
        <v>0.98414400000000013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3.2812200000000002</v>
      </c>
      <c r="G53" s="61">
        <f>IF(FT!B53&lt;&gt;"",FT!B53*100,"")</f>
        <v>41.343800000000002</v>
      </c>
      <c r="H53" s="61">
        <f t="shared" si="1"/>
        <v>1</v>
      </c>
      <c r="I53" t="str">
        <f>IF(FT!B53&lt;&gt;"",FT!E53,"")</f>
        <v>1 [20.707957]</v>
      </c>
      <c r="J53">
        <f>IF(FT!B53&lt;&gt;"",FT!C53,"")</f>
        <v>20.707999999999998</v>
      </c>
    </row>
    <row r="54" spans="1:10">
      <c r="A54" s="61">
        <f t="shared" si="2"/>
        <v>52</v>
      </c>
      <c r="B54" s="61">
        <f t="shared" si="0"/>
        <v>1.0034409411764706</v>
      </c>
      <c r="C54" s="61">
        <f>FH!A54*1</f>
        <v>114142</v>
      </c>
      <c r="D54" s="61">
        <f>FH!B54*1</f>
        <v>114142</v>
      </c>
      <c r="E54">
        <f t="shared" si="3"/>
        <v>52</v>
      </c>
      <c r="F54" s="61">
        <f>IF(FT!A54&lt;&gt;"",FT!A54*10,"")</f>
        <v>3.3000800000000003</v>
      </c>
      <c r="G54" s="61">
        <f>IF(FT!B54&lt;&gt;"",FT!B54*100,"")</f>
        <v>41.290100000000002</v>
      </c>
      <c r="H54" s="61">
        <f t="shared" si="1"/>
        <v>1</v>
      </c>
      <c r="I54" t="str">
        <f>IF(FT!B54&lt;&gt;"",FT!E54,"")</f>
        <v>1 [21.115161]</v>
      </c>
      <c r="J54">
        <f>IF(FT!B54&lt;&gt;"",FT!C54,"")</f>
        <v>21.115200000000002</v>
      </c>
    </row>
    <row r="55" spans="1:10">
      <c r="A55" s="61">
        <f t="shared" si="2"/>
        <v>53</v>
      </c>
      <c r="B55" s="61">
        <f t="shared" si="0"/>
        <v>1.0227378823529412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3.3203300000000002</v>
      </c>
      <c r="G55" s="61">
        <f>IF(FT!B55&lt;&gt;"",FT!B55*100,"")</f>
        <v>41.117599999999996</v>
      </c>
      <c r="H55" s="61">
        <f t="shared" si="1"/>
        <v>1</v>
      </c>
      <c r="I55" t="str">
        <f>IF(FT!B55&lt;&gt;"",FT!E55,"")</f>
        <v>1 [21.518502]</v>
      </c>
      <c r="J55">
        <f>IF(FT!B55&lt;&gt;"",FT!C55,"")</f>
        <v>21.5185</v>
      </c>
    </row>
    <row r="56" spans="1:10">
      <c r="A56" s="61">
        <f t="shared" si="2"/>
        <v>54</v>
      </c>
      <c r="B56" s="61">
        <f t="shared" si="0"/>
        <v>1.0420348235294119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3.34111</v>
      </c>
      <c r="G56" s="61">
        <f>IF(FT!B56&lt;&gt;"",FT!B56*100,"")</f>
        <v>40.868000000000002</v>
      </c>
      <c r="H56" s="61">
        <f t="shared" si="1"/>
        <v>1</v>
      </c>
      <c r="I56" t="str">
        <f>IF(FT!B56&lt;&gt;"",FT!E56,"")</f>
        <v>1 [21.928072]</v>
      </c>
      <c r="J56">
        <f>IF(FT!B56&lt;&gt;"",FT!C56,"")</f>
        <v>21.928100000000001</v>
      </c>
    </row>
    <row r="57" spans="1:10">
      <c r="A57" s="61">
        <f t="shared" si="2"/>
        <v>55</v>
      </c>
      <c r="B57" s="61">
        <f t="shared" si="0"/>
        <v>1.0613317647058824</v>
      </c>
      <c r="C57" s="61">
        <f>FH!A57*1</f>
        <v>120705</v>
      </c>
      <c r="D57" s="61">
        <f>FH!B57*1</f>
        <v>120705</v>
      </c>
      <c r="E57">
        <f t="shared" si="3"/>
        <v>55</v>
      </c>
      <c r="F57" s="61">
        <f>IF(FT!A57&lt;&gt;"",FT!A57*10,"")</f>
        <v>3.35494</v>
      </c>
      <c r="G57" s="61">
        <f>IF(FT!B57&lt;&gt;"",FT!B57*100,"")</f>
        <v>40.8414</v>
      </c>
      <c r="H57" s="61">
        <f t="shared" si="1"/>
        <v>1</v>
      </c>
      <c r="I57" t="str">
        <f>IF(FT!B57&lt;&gt;"",FT!E57,"")</f>
        <v>1 [22.331900]</v>
      </c>
      <c r="J57">
        <f>IF(FT!B57&lt;&gt;"",FT!C57,"")</f>
        <v>22.331900000000001</v>
      </c>
    </row>
    <row r="58" spans="1:10">
      <c r="A58" s="61">
        <f t="shared" si="2"/>
        <v>56</v>
      </c>
      <c r="B58" s="61">
        <f t="shared" si="0"/>
        <v>1.0806287058823529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3.3736199999999998</v>
      </c>
      <c r="G58" s="61">
        <f>IF(FT!B58&lt;&gt;"",FT!B58*100,"")</f>
        <v>40.699600000000004</v>
      </c>
      <c r="H58" s="61">
        <f t="shared" si="1"/>
        <v>1</v>
      </c>
      <c r="I58" t="str">
        <f>IF(FT!B58&lt;&gt;"",FT!E58,"")</f>
        <v>1 [22.741191]</v>
      </c>
      <c r="J58">
        <f>IF(FT!B58&lt;&gt;"",FT!C58,"")</f>
        <v>22.741199999999999</v>
      </c>
    </row>
    <row r="59" spans="1:10">
      <c r="A59" s="61">
        <f t="shared" si="2"/>
        <v>57</v>
      </c>
      <c r="B59" s="61">
        <f t="shared" si="0"/>
        <v>1.0999256470588237</v>
      </c>
      <c r="C59" s="61">
        <f>FH!A59*1</f>
        <v>132804</v>
      </c>
      <c r="D59" s="61">
        <f>FH!B59*1</f>
        <v>132804</v>
      </c>
      <c r="E59">
        <f t="shared" si="3"/>
        <v>57</v>
      </c>
      <c r="F59" s="61">
        <f>IF(FT!A59&lt;&gt;"",FT!A59*10,"")</f>
        <v>3.3903499999999998</v>
      </c>
      <c r="G59" s="61">
        <f>IF(FT!B59&lt;&gt;"",FT!B59*100,"")</f>
        <v>40.572200000000002</v>
      </c>
      <c r="H59" s="61">
        <f t="shared" si="1"/>
        <v>1</v>
      </c>
      <c r="I59" t="str">
        <f>IF(FT!B59&lt;&gt;"",FT!E59,"")</f>
        <v>1 [23.148459]</v>
      </c>
      <c r="J59">
        <f>IF(FT!B59&lt;&gt;"",FT!C59,"")</f>
        <v>23.148499999999999</v>
      </c>
    </row>
    <row r="60" spans="1:10">
      <c r="A60" s="61">
        <f t="shared" si="2"/>
        <v>58</v>
      </c>
      <c r="B60" s="61">
        <f t="shared" si="0"/>
        <v>1.1192225882352942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3.4066099999999997</v>
      </c>
      <c r="G60" s="61">
        <f>IF(FT!B60&lt;&gt;"",FT!B60*100,"")</f>
        <v>40.400599999999997</v>
      </c>
      <c r="H60" s="61">
        <f t="shared" si="1"/>
        <v>1</v>
      </c>
      <c r="I60" t="str">
        <f>IF(FT!B60&lt;&gt;"",FT!E60,"")</f>
        <v>1 [23.552653]</v>
      </c>
      <c r="J60">
        <f>IF(FT!B60&lt;&gt;"",FT!C60,"")</f>
        <v>23.552700000000002</v>
      </c>
    </row>
    <row r="61" spans="1:10">
      <c r="A61" s="61">
        <f t="shared" si="2"/>
        <v>59</v>
      </c>
      <c r="B61" s="61">
        <f t="shared" si="0"/>
        <v>1.1385195294117647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3.4202300000000001</v>
      </c>
      <c r="G61" s="61">
        <f>IF(FT!B61&lt;&gt;"",FT!B61*100,"")</f>
        <v>40.278599999999997</v>
      </c>
      <c r="H61" s="61">
        <f t="shared" si="1"/>
        <v>1</v>
      </c>
      <c r="I61" t="str">
        <f>IF(FT!B61&lt;&gt;"",FT!E61,"")</f>
        <v>1 [23.954906]</v>
      </c>
      <c r="J61">
        <f>IF(FT!B61&lt;&gt;"",FT!C61,"")</f>
        <v>23.954899999999999</v>
      </c>
    </row>
    <row r="62" spans="1:10">
      <c r="A62" s="61">
        <f t="shared" si="2"/>
        <v>60</v>
      </c>
      <c r="B62" s="61">
        <f t="shared" si="0"/>
        <v>1.1578164705882352</v>
      </c>
      <c r="C62" s="61">
        <f>FH!A62*1</f>
        <v>137820</v>
      </c>
      <c r="D62" s="61">
        <f>FH!B62*1</f>
        <v>137820</v>
      </c>
      <c r="E62">
        <f t="shared" si="3"/>
        <v>60</v>
      </c>
      <c r="F62" s="61">
        <f>IF(FT!A62&lt;&gt;"",FT!A62*10,"")</f>
        <v>3.4401299999999999</v>
      </c>
      <c r="G62" s="61">
        <f>IF(FT!B62&lt;&gt;"",FT!B62*100,"")</f>
        <v>40.051700000000004</v>
      </c>
      <c r="H62" s="61">
        <f t="shared" si="1"/>
        <v>1</v>
      </c>
      <c r="I62" t="str">
        <f>IF(FT!B62&lt;&gt;"",FT!E62,"")</f>
        <v>1 [24.364085]</v>
      </c>
      <c r="J62">
        <f>IF(FT!B62&lt;&gt;"",FT!C62,"")</f>
        <v>24.364100000000001</v>
      </c>
    </row>
    <row r="63" spans="1:10">
      <c r="A63" s="61">
        <f t="shared" si="2"/>
        <v>61</v>
      </c>
      <c r="B63" s="61">
        <f t="shared" si="0"/>
        <v>1.177113411764706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3.4598899999999997</v>
      </c>
      <c r="G63" s="61">
        <f>IF(FT!B63&lt;&gt;"",FT!B63*100,"")</f>
        <v>39.800400000000003</v>
      </c>
      <c r="H63" s="61">
        <f t="shared" si="1"/>
        <v>1</v>
      </c>
      <c r="I63" t="str">
        <f>IF(FT!B63&lt;&gt;"",FT!E63,"")</f>
        <v>1 [24.773329]</v>
      </c>
      <c r="J63">
        <f>IF(FT!B63&lt;&gt;"",FT!C63,"")</f>
        <v>24.773299999999999</v>
      </c>
    </row>
    <row r="64" spans="1:10">
      <c r="A64" s="61">
        <f t="shared" si="2"/>
        <v>62</v>
      </c>
      <c r="B64" s="61">
        <f t="shared" si="0"/>
        <v>1.1964103529411765</v>
      </c>
      <c r="C64" s="61">
        <f>FH!A64*1</f>
        <v>139477</v>
      </c>
      <c r="D64" s="61">
        <f>FH!B64*1</f>
        <v>139477</v>
      </c>
      <c r="E64">
        <f t="shared" si="3"/>
        <v>62</v>
      </c>
      <c r="F64" s="61">
        <f>IF(FT!A64&lt;&gt;"",FT!A64*10,"")</f>
        <v>3.47207</v>
      </c>
      <c r="G64" s="61">
        <f>IF(FT!B64&lt;&gt;"",FT!B64*100,"")</f>
        <v>39.628999999999998</v>
      </c>
      <c r="H64" s="61">
        <f t="shared" si="1"/>
        <v>1</v>
      </c>
      <c r="I64" t="str">
        <f>IF(FT!B64&lt;&gt;"",FT!E64,"")</f>
        <v>1 [25.178079]</v>
      </c>
      <c r="J64">
        <f>IF(FT!B64&lt;&gt;"",FT!C64,"")</f>
        <v>25.178100000000001</v>
      </c>
    </row>
    <row r="65" spans="1:10">
      <c r="A65" s="61">
        <f t="shared" si="2"/>
        <v>63</v>
      </c>
      <c r="B65" s="61">
        <f t="shared" si="0"/>
        <v>1.2157072941176472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3.4818799999999999</v>
      </c>
      <c r="G65" s="61">
        <f>IF(FT!B65&lt;&gt;"",FT!B65*100,"")</f>
        <v>39.520800000000001</v>
      </c>
      <c r="H65" s="61">
        <f t="shared" si="1"/>
        <v>1</v>
      </c>
      <c r="I65" t="str">
        <f>IF(FT!B65&lt;&gt;"",FT!E65,"")</f>
        <v>1 [25.585529]</v>
      </c>
      <c r="J65">
        <f>IF(FT!B65&lt;&gt;"",FT!C65,"")</f>
        <v>25.5855</v>
      </c>
    </row>
    <row r="66" spans="1:10">
      <c r="A66" s="61">
        <f t="shared" si="2"/>
        <v>64</v>
      </c>
      <c r="B66" s="61">
        <f t="shared" si="0"/>
        <v>1.2350042352941177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3.4913799999999999</v>
      </c>
      <c r="G66" s="61">
        <f>IF(FT!B66&lt;&gt;"",FT!B66*100,"")</f>
        <v>39.4529</v>
      </c>
      <c r="H66" s="61">
        <f t="shared" si="1"/>
        <v>1</v>
      </c>
      <c r="I66" t="str">
        <f>IF(FT!B66&lt;&gt;"",FT!E66,"")</f>
        <v>1 [25.989946]</v>
      </c>
      <c r="J66">
        <f>IF(FT!B66&lt;&gt;"",FT!C66,"")</f>
        <v>25.989899999999999</v>
      </c>
    </row>
    <row r="67" spans="1:10">
      <c r="A67" s="61">
        <f t="shared" si="2"/>
        <v>65</v>
      </c>
      <c r="B67" s="61">
        <f t="shared" ref="B67:B130" si="8">A67/255*$L$2</f>
        <v>1.2543011764705883</v>
      </c>
      <c r="C67" s="61">
        <f>FH!A67*1</f>
        <v>162372</v>
      </c>
      <c r="D67" s="61">
        <f>FH!B67*1</f>
        <v>162372</v>
      </c>
      <c r="E67">
        <f t="shared" si="3"/>
        <v>65</v>
      </c>
      <c r="F67" s="61">
        <f>IF(FT!A67&lt;&gt;"",FT!A67*10,"")</f>
        <v>3.4967600000000001</v>
      </c>
      <c r="G67" s="61">
        <f>IF(FT!B67&lt;&gt;"",FT!B67*100,"")</f>
        <v>39.382899999999999</v>
      </c>
      <c r="H67" s="61">
        <f t="shared" ref="H67:H130" si="9">(IF(F67&lt;&gt;"",1,""))</f>
        <v>1</v>
      </c>
      <c r="I67" t="str">
        <f>IF(FT!B67&lt;&gt;"",FT!E67,"")</f>
        <v>1 [26.394522]</v>
      </c>
      <c r="J67">
        <f>IF(FT!B67&lt;&gt;"",FT!C67,"")</f>
        <v>26.394500000000001</v>
      </c>
    </row>
    <row r="68" spans="1:10">
      <c r="A68" s="61">
        <f t="shared" ref="A68:A131" si="10">A67+1</f>
        <v>66</v>
      </c>
      <c r="B68" s="61">
        <f t="shared" si="8"/>
        <v>1.273598117647059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3.4948200000000003</v>
      </c>
      <c r="G68" s="61">
        <f>IF(FT!B68&lt;&gt;"",FT!B68*100,"")</f>
        <v>39.496600000000001</v>
      </c>
      <c r="H68" s="61">
        <f t="shared" si="9"/>
        <v>1</v>
      </c>
      <c r="I68" t="str">
        <f>IF(FT!B68&lt;&gt;"",FT!E68,"")</f>
        <v>1 [26.803202]</v>
      </c>
      <c r="J68">
        <f>IF(FT!B68&lt;&gt;"",FT!C68,"")</f>
        <v>26.8032</v>
      </c>
    </row>
    <row r="69" spans="1:10">
      <c r="A69" s="61">
        <f t="shared" si="10"/>
        <v>67</v>
      </c>
      <c r="B69" s="61">
        <f t="shared" si="8"/>
        <v>1.2928950588235295</v>
      </c>
      <c r="C69" s="61">
        <f>FH!A69*1</f>
        <v>143198</v>
      </c>
      <c r="D69" s="61">
        <f>FH!B69*1</f>
        <v>143198</v>
      </c>
      <c r="E69">
        <f t="shared" si="11"/>
        <v>67</v>
      </c>
      <c r="F69" s="61">
        <f>IF(FT!A69&lt;&gt;"",FT!A69*10,"")</f>
        <v>3.4905000000000004</v>
      </c>
      <c r="G69" s="61">
        <f>IF(FT!B69&lt;&gt;"",FT!B69*100,"")</f>
        <v>39.597500000000004</v>
      </c>
      <c r="H69" s="61">
        <f t="shared" si="9"/>
        <v>1</v>
      </c>
      <c r="I69" t="str">
        <f>IF(FT!B69&lt;&gt;"",FT!E69,"")</f>
        <v>1 [27.210130]</v>
      </c>
      <c r="J69">
        <f>IF(FT!B69&lt;&gt;"",FT!C69,"")</f>
        <v>27.210100000000001</v>
      </c>
    </row>
    <row r="70" spans="1:10">
      <c r="A70" s="61">
        <f t="shared" si="10"/>
        <v>68</v>
      </c>
      <c r="B70" s="61">
        <f t="shared" si="8"/>
        <v>1.312192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3.4881099999999998</v>
      </c>
      <c r="G70" s="61">
        <f>IF(FT!B70&lt;&gt;"",FT!B70*100,"")</f>
        <v>39.600900000000003</v>
      </c>
      <c r="H70" s="61">
        <f t="shared" si="9"/>
        <v>1</v>
      </c>
      <c r="I70" t="str">
        <f>IF(FT!B70&lt;&gt;"",FT!E70,"")</f>
        <v>1 [27.614778]</v>
      </c>
      <c r="J70">
        <f>IF(FT!B70&lt;&gt;"",FT!C70,"")</f>
        <v>27.614799999999999</v>
      </c>
    </row>
    <row r="71" spans="1:10">
      <c r="A71" s="61">
        <f t="shared" si="10"/>
        <v>69</v>
      </c>
      <c r="B71" s="61">
        <f t="shared" si="8"/>
        <v>1.3314889411764705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3.4817799999999997</v>
      </c>
      <c r="G71" s="61">
        <f>IF(FT!B71&lt;&gt;"",FT!B71*100,"")</f>
        <v>39.623000000000005</v>
      </c>
      <c r="H71" s="61">
        <f t="shared" si="9"/>
        <v>1</v>
      </c>
      <c r="I71" t="str">
        <f>IF(FT!B71&lt;&gt;"",FT!E71,"")</f>
        <v>1 [28.019016]</v>
      </c>
      <c r="J71">
        <f>IF(FT!B71&lt;&gt;"",FT!C71,"")</f>
        <v>28.018999999999998</v>
      </c>
    </row>
    <row r="72" spans="1:10">
      <c r="A72" s="61">
        <f t="shared" si="10"/>
        <v>70</v>
      </c>
      <c r="B72" s="61">
        <f t="shared" si="8"/>
        <v>1.3507858823529413</v>
      </c>
      <c r="C72" s="61">
        <f>FH!A72*1</f>
        <v>154444</v>
      </c>
      <c r="D72" s="61">
        <f>FH!B72*1</f>
        <v>154444</v>
      </c>
      <c r="E72">
        <f t="shared" si="11"/>
        <v>70</v>
      </c>
      <c r="F72" s="61">
        <f>IF(FT!A72&lt;&gt;"",FT!A72*10,"")</f>
        <v>3.4754299999999998</v>
      </c>
      <c r="G72" s="61">
        <f>IF(FT!B72&lt;&gt;"",FT!B72*100,"")</f>
        <v>39.6051</v>
      </c>
      <c r="H72" s="61">
        <f t="shared" si="9"/>
        <v>1</v>
      </c>
      <c r="I72" t="str">
        <f>IF(FT!B72&lt;&gt;"",FT!E72,"")</f>
        <v>1 [28.428270]</v>
      </c>
      <c r="J72">
        <f>IF(FT!B72&lt;&gt;"",FT!C72,"")</f>
        <v>28.4283</v>
      </c>
    </row>
    <row r="73" spans="1:10">
      <c r="A73" s="61">
        <f t="shared" si="10"/>
        <v>71</v>
      </c>
      <c r="B73" s="61">
        <f t="shared" si="8"/>
        <v>1.3700828235294118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3.4643899999999999</v>
      </c>
      <c r="G73" s="61">
        <f>IF(FT!B73&lt;&gt;"",FT!B73*100,"")</f>
        <v>39.650600000000004</v>
      </c>
      <c r="H73" s="61">
        <f t="shared" si="9"/>
        <v>1</v>
      </c>
      <c r="I73" t="str">
        <f>IF(FT!B73&lt;&gt;"",FT!E73,"")</f>
        <v>1 [28.838208]</v>
      </c>
      <c r="J73">
        <f>IF(FT!B73&lt;&gt;"",FT!C73,"")</f>
        <v>28.838200000000001</v>
      </c>
    </row>
    <row r="74" spans="1:10">
      <c r="A74" s="61">
        <f t="shared" si="10"/>
        <v>72</v>
      </c>
      <c r="B74" s="61">
        <f t="shared" si="8"/>
        <v>1.3893797647058823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3.4596300000000002</v>
      </c>
      <c r="G74" s="61">
        <f>IF(FT!B74&lt;&gt;"",FT!B74*100,"")</f>
        <v>39.668700000000001</v>
      </c>
      <c r="H74" s="61">
        <f t="shared" si="9"/>
        <v>1</v>
      </c>
      <c r="I74" t="str">
        <f>IF(FT!B74&lt;&gt;"",FT!E74,"")</f>
        <v>1 [29.241110]</v>
      </c>
      <c r="J74">
        <f>IF(FT!B74&lt;&gt;"",FT!C74,"")</f>
        <v>29.241099999999999</v>
      </c>
    </row>
    <row r="75" spans="1:10">
      <c r="A75" s="61">
        <f t="shared" si="10"/>
        <v>73</v>
      </c>
      <c r="B75" s="61">
        <f t="shared" si="8"/>
        <v>1.4086767058823528</v>
      </c>
      <c r="C75" s="61">
        <f>FH!A75*1</f>
        <v>162001</v>
      </c>
      <c r="D75" s="61">
        <f>FH!B75*1</f>
        <v>162001</v>
      </c>
      <c r="E75">
        <f t="shared" si="11"/>
        <v>73</v>
      </c>
      <c r="F75" s="61">
        <f>IF(FT!A75&lt;&gt;"",FT!A75*10,"")</f>
        <v>3.4556900000000002</v>
      </c>
      <c r="G75" s="61">
        <f>IF(FT!B75&lt;&gt;"",FT!B75*100,"")</f>
        <v>39.668799999999997</v>
      </c>
      <c r="H75" s="61">
        <f t="shared" si="9"/>
        <v>1</v>
      </c>
      <c r="I75" t="str">
        <f>IF(FT!B75&lt;&gt;"",FT!E75,"")</f>
        <v>1 [29.645532]</v>
      </c>
      <c r="J75">
        <f>IF(FT!B75&lt;&gt;"",FT!C75,"")</f>
        <v>29.645499999999998</v>
      </c>
    </row>
    <row r="76" spans="1:10">
      <c r="A76" s="61">
        <f t="shared" si="10"/>
        <v>74</v>
      </c>
      <c r="B76" s="61">
        <f t="shared" si="8"/>
        <v>1.4279736470588238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3.4547600000000003</v>
      </c>
      <c r="G76" s="61">
        <f>IF(FT!B76&lt;&gt;"",FT!B76*100,"")</f>
        <v>39.668500000000002</v>
      </c>
      <c r="H76" s="61">
        <f t="shared" si="9"/>
        <v>1</v>
      </c>
      <c r="I76" t="str">
        <f>IF(FT!B76&lt;&gt;"",FT!E76,"")</f>
        <v>2 [30.050461]</v>
      </c>
      <c r="J76">
        <f>IF(FT!B76&lt;&gt;"",FT!C76,"")</f>
        <v>30.0505</v>
      </c>
    </row>
    <row r="77" spans="1:10">
      <c r="A77" s="61">
        <f t="shared" si="10"/>
        <v>75</v>
      </c>
      <c r="B77" s="61">
        <f t="shared" si="8"/>
        <v>1.4472705882352943</v>
      </c>
      <c r="C77" s="61">
        <f>FH!A77*1</f>
        <v>156055</v>
      </c>
      <c r="D77" s="61">
        <f>FH!B77*1</f>
        <v>156055</v>
      </c>
      <c r="E77">
        <f t="shared" si="11"/>
        <v>75</v>
      </c>
      <c r="F77" s="61">
        <f>IF(FT!A77&lt;&gt;"",FT!A77*10,"")</f>
        <v>3.4469100000000004</v>
      </c>
      <c r="G77" s="61">
        <f>IF(FT!B77&lt;&gt;"",FT!B77*100,"")</f>
        <v>39.8399</v>
      </c>
      <c r="H77" s="61">
        <f t="shared" si="9"/>
        <v>1</v>
      </c>
      <c r="I77" t="str">
        <f>IF(FT!B77&lt;&gt;"",FT!E77,"")</f>
        <v>2 [30.509143]</v>
      </c>
      <c r="J77">
        <f>IF(FT!B77&lt;&gt;"",FT!C77,"")</f>
        <v>30.5091</v>
      </c>
    </row>
    <row r="78" spans="1:10">
      <c r="A78" s="61">
        <f t="shared" si="10"/>
        <v>76</v>
      </c>
      <c r="B78" s="61">
        <f t="shared" si="8"/>
        <v>1.4665675294117648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3.44082</v>
      </c>
      <c r="G78" s="61">
        <f>IF(FT!B78&lt;&gt;"",FT!B78*100,"")</f>
        <v>40.017699999999998</v>
      </c>
      <c r="H78" s="61">
        <f t="shared" si="9"/>
        <v>1</v>
      </c>
      <c r="I78" t="str">
        <f>IF(FT!B78&lt;&gt;"",FT!E78,"")</f>
        <v>2 [30.908574]</v>
      </c>
      <c r="J78">
        <f>IF(FT!B78&lt;&gt;"",FT!C78,"")</f>
        <v>30.9086</v>
      </c>
    </row>
    <row r="79" spans="1:10">
      <c r="A79" s="61">
        <f t="shared" si="10"/>
        <v>77</v>
      </c>
      <c r="B79" s="61">
        <f t="shared" si="8"/>
        <v>1.4858644705882353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3.4358599999999999</v>
      </c>
      <c r="G79" s="61">
        <f>IF(FT!B79&lt;&gt;"",FT!B79*100,"")</f>
        <v>40.235999999999997</v>
      </c>
      <c r="H79" s="61">
        <f t="shared" si="9"/>
        <v>1</v>
      </c>
      <c r="I79" t="str">
        <f>IF(FT!B79&lt;&gt;"",FT!E79,"")</f>
        <v>2 [31.317088]</v>
      </c>
      <c r="J79">
        <f>IF(FT!B79&lt;&gt;"",FT!C79,"")</f>
        <v>31.3171</v>
      </c>
    </row>
    <row r="80" spans="1:10">
      <c r="A80" s="61">
        <f t="shared" si="10"/>
        <v>78</v>
      </c>
      <c r="B80" s="61">
        <f t="shared" si="8"/>
        <v>1.5051614117647061</v>
      </c>
      <c r="C80" s="61">
        <f>FH!A80*1</f>
        <v>155485</v>
      </c>
      <c r="D80" s="61">
        <f>FH!B80*1</f>
        <v>155485</v>
      </c>
      <c r="E80">
        <f t="shared" si="11"/>
        <v>78</v>
      </c>
      <c r="F80" s="61">
        <f>IF(FT!A80&lt;&gt;"",FT!A80*10,"")</f>
        <v>3.4303900000000001</v>
      </c>
      <c r="G80" s="61">
        <f>IF(FT!B80&lt;&gt;"",FT!B80*100,"")</f>
        <v>40.480899999999998</v>
      </c>
      <c r="H80" s="61">
        <f t="shared" si="9"/>
        <v>1</v>
      </c>
      <c r="I80" t="str">
        <f>IF(FT!B80&lt;&gt;"",FT!E80,"")</f>
        <v>2 [31.722541]</v>
      </c>
      <c r="J80">
        <f>IF(FT!B80&lt;&gt;"",FT!C80,"")</f>
        <v>31.7225</v>
      </c>
    </row>
    <row r="81" spans="1:10">
      <c r="A81" s="61">
        <f t="shared" si="10"/>
        <v>79</v>
      </c>
      <c r="B81" s="61">
        <f t="shared" si="8"/>
        <v>1.5244583529411766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3.42889</v>
      </c>
      <c r="G81" s="61">
        <f>IF(FT!B81&lt;&gt;"",FT!B81*100,"")</f>
        <v>40.676699999999997</v>
      </c>
      <c r="H81" s="61">
        <f t="shared" si="9"/>
        <v>1</v>
      </c>
      <c r="I81" t="str">
        <f>IF(FT!B81&lt;&gt;"",FT!E81,"")</f>
        <v>2 [32.131306]</v>
      </c>
      <c r="J81">
        <f>IF(FT!B81&lt;&gt;"",FT!C81,"")</f>
        <v>32.131300000000003</v>
      </c>
    </row>
    <row r="82" spans="1:10">
      <c r="A82" s="61">
        <f t="shared" si="10"/>
        <v>80</v>
      </c>
      <c r="B82" s="61">
        <f t="shared" si="8"/>
        <v>1.5437552941176471</v>
      </c>
      <c r="C82" s="61">
        <f>FH!A82*1</f>
        <v>149797</v>
      </c>
      <c r="D82" s="61">
        <f>FH!B82*1</f>
        <v>149797</v>
      </c>
      <c r="E82">
        <f t="shared" si="11"/>
        <v>80</v>
      </c>
      <c r="F82" s="61">
        <f>IF(FT!A82&lt;&gt;"",FT!A82*10,"")</f>
        <v>3.4271800000000003</v>
      </c>
      <c r="G82" s="61">
        <f>IF(FT!B82&lt;&gt;"",FT!B82*100,"")</f>
        <v>40.875299999999996</v>
      </c>
      <c r="H82" s="61">
        <f t="shared" si="9"/>
        <v>1</v>
      </c>
      <c r="I82" t="str">
        <f>IF(FT!B82&lt;&gt;"",FT!E82,"")</f>
        <v>2 [32.534881]</v>
      </c>
      <c r="J82">
        <f>IF(FT!B82&lt;&gt;"",FT!C82,"")</f>
        <v>32.5349</v>
      </c>
    </row>
    <row r="83" spans="1:10">
      <c r="A83" s="61">
        <f t="shared" si="10"/>
        <v>81</v>
      </c>
      <c r="B83" s="61">
        <f t="shared" si="8"/>
        <v>1.5630522352941176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3.4209099999999997</v>
      </c>
      <c r="G83" s="61">
        <f>IF(FT!B83&lt;&gt;"",FT!B83*100,"")</f>
        <v>41.074599999999997</v>
      </c>
      <c r="H83" s="61">
        <f t="shared" si="9"/>
        <v>1</v>
      </c>
      <c r="I83" t="str">
        <f>IF(FT!B83&lt;&gt;"",FT!E83,"")</f>
        <v>2 [32.941970]</v>
      </c>
      <c r="J83">
        <f>IF(FT!B83&lt;&gt;"",FT!C83,"")</f>
        <v>32.942</v>
      </c>
    </row>
    <row r="84" spans="1:10">
      <c r="A84" s="61">
        <f t="shared" si="10"/>
        <v>82</v>
      </c>
      <c r="B84" s="61">
        <f t="shared" si="8"/>
        <v>1.5823491764705884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3.4099300000000001</v>
      </c>
      <c r="G84" s="61">
        <f>IF(FT!B84&lt;&gt;"",FT!B84*100,"")</f>
        <v>41.267900000000004</v>
      </c>
      <c r="H84" s="61">
        <f t="shared" si="9"/>
        <v>1</v>
      </c>
      <c r="I84" t="str">
        <f>IF(FT!B84&lt;&gt;"",FT!E84,"")</f>
        <v>2 [33.347339]</v>
      </c>
      <c r="J84">
        <f>IF(FT!B84&lt;&gt;"",FT!C84,"")</f>
        <v>33.347299999999997</v>
      </c>
    </row>
    <row r="85" spans="1:10">
      <c r="A85" s="61">
        <f t="shared" si="10"/>
        <v>83</v>
      </c>
      <c r="B85" s="61">
        <f t="shared" si="8"/>
        <v>1.6016461176470589</v>
      </c>
      <c r="C85" s="61">
        <f>FH!A85*1</f>
        <v>149963</v>
      </c>
      <c r="D85" s="61">
        <f>FH!B85*1</f>
        <v>149963</v>
      </c>
      <c r="E85">
        <f t="shared" si="11"/>
        <v>83</v>
      </c>
      <c r="F85" s="61">
        <f>IF(FT!A85&lt;&gt;"",FT!A85*10,"")</f>
        <v>3.3981699999999999</v>
      </c>
      <c r="G85" s="61">
        <f>IF(FT!B85&lt;&gt;"",FT!B85*100,"")</f>
        <v>41.470199999999998</v>
      </c>
      <c r="H85" s="61">
        <f t="shared" si="9"/>
        <v>1</v>
      </c>
      <c r="I85" t="str">
        <f>IF(FT!B85&lt;&gt;"",FT!E85,"")</f>
        <v>2 [33.754692]</v>
      </c>
      <c r="J85">
        <f>IF(FT!B85&lt;&gt;"",FT!C85,"")</f>
        <v>33.7547</v>
      </c>
    </row>
    <row r="86" spans="1:10">
      <c r="A86" s="61">
        <f t="shared" si="10"/>
        <v>84</v>
      </c>
      <c r="B86" s="61">
        <f t="shared" si="8"/>
        <v>1.6209430588235294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3.3853499999999999</v>
      </c>
      <c r="G86" s="61">
        <f>IF(FT!B86&lt;&gt;"",FT!B86*100,"")</f>
        <v>41.735199999999999</v>
      </c>
      <c r="H86" s="61">
        <f t="shared" si="9"/>
        <v>1</v>
      </c>
      <c r="I86" t="str">
        <f>IF(FT!B86&lt;&gt;"",FT!E86,"")</f>
        <v>2 [34.160205]</v>
      </c>
      <c r="J86">
        <f>IF(FT!B86&lt;&gt;"",FT!C86,"")</f>
        <v>34.160200000000003</v>
      </c>
    </row>
    <row r="87" spans="1:10">
      <c r="A87" s="61">
        <f t="shared" si="10"/>
        <v>85</v>
      </c>
      <c r="B87" s="61">
        <f t="shared" si="8"/>
        <v>1.6402399999999999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3.37358</v>
      </c>
      <c r="G87" s="61">
        <f>IF(FT!B87&lt;&gt;"",FT!B87*100,"")</f>
        <v>42.020499999999998</v>
      </c>
      <c r="H87" s="61">
        <f t="shared" si="9"/>
        <v>1</v>
      </c>
      <c r="I87" t="str">
        <f>IF(FT!B87&lt;&gt;"",FT!E87,"")</f>
        <v>2 [34.568478]</v>
      </c>
      <c r="J87">
        <f>IF(FT!B87&lt;&gt;"",FT!C87,"")</f>
        <v>34.5685</v>
      </c>
    </row>
    <row r="88" spans="1:10">
      <c r="A88" s="61">
        <f t="shared" si="10"/>
        <v>86</v>
      </c>
      <c r="B88" s="61">
        <f t="shared" si="8"/>
        <v>1.6595369411764709</v>
      </c>
      <c r="C88" s="61">
        <f>FH!A88*1</f>
        <v>143766</v>
      </c>
      <c r="D88" s="61">
        <f>FH!B88*1</f>
        <v>143766</v>
      </c>
      <c r="E88">
        <f t="shared" si="11"/>
        <v>86</v>
      </c>
      <c r="F88" s="61">
        <f>IF(FT!A88&lt;&gt;"",FT!A88*10,"")</f>
        <v>3.3597999999999999</v>
      </c>
      <c r="G88" s="61">
        <f>IF(FT!B88&lt;&gt;"",FT!B88*100,"")</f>
        <v>42.356100000000005</v>
      </c>
      <c r="H88" s="61">
        <f t="shared" si="9"/>
        <v>1</v>
      </c>
      <c r="I88" t="str">
        <f>IF(FT!B88&lt;&gt;"",FT!E88,"")</f>
        <v>2 [34.973439]</v>
      </c>
      <c r="J88">
        <f>IF(FT!B88&lt;&gt;"",FT!C88,"")</f>
        <v>34.973399999999998</v>
      </c>
    </row>
    <row r="89" spans="1:10">
      <c r="A89" s="61">
        <f t="shared" si="10"/>
        <v>87</v>
      </c>
      <c r="B89" s="61">
        <f t="shared" si="8"/>
        <v>1.6788338823529414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3.3427000000000002</v>
      </c>
      <c r="G89" s="61">
        <f>IF(FT!B89&lt;&gt;"",FT!B89*100,"")</f>
        <v>42.688600000000001</v>
      </c>
      <c r="H89" s="61">
        <f t="shared" si="9"/>
        <v>1</v>
      </c>
      <c r="I89" t="str">
        <f>IF(FT!B89&lt;&gt;"",FT!E89,"")</f>
        <v>2 [35.376543]</v>
      </c>
      <c r="J89">
        <f>IF(FT!B89&lt;&gt;"",FT!C89,"")</f>
        <v>35.3765</v>
      </c>
    </row>
    <row r="90" spans="1:10">
      <c r="A90" s="61">
        <f t="shared" si="10"/>
        <v>88</v>
      </c>
      <c r="B90" s="61">
        <f t="shared" si="8"/>
        <v>1.6981308235294119</v>
      </c>
      <c r="C90" s="61">
        <f>FH!A90*1</f>
        <v>137278</v>
      </c>
      <c r="D90" s="61">
        <f>FH!B90*1</f>
        <v>137278</v>
      </c>
      <c r="E90">
        <f t="shared" si="11"/>
        <v>88</v>
      </c>
      <c r="F90" s="61">
        <f>IF(FT!A90&lt;&gt;"",FT!A90*10,"")</f>
        <v>3.327</v>
      </c>
      <c r="G90" s="61">
        <f>IF(FT!B90&lt;&gt;"",FT!B90*100,"")</f>
        <v>42.904599999999995</v>
      </c>
      <c r="H90" s="61">
        <f t="shared" si="9"/>
        <v>1</v>
      </c>
      <c r="I90" t="str">
        <f>IF(FT!B90&lt;&gt;"",FT!E90,"")</f>
        <v>2 [35.785651]</v>
      </c>
      <c r="J90">
        <f>IF(FT!B90&lt;&gt;"",FT!C90,"")</f>
        <v>35.785699999999999</v>
      </c>
    </row>
    <row r="91" spans="1:10">
      <c r="A91" s="61">
        <f t="shared" si="10"/>
        <v>89</v>
      </c>
      <c r="B91" s="61">
        <f t="shared" si="8"/>
        <v>1.7174277647058824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3.31115</v>
      </c>
      <c r="G91" s="61">
        <f>IF(FT!B91&lt;&gt;"",FT!B91*100,"")</f>
        <v>43.064</v>
      </c>
      <c r="H91" s="61">
        <f t="shared" si="9"/>
        <v>1</v>
      </c>
      <c r="I91" t="str">
        <f>IF(FT!B91&lt;&gt;"",FT!E91,"")</f>
        <v>2 [36.192861]</v>
      </c>
      <c r="J91">
        <f>IF(FT!B91&lt;&gt;"",FT!C91,"")</f>
        <v>36.192900000000002</v>
      </c>
    </row>
    <row r="92" spans="1:10">
      <c r="A92" s="61">
        <f t="shared" si="10"/>
        <v>90</v>
      </c>
      <c r="B92" s="61">
        <f t="shared" si="8"/>
        <v>1.7367247058823532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3.2957900000000002</v>
      </c>
      <c r="G92" s="61">
        <f>IF(FT!B92&lt;&gt;"",FT!B92*100,"")</f>
        <v>43.112499999999997</v>
      </c>
      <c r="H92" s="61">
        <f t="shared" si="9"/>
        <v>1</v>
      </c>
      <c r="I92" t="str">
        <f>IF(FT!B92&lt;&gt;"",FT!E92,"")</f>
        <v>2 [36.600230]</v>
      </c>
      <c r="J92">
        <f>IF(FT!B92&lt;&gt;"",FT!C92,"")</f>
        <v>36.600200000000001</v>
      </c>
    </row>
    <row r="93" spans="1:10">
      <c r="A93" s="61">
        <f t="shared" si="10"/>
        <v>91</v>
      </c>
      <c r="B93" s="61">
        <f t="shared" si="8"/>
        <v>1.7560216470588237</v>
      </c>
      <c r="C93" s="61">
        <f>FH!A93*1</f>
        <v>141332</v>
      </c>
      <c r="D93" s="61">
        <f>FH!B93*1</f>
        <v>141332</v>
      </c>
      <c r="E93">
        <f t="shared" si="11"/>
        <v>91</v>
      </c>
      <c r="F93" s="61">
        <f>IF(FT!A93&lt;&gt;"",FT!A93*10,"")</f>
        <v>3.2831999999999999</v>
      </c>
      <c r="G93" s="61">
        <f>IF(FT!B93&lt;&gt;"",FT!B93*100,"")</f>
        <v>43.1083</v>
      </c>
      <c r="H93" s="61">
        <f t="shared" si="9"/>
        <v>1</v>
      </c>
      <c r="I93" t="str">
        <f>IF(FT!B93&lt;&gt;"",FT!E93,"")</f>
        <v>2 [37.003196]</v>
      </c>
      <c r="J93">
        <f>IF(FT!B93&lt;&gt;"",FT!C93,"")</f>
        <v>37.0032</v>
      </c>
    </row>
    <row r="94" spans="1:10">
      <c r="A94" s="61">
        <f t="shared" si="10"/>
        <v>92</v>
      </c>
      <c r="B94" s="61">
        <f t="shared" si="8"/>
        <v>1.7753185882352942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3.2739800000000003</v>
      </c>
      <c r="G94" s="61">
        <f>IF(FT!B94&lt;&gt;"",FT!B94*100,"")</f>
        <v>43.067399999999999</v>
      </c>
      <c r="H94" s="61">
        <f t="shared" si="9"/>
        <v>1</v>
      </c>
      <c r="I94" t="str">
        <f>IF(FT!B94&lt;&gt;"",FT!E94,"")</f>
        <v>2 [37.410711]</v>
      </c>
      <c r="J94">
        <f>IF(FT!B94&lt;&gt;"",FT!C94,"")</f>
        <v>37.410699999999999</v>
      </c>
    </row>
    <row r="95" spans="1:10">
      <c r="A95" s="61">
        <f t="shared" si="10"/>
        <v>93</v>
      </c>
      <c r="B95" s="61">
        <f t="shared" si="8"/>
        <v>1.7946155294117647</v>
      </c>
      <c r="C95" s="61">
        <f>FH!A95*1</f>
        <v>132271</v>
      </c>
      <c r="D95" s="61">
        <f>FH!B95*1</f>
        <v>132271</v>
      </c>
      <c r="E95">
        <f t="shared" si="11"/>
        <v>93</v>
      </c>
      <c r="F95" s="61">
        <f>IF(FT!A95&lt;&gt;"",FT!A95*10,"")</f>
        <v>3.2692199999999998</v>
      </c>
      <c r="G95" s="61">
        <f>IF(FT!B95&lt;&gt;"",FT!B95*100,"")</f>
        <v>42.9694</v>
      </c>
      <c r="H95" s="61">
        <f t="shared" si="9"/>
        <v>1</v>
      </c>
      <c r="I95" t="str">
        <f>IF(FT!B95&lt;&gt;"",FT!E95,"")</f>
        <v>2 [37.816770]</v>
      </c>
      <c r="J95">
        <f>IF(FT!B95&lt;&gt;"",FT!C95,"")</f>
        <v>37.816800000000001</v>
      </c>
    </row>
    <row r="96" spans="1:10">
      <c r="A96" s="61">
        <f t="shared" si="10"/>
        <v>94</v>
      </c>
      <c r="B96" s="61">
        <f t="shared" si="8"/>
        <v>1.8139124705882355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3.2687300000000001</v>
      </c>
      <c r="G96" s="61">
        <f>IF(FT!B96&lt;&gt;"",FT!B96*100,"")</f>
        <v>42.847499999999997</v>
      </c>
      <c r="H96" s="61">
        <f t="shared" si="9"/>
        <v>1</v>
      </c>
      <c r="I96" t="str">
        <f>IF(FT!B96&lt;&gt;"",FT!E96,"")</f>
        <v>2 [38.225699]</v>
      </c>
      <c r="J96">
        <f>IF(FT!B96&lt;&gt;"",FT!C96,"")</f>
        <v>38.225700000000003</v>
      </c>
    </row>
    <row r="97" spans="1:10">
      <c r="A97" s="61">
        <f t="shared" si="10"/>
        <v>95</v>
      </c>
      <c r="B97" s="61">
        <f t="shared" si="8"/>
        <v>1.833209411764706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3.2695999999999996</v>
      </c>
      <c r="G97" s="61">
        <f>IF(FT!B97&lt;&gt;"",FT!B97*100,"")</f>
        <v>42.731499999999997</v>
      </c>
      <c r="H97" s="61">
        <f t="shared" si="9"/>
        <v>1</v>
      </c>
      <c r="I97" t="str">
        <f>IF(FT!B97&lt;&gt;"",FT!E97,"")</f>
        <v>2 [38.630080]</v>
      </c>
      <c r="J97">
        <f>IF(FT!B97&lt;&gt;"",FT!C97,"")</f>
        <v>38.630099999999999</v>
      </c>
    </row>
    <row r="98" spans="1:10">
      <c r="A98" s="61">
        <f t="shared" si="10"/>
        <v>96</v>
      </c>
      <c r="B98" s="61">
        <f t="shared" si="8"/>
        <v>1.8525063529411765</v>
      </c>
      <c r="C98" s="61">
        <f>FH!A98*1</f>
        <v>126232</v>
      </c>
      <c r="D98" s="61">
        <f>FH!B98*1</f>
        <v>126232</v>
      </c>
      <c r="E98">
        <f t="shared" si="11"/>
        <v>96</v>
      </c>
      <c r="F98" s="61">
        <f>IF(FT!A98&lt;&gt;"",FT!A98*10,"")</f>
        <v>3.2741599999999997</v>
      </c>
      <c r="G98" s="61">
        <f>IF(FT!B98&lt;&gt;"",FT!B98*100,"")</f>
        <v>42.572299999999998</v>
      </c>
      <c r="H98" s="61">
        <f t="shared" si="9"/>
        <v>1</v>
      </c>
      <c r="I98" t="str">
        <f>IF(FT!B98&lt;&gt;"",FT!E98,"")</f>
        <v>2 [39.039566]</v>
      </c>
      <c r="J98">
        <f>IF(FT!B98&lt;&gt;"",FT!C98,"")</f>
        <v>39.0396</v>
      </c>
    </row>
    <row r="99" spans="1:10">
      <c r="A99" s="61">
        <f t="shared" si="10"/>
        <v>97</v>
      </c>
      <c r="B99" s="61">
        <f t="shared" si="8"/>
        <v>1.871803294117647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3.2782899999999997</v>
      </c>
      <c r="G99" s="61">
        <f>IF(FT!B99&lt;&gt;"",FT!B99*100,"")</f>
        <v>42.398299999999999</v>
      </c>
      <c r="H99" s="61">
        <f t="shared" si="9"/>
        <v>1</v>
      </c>
      <c r="I99" t="str">
        <f>IF(FT!B99&lt;&gt;"",FT!E99,"")</f>
        <v>2 [39.442059]</v>
      </c>
      <c r="J99">
        <f>IF(FT!B99&lt;&gt;"",FT!C99,"")</f>
        <v>39.442100000000003</v>
      </c>
    </row>
    <row r="100" spans="1:10">
      <c r="A100" s="61">
        <f t="shared" si="10"/>
        <v>98</v>
      </c>
      <c r="B100" s="61">
        <f t="shared" si="8"/>
        <v>1.8911002352941177</v>
      </c>
      <c r="C100" s="61">
        <f>FH!A100*1</f>
        <v>119521</v>
      </c>
      <c r="D100" s="61">
        <f>FH!B100*1</f>
        <v>119521</v>
      </c>
      <c r="E100">
        <f t="shared" si="11"/>
        <v>98</v>
      </c>
      <c r="F100" s="61">
        <f>IF(FT!A100&lt;&gt;"",FT!A100*10,"")</f>
        <v>3.28193</v>
      </c>
      <c r="G100" s="61">
        <f>IF(FT!B100&lt;&gt;"",FT!B100*100,"")</f>
        <v>42.238700000000001</v>
      </c>
      <c r="H100" s="61">
        <f t="shared" si="9"/>
        <v>1</v>
      </c>
      <c r="I100" t="str">
        <f>IF(FT!B100&lt;&gt;"",FT!E100,"")</f>
        <v>2 [39.847565]</v>
      </c>
      <c r="J100">
        <f>IF(FT!B100&lt;&gt;"",FT!C100,"")</f>
        <v>39.8476</v>
      </c>
    </row>
    <row r="101" spans="1:10">
      <c r="A101" s="61">
        <f t="shared" si="10"/>
        <v>99</v>
      </c>
      <c r="B101" s="61">
        <f t="shared" si="8"/>
        <v>1.9103971764705883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3.2834500000000002</v>
      </c>
      <c r="G101" s="61">
        <f>IF(FT!B101&lt;&gt;"",FT!B101*100,"")</f>
        <v>42.094300000000004</v>
      </c>
      <c r="H101" s="61">
        <f t="shared" si="9"/>
        <v>1</v>
      </c>
      <c r="I101" t="str">
        <f>IF(FT!B101&lt;&gt;"",FT!E101,"")</f>
        <v>2 [40.254100]</v>
      </c>
      <c r="J101">
        <f>IF(FT!B101&lt;&gt;"",FT!C101,"")</f>
        <v>40.254100000000001</v>
      </c>
    </row>
    <row r="102" spans="1:10">
      <c r="A102" s="61">
        <f t="shared" si="10"/>
        <v>100</v>
      </c>
      <c r="B102" s="61">
        <f t="shared" si="8"/>
        <v>1.9296941176470588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3.2815899999999996</v>
      </c>
      <c r="G102" s="61">
        <f>IF(FT!B102&lt;&gt;"",FT!B102*100,"")</f>
        <v>42.006399999999999</v>
      </c>
      <c r="H102" s="61">
        <f t="shared" si="9"/>
        <v>1</v>
      </c>
      <c r="I102" t="str">
        <f>IF(FT!B102&lt;&gt;"",FT!E102,"")</f>
        <v>2 [40.662728]</v>
      </c>
      <c r="J102">
        <f>IF(FT!B102&lt;&gt;"",FT!C102,"")</f>
        <v>40.662700000000001</v>
      </c>
    </row>
    <row r="103" spans="1:10">
      <c r="A103" s="61">
        <f t="shared" si="10"/>
        <v>101</v>
      </c>
      <c r="B103" s="61">
        <f t="shared" si="8"/>
        <v>1.9489910588235293</v>
      </c>
      <c r="C103" s="61">
        <f>FH!A103*1</f>
        <v>114768</v>
      </c>
      <c r="D103" s="61">
        <f>FH!B103*1</f>
        <v>114768</v>
      </c>
      <c r="E103">
        <f t="shared" si="11"/>
        <v>101</v>
      </c>
      <c r="F103" s="61">
        <f>IF(FT!A103&lt;&gt;"",FT!A103*10,"")</f>
        <v>3.2781199999999999</v>
      </c>
      <c r="G103" s="61">
        <f>IF(FT!B103&lt;&gt;"",FT!B103*100,"")</f>
        <v>41.927500000000002</v>
      </c>
      <c r="H103" s="61">
        <f t="shared" si="9"/>
        <v>1</v>
      </c>
      <c r="I103" t="str">
        <f>IF(FT!B103&lt;&gt;"",FT!E103,"")</f>
        <v>2 [41.070108]</v>
      </c>
      <c r="J103">
        <f>IF(FT!B103&lt;&gt;"",FT!C103,"")</f>
        <v>41.070099999999996</v>
      </c>
    </row>
    <row r="104" spans="1:10">
      <c r="A104" s="61">
        <f t="shared" si="10"/>
        <v>102</v>
      </c>
      <c r="B104" s="61">
        <f t="shared" si="8"/>
        <v>1.9682880000000003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3.27684</v>
      </c>
      <c r="G104" s="61">
        <f>IF(FT!B104&lt;&gt;"",FT!B104*100,"")</f>
        <v>41.825000000000003</v>
      </c>
      <c r="H104" s="61">
        <f t="shared" si="9"/>
        <v>1</v>
      </c>
      <c r="I104" t="str">
        <f>IF(FT!B104&lt;&gt;"",FT!E104,"")</f>
        <v>2 [41.472427]</v>
      </c>
      <c r="J104">
        <f>IF(FT!B104&lt;&gt;"",FT!C104,"")</f>
        <v>41.4724</v>
      </c>
    </row>
    <row r="105" spans="1:10">
      <c r="A105" s="61">
        <f t="shared" si="10"/>
        <v>103</v>
      </c>
      <c r="B105" s="61">
        <f t="shared" si="8"/>
        <v>1.9875849411764708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3.2775500000000002</v>
      </c>
      <c r="G105" s="61">
        <f>IF(FT!B105&lt;&gt;"",FT!B105*100,"")</f>
        <v>41.743499999999997</v>
      </c>
      <c r="H105" s="61">
        <f t="shared" si="9"/>
        <v>1</v>
      </c>
      <c r="I105" t="str">
        <f>IF(FT!B105&lt;&gt;"",FT!E105,"")</f>
        <v>2 [41.880167]</v>
      </c>
      <c r="J105">
        <f>IF(FT!B105&lt;&gt;"",FT!C105,"")</f>
        <v>41.880200000000002</v>
      </c>
    </row>
    <row r="106" spans="1:10">
      <c r="A106" s="61">
        <f t="shared" si="10"/>
        <v>104</v>
      </c>
      <c r="B106" s="61">
        <f t="shared" si="8"/>
        <v>2.0068818823529413</v>
      </c>
      <c r="C106" s="61">
        <f>FH!A106*1</f>
        <v>106818</v>
      </c>
      <c r="D106" s="61">
        <f>FH!B106*1</f>
        <v>106818</v>
      </c>
      <c r="E106">
        <f t="shared" si="11"/>
        <v>104</v>
      </c>
      <c r="F106" s="61">
        <f>IF(FT!A106&lt;&gt;"",FT!A106*10,"")</f>
        <v>3.2780800000000001</v>
      </c>
      <c r="G106" s="61">
        <f>IF(FT!B106&lt;&gt;"",FT!B106*100,"")</f>
        <v>41.683100000000003</v>
      </c>
      <c r="H106" s="61">
        <f t="shared" si="9"/>
        <v>1</v>
      </c>
      <c r="I106" t="str">
        <f>IF(FT!B106&lt;&gt;"",FT!E106,"")</f>
        <v>2 [42.290907]</v>
      </c>
      <c r="J106">
        <f>IF(FT!B106&lt;&gt;"",FT!C106,"")</f>
        <v>42.290900000000001</v>
      </c>
    </row>
    <row r="107" spans="1:10">
      <c r="A107" s="61">
        <f t="shared" si="10"/>
        <v>105</v>
      </c>
      <c r="B107" s="61">
        <f t="shared" si="8"/>
        <v>2.0261788235294116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3.2786200000000001</v>
      </c>
      <c r="G107" s="61">
        <f>IF(FT!B107&lt;&gt;"",FT!B107*100,"")</f>
        <v>41.595399999999998</v>
      </c>
      <c r="H107" s="61">
        <f t="shared" si="9"/>
        <v>1</v>
      </c>
      <c r="I107" t="str">
        <f>IF(FT!B107&lt;&gt;"",FT!E107,"")</f>
        <v>2 [42.693017]</v>
      </c>
      <c r="J107">
        <f>IF(FT!B107&lt;&gt;"",FT!C107,"")</f>
        <v>42.692999999999998</v>
      </c>
    </row>
    <row r="108" spans="1:10">
      <c r="A108" s="61">
        <f t="shared" si="10"/>
        <v>106</v>
      </c>
      <c r="B108" s="61">
        <f t="shared" si="8"/>
        <v>2.0454757647058823</v>
      </c>
      <c r="C108" s="61">
        <f>FH!A108*1</f>
        <v>98613</v>
      </c>
      <c r="D108" s="61">
        <f>FH!B108*1</f>
        <v>98613</v>
      </c>
      <c r="E108">
        <f t="shared" si="11"/>
        <v>106</v>
      </c>
      <c r="F108" s="61">
        <f>IF(FT!A108&lt;&gt;"",FT!A108*10,"")</f>
        <v>3.28355</v>
      </c>
      <c r="G108" s="61">
        <f>IF(FT!B108&lt;&gt;"",FT!B108*100,"")</f>
        <v>41.446199999999997</v>
      </c>
      <c r="H108" s="61">
        <f t="shared" si="9"/>
        <v>1</v>
      </c>
      <c r="I108" t="str">
        <f>IF(FT!B108&lt;&gt;"",FT!E108,"")</f>
        <v>2 [43.097119]</v>
      </c>
      <c r="J108">
        <f>IF(FT!B108&lt;&gt;"",FT!C108,"")</f>
        <v>43.097099999999998</v>
      </c>
    </row>
    <row r="109" spans="1:10">
      <c r="A109" s="61">
        <f t="shared" si="10"/>
        <v>107</v>
      </c>
      <c r="B109" s="61">
        <f t="shared" si="8"/>
        <v>2.0647727058823531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3.29312</v>
      </c>
      <c r="G109" s="61">
        <f>IF(FT!B109&lt;&gt;"",FT!B109*100,"")</f>
        <v>41.274300000000004</v>
      </c>
      <c r="H109" s="61">
        <f t="shared" si="9"/>
        <v>1</v>
      </c>
      <c r="I109" t="str">
        <f>IF(FT!B109&lt;&gt;"",FT!E109,"")</f>
        <v>2 [43.503755]</v>
      </c>
      <c r="J109">
        <f>IF(FT!B109&lt;&gt;"",FT!C109,"")</f>
        <v>43.503799999999998</v>
      </c>
    </row>
    <row r="110" spans="1:10">
      <c r="A110" s="61">
        <f t="shared" si="10"/>
        <v>108</v>
      </c>
      <c r="B110" s="61">
        <f t="shared" si="8"/>
        <v>2.0840696470588238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3.3053400000000002</v>
      </c>
      <c r="G110" s="61">
        <f>IF(FT!B110&lt;&gt;"",FT!B110*100,"")</f>
        <v>41.05</v>
      </c>
      <c r="H110" s="61">
        <f t="shared" si="9"/>
        <v>1</v>
      </c>
      <c r="I110" t="str">
        <f>IF(FT!B110&lt;&gt;"",FT!E110,"")</f>
        <v>2 [43.907843]</v>
      </c>
      <c r="J110">
        <f>IF(FT!B110&lt;&gt;"",FT!C110,"")</f>
        <v>43.907800000000002</v>
      </c>
    </row>
    <row r="111" spans="1:10">
      <c r="A111" s="61">
        <f t="shared" si="10"/>
        <v>109</v>
      </c>
      <c r="B111" s="61">
        <f t="shared" si="8"/>
        <v>2.1033665882352941</v>
      </c>
      <c r="C111" s="61">
        <f>FH!A111*1</f>
        <v>90602</v>
      </c>
      <c r="D111" s="61">
        <f>FH!B111*1</f>
        <v>90602</v>
      </c>
      <c r="E111">
        <f t="shared" si="11"/>
        <v>109</v>
      </c>
      <c r="F111" s="61">
        <f>IF(FT!A111&lt;&gt;"",FT!A111*10,"")</f>
        <v>3.3196099999999999</v>
      </c>
      <c r="G111" s="61">
        <f>IF(FT!B111&lt;&gt;"",FT!B111*100,"")</f>
        <v>40.749400000000001</v>
      </c>
      <c r="H111" s="61">
        <f t="shared" si="9"/>
        <v>1</v>
      </c>
      <c r="I111" t="str">
        <f>IF(FT!B111&lt;&gt;"",FT!E111,"")</f>
        <v>2 [44.316782]</v>
      </c>
      <c r="J111">
        <f>IF(FT!B111&lt;&gt;"",FT!C111,"")</f>
        <v>44.316800000000001</v>
      </c>
    </row>
    <row r="112" spans="1:10">
      <c r="A112" s="61">
        <f t="shared" si="10"/>
        <v>110</v>
      </c>
      <c r="B112" s="61">
        <f t="shared" si="8"/>
        <v>2.1226635294117648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3.3326000000000002</v>
      </c>
      <c r="G112" s="61">
        <f>IF(FT!B112&lt;&gt;"",FT!B112*100,"")</f>
        <v>40.457599999999999</v>
      </c>
      <c r="H112" s="61">
        <f t="shared" si="9"/>
        <v>1</v>
      </c>
      <c r="I112" t="str">
        <f>IF(FT!B112&lt;&gt;"",FT!E112,"")</f>
        <v>2 [44.723061]</v>
      </c>
      <c r="J112">
        <f>IF(FT!B112&lt;&gt;"",FT!C112,"")</f>
        <v>44.723100000000002</v>
      </c>
    </row>
    <row r="113" spans="1:10">
      <c r="A113" s="61">
        <f t="shared" si="10"/>
        <v>111</v>
      </c>
      <c r="B113" s="61">
        <f t="shared" si="8"/>
        <v>2.1419604705882356</v>
      </c>
      <c r="C113" s="61">
        <f>FH!A113*1</f>
        <v>87969</v>
      </c>
      <c r="D113" s="61">
        <f>FH!B113*1</f>
        <v>87969</v>
      </c>
      <c r="E113">
        <f t="shared" si="11"/>
        <v>111</v>
      </c>
      <c r="F113" s="61">
        <f>IF(FT!A113&lt;&gt;"",FT!A113*10,"")</f>
        <v>3.3456599999999996</v>
      </c>
      <c r="G113" s="61">
        <f>IF(FT!B113&lt;&gt;"",FT!B113*100,"")</f>
        <v>40.228400000000001</v>
      </c>
      <c r="H113" s="61">
        <f t="shared" si="9"/>
        <v>1</v>
      </c>
      <c r="I113" t="str">
        <f>IF(FT!B113&lt;&gt;"",FT!E113,"")</f>
        <v>2 [45.128746]</v>
      </c>
      <c r="J113">
        <f>IF(FT!B113&lt;&gt;"",FT!C113,"")</f>
        <v>45.128700000000002</v>
      </c>
    </row>
    <row r="114" spans="1:10">
      <c r="A114" s="61">
        <f t="shared" si="10"/>
        <v>112</v>
      </c>
      <c r="B114" s="61">
        <f t="shared" si="8"/>
        <v>2.1612574117647059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3.3613999999999997</v>
      </c>
      <c r="G114" s="61">
        <f>IF(FT!B114&lt;&gt;"",FT!B114*100,"")</f>
        <v>40.035800000000002</v>
      </c>
      <c r="H114" s="61">
        <f t="shared" si="9"/>
        <v>1</v>
      </c>
      <c r="I114" t="str">
        <f>IF(FT!B114&lt;&gt;"",FT!E114,"")</f>
        <v>2 [45.536043]</v>
      </c>
      <c r="J114">
        <f>IF(FT!B114&lt;&gt;"",FT!C114,"")</f>
        <v>45.536000000000001</v>
      </c>
    </row>
    <row r="115" spans="1:10">
      <c r="A115" s="61">
        <f t="shared" si="10"/>
        <v>113</v>
      </c>
      <c r="B115" s="61">
        <f t="shared" si="8"/>
        <v>2.1805543529411766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3.3773999999999997</v>
      </c>
      <c r="G115" s="61">
        <f>IF(FT!B115&lt;&gt;"",FT!B115*100,"")</f>
        <v>39.868200000000002</v>
      </c>
      <c r="H115" s="61">
        <f t="shared" si="9"/>
        <v>1</v>
      </c>
      <c r="I115" t="str">
        <f>IF(FT!B115&lt;&gt;"",FT!E115,"")</f>
        <v>2 [45.941220]</v>
      </c>
      <c r="J115">
        <f>IF(FT!B115&lt;&gt;"",FT!C115,"")</f>
        <v>45.941200000000002</v>
      </c>
    </row>
    <row r="116" spans="1:10">
      <c r="A116" s="61">
        <f t="shared" si="10"/>
        <v>114</v>
      </c>
      <c r="B116" s="61">
        <f t="shared" si="8"/>
        <v>2.1998512941176473</v>
      </c>
      <c r="C116" s="61">
        <f>FH!A116*1</f>
        <v>79053</v>
      </c>
      <c r="D116" s="61">
        <f>FH!B116*1</f>
        <v>79053</v>
      </c>
      <c r="E116">
        <f t="shared" si="11"/>
        <v>114</v>
      </c>
      <c r="F116" s="61">
        <f>IF(FT!A116&lt;&gt;"",FT!A116*10,"")</f>
        <v>3.3917799999999998</v>
      </c>
      <c r="G116" s="61">
        <f>IF(FT!B116&lt;&gt;"",FT!B116*100,"")</f>
        <v>39.744399999999999</v>
      </c>
      <c r="H116" s="61">
        <f t="shared" si="9"/>
        <v>1</v>
      </c>
      <c r="I116" t="str">
        <f>IF(FT!B116&lt;&gt;"",FT!E116,"")</f>
        <v>2 [46.349253]</v>
      </c>
      <c r="J116">
        <f>IF(FT!B116&lt;&gt;"",FT!C116,"")</f>
        <v>46.349299999999999</v>
      </c>
    </row>
    <row r="117" spans="1:10">
      <c r="A117" s="61">
        <f t="shared" si="10"/>
        <v>115</v>
      </c>
      <c r="B117" s="61">
        <f t="shared" si="8"/>
        <v>2.2191482352941176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3.4088000000000003</v>
      </c>
      <c r="G117" s="61">
        <f>IF(FT!B117&lt;&gt;"",FT!B117*100,"")</f>
        <v>39.650600000000004</v>
      </c>
      <c r="H117" s="61">
        <f t="shared" si="9"/>
        <v>1</v>
      </c>
      <c r="I117" t="str">
        <f>IF(FT!B117&lt;&gt;"",FT!E117,"")</f>
        <v>2 [46.752592]</v>
      </c>
      <c r="J117">
        <f>IF(FT!B117&lt;&gt;"",FT!C117,"")</f>
        <v>46.752600000000001</v>
      </c>
    </row>
    <row r="118" spans="1:10">
      <c r="A118" s="61">
        <f t="shared" si="10"/>
        <v>116</v>
      </c>
      <c r="B118" s="61">
        <f t="shared" si="8"/>
        <v>2.2384451764705884</v>
      </c>
      <c r="C118" s="61">
        <f>FH!A118*1</f>
        <v>72291</v>
      </c>
      <c r="D118" s="61">
        <f>FH!B118*1</f>
        <v>72291</v>
      </c>
      <c r="E118">
        <f t="shared" si="11"/>
        <v>116</v>
      </c>
      <c r="F118" s="61">
        <f>IF(FT!A118&lt;&gt;"",FT!A118*10,"")</f>
        <v>3.4261999999999997</v>
      </c>
      <c r="G118" s="61">
        <f>IF(FT!B118&lt;&gt;"",FT!B118*100,"")</f>
        <v>39.534300000000002</v>
      </c>
      <c r="H118" s="61">
        <f t="shared" si="9"/>
        <v>1</v>
      </c>
      <c r="I118" t="str">
        <f>IF(FT!B118&lt;&gt;"",FT!E118,"")</f>
        <v>2 [47.159374]</v>
      </c>
      <c r="J118">
        <f>IF(FT!B118&lt;&gt;"",FT!C118,"")</f>
        <v>47.159399999999998</v>
      </c>
    </row>
    <row r="119" spans="1:10">
      <c r="A119" s="61">
        <f t="shared" si="10"/>
        <v>117</v>
      </c>
      <c r="B119" s="61">
        <f t="shared" si="8"/>
        <v>2.2577421176470587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3.4419399999999998</v>
      </c>
      <c r="G119" s="61">
        <f>IF(FT!B119&lt;&gt;"",FT!B119*100,"")</f>
        <v>39.430799999999998</v>
      </c>
      <c r="H119" s="61">
        <f t="shared" si="9"/>
        <v>1</v>
      </c>
      <c r="I119" t="str">
        <f>IF(FT!B119&lt;&gt;"",FT!E119,"")</f>
        <v>2 [47.568732]</v>
      </c>
      <c r="J119">
        <f>IF(FT!B119&lt;&gt;"",FT!C119,"")</f>
        <v>47.5687</v>
      </c>
    </row>
    <row r="120" spans="1:10">
      <c r="A120" s="61">
        <f t="shared" si="10"/>
        <v>118</v>
      </c>
      <c r="B120" s="61">
        <f t="shared" si="8"/>
        <v>2.2770390588235294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3.4567700000000001</v>
      </c>
      <c r="G120" s="61">
        <f>IF(FT!B120&lt;&gt;"",FT!B120*100,"")</f>
        <v>39.3108</v>
      </c>
      <c r="H120" s="61">
        <f t="shared" si="9"/>
        <v>1</v>
      </c>
      <c r="I120" t="str">
        <f>IF(FT!B120&lt;&gt;"",FT!E120,"")</f>
        <v>2 [47.974117]</v>
      </c>
      <c r="J120">
        <f>IF(FT!B120&lt;&gt;"",FT!C120,"")</f>
        <v>47.9741</v>
      </c>
    </row>
    <row r="121" spans="1:10">
      <c r="A121" s="61">
        <f t="shared" si="10"/>
        <v>119</v>
      </c>
      <c r="B121" s="61">
        <f t="shared" si="8"/>
        <v>2.2963360000000002</v>
      </c>
      <c r="C121" s="61">
        <f>FH!A121*1</f>
        <v>72787</v>
      </c>
      <c r="D121" s="61">
        <f>FH!B121*1</f>
        <v>72787</v>
      </c>
      <c r="E121">
        <f t="shared" si="11"/>
        <v>119</v>
      </c>
      <c r="F121" s="61">
        <f>IF(FT!A121&lt;&gt;"",FT!A121*10,"")</f>
        <v>3.47079</v>
      </c>
      <c r="G121" s="61">
        <f>IF(FT!B121&lt;&gt;"",FT!B121*100,"")</f>
        <v>39.155099999999997</v>
      </c>
      <c r="H121" s="61">
        <f t="shared" si="9"/>
        <v>1</v>
      </c>
      <c r="I121" t="str">
        <f>IF(FT!B121&lt;&gt;"",FT!E121,"")</f>
        <v>2 [48.380293]</v>
      </c>
      <c r="J121">
        <f>IF(FT!B121&lt;&gt;"",FT!C121,"")</f>
        <v>48.380299999999998</v>
      </c>
    </row>
    <row r="122" spans="1:10">
      <c r="A122" s="61">
        <f t="shared" si="10"/>
        <v>120</v>
      </c>
      <c r="B122" s="61">
        <f t="shared" si="8"/>
        <v>2.3156329411764704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3.48353</v>
      </c>
      <c r="G122" s="61">
        <f>IF(FT!B122&lt;&gt;"",FT!B122*100,"")</f>
        <v>38.988299999999995</v>
      </c>
      <c r="H122" s="61">
        <f t="shared" si="9"/>
        <v>1</v>
      </c>
      <c r="I122" t="str">
        <f>IF(FT!B122&lt;&gt;"",FT!E122,"")</f>
        <v>2 [48.785955]</v>
      </c>
      <c r="J122">
        <f>IF(FT!B122&lt;&gt;"",FT!C122,"")</f>
        <v>48.786000000000001</v>
      </c>
    </row>
    <row r="123" spans="1:10">
      <c r="A123" s="61">
        <f t="shared" si="10"/>
        <v>121</v>
      </c>
      <c r="B123" s="61">
        <f t="shared" si="8"/>
        <v>2.3349298823529412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3.4946300000000003</v>
      </c>
      <c r="G123" s="61">
        <f>IF(FT!B123&lt;&gt;"",FT!B123*100,"")</f>
        <v>38.7624</v>
      </c>
      <c r="H123" s="61">
        <f t="shared" si="9"/>
        <v>1</v>
      </c>
      <c r="I123" t="str">
        <f>IF(FT!B123&lt;&gt;"",FT!E123,"")</f>
        <v>2 [49.191422]</v>
      </c>
      <c r="J123">
        <f>IF(FT!B123&lt;&gt;"",FT!C123,"")</f>
        <v>49.191400000000002</v>
      </c>
    </row>
    <row r="124" spans="1:10">
      <c r="A124" s="61">
        <f t="shared" si="10"/>
        <v>122</v>
      </c>
      <c r="B124" s="61">
        <f t="shared" si="8"/>
        <v>2.3542268235294119</v>
      </c>
      <c r="C124" s="61">
        <f>FH!A124*1</f>
        <v>64491</v>
      </c>
      <c r="D124" s="61">
        <f>FH!B124*1</f>
        <v>64491</v>
      </c>
      <c r="E124">
        <f t="shared" si="11"/>
        <v>122</v>
      </c>
      <c r="F124" s="61">
        <f>IF(FT!A124&lt;&gt;"",FT!A124*10,"")</f>
        <v>3.5045999999999999</v>
      </c>
      <c r="G124" s="61">
        <f>IF(FT!B124&lt;&gt;"",FT!B124*100,"")</f>
        <v>38.5762</v>
      </c>
      <c r="H124" s="61">
        <f t="shared" si="9"/>
        <v>1</v>
      </c>
      <c r="I124" t="str">
        <f>IF(FT!B124&lt;&gt;"",FT!E124,"")</f>
        <v>2 [49.598528]</v>
      </c>
      <c r="J124">
        <f>IF(FT!B124&lt;&gt;"",FT!C124,"")</f>
        <v>49.598500000000001</v>
      </c>
    </row>
    <row r="125" spans="1:10">
      <c r="A125" s="61">
        <f t="shared" si="10"/>
        <v>123</v>
      </c>
      <c r="B125" s="61">
        <f t="shared" si="8"/>
        <v>2.3735237647058827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3.5183599999999999</v>
      </c>
      <c r="G125" s="61">
        <f>IF(FT!B125&lt;&gt;"",FT!B125*100,"")</f>
        <v>38.370199999999997</v>
      </c>
      <c r="H125" s="61">
        <f t="shared" si="9"/>
        <v>1</v>
      </c>
      <c r="I125" t="str">
        <f>IF(FT!B125&lt;&gt;"",FT!E125,"")</f>
        <v>2 [50.003201]</v>
      </c>
      <c r="J125">
        <f>IF(FT!B125&lt;&gt;"",FT!C125,"")</f>
        <v>50.0032</v>
      </c>
    </row>
    <row r="126" spans="1:10">
      <c r="A126" s="61">
        <f t="shared" si="10"/>
        <v>124</v>
      </c>
      <c r="B126" s="61">
        <f t="shared" si="8"/>
        <v>2.392820705882353</v>
      </c>
      <c r="C126" s="61">
        <f>FH!A126*1</f>
        <v>63386</v>
      </c>
      <c r="D126" s="61">
        <f>FH!B126*1</f>
        <v>63386</v>
      </c>
      <c r="E126">
        <f t="shared" si="11"/>
        <v>124</v>
      </c>
      <c r="F126" s="61">
        <f>IF(FT!A126&lt;&gt;"",FT!A126*10,"")</f>
        <v>3.5268199999999998</v>
      </c>
      <c r="G126" s="61">
        <f>IF(FT!B126&lt;&gt;"",FT!B126*100,"")</f>
        <v>38.320799999999998</v>
      </c>
      <c r="H126" s="61">
        <f t="shared" si="9"/>
        <v>1</v>
      </c>
      <c r="I126" t="str">
        <f>IF(FT!B126&lt;&gt;"",FT!E126,"")</f>
        <v>2 [50.409467]</v>
      </c>
      <c r="J126">
        <f>IF(FT!B126&lt;&gt;"",FT!C126,"")</f>
        <v>50.409500000000001</v>
      </c>
    </row>
    <row r="127" spans="1:10">
      <c r="A127" s="61">
        <f t="shared" si="10"/>
        <v>125</v>
      </c>
      <c r="B127" s="61">
        <f t="shared" si="8"/>
        <v>2.4121176470588237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3.5373900000000003</v>
      </c>
      <c r="G127" s="61">
        <f>IF(FT!B127&lt;&gt;"",FT!B127*100,"")</f>
        <v>38.255000000000003</v>
      </c>
      <c r="H127" s="61">
        <f t="shared" si="9"/>
        <v>1</v>
      </c>
      <c r="I127" t="str">
        <f>IF(FT!B127&lt;&gt;"",FT!E127,"")</f>
        <v>2 [50.817432]</v>
      </c>
      <c r="J127">
        <f>IF(FT!B127&lt;&gt;"",FT!C127,"")</f>
        <v>50.817399999999999</v>
      </c>
    </row>
    <row r="128" spans="1:10">
      <c r="A128" s="61">
        <f t="shared" si="10"/>
        <v>126</v>
      </c>
      <c r="B128" s="61">
        <f t="shared" si="8"/>
        <v>2.4314145882352944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3.5486400000000002</v>
      </c>
      <c r="G128" s="61">
        <f>IF(FT!B128&lt;&gt;"",FT!B128*100,"")</f>
        <v>38.186100000000003</v>
      </c>
      <c r="H128" s="61">
        <f t="shared" si="9"/>
        <v>1</v>
      </c>
      <c r="I128" t="str">
        <f>IF(FT!B128&lt;&gt;"",FT!E128,"")</f>
        <v>2 [51.220815]</v>
      </c>
      <c r="J128">
        <f>IF(FT!B128&lt;&gt;"",FT!C128,"")</f>
        <v>51.220799999999997</v>
      </c>
    </row>
    <row r="129" spans="1:10">
      <c r="A129" s="61">
        <f t="shared" si="10"/>
        <v>127</v>
      </c>
      <c r="B129" s="61">
        <f t="shared" si="8"/>
        <v>2.4507115294117647</v>
      </c>
      <c r="C129" s="61">
        <f>FH!A129*1</f>
        <v>62046</v>
      </c>
      <c r="D129" s="61">
        <f>FH!B129*1</f>
        <v>62046</v>
      </c>
      <c r="E129">
        <f t="shared" si="11"/>
        <v>127</v>
      </c>
      <c r="F129" s="61">
        <f>IF(FT!A129&lt;&gt;"",FT!A129*10,"")</f>
        <v>3.5587800000000005</v>
      </c>
      <c r="G129" s="61">
        <f>IF(FT!B129&lt;&gt;"",FT!B129*100,"")</f>
        <v>38.105400000000003</v>
      </c>
      <c r="H129" s="61">
        <f t="shared" si="9"/>
        <v>1</v>
      </c>
      <c r="I129" t="str">
        <f>IF(FT!B129&lt;&gt;"",FT!E129,"")</f>
        <v>2 [51.629773]</v>
      </c>
      <c r="J129">
        <f>IF(FT!B129&lt;&gt;"",FT!C129,"")</f>
        <v>51.629800000000003</v>
      </c>
    </row>
    <row r="130" spans="1:10">
      <c r="A130" s="61">
        <f t="shared" si="10"/>
        <v>128</v>
      </c>
      <c r="B130" s="61">
        <f t="shared" si="8"/>
        <v>2.4700084705882355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3.5682399999999999</v>
      </c>
      <c r="G130" s="61">
        <f>IF(FT!B130&lt;&gt;"",FT!B130*100,"")</f>
        <v>37.988499999999995</v>
      </c>
      <c r="H130" s="61">
        <f t="shared" si="9"/>
        <v>1</v>
      </c>
      <c r="I130" t="str">
        <f>IF(FT!B130&lt;&gt;"",FT!E130,"")</f>
        <v>2 [52.035339]</v>
      </c>
      <c r="J130">
        <f>IF(FT!B130&lt;&gt;"",FT!C130,"")</f>
        <v>52.035299999999999</v>
      </c>
    </row>
    <row r="131" spans="1:10">
      <c r="A131" s="61">
        <f t="shared" si="10"/>
        <v>129</v>
      </c>
      <c r="B131" s="61">
        <f t="shared" ref="B131:B194" si="12">A131/255*$L$2</f>
        <v>2.4893054117647058</v>
      </c>
      <c r="C131" s="61">
        <f>FH!A131*1</f>
        <v>59971</v>
      </c>
      <c r="D131" s="61">
        <f>FH!B131*1</f>
        <v>59971</v>
      </c>
      <c r="E131">
        <f t="shared" si="11"/>
        <v>129</v>
      </c>
      <c r="F131" s="61">
        <f>IF(FT!A131&lt;&gt;"",FT!A131*10,"")</f>
        <v>3.5767799999999998</v>
      </c>
      <c r="G131" s="61">
        <f>IF(FT!B131&lt;&gt;"",FT!B131*100,"")</f>
        <v>37.854199999999999</v>
      </c>
      <c r="H131" s="61">
        <f t="shared" ref="H131:H194" si="13">(IF(F131&lt;&gt;"",1,""))</f>
        <v>1</v>
      </c>
      <c r="I131" t="str">
        <f>IF(FT!B131&lt;&gt;"",FT!E131,"")</f>
        <v>2 [52.442637]</v>
      </c>
      <c r="J131">
        <f>IF(FT!B131&lt;&gt;"",FT!C131,"")</f>
        <v>52.442599999999999</v>
      </c>
    </row>
    <row r="132" spans="1:10">
      <c r="A132" s="61">
        <f t="shared" ref="A132:A195" si="14">A131+1</f>
        <v>130</v>
      </c>
      <c r="B132" s="61">
        <f t="shared" si="12"/>
        <v>2.5086023529411765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3.5867</v>
      </c>
      <c r="G132" s="61">
        <f>IF(FT!B132&lt;&gt;"",FT!B132*100,"")</f>
        <v>37.730000000000004</v>
      </c>
      <c r="H132" s="61">
        <f t="shared" si="13"/>
        <v>1</v>
      </c>
      <c r="I132" t="str">
        <f>IF(FT!B132&lt;&gt;"",FT!E132,"")</f>
        <v>2 [52.848478]</v>
      </c>
      <c r="J132">
        <f>IF(FT!B132&lt;&gt;"",FT!C132,"")</f>
        <v>52.848500000000001</v>
      </c>
    </row>
    <row r="133" spans="1:10">
      <c r="A133" s="61">
        <f t="shared" si="14"/>
        <v>131</v>
      </c>
      <c r="B133" s="61">
        <f t="shared" si="12"/>
        <v>2.5278992941176468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3.5947</v>
      </c>
      <c r="G133" s="61">
        <f>IF(FT!B133&lt;&gt;"",FT!B133*100,"")</f>
        <v>37.6066</v>
      </c>
      <c r="H133" s="61">
        <f t="shared" si="13"/>
        <v>1</v>
      </c>
      <c r="I133" t="str">
        <f>IF(FT!B133&lt;&gt;"",FT!E133,"")</f>
        <v>2 [53.253197]</v>
      </c>
      <c r="J133">
        <f>IF(FT!B133&lt;&gt;"",FT!C133,"")</f>
        <v>53.2532</v>
      </c>
    </row>
    <row r="134" spans="1:10">
      <c r="A134" s="61">
        <f t="shared" si="14"/>
        <v>132</v>
      </c>
      <c r="B134" s="61">
        <f t="shared" si="12"/>
        <v>2.547196235294118</v>
      </c>
      <c r="C134" s="61">
        <f>FH!A134*1</f>
        <v>57455</v>
      </c>
      <c r="D134" s="61">
        <f>FH!B134*1</f>
        <v>57455</v>
      </c>
      <c r="E134">
        <f t="shared" si="15"/>
        <v>132</v>
      </c>
      <c r="F134" s="61">
        <f>IF(FT!A134&lt;&gt;"",FT!A134*10,"")</f>
        <v>3.6008800000000001</v>
      </c>
      <c r="G134" s="61">
        <f>IF(FT!B134&lt;&gt;"",FT!B134*100,"")</f>
        <v>37.465699999999998</v>
      </c>
      <c r="H134" s="61">
        <f t="shared" si="13"/>
        <v>1</v>
      </c>
      <c r="I134" t="str">
        <f>IF(FT!B134&lt;&gt;"",FT!E134,"")</f>
        <v>2 [53.659818]</v>
      </c>
      <c r="J134">
        <f>IF(FT!B134&lt;&gt;"",FT!C134,"")</f>
        <v>53.659799999999997</v>
      </c>
    </row>
    <row r="135" spans="1:10">
      <c r="A135" s="61">
        <f t="shared" si="14"/>
        <v>133</v>
      </c>
      <c r="B135" s="61">
        <f t="shared" si="12"/>
        <v>2.5664931764705887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3.6005199999999999</v>
      </c>
      <c r="G135" s="61">
        <f>IF(FT!B135&lt;&gt;"",FT!B135*100,"")</f>
        <v>37.379300000000001</v>
      </c>
      <c r="H135" s="61">
        <f t="shared" si="13"/>
        <v>1</v>
      </c>
      <c r="I135" t="str">
        <f>IF(FT!B135&lt;&gt;"",FT!E135,"")</f>
        <v>2 [54.068993]</v>
      </c>
      <c r="J135">
        <f>IF(FT!B135&lt;&gt;"",FT!C135,"")</f>
        <v>54.069000000000003</v>
      </c>
    </row>
    <row r="136" spans="1:10">
      <c r="A136" s="61">
        <f t="shared" si="14"/>
        <v>134</v>
      </c>
      <c r="B136" s="61">
        <f t="shared" si="12"/>
        <v>2.585790117647059</v>
      </c>
      <c r="C136" s="61">
        <f>FH!A136*1</f>
        <v>47871</v>
      </c>
      <c r="D136" s="61">
        <f>FH!B136*1</f>
        <v>47871</v>
      </c>
      <c r="E136">
        <f t="shared" si="15"/>
        <v>134</v>
      </c>
      <c r="F136" s="61">
        <f>IF(FT!A136&lt;&gt;"",FT!A136*10,"")</f>
        <v>3.5929899999999999</v>
      </c>
      <c r="G136" s="61">
        <f>IF(FT!B136&lt;&gt;"",FT!B136*100,"")</f>
        <v>37.380499999999998</v>
      </c>
      <c r="H136" s="61">
        <f t="shared" si="13"/>
        <v>1</v>
      </c>
      <c r="I136" t="str">
        <f>IF(FT!B136&lt;&gt;"",FT!E136,"")</f>
        <v>2 [54.474655]</v>
      </c>
      <c r="J136">
        <f>IF(FT!B136&lt;&gt;"",FT!C136,"")</f>
        <v>54.474699999999999</v>
      </c>
    </row>
    <row r="137" spans="1:10">
      <c r="A137" s="61">
        <f t="shared" si="14"/>
        <v>135</v>
      </c>
      <c r="B137" s="61">
        <f t="shared" si="12"/>
        <v>2.6050870588235298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3.5853099999999998</v>
      </c>
      <c r="G137" s="61">
        <f>IF(FT!B137&lt;&gt;"",FT!B137*100,"")</f>
        <v>37.366899999999994</v>
      </c>
      <c r="H137" s="61">
        <f t="shared" si="13"/>
        <v>1</v>
      </c>
      <c r="I137" t="str">
        <f>IF(FT!B137&lt;&gt;"",FT!E137,"")</f>
        <v>2 [54.880890]</v>
      </c>
      <c r="J137">
        <f>IF(FT!B137&lt;&gt;"",FT!C137,"")</f>
        <v>54.880899999999997</v>
      </c>
    </row>
    <row r="138" spans="1:10">
      <c r="A138" s="61">
        <f t="shared" si="14"/>
        <v>136</v>
      </c>
      <c r="B138" s="61">
        <f t="shared" si="12"/>
        <v>2.6243840000000001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3.5832199999999998</v>
      </c>
      <c r="G138" s="61">
        <f>IF(FT!B138&lt;&gt;"",FT!B138*100,"")</f>
        <v>37.226999999999997</v>
      </c>
      <c r="H138" s="61">
        <f t="shared" si="13"/>
        <v>1</v>
      </c>
      <c r="I138" t="str">
        <f>IF(FT!B138&lt;&gt;"",FT!E138,"")</f>
        <v>2 [55.287661]</v>
      </c>
      <c r="J138">
        <f>IF(FT!B138&lt;&gt;"",FT!C138,"")</f>
        <v>55.287700000000001</v>
      </c>
    </row>
    <row r="139" spans="1:10">
      <c r="A139" s="61">
        <f t="shared" si="14"/>
        <v>137</v>
      </c>
      <c r="B139" s="61">
        <f t="shared" si="12"/>
        <v>2.6436809411764708</v>
      </c>
      <c r="C139" s="61">
        <f>FH!A139*1</f>
        <v>38849</v>
      </c>
      <c r="D139" s="61">
        <f>FH!B139*1</f>
        <v>38849</v>
      </c>
      <c r="E139">
        <f t="shared" si="15"/>
        <v>137</v>
      </c>
      <c r="F139" s="61">
        <f>IF(FT!A139&lt;&gt;"",FT!A139*10,"")</f>
        <v>3.5830099999999998</v>
      </c>
      <c r="G139" s="61">
        <f>IF(FT!B139&lt;&gt;"",FT!B139*100,"")</f>
        <v>37.042900000000003</v>
      </c>
      <c r="H139" s="61">
        <f t="shared" si="13"/>
        <v>1</v>
      </c>
      <c r="I139" t="str">
        <f>IF(FT!B139&lt;&gt;"",FT!E139,"")</f>
        <v>2 [55.691806]</v>
      </c>
      <c r="J139">
        <f>IF(FT!B139&lt;&gt;"",FT!C139,"")</f>
        <v>55.691800000000001</v>
      </c>
    </row>
    <row r="140" spans="1:10">
      <c r="A140" s="61">
        <f t="shared" si="14"/>
        <v>138</v>
      </c>
      <c r="B140" s="61">
        <f t="shared" si="12"/>
        <v>2.6629778823529411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3.5820699999999999</v>
      </c>
      <c r="G140" s="61">
        <f>IF(FT!B140&lt;&gt;"",FT!B140*100,"")</f>
        <v>36.879600000000003</v>
      </c>
      <c r="H140" s="61">
        <f t="shared" si="13"/>
        <v>1</v>
      </c>
      <c r="I140" t="str">
        <f>IF(FT!B140&lt;&gt;"",FT!E140,"")</f>
        <v>2 [56.102788]</v>
      </c>
      <c r="J140">
        <f>IF(FT!B140&lt;&gt;"",FT!C140,"")</f>
        <v>56.102800000000002</v>
      </c>
    </row>
    <row r="141" spans="1:10">
      <c r="A141" s="61">
        <f t="shared" si="14"/>
        <v>139</v>
      </c>
      <c r="B141" s="61">
        <f t="shared" si="12"/>
        <v>2.6822748235294118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3.5865900000000002</v>
      </c>
      <c r="G141" s="61">
        <f>IF(FT!B141&lt;&gt;"",FT!B141*100,"")</f>
        <v>36.667999999999999</v>
      </c>
      <c r="H141" s="61">
        <f t="shared" si="13"/>
        <v>1</v>
      </c>
      <c r="I141" t="str">
        <f>IF(FT!B141&lt;&gt;"",FT!E141,"")</f>
        <v>2 [56.505570]</v>
      </c>
      <c r="J141">
        <f>IF(FT!B141&lt;&gt;"",FT!C141,"")</f>
        <v>56.505600000000001</v>
      </c>
    </row>
    <row r="142" spans="1:10">
      <c r="A142" s="61">
        <f t="shared" si="14"/>
        <v>140</v>
      </c>
      <c r="B142" s="61">
        <f t="shared" si="12"/>
        <v>2.7015717647058826</v>
      </c>
      <c r="C142" s="61">
        <f>FH!A142*1</f>
        <v>32237</v>
      </c>
      <c r="D142" s="61">
        <f>FH!B142*1</f>
        <v>32237</v>
      </c>
      <c r="E142">
        <f t="shared" si="15"/>
        <v>140</v>
      </c>
      <c r="F142" s="61">
        <f>IF(FT!A142&lt;&gt;"",FT!A142*10,"")</f>
        <v>3.5927899999999999</v>
      </c>
      <c r="G142" s="61">
        <f>IF(FT!B142&lt;&gt;"",FT!B142*100,"")</f>
        <v>36.448999999999998</v>
      </c>
      <c r="H142" s="61">
        <f t="shared" si="13"/>
        <v>1</v>
      </c>
      <c r="I142" t="str">
        <f>IF(FT!B142&lt;&gt;"",FT!E142,"")</f>
        <v>2 [56.908826]</v>
      </c>
      <c r="J142">
        <f>IF(FT!B142&lt;&gt;"",FT!C142,"")</f>
        <v>56.908799999999999</v>
      </c>
    </row>
    <row r="143" spans="1:10">
      <c r="A143" s="61">
        <f t="shared" si="14"/>
        <v>141</v>
      </c>
      <c r="B143" s="61">
        <f t="shared" si="12"/>
        <v>2.7208687058823533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3.6016500000000002</v>
      </c>
      <c r="G143" s="61">
        <f>IF(FT!B143&lt;&gt;"",FT!B143*100,"")</f>
        <v>36.1556</v>
      </c>
      <c r="H143" s="61">
        <f t="shared" si="13"/>
        <v>1</v>
      </c>
      <c r="I143" t="str">
        <f>IF(FT!B143&lt;&gt;"",FT!E143,"")</f>
        <v>2 [57.315951]</v>
      </c>
      <c r="J143">
        <f>IF(FT!B143&lt;&gt;"",FT!C143,"")</f>
        <v>57.316000000000003</v>
      </c>
    </row>
    <row r="144" spans="1:10">
      <c r="A144" s="61">
        <f t="shared" si="14"/>
        <v>142</v>
      </c>
      <c r="B144" s="61">
        <f t="shared" si="12"/>
        <v>2.7401656470588236</v>
      </c>
      <c r="C144" s="61">
        <f>FH!A144*1</f>
        <v>21396</v>
      </c>
      <c r="D144" s="61">
        <f>FH!B144*1</f>
        <v>21396</v>
      </c>
      <c r="E144">
        <f t="shared" si="15"/>
        <v>142</v>
      </c>
      <c r="F144" s="61">
        <f>IF(FT!A144&lt;&gt;"",FT!A144*10,"")</f>
        <v>3.6155300000000001</v>
      </c>
      <c r="G144" s="61">
        <f>IF(FT!B144&lt;&gt;"",FT!B144*100,"")</f>
        <v>35.758499999999998</v>
      </c>
      <c r="H144" s="61">
        <f t="shared" si="13"/>
        <v>1</v>
      </c>
      <c r="I144" t="str">
        <f>IF(FT!B144&lt;&gt;"",FT!E144,"")</f>
        <v>2 [57.722349]</v>
      </c>
      <c r="J144">
        <f>IF(FT!B144&lt;&gt;"",FT!C144,"")</f>
        <v>57.722299999999997</v>
      </c>
    </row>
    <row r="145" spans="1:10">
      <c r="A145" s="61">
        <f t="shared" si="14"/>
        <v>143</v>
      </c>
      <c r="B145" s="61">
        <f t="shared" si="12"/>
        <v>2.7594625882352943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3.6288100000000001</v>
      </c>
      <c r="G145" s="61">
        <f>IF(FT!B145&lt;&gt;"",FT!B145*100,"")</f>
        <v>35.374400000000001</v>
      </c>
      <c r="H145" s="61">
        <f t="shared" si="13"/>
        <v>1</v>
      </c>
      <c r="I145" t="str">
        <f>IF(FT!B145&lt;&gt;"",FT!E145,"")</f>
        <v>2 [58.130149]</v>
      </c>
      <c r="J145">
        <f>IF(FT!B145&lt;&gt;"",FT!C145,"")</f>
        <v>58.130099999999999</v>
      </c>
    </row>
    <row r="146" spans="1:10">
      <c r="A146" s="61">
        <f t="shared" si="14"/>
        <v>144</v>
      </c>
      <c r="B146" s="61">
        <f t="shared" si="12"/>
        <v>2.7787595294117646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3.6386500000000002</v>
      </c>
      <c r="G146" s="61">
        <f>IF(FT!B146&lt;&gt;"",FT!B146*100,"")</f>
        <v>35.051500000000004</v>
      </c>
      <c r="H146" s="61">
        <f t="shared" si="13"/>
        <v>1</v>
      </c>
      <c r="I146" t="str">
        <f>IF(FT!B146&lt;&gt;"",FT!E146,"")</f>
        <v>2 [58.542716]</v>
      </c>
      <c r="J146">
        <f>IF(FT!B146&lt;&gt;"",FT!C146,"")</f>
        <v>58.542700000000004</v>
      </c>
    </row>
    <row r="147" spans="1:10">
      <c r="A147" s="61">
        <f t="shared" si="14"/>
        <v>145</v>
      </c>
      <c r="B147" s="61">
        <f t="shared" si="12"/>
        <v>2.7980564705882354</v>
      </c>
      <c r="C147" s="61">
        <f>FH!A147*1</f>
        <v>18863</v>
      </c>
      <c r="D147" s="61">
        <f>FH!B147*1</f>
        <v>18863</v>
      </c>
      <c r="E147">
        <f t="shared" si="15"/>
        <v>145</v>
      </c>
      <c r="F147" s="61">
        <f>IF(FT!A147&lt;&gt;"",FT!A147*10,"")</f>
        <v>3.6571899999999999</v>
      </c>
      <c r="G147" s="61">
        <f>IF(FT!B147&lt;&gt;"",FT!B147*100,"")</f>
        <v>34.723100000000002</v>
      </c>
      <c r="H147" s="61">
        <f t="shared" si="13"/>
        <v>1</v>
      </c>
      <c r="I147" t="str">
        <f>IF(FT!B147&lt;&gt;"",FT!E147,"")</f>
        <v>2 [58.949579]</v>
      </c>
      <c r="J147">
        <f>IF(FT!B147&lt;&gt;"",FT!C147,"")</f>
        <v>58.949599999999997</v>
      </c>
    </row>
    <row r="148" spans="1:10">
      <c r="A148" s="61">
        <f t="shared" si="14"/>
        <v>146</v>
      </c>
      <c r="B148" s="61">
        <f t="shared" si="12"/>
        <v>2.8173534117647057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3.6659100000000002</v>
      </c>
      <c r="G148" s="61">
        <f>IF(FT!B148&lt;&gt;"",FT!B148*100,"")</f>
        <v>34.750399999999999</v>
      </c>
      <c r="H148" s="61">
        <f t="shared" si="13"/>
        <v>1</v>
      </c>
      <c r="I148" t="str">
        <f>IF(FT!B148&lt;&gt;"",FT!E148,"")</f>
        <v>2 [59.346934]</v>
      </c>
      <c r="J148">
        <f>IF(FT!B148&lt;&gt;"",FT!C148,"")</f>
        <v>59.346899999999998</v>
      </c>
    </row>
    <row r="149" spans="1:10">
      <c r="A149" s="61">
        <f t="shared" si="14"/>
        <v>147</v>
      </c>
      <c r="B149" s="61">
        <f t="shared" si="12"/>
        <v>2.8366503529411764</v>
      </c>
      <c r="C149" s="61">
        <f>FH!A149*1</f>
        <v>14592</v>
      </c>
      <c r="D149" s="61">
        <f>FH!B149*1</f>
        <v>14592</v>
      </c>
      <c r="E149">
        <f t="shared" si="15"/>
        <v>147</v>
      </c>
      <c r="F149" s="61">
        <f>IF(FT!A149&lt;&gt;"",FT!A149*10,"")</f>
        <v>3.7133100000000003</v>
      </c>
      <c r="G149" s="61">
        <f>IF(FT!B149&lt;&gt;"",FT!B149*100,"")</f>
        <v>34.767900000000004</v>
      </c>
      <c r="H149" s="61">
        <f t="shared" si="13"/>
        <v>1</v>
      </c>
      <c r="I149" t="str">
        <f>IF(FT!B149&lt;&gt;"",FT!E149,"")</f>
        <v>2 [59.756736]</v>
      </c>
      <c r="J149">
        <f>IF(FT!B149&lt;&gt;"",FT!C149,"")</f>
        <v>59.756700000000002</v>
      </c>
    </row>
    <row r="150" spans="1:10">
      <c r="A150" s="61">
        <f t="shared" si="14"/>
        <v>148</v>
      </c>
      <c r="B150" s="61">
        <f t="shared" si="12"/>
        <v>2.8559472941176476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2.8752442352941179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2.8945411764705886</v>
      </c>
      <c r="C152" s="61">
        <f>FH!A152*1</f>
        <v>12675</v>
      </c>
      <c r="D152" s="61">
        <f>FH!B152*1</f>
        <v>12675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2.9138381176470589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2.9331350588235297</v>
      </c>
      <c r="C154" s="61">
        <f>FH!A154*1</f>
        <v>7974</v>
      </c>
      <c r="D154" s="61">
        <f>FH!B154*1</f>
        <v>7974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2.9524319999999999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2.9717289411764707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2.991025882352941</v>
      </c>
      <c r="C157" s="61">
        <f>FH!A157*1</f>
        <v>5829</v>
      </c>
      <c r="D157" s="61">
        <f>FH!B157*1</f>
        <v>5829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3.0103228235294122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3.0296197647058825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3.0489167058823532</v>
      </c>
      <c r="C160" s="61">
        <f>FH!A160*1</f>
        <v>4774</v>
      </c>
      <c r="D160" s="61">
        <f>FH!B160*1</f>
        <v>4774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3.0682136470588235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3.0875105882352942</v>
      </c>
      <c r="C162" s="61">
        <f>FH!A162*1</f>
        <v>2806</v>
      </c>
      <c r="D162" s="61">
        <f>FH!B162*1</f>
        <v>2806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3.1068075294117645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3.1261044705882353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3.1454014117647056</v>
      </c>
      <c r="C165" s="61">
        <f>FH!A165*1</f>
        <v>3257</v>
      </c>
      <c r="D165" s="61">
        <f>FH!B165*1</f>
        <v>3257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3.1646983529411767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3.1839952941176475</v>
      </c>
      <c r="C167" s="61">
        <f>FH!A167*1</f>
        <v>1564</v>
      </c>
      <c r="D167" s="61">
        <f>FH!B167*1</f>
        <v>1564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3.2032922352941178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3.2225891764705885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3.2418861176470588</v>
      </c>
      <c r="C170" s="61">
        <f>FH!A170*1</f>
        <v>1757</v>
      </c>
      <c r="D170" s="61">
        <f>FH!B170*1</f>
        <v>1757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3.2611830588235295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3.2804799999999998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3.2997769411764706</v>
      </c>
      <c r="C173" s="61">
        <f>FH!A173*1</f>
        <v>1332</v>
      </c>
      <c r="D173" s="61">
        <f>FH!B173*1</f>
        <v>1332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3.3190738823529418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3.3383708235294121</v>
      </c>
      <c r="C175" s="61">
        <f>FH!A175*1</f>
        <v>1390</v>
      </c>
      <c r="D175" s="61">
        <f>FH!B175*1</f>
        <v>1390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3.3576677647058828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3.3769647058823531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3.3962616470588238</v>
      </c>
      <c r="C178" s="61">
        <f>FH!A178*1</f>
        <v>1083</v>
      </c>
      <c r="D178" s="61">
        <f>FH!B178*1</f>
        <v>1083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3.4155585882352941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3.4348555294117649</v>
      </c>
      <c r="C180" s="61">
        <f>FH!A180*1</f>
        <v>591</v>
      </c>
      <c r="D180" s="61">
        <f>FH!B180*1</f>
        <v>591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3.4541524705882352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3.4734494117647063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3.4927463529411766</v>
      </c>
      <c r="C183" s="61">
        <f>FH!A183*1</f>
        <v>251</v>
      </c>
      <c r="D183" s="61">
        <f>FH!B183*1</f>
        <v>251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3.5120432941176474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3.5313402352941177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3.5506371764705884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3.5699341176470587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3.5892310588235294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3.6085279999999997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3.6278249411764709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3.6471218823529417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3.666418823529412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3.6857157647058827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3.705012705882353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3.7243096470588237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3.743606588235294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3.7629035294117648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3.7822004705882355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3.8014974117647062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3.8207943529411765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3.8400912941176473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3.8593882352941176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3.8786851764705883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3.8979821176470586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3.9172790588235293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3.9365760000000005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3.9558729411764708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3.9751698823529416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3.9944668235294118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4.0137637647058826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4.0330607058823533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4.0523576470588232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4.0716545882352939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4.0909515294117647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4.1102484705882354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4.1295454117647061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4.1488423529411769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4.1681392941176476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4.1874362352941175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4.2067331764705882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4.2260301176470589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4.2453270588235297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4.2646240000000004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4.2839209411764712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4.303217882352941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4.3225148235294117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4.3418117647058825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4.3611087058823532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4.3804056470588231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4.3997025882352947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4.4189995294117654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4.4382964705882353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4.457593411764706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4.4768903529411768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4.4961872941176475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4.5154842352941174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4.5347811764705881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4.5540781176470588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4.5733750588235296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4.5926720000000003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4.611968941176471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4.6312658823529409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4.6505628235294116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4.6698597647058824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4.6891567058823531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4.7084536470588239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4.7277505882352946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4.7470475294117653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4.7663444705882352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4.7856414117647059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4.8049383529411767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4.8242352941176474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4.8435322352941172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4.8628291764705889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4.8821261176470587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4.9014230588235295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4.9207200000000002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39.691099999999999</v>
      </c>
      <c r="C5" s="66">
        <v>5.3296599999999996</v>
      </c>
      <c r="D5" s="66">
        <v>13.4278</v>
      </c>
      <c r="E5" s="66">
        <v>20</v>
      </c>
      <c r="F5" s="66">
        <v>24.253900000000002</v>
      </c>
      <c r="G5" s="66">
        <v>50</v>
      </c>
      <c r="H5" s="66">
        <v>51.180799999999998</v>
      </c>
    </row>
    <row r="6" spans="1:8">
      <c r="A6" s="58" t="s">
        <v>303</v>
      </c>
      <c r="B6" s="66">
        <v>30.950199999999999</v>
      </c>
      <c r="C6" s="66">
        <v>1.7249399999999999</v>
      </c>
      <c r="D6" s="66">
        <v>5.5732900000000001</v>
      </c>
      <c r="E6" s="66">
        <v>20</v>
      </c>
      <c r="F6" s="66">
        <v>26.795000000000002</v>
      </c>
      <c r="G6" s="66">
        <v>40</v>
      </c>
      <c r="H6" s="66">
        <v>34.5608</v>
      </c>
    </row>
    <row r="7" spans="1:8">
      <c r="A7" s="58" t="s">
        <v>304</v>
      </c>
      <c r="B7" s="66">
        <v>30.104299999999999</v>
      </c>
      <c r="C7" s="66">
        <v>7.9547499999999998</v>
      </c>
      <c r="D7" s="66">
        <v>26.4239</v>
      </c>
      <c r="E7" s="66">
        <v>15</v>
      </c>
      <c r="F7" s="66">
        <v>8.0628299999999999</v>
      </c>
      <c r="G7" s="66">
        <v>40</v>
      </c>
      <c r="H7" s="66">
        <v>39.281100000000002</v>
      </c>
    </row>
    <row r="8" spans="1:8">
      <c r="A8" s="58" t="s">
        <v>305</v>
      </c>
      <c r="B8" s="66">
        <v>33.547600000000003</v>
      </c>
      <c r="C8" s="66">
        <v>3.2888799999999998</v>
      </c>
      <c r="D8" s="66">
        <v>9.8036399999999997</v>
      </c>
      <c r="E8" s="66">
        <v>20</v>
      </c>
      <c r="F8" s="66">
        <v>25.227900000000002</v>
      </c>
      <c r="G8" s="66">
        <v>50</v>
      </c>
      <c r="H8" s="66">
        <v>38.376100000000001</v>
      </c>
    </row>
    <row r="9" spans="1:8">
      <c r="A9" s="58" t="s">
        <v>306</v>
      </c>
      <c r="B9" s="66">
        <v>63.848300000000002</v>
      </c>
      <c r="C9" s="66">
        <v>5.3792600000000004</v>
      </c>
      <c r="D9" s="66">
        <v>8.4250600000000002</v>
      </c>
      <c r="E9" s="66">
        <v>50</v>
      </c>
      <c r="F9" s="66">
        <v>47.7316</v>
      </c>
      <c r="G9" s="66">
        <v>100</v>
      </c>
      <c r="H9" s="66">
        <v>78.922300000000007</v>
      </c>
    </row>
    <row r="10" spans="1:8">
      <c r="A10" s="58" t="s">
        <v>307</v>
      </c>
      <c r="B10" s="66">
        <v>75.119100000000003</v>
      </c>
      <c r="C10" s="66">
        <v>2.4584199999999998</v>
      </c>
      <c r="D10" s="66">
        <v>3.2726999999999999</v>
      </c>
      <c r="E10" s="66">
        <v>40</v>
      </c>
      <c r="F10" s="66">
        <v>69.6785</v>
      </c>
      <c r="G10" s="66">
        <v>100</v>
      </c>
      <c r="H10" s="66">
        <v>80.099100000000007</v>
      </c>
    </row>
    <row r="11" spans="1:8">
      <c r="A11" s="58" t="s">
        <v>308</v>
      </c>
      <c r="B11" s="66">
        <v>21.169799999999999</v>
      </c>
      <c r="C11" s="66">
        <v>3.3161499999999999</v>
      </c>
      <c r="D11" s="66">
        <v>15.6645</v>
      </c>
      <c r="E11" s="66">
        <v>10</v>
      </c>
      <c r="F11" s="66">
        <v>12.1195</v>
      </c>
      <c r="G11" s="66">
        <v>50</v>
      </c>
      <c r="H11" s="66">
        <v>24.423100000000002</v>
      </c>
    </row>
    <row r="12" spans="1:8">
      <c r="A12" s="58" t="s">
        <v>309</v>
      </c>
      <c r="B12" s="66">
        <v>69.086799999999997</v>
      </c>
      <c r="C12" s="66">
        <v>2.3444699999999998</v>
      </c>
      <c r="D12" s="66">
        <v>3.39351</v>
      </c>
      <c r="E12" s="66">
        <v>50</v>
      </c>
      <c r="F12" s="66">
        <v>63.553199999999997</v>
      </c>
      <c r="G12" s="66">
        <v>100</v>
      </c>
      <c r="H12" s="66">
        <v>76.651300000000006</v>
      </c>
    </row>
    <row r="13" spans="1:8">
      <c r="A13" s="58" t="s">
        <v>310</v>
      </c>
      <c r="B13" s="66">
        <v>22.431100000000001</v>
      </c>
      <c r="C13" s="66">
        <v>5.3526400000000001</v>
      </c>
      <c r="D13" s="66">
        <v>23.8626</v>
      </c>
      <c r="E13" s="66">
        <v>10</v>
      </c>
      <c r="F13" s="66">
        <v>15.0144</v>
      </c>
      <c r="G13" s="66">
        <v>25</v>
      </c>
      <c r="H13" s="66">
        <v>41.099899999999998</v>
      </c>
    </row>
    <row r="14" spans="1:8">
      <c r="A14" s="58" t="s">
        <v>311</v>
      </c>
      <c r="B14" s="66">
        <v>53.526400000000002</v>
      </c>
      <c r="C14" s="66">
        <v>19.073699999999999</v>
      </c>
      <c r="D14" s="66">
        <v>35.634099999999997</v>
      </c>
      <c r="E14" s="66">
        <v>10</v>
      </c>
      <c r="F14" s="66">
        <v>2.2680500000000001</v>
      </c>
      <c r="G14" s="66">
        <v>50</v>
      </c>
      <c r="H14" s="66">
        <v>68.345100000000002</v>
      </c>
    </row>
    <row r="15" spans="1:8">
      <c r="A15" s="58" t="s">
        <v>312</v>
      </c>
      <c r="B15" s="66">
        <v>-4.7180100000000003E-2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-8.8029099999999999E-2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14.5481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0.54491800000000001</v>
      </c>
      <c r="C18" s="66">
        <v>7.3224300000000004E-3</v>
      </c>
      <c r="D18" s="66">
        <v>1.34377E-2</v>
      </c>
      <c r="E18" s="66">
        <v>0</v>
      </c>
      <c r="F18" s="66">
        <v>0.53759599999999996</v>
      </c>
      <c r="G18" s="66">
        <v>0</v>
      </c>
      <c r="H18" s="66">
        <v>0.55224099999999998</v>
      </c>
    </row>
    <row r="19" spans="1:8">
      <c r="A19" s="58" t="s">
        <v>316</v>
      </c>
      <c r="B19" s="66">
        <v>0.65548799999999996</v>
      </c>
      <c r="C19" s="66">
        <v>2.58842E-2</v>
      </c>
      <c r="D19" s="66">
        <v>3.9488500000000003E-2</v>
      </c>
      <c r="E19" s="66">
        <v>0</v>
      </c>
      <c r="F19" s="66">
        <v>0.62960400000000005</v>
      </c>
      <c r="G19" s="66">
        <v>0</v>
      </c>
      <c r="H19" s="66">
        <v>0.68137300000000001</v>
      </c>
    </row>
    <row r="20" spans="1:8">
      <c r="A20" s="58" t="s">
        <v>317</v>
      </c>
      <c r="B20" s="66">
        <v>7.7462099999999997E-4</v>
      </c>
      <c r="C20" s="66">
        <v>2.7125300000000001E-2</v>
      </c>
      <c r="D20" s="66">
        <v>35.017499999999998</v>
      </c>
      <c r="E20" s="66">
        <v>0</v>
      </c>
      <c r="F20" s="66">
        <v>0</v>
      </c>
      <c r="G20" s="66">
        <v>0</v>
      </c>
      <c r="H20" s="66">
        <v>0.276227</v>
      </c>
    </row>
    <row r="21" spans="1:8">
      <c r="A21" s="58" t="s">
        <v>318</v>
      </c>
      <c r="B21" s="66">
        <v>9.2527700000000004E-2</v>
      </c>
      <c r="C21" s="66">
        <v>0.32292500000000002</v>
      </c>
      <c r="D21" s="66">
        <v>3.49004</v>
      </c>
      <c r="E21" s="66">
        <v>0</v>
      </c>
      <c r="F21" s="66">
        <v>1.7797700000000001E-4</v>
      </c>
      <c r="G21" s="66">
        <v>0</v>
      </c>
      <c r="H21" s="66">
        <v>2.79135</v>
      </c>
    </row>
    <row r="22" spans="1:8">
      <c r="A22" s="58" t="s">
        <v>319</v>
      </c>
      <c r="B22" s="66">
        <v>46.385800000000003</v>
      </c>
      <c r="C22" s="66">
        <v>9.9159900000000007</v>
      </c>
      <c r="D22" s="66">
        <v>0.21377199999999999</v>
      </c>
      <c r="E22" s="66">
        <v>0</v>
      </c>
      <c r="F22" s="66">
        <v>25.827200000000001</v>
      </c>
      <c r="G22" s="66">
        <v>0</v>
      </c>
      <c r="H22" s="66">
        <v>81.133300000000006</v>
      </c>
    </row>
    <row r="23" spans="1:8">
      <c r="A23" s="58" t="s">
        <v>320</v>
      </c>
      <c r="B23" s="66">
        <v>19.0749</v>
      </c>
      <c r="C23" s="66">
        <v>1.7519499999999999</v>
      </c>
      <c r="D23" s="66">
        <v>9.18461E-2</v>
      </c>
      <c r="E23" s="66">
        <v>0</v>
      </c>
      <c r="F23" s="66">
        <v>12.8505</v>
      </c>
      <c r="G23" s="66">
        <v>0</v>
      </c>
      <c r="H23" s="66">
        <v>20.884899999999998</v>
      </c>
    </row>
    <row r="24" spans="1:8">
      <c r="A24" s="58" t="s">
        <v>321</v>
      </c>
      <c r="B24" s="66">
        <v>2.1483299999999999E-3</v>
      </c>
      <c r="C24" s="66">
        <v>1.7843500000000002E-2</v>
      </c>
      <c r="D24" s="66">
        <v>8.3057499999999997</v>
      </c>
      <c r="E24" s="66">
        <v>0</v>
      </c>
      <c r="F24" s="196">
        <v>4.8119299999999999E-5</v>
      </c>
      <c r="G24" s="66">
        <v>0</v>
      </c>
      <c r="H24" s="66">
        <v>0.170988</v>
      </c>
    </row>
    <row r="25" spans="1:8">
      <c r="A25" s="58" t="s">
        <v>322</v>
      </c>
      <c r="B25" s="66">
        <v>0.15654699999999999</v>
      </c>
      <c r="C25" s="66">
        <v>0.19118599999999999</v>
      </c>
      <c r="D25" s="66">
        <v>1.2212700000000001</v>
      </c>
      <c r="E25" s="66">
        <v>0</v>
      </c>
      <c r="F25" s="66">
        <v>1.4903599999999999E-2</v>
      </c>
      <c r="G25" s="66">
        <v>0</v>
      </c>
      <c r="H25" s="66">
        <v>1.05183</v>
      </c>
    </row>
    <row r="26" spans="1:8">
      <c r="A26" s="58" t="s">
        <v>323</v>
      </c>
      <c r="B26" s="66">
        <v>2.1336700000000001E-4</v>
      </c>
      <c r="C26" s="66">
        <v>2.5006E-3</v>
      </c>
      <c r="D26" s="66">
        <v>11.719799999999999</v>
      </c>
      <c r="E26" s="66">
        <v>0</v>
      </c>
      <c r="F26" s="66">
        <v>0</v>
      </c>
      <c r="G26" s="66">
        <v>0</v>
      </c>
      <c r="H26" s="66">
        <v>3.0114200000000001E-2</v>
      </c>
    </row>
    <row r="27" spans="1:8">
      <c r="A27" s="58" t="s">
        <v>324</v>
      </c>
      <c r="B27" s="196">
        <v>-6.5651299999999996E-6</v>
      </c>
      <c r="C27" s="66">
        <v>1.03096E-3</v>
      </c>
      <c r="D27" s="66">
        <v>-157.035</v>
      </c>
      <c r="E27" s="66">
        <v>0</v>
      </c>
      <c r="F27" s="66">
        <v>-6.7489500000000001E-3</v>
      </c>
      <c r="G27" s="66">
        <v>0</v>
      </c>
      <c r="H27" s="66">
        <v>8.4394699999999993E-3</v>
      </c>
    </row>
    <row r="28" spans="1:8">
      <c r="A28" s="58" t="s">
        <v>325</v>
      </c>
      <c r="B28" s="66">
        <v>1.0701499999999999E-2</v>
      </c>
      <c r="C28" s="66">
        <v>2.29339E-2</v>
      </c>
      <c r="D28" s="66">
        <v>2.1430500000000001</v>
      </c>
      <c r="E28" s="66">
        <v>0</v>
      </c>
      <c r="F28" s="196">
        <v>5.5338499999999999E-5</v>
      </c>
      <c r="G28" s="66">
        <v>0</v>
      </c>
      <c r="H28" s="66">
        <v>0.160941</v>
      </c>
    </row>
    <row r="29" spans="1:8">
      <c r="A29" s="58" t="s">
        <v>326</v>
      </c>
      <c r="B29" s="66">
        <v>69.2196</v>
      </c>
      <c r="C29" s="66">
        <v>9.9501299999999997</v>
      </c>
      <c r="D29" s="66">
        <v>0.14374700000000001</v>
      </c>
      <c r="E29" s="66">
        <v>0</v>
      </c>
      <c r="F29" s="66">
        <v>45.046700000000001</v>
      </c>
      <c r="G29" s="66">
        <v>0</v>
      </c>
      <c r="H29" s="66">
        <v>103.06699999999999</v>
      </c>
    </row>
    <row r="30" spans="1:8">
      <c r="A30" s="58" t="s">
        <v>327</v>
      </c>
      <c r="B30" s="66">
        <v>23.1282</v>
      </c>
      <c r="C30" s="66">
        <v>2.05233</v>
      </c>
      <c r="D30" s="66">
        <v>8.8737099999999999E-2</v>
      </c>
      <c r="E30" s="66">
        <v>0</v>
      </c>
      <c r="F30" s="66">
        <v>15.064299999999999</v>
      </c>
      <c r="G30" s="66">
        <v>0</v>
      </c>
      <c r="H30" s="66">
        <v>25.434999999999999</v>
      </c>
    </row>
    <row r="31" spans="1:8">
      <c r="A31" s="58" t="s">
        <v>328</v>
      </c>
      <c r="B31" s="66">
        <v>246.80799999999999</v>
      </c>
      <c r="C31" s="66">
        <v>29.8033</v>
      </c>
      <c r="D31" s="66">
        <v>0.120755</v>
      </c>
      <c r="E31" s="66">
        <v>0</v>
      </c>
      <c r="F31" s="66">
        <v>141.846</v>
      </c>
      <c r="G31" s="66">
        <v>0</v>
      </c>
      <c r="H31" s="66">
        <v>301.51400000000001</v>
      </c>
    </row>
    <row r="32" spans="1:8">
      <c r="A32" s="58" t="s">
        <v>329</v>
      </c>
      <c r="B32" s="66">
        <v>0.30104300000000001</v>
      </c>
      <c r="C32" s="66">
        <v>7.9547499999999993E-2</v>
      </c>
      <c r="D32" s="66">
        <v>0.264239</v>
      </c>
      <c r="E32" s="66">
        <v>0.15</v>
      </c>
      <c r="F32" s="66">
        <v>8.06283E-2</v>
      </c>
      <c r="G32" s="66">
        <v>0.4</v>
      </c>
      <c r="H32" s="66">
        <v>0.39281100000000002</v>
      </c>
    </row>
    <row r="33" spans="1:8">
      <c r="A33" s="58" t="s">
        <v>330</v>
      </c>
      <c r="B33" s="66">
        <v>0.36367100000000002</v>
      </c>
      <c r="C33" s="66">
        <v>1.5477400000000001E-2</v>
      </c>
      <c r="D33" s="66">
        <v>4.2558699999999998E-2</v>
      </c>
      <c r="E33" s="66">
        <v>0</v>
      </c>
      <c r="F33" s="66">
        <v>0.30158600000000002</v>
      </c>
      <c r="G33" s="66">
        <v>0</v>
      </c>
      <c r="H33" s="66">
        <v>0.40334900000000001</v>
      </c>
    </row>
    <row r="34" spans="1:8">
      <c r="A34" s="58" t="s">
        <v>331</v>
      </c>
      <c r="B34" s="66">
        <v>0.22431100000000001</v>
      </c>
      <c r="C34" s="66">
        <v>5.3526400000000002E-2</v>
      </c>
      <c r="D34" s="66">
        <v>0.238626</v>
      </c>
      <c r="E34" s="66">
        <v>0.1</v>
      </c>
      <c r="F34" s="66">
        <v>0.150144</v>
      </c>
      <c r="G34" s="66">
        <v>0.25</v>
      </c>
      <c r="H34" s="66">
        <v>0.410999</v>
      </c>
    </row>
    <row r="35" spans="1:8">
      <c r="A35" s="58" t="s">
        <v>332</v>
      </c>
      <c r="B35" s="66">
        <v>0.10380499999999999</v>
      </c>
      <c r="C35" s="66">
        <v>3.2147799999999997E-2</v>
      </c>
      <c r="D35" s="66">
        <v>0.30969400000000002</v>
      </c>
      <c r="E35" s="66">
        <v>0</v>
      </c>
      <c r="F35" s="66">
        <v>4.0454799999999999E-2</v>
      </c>
      <c r="G35" s="66">
        <v>0</v>
      </c>
      <c r="H35" s="66">
        <v>0.190111</v>
      </c>
    </row>
    <row r="36" spans="1:8">
      <c r="A36" s="58" t="s">
        <v>333</v>
      </c>
      <c r="B36" s="66">
        <v>0.18948699999999999</v>
      </c>
      <c r="C36" s="66">
        <v>0.12754199999999999</v>
      </c>
      <c r="D36" s="66">
        <v>0.67309399999999997</v>
      </c>
      <c r="E36" s="66">
        <v>0</v>
      </c>
      <c r="F36" s="66">
        <v>3.8939300000000003E-2</v>
      </c>
      <c r="G36" s="66">
        <v>0</v>
      </c>
      <c r="H36" s="66">
        <v>0.63428300000000004</v>
      </c>
    </row>
    <row r="37" spans="1:8">
      <c r="A37" s="58" t="s">
        <v>334</v>
      </c>
      <c r="B37" s="66">
        <v>0.53526399999999996</v>
      </c>
      <c r="C37" s="66">
        <v>0.19073699999999999</v>
      </c>
      <c r="D37" s="66">
        <v>0.35634100000000002</v>
      </c>
      <c r="E37" s="66">
        <v>0.1</v>
      </c>
      <c r="F37" s="66">
        <v>2.2680499999999999E-2</v>
      </c>
      <c r="G37" s="66">
        <v>0.5</v>
      </c>
      <c r="H37" s="66">
        <v>0.68345100000000003</v>
      </c>
    </row>
    <row r="38" spans="1:8">
      <c r="A38" s="58" t="s">
        <v>335</v>
      </c>
      <c r="B38" s="66">
        <v>-6.7480799999999999</v>
      </c>
      <c r="C38" s="66">
        <v>84.255600000000001</v>
      </c>
      <c r="D38" s="66">
        <v>-12.485900000000001</v>
      </c>
      <c r="E38" s="66">
        <v>0</v>
      </c>
      <c r="F38" s="66">
        <v>-177.958</v>
      </c>
      <c r="G38" s="66">
        <v>0</v>
      </c>
      <c r="H38" s="66">
        <v>470.59500000000003</v>
      </c>
    </row>
    <row r="39" spans="1:8">
      <c r="A39" s="58" t="s">
        <v>336</v>
      </c>
      <c r="B39" s="66">
        <v>-2.1071599999999999</v>
      </c>
      <c r="C39" s="66">
        <v>7.0081300000000004</v>
      </c>
      <c r="D39" s="66">
        <v>-3.32586</v>
      </c>
      <c r="E39" s="66">
        <v>0</v>
      </c>
      <c r="F39" s="66">
        <v>-14.5014</v>
      </c>
      <c r="G39" s="66">
        <v>0</v>
      </c>
      <c r="H39" s="66">
        <v>36.277999999999999</v>
      </c>
    </row>
    <row r="40" spans="1:8">
      <c r="A40" s="58" t="s">
        <v>337</v>
      </c>
      <c r="B40" s="66">
        <v>-1.33666</v>
      </c>
      <c r="C40" s="66">
        <v>0.85183200000000003</v>
      </c>
      <c r="D40" s="66">
        <v>-0.63728399999999996</v>
      </c>
      <c r="E40" s="66">
        <v>0</v>
      </c>
      <c r="F40" s="66">
        <v>-3.29711</v>
      </c>
      <c r="G40" s="66">
        <v>0</v>
      </c>
      <c r="H40" s="66">
        <v>0.168159</v>
      </c>
    </row>
    <row r="41" spans="1:8">
      <c r="A41" s="58" t="s">
        <v>338</v>
      </c>
      <c r="B41" s="66">
        <v>-3.9926900000000001E-2</v>
      </c>
      <c r="C41" s="66">
        <v>0.34062799999999999</v>
      </c>
      <c r="D41" s="66">
        <v>-8.5312699999999992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2.21248E-2</v>
      </c>
      <c r="C42" s="66">
        <v>8.9909500000000003E-2</v>
      </c>
      <c r="D42" s="66">
        <v>4.0637400000000001</v>
      </c>
      <c r="E42" s="66">
        <v>0</v>
      </c>
      <c r="F42" s="66">
        <v>-0.2054</v>
      </c>
      <c r="G42" s="66">
        <v>0</v>
      </c>
      <c r="H42" s="66">
        <v>0.51425200000000004</v>
      </c>
    </row>
    <row r="43" spans="1:8">
      <c r="A43" s="58" t="s">
        <v>340</v>
      </c>
      <c r="B43" s="66">
        <v>-9.3571599999999996E-4</v>
      </c>
      <c r="C43" s="66">
        <v>5.4586599999999999E-2</v>
      </c>
      <c r="D43" s="66">
        <v>-58.3367</v>
      </c>
      <c r="E43" s="66">
        <v>0</v>
      </c>
      <c r="F43" s="66">
        <v>-0.13889299999999999</v>
      </c>
      <c r="G43" s="66">
        <v>0</v>
      </c>
      <c r="H43" s="66">
        <v>8.8383699999999996E-2</v>
      </c>
    </row>
    <row r="44" spans="1:8">
      <c r="A44" s="58" t="s">
        <v>341</v>
      </c>
      <c r="B44" s="66">
        <v>-30.583500000000001</v>
      </c>
      <c r="C44" s="66">
        <v>12.5572</v>
      </c>
      <c r="D44" s="66">
        <v>-0.41058800000000001</v>
      </c>
      <c r="E44" s="66">
        <v>0</v>
      </c>
      <c r="F44" s="66">
        <v>-58.610300000000002</v>
      </c>
      <c r="G44" s="66">
        <v>0</v>
      </c>
      <c r="H44" s="66">
        <v>-4.4695400000000003</v>
      </c>
    </row>
    <row r="45" spans="1:8">
      <c r="A45" s="58" t="s">
        <v>342</v>
      </c>
      <c r="B45" s="66">
        <v>53.149500000000003</v>
      </c>
      <c r="C45" s="66">
        <v>6.1514600000000002</v>
      </c>
      <c r="D45" s="66">
        <v>0.11573899999999999</v>
      </c>
      <c r="E45" s="66">
        <v>0</v>
      </c>
      <c r="F45" s="66">
        <v>39.114899999999999</v>
      </c>
      <c r="G45" s="66">
        <v>0</v>
      </c>
      <c r="H45" s="66">
        <v>68.278499999999994</v>
      </c>
    </row>
    <row r="46" spans="1:8">
      <c r="A46" s="58" t="s">
        <v>343</v>
      </c>
      <c r="B46" s="66">
        <v>31.819600000000001</v>
      </c>
      <c r="C46" s="66">
        <v>4.61754</v>
      </c>
      <c r="D46" s="66">
        <v>0.14511599999999999</v>
      </c>
      <c r="E46" s="66">
        <v>0</v>
      </c>
      <c r="F46" s="66">
        <v>18.071300000000001</v>
      </c>
      <c r="G46" s="66">
        <v>0</v>
      </c>
      <c r="H46" s="66">
        <v>37.366199999999999</v>
      </c>
    </row>
    <row r="47" spans="1:8">
      <c r="A47" s="58" t="s">
        <v>344</v>
      </c>
      <c r="B47" s="66">
        <v>1.0286299999999999</v>
      </c>
      <c r="C47" s="66">
        <v>0.37554900000000002</v>
      </c>
      <c r="D47" s="66">
        <v>0.365095</v>
      </c>
      <c r="E47" s="66">
        <v>0</v>
      </c>
      <c r="F47" s="66">
        <v>0.245698</v>
      </c>
      <c r="G47" s="66">
        <v>0</v>
      </c>
      <c r="H47" s="66">
        <v>2.3938799999999998</v>
      </c>
    </row>
    <row r="48" spans="1:8">
      <c r="A48" s="58" t="s">
        <v>345</v>
      </c>
      <c r="B48" s="66">
        <v>0.85680599999999996</v>
      </c>
      <c r="C48" s="66">
        <v>0.190385</v>
      </c>
      <c r="D48" s="66">
        <v>0.22220400000000001</v>
      </c>
      <c r="E48" s="66">
        <v>0</v>
      </c>
      <c r="F48" s="66">
        <v>0.446689</v>
      </c>
      <c r="G48" s="66">
        <v>0</v>
      </c>
      <c r="H48" s="66">
        <v>1.1458200000000001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6.8764000000000038</v>
      </c>
      <c r="C5" s="66">
        <f>'M2'!C5-'M1'!C5</f>
        <v>-1.6233499999999998</v>
      </c>
      <c r="D5" s="66">
        <f>'M2'!D5-'M1'!D5</f>
        <v>-6.0713699999999999</v>
      </c>
      <c r="E5" s="66">
        <f>'M2'!E5-'M1'!E5</f>
        <v>0</v>
      </c>
      <c r="F5" s="66">
        <f>'M2'!F5-'M1'!F5</f>
        <v>11.067999999999998</v>
      </c>
      <c r="G5" s="66">
        <f>'M2'!G5-'M1'!G5</f>
        <v>0</v>
      </c>
      <c r="H5" s="66">
        <f>'M2'!H5-'M1'!H5</f>
        <v>7.2102000000000004</v>
      </c>
    </row>
    <row r="6" spans="1:8">
      <c r="A6" s="66" t="s">
        <v>244</v>
      </c>
      <c r="B6" s="66">
        <f>'M2'!B6-'M1'!B6</f>
        <v>0.59280000000000044</v>
      </c>
      <c r="C6" s="66">
        <f>'M2'!C6-'M1'!C6</f>
        <v>-0.43870999999999993</v>
      </c>
      <c r="D6" s="66">
        <f>'M2'!D6-'M1'!D6</f>
        <v>-1.5271799999999995</v>
      </c>
      <c r="E6" s="66">
        <f>'M2'!E6-'M1'!E6</f>
        <v>0</v>
      </c>
      <c r="F6" s="66">
        <f>'M2'!F6-'M1'!F6</f>
        <v>2.1829000000000001</v>
      </c>
      <c r="G6" s="66">
        <f>'M2'!G6-'M1'!G6</f>
        <v>0</v>
      </c>
      <c r="H6" s="66">
        <f>'M2'!H6-'M1'!H6</f>
        <v>1.5765999999999991</v>
      </c>
    </row>
    <row r="7" spans="1:8">
      <c r="A7" s="66" t="s">
        <v>245</v>
      </c>
      <c r="B7" s="66">
        <f>'M2'!B7-'M1'!B7</f>
        <v>-1.9222999999999999</v>
      </c>
      <c r="C7" s="66">
        <f>'M2'!C7-'M1'!C7</f>
        <v>-0.61262000000000061</v>
      </c>
      <c r="D7" s="66">
        <f>'M2'!D7-'M1'!D7</f>
        <v>-0.37170000000000059</v>
      </c>
      <c r="E7" s="66">
        <f>'M2'!E7-'M1'!E7</f>
        <v>0</v>
      </c>
      <c r="F7" s="66">
        <f>'M2'!F7-'M1'!F7</f>
        <v>-1.5120900000000006</v>
      </c>
      <c r="G7" s="66">
        <f>'M2'!G7-'M1'!G7</f>
        <v>0</v>
      </c>
      <c r="H7" s="66">
        <f>'M2'!H7-'M1'!H7</f>
        <v>-1.1532000000000053</v>
      </c>
    </row>
    <row r="8" spans="1:8">
      <c r="A8" s="66" t="s">
        <v>246</v>
      </c>
      <c r="B8" s="66">
        <f>'M2'!B8-'M1'!B8</f>
        <v>2.8157999999999959</v>
      </c>
      <c r="C8" s="66">
        <f>'M2'!C8-'M1'!C8</f>
        <v>-0.30452999999999975</v>
      </c>
      <c r="D8" s="66">
        <f>'M2'!D8-'M1'!D8</f>
        <v>-1.6919199999999996</v>
      </c>
      <c r="E8" s="66">
        <f>'M2'!E8-'M1'!E8</f>
        <v>0</v>
      </c>
      <c r="F8" s="66">
        <f>'M2'!F8-'M1'!F8</f>
        <v>1.4649999999999999</v>
      </c>
      <c r="G8" s="66">
        <f>'M2'!G8-'M1'!G8</f>
        <v>0</v>
      </c>
      <c r="H8" s="66">
        <f>'M2'!H8-'M1'!H8</f>
        <v>2.664200000000001</v>
      </c>
    </row>
    <row r="9" spans="1:8">
      <c r="A9" s="66" t="s">
        <v>247</v>
      </c>
      <c r="B9" s="66">
        <f>'M2'!B9-'M1'!B9</f>
        <v>4.6947000000000045</v>
      </c>
      <c r="C9" s="66">
        <f>'M2'!C9-'M1'!C9</f>
        <v>-1.41526</v>
      </c>
      <c r="D9" s="66">
        <f>'M2'!D9-'M1'!D9</f>
        <v>-2.7886599999999993</v>
      </c>
      <c r="E9" s="66">
        <f>'M2'!E9-'M1'!E9</f>
        <v>0</v>
      </c>
      <c r="F9" s="66">
        <f>'M2'!F9-'M1'!F9</f>
        <v>10.299300000000002</v>
      </c>
      <c r="G9" s="66">
        <f>'M2'!G9-'M1'!G9</f>
        <v>0</v>
      </c>
      <c r="H9" s="66">
        <f>'M2'!H9-'M1'!H9</f>
        <v>6.2265000000000015</v>
      </c>
    </row>
    <row r="10" spans="1:8">
      <c r="A10" s="66" t="s">
        <v>248</v>
      </c>
      <c r="B10" s="66">
        <f>'M2'!B10-'M1'!B10</f>
        <v>-2.8682000000000016</v>
      </c>
      <c r="C10" s="66">
        <f>'M2'!C10-'M1'!C10</f>
        <v>-0.59941000000000022</v>
      </c>
      <c r="D10" s="66">
        <f>'M2'!D10-'M1'!D10</f>
        <v>-0.6864300000000001</v>
      </c>
      <c r="E10" s="66">
        <f>'M2'!E10-'M1'!E10</f>
        <v>0</v>
      </c>
      <c r="F10" s="66">
        <f>'M2'!F10-'M1'!F10</f>
        <v>-2.029200000000003</v>
      </c>
      <c r="G10" s="66">
        <f>'M2'!G10-'M1'!G10</f>
        <v>0</v>
      </c>
      <c r="H10" s="66">
        <f>'M2'!H10-'M1'!H10</f>
        <v>-3.2868000000000137</v>
      </c>
    </row>
    <row r="11" spans="1:8">
      <c r="A11" s="66" t="s">
        <v>249</v>
      </c>
      <c r="B11" s="66">
        <f>'M2'!B11-'M1'!B11</f>
        <v>6.3053000000000008</v>
      </c>
      <c r="C11" s="66">
        <f>'M2'!C11-'M1'!C11</f>
        <v>-1.7275799999999999</v>
      </c>
      <c r="D11" s="66">
        <f>'M2'!D11-'M1'!D11</f>
        <v>-12.81648</v>
      </c>
      <c r="E11" s="66">
        <f>'M2'!E11-'M1'!E11</f>
        <v>0</v>
      </c>
      <c r="F11" s="66">
        <f>'M2'!F11-'M1'!F11</f>
        <v>7.2114999999999991</v>
      </c>
      <c r="G11" s="66">
        <f>'M2'!G11-'M1'!G11</f>
        <v>0</v>
      </c>
      <c r="H11" s="66">
        <f>'M2'!H11-'M1'!H11</f>
        <v>1.508700000000001</v>
      </c>
    </row>
    <row r="12" spans="1:8">
      <c r="A12" s="66" t="s">
        <v>250</v>
      </c>
      <c r="B12" s="66">
        <f>'M2'!B12-'M1'!B12</f>
        <v>1.0541999999999945</v>
      </c>
      <c r="C12" s="66">
        <f>'M2'!C12-'M1'!C12</f>
        <v>-4.8210000000000086E-2</v>
      </c>
      <c r="D12" s="66">
        <f>'M2'!D12-'M1'!D12</f>
        <v>-0.11978</v>
      </c>
      <c r="E12" s="66">
        <f>'M2'!E12-'M1'!E12</f>
        <v>0</v>
      </c>
      <c r="F12" s="66">
        <f>'M2'!F12-'M1'!F12</f>
        <v>1.6298999999999992</v>
      </c>
      <c r="G12" s="66">
        <f>'M2'!G12-'M1'!G12</f>
        <v>0</v>
      </c>
      <c r="H12" s="66">
        <f>'M2'!H12-'M1'!H12</f>
        <v>2.8832000000000022</v>
      </c>
    </row>
    <row r="13" spans="1:8">
      <c r="A13" s="66" t="s">
        <v>251</v>
      </c>
      <c r="B13" s="66">
        <f>'M2'!B13-'M1'!B13</f>
        <v>-0.69999999999999929</v>
      </c>
      <c r="C13" s="66">
        <f>'M2'!C13-'M1'!C13</f>
        <v>5.0810000000000244E-2</v>
      </c>
      <c r="D13" s="66">
        <f>'M2'!D13-'M1'!D13</f>
        <v>0.97349999999999781</v>
      </c>
      <c r="E13" s="66">
        <f>'M2'!E13-'M1'!E13</f>
        <v>0</v>
      </c>
      <c r="F13" s="66">
        <f>'M2'!F13-'M1'!F13</f>
        <v>0.83259999999999934</v>
      </c>
      <c r="G13" s="66">
        <f>'M2'!G13-'M1'!G13</f>
        <v>0</v>
      </c>
      <c r="H13" s="66">
        <f>'M2'!H13-'M1'!H13</f>
        <v>-3.4994999999999976</v>
      </c>
    </row>
    <row r="14" spans="1:8">
      <c r="A14" s="66" t="s">
        <v>252</v>
      </c>
      <c r="B14" s="66">
        <f>'M2'!B14-'M1'!B14</f>
        <v>0.50809999999999889</v>
      </c>
      <c r="C14" s="66">
        <f>'M2'!C14-'M1'!C14</f>
        <v>6.8099999999997607E-2</v>
      </c>
      <c r="D14" s="66">
        <f>'M2'!D14-'M1'!D14</f>
        <v>-0.21470000000000056</v>
      </c>
      <c r="E14" s="66">
        <f>'M2'!E14-'M1'!E14</f>
        <v>0</v>
      </c>
      <c r="F14" s="66">
        <f>'M2'!F14-'M1'!F14</f>
        <v>-1.9939199999999997</v>
      </c>
      <c r="G14" s="66">
        <f>'M2'!G14-'M1'!G14</f>
        <v>0</v>
      </c>
      <c r="H14" s="66">
        <f>'M2'!H14-'M1'!H14</f>
        <v>5.3130000000000024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4.8804000000000014E-2</v>
      </c>
      <c r="C18" s="66">
        <f>'M2'!C18-'M1'!C18</f>
        <v>7.3224300000000004E-3</v>
      </c>
      <c r="D18" s="66">
        <f>'M2'!D18-'M1'!D18</f>
        <v>1.34377E-2</v>
      </c>
      <c r="E18" s="66">
        <f>'M2'!E18-'M1'!E18</f>
        <v>0</v>
      </c>
      <c r="F18" s="66">
        <f>'M2'!F18-'M1'!F18</f>
        <v>0.53759599999999996</v>
      </c>
      <c r="G18" s="66">
        <f>'M2'!G18-'M1'!G18</f>
        <v>0</v>
      </c>
      <c r="H18" s="66">
        <f>'M2'!H18-'M1'!H18</f>
        <v>0.55224099999999998</v>
      </c>
    </row>
    <row r="19" spans="1:8">
      <c r="A19" s="66" t="s">
        <v>256</v>
      </c>
      <c r="B19" s="66">
        <f>'M2'!B19-'M1'!B19</f>
        <v>8.5447999999999968E-2</v>
      </c>
      <c r="C19" s="66">
        <f>'M2'!C19-'M1'!C19</f>
        <v>2.58842E-2</v>
      </c>
      <c r="D19" s="66">
        <f>'M2'!D19-'M1'!D19</f>
        <v>3.9488500000000003E-2</v>
      </c>
      <c r="E19" s="66">
        <f>'M2'!E19-'M1'!E19</f>
        <v>0</v>
      </c>
      <c r="F19" s="66">
        <f>'M2'!F19-'M1'!F19</f>
        <v>0.62960400000000005</v>
      </c>
      <c r="G19" s="66">
        <f>'M2'!G19-'M1'!G19</f>
        <v>0</v>
      </c>
      <c r="H19" s="66">
        <f>'M2'!H19-'M1'!H19</f>
        <v>0.68137300000000001</v>
      </c>
    </row>
    <row r="20" spans="1:8">
      <c r="A20" s="66" t="s">
        <v>63</v>
      </c>
      <c r="B20" s="66">
        <f>'M2'!B20-'M1'!B20</f>
        <v>-2.6973700000000004E-4</v>
      </c>
      <c r="C20" s="66">
        <f>'M2'!C20-'M1'!C20</f>
        <v>8.7000000000003741E-6</v>
      </c>
      <c r="D20" s="66">
        <f>'M2'!D20-'M1'!D20</f>
        <v>12.814799999999998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6.5711999999999993E-2</v>
      </c>
    </row>
    <row r="21" spans="1:8">
      <c r="A21" s="66" t="s">
        <v>64</v>
      </c>
      <c r="B21" s="66">
        <f>'M2'!B21-'M1'!B21</f>
        <v>3.7628999999999996E-3</v>
      </c>
      <c r="C21" s="66">
        <f>'M2'!C21-'M1'!C21</f>
        <v>-6.1954999999999982E-2</v>
      </c>
      <c r="D21" s="66">
        <f>'M2'!D21-'M1'!D21</f>
        <v>-0.82166000000000006</v>
      </c>
      <c r="E21" s="66">
        <f>'M2'!E21-'M1'!E21</f>
        <v>0</v>
      </c>
      <c r="F21" s="66">
        <f>'M2'!F21-'M1'!F21</f>
        <v>5.7215E-5</v>
      </c>
      <c r="G21" s="66">
        <f>'M2'!G21-'M1'!G21</f>
        <v>0</v>
      </c>
      <c r="H21" s="66">
        <f>'M2'!H21-'M1'!H21</f>
        <v>-0.64955000000000007</v>
      </c>
    </row>
    <row r="22" spans="1:8">
      <c r="A22" s="66" t="s">
        <v>65</v>
      </c>
      <c r="B22" s="66">
        <f>'M2'!B22-'M1'!B22</f>
        <v>-1.2950999999999979</v>
      </c>
      <c r="C22" s="66">
        <f>'M2'!C22-'M1'!C22</f>
        <v>-1.1654599999999995</v>
      </c>
      <c r="D22" s="66">
        <f>'M2'!D22-'M1'!D22</f>
        <v>-1.9201999999999997E-2</v>
      </c>
      <c r="E22" s="66">
        <f>'M2'!E22-'M1'!E22</f>
        <v>0</v>
      </c>
      <c r="F22" s="66">
        <f>'M2'!F22-'M1'!F22</f>
        <v>3.2210000000000001</v>
      </c>
      <c r="G22" s="66">
        <f>'M2'!G22-'M1'!G22</f>
        <v>0</v>
      </c>
      <c r="H22" s="66">
        <f>'M2'!H22-'M1'!H22</f>
        <v>-2.1721000000000004</v>
      </c>
    </row>
    <row r="23" spans="1:8">
      <c r="A23" s="66" t="s">
        <v>66</v>
      </c>
      <c r="B23" s="66">
        <f>'M2'!B23-'M1'!B23</f>
        <v>0.89249999999999829</v>
      </c>
      <c r="C23" s="66">
        <f>'M2'!C23-'M1'!C23</f>
        <v>-1.2562729999999998</v>
      </c>
      <c r="D23" s="66">
        <f>'M2'!D23-'M1'!D23</f>
        <v>-6.9647899999999999E-2</v>
      </c>
      <c r="E23" s="66">
        <f>'M2'!E23-'M1'!E23</f>
        <v>0</v>
      </c>
      <c r="F23" s="66">
        <f>'M2'!F23-'M1'!F23</f>
        <v>4.6570999999999998</v>
      </c>
      <c r="G23" s="66">
        <f>'M2'!G23-'M1'!G23</f>
        <v>0</v>
      </c>
      <c r="H23" s="66">
        <f>'M2'!H23-'M1'!H23</f>
        <v>0.17999999999999972</v>
      </c>
    </row>
    <row r="24" spans="1:8">
      <c r="A24" s="66" t="s">
        <v>67</v>
      </c>
      <c r="B24" s="66">
        <f>'M2'!B24-'M1'!B24</f>
        <v>-1.1493900000000001E-3</v>
      </c>
      <c r="C24" s="66">
        <f>'M2'!C24-'M1'!C24</f>
        <v>8.7769999999999862E-4</v>
      </c>
      <c r="D24" s="66">
        <f>'M2'!D24-'M1'!D24</f>
        <v>5.5857399999999995</v>
      </c>
      <c r="E24" s="66">
        <f>'M2'!E24-'M1'!E24</f>
        <v>0</v>
      </c>
      <c r="F24" s="66">
        <f>'M2'!F24-'M1'!F24</f>
        <v>1.2397600000000005E-5</v>
      </c>
      <c r="G24" s="66">
        <f>'M2'!G24-'M1'!G24</f>
        <v>0</v>
      </c>
      <c r="H24" s="66">
        <f>'M2'!H24-'M1'!H24</f>
        <v>2.8029999999999999E-2</v>
      </c>
    </row>
    <row r="25" spans="1:8">
      <c r="A25" s="66" t="s">
        <v>68</v>
      </c>
      <c r="B25" s="66">
        <f>'M2'!B25-'M1'!B25</f>
        <v>-4.9121999999999999E-2</v>
      </c>
      <c r="C25" s="66">
        <f>'M2'!C25-'M1'!C25</f>
        <v>-3.8045999999999996E-2</v>
      </c>
      <c r="D25" s="66">
        <f>'M2'!D25-'M1'!D25</f>
        <v>0.16014000000000017</v>
      </c>
      <c r="E25" s="66">
        <f>'M2'!E25-'M1'!E25</f>
        <v>0</v>
      </c>
      <c r="F25" s="66">
        <f>'M2'!F25-'M1'!F25</f>
        <v>5.8122999999999994E-3</v>
      </c>
      <c r="G25" s="66">
        <f>'M2'!G25-'M1'!G25</f>
        <v>0</v>
      </c>
      <c r="H25" s="66">
        <f>'M2'!H25-'M1'!H25</f>
        <v>-0.24104400000000004</v>
      </c>
    </row>
    <row r="26" spans="1:8">
      <c r="A26" s="66" t="s">
        <v>69</v>
      </c>
      <c r="B26" s="66">
        <f>'M2'!B26-'M1'!B26</f>
        <v>-7.5498999999999976E-5</v>
      </c>
      <c r="C26" s="66">
        <f>'M2'!C26-'M1'!C26</f>
        <v>-1.9915999999999988E-4</v>
      </c>
      <c r="D26" s="66">
        <f>'M2'!D26-'M1'!D26</f>
        <v>3.3699000000000012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3.9653000000000015E-3</v>
      </c>
    </row>
    <row r="27" spans="1:8">
      <c r="A27" s="66" t="s">
        <v>70</v>
      </c>
      <c r="B27" s="66">
        <f>'M2'!B27-'M1'!B27</f>
        <v>3.2825600000000003E-6</v>
      </c>
      <c r="C27" s="66">
        <f>'M2'!C27-'M1'!C27</f>
        <v>-8.7560000000000198E-5</v>
      </c>
      <c r="D27" s="66">
        <f>'M2'!D27-'M1'!D27</f>
        <v>-41.182000000000002</v>
      </c>
      <c r="E27" s="66">
        <f>'M2'!E27-'M1'!E27</f>
        <v>0</v>
      </c>
      <c r="F27" s="66">
        <f>'M2'!F27-'M1'!F27</f>
        <v>1.0865300000000005E-3</v>
      </c>
      <c r="G27" s="66">
        <f>'M2'!G27-'M1'!G27</f>
        <v>0</v>
      </c>
      <c r="H27" s="66">
        <f>'M2'!H27-'M1'!H27</f>
        <v>3.3350799999999989E-3</v>
      </c>
    </row>
    <row r="28" spans="1:8">
      <c r="A28" s="66" t="s">
        <v>71</v>
      </c>
      <c r="B28" s="66">
        <f>'M2'!B28-'M1'!B28</f>
        <v>2.0509999999999973E-4</v>
      </c>
      <c r="C28" s="66">
        <f>'M2'!C28-'M1'!C28</f>
        <v>-4.8549999999999982E-3</v>
      </c>
      <c r="D28" s="66">
        <f>'M2'!D28-'M1'!D28</f>
        <v>-0.49537000000000009</v>
      </c>
      <c r="E28" s="66">
        <f>'M2'!E28-'M1'!E28</f>
        <v>0</v>
      </c>
      <c r="F28" s="66">
        <f>'M2'!F28-'M1'!F28</f>
        <v>-6.5104999999999981E-6</v>
      </c>
      <c r="G28" s="66">
        <f>'M2'!G28-'M1'!G28</f>
        <v>0</v>
      </c>
      <c r="H28" s="66">
        <f>'M2'!H28-'M1'!H28</f>
        <v>-3.4971000000000002E-2</v>
      </c>
    </row>
    <row r="29" spans="1:8">
      <c r="A29" s="66" t="s">
        <v>72</v>
      </c>
      <c r="B29" s="66">
        <f>'M2'!B29-'M1'!B29</f>
        <v>2.9663000000000039</v>
      </c>
      <c r="C29" s="66">
        <f>'M2'!C29-'M1'!C29</f>
        <v>0.47646000000000122</v>
      </c>
      <c r="D29" s="66">
        <f>'M2'!D29-'M1'!D29</f>
        <v>7.8100000000000391E-4</v>
      </c>
      <c r="E29" s="66">
        <f>'M2'!E29-'M1'!E29</f>
        <v>0</v>
      </c>
      <c r="F29" s="66">
        <f>'M2'!F29-'M1'!F29</f>
        <v>-1.8453000000000017</v>
      </c>
      <c r="G29" s="66">
        <f>'M2'!G29-'M1'!G29</f>
        <v>0</v>
      </c>
      <c r="H29" s="66">
        <f>'M2'!H29-'M1'!H29</f>
        <v>10.112799999999993</v>
      </c>
    </row>
    <row r="30" spans="1:8">
      <c r="A30" s="66" t="s">
        <v>73</v>
      </c>
      <c r="B30" s="66">
        <f>'M2'!B30-'M1'!B30</f>
        <v>1.7504999999999988</v>
      </c>
      <c r="C30" s="66">
        <f>'M2'!C30-'M1'!C30</f>
        <v>-1.4038649999999997</v>
      </c>
      <c r="D30" s="66">
        <f>'M2'!D30-'M1'!D30</f>
        <v>-6.6421100000000011E-2</v>
      </c>
      <c r="E30" s="66">
        <f>'M2'!E30-'M1'!E30</f>
        <v>0</v>
      </c>
      <c r="F30" s="66">
        <f>'M2'!F30-'M1'!F30</f>
        <v>6.5761000000000003</v>
      </c>
      <c r="G30" s="66">
        <f>'M2'!G30-'M1'!G30</f>
        <v>0</v>
      </c>
      <c r="H30" s="66">
        <f>'M2'!H30-'M1'!H30</f>
        <v>0.67849999999999966</v>
      </c>
    </row>
    <row r="31" spans="1:8">
      <c r="A31" s="66" t="s">
        <v>74</v>
      </c>
      <c r="B31" s="66">
        <f>'M2'!B31-'M1'!B31</f>
        <v>-16.211999999999989</v>
      </c>
      <c r="C31" s="66">
        <f>'M2'!C31-'M1'!C31</f>
        <v>-25.482499999999998</v>
      </c>
      <c r="D31" s="66">
        <f>'M2'!D31-'M1'!D31</f>
        <v>-9.5498300000000008E-2</v>
      </c>
      <c r="E31" s="66">
        <f>'M2'!E31-'M1'!E31</f>
        <v>0</v>
      </c>
      <c r="F31" s="66">
        <f>'M2'!F31-'M1'!F31</f>
        <v>73.539999999999992</v>
      </c>
      <c r="G31" s="66">
        <f>'M2'!G31-'M1'!G31</f>
        <v>0</v>
      </c>
      <c r="H31" s="66">
        <f>'M2'!H31-'M1'!H31</f>
        <v>-22.211999999999989</v>
      </c>
    </row>
    <row r="32" spans="1:8">
      <c r="A32" s="66" t="s">
        <v>75</v>
      </c>
      <c r="B32" s="66">
        <f>'M2'!B32-'M1'!B32</f>
        <v>-1.922299999999999E-2</v>
      </c>
      <c r="C32" s="66">
        <f>'M2'!C32-'M1'!C32</f>
        <v>-6.1261999999999983E-3</v>
      </c>
      <c r="D32" s="66">
        <f>'M2'!D32-'M1'!D32</f>
        <v>-3.7169999999999703E-3</v>
      </c>
      <c r="E32" s="66">
        <f>'M2'!E32-'M1'!E32</f>
        <v>0</v>
      </c>
      <c r="F32" s="66">
        <f>'M2'!F32-'M1'!F32</f>
        <v>-1.5120900000000007E-2</v>
      </c>
      <c r="G32" s="66">
        <f>'M2'!G32-'M1'!G32</f>
        <v>0</v>
      </c>
      <c r="H32" s="66">
        <f>'M2'!H32-'M1'!H32</f>
        <v>-1.1532000000000042E-2</v>
      </c>
    </row>
    <row r="33" spans="1:8">
      <c r="A33" s="66" t="s">
        <v>76</v>
      </c>
      <c r="B33" s="66">
        <f>'M2'!B33-'M1'!B33</f>
        <v>-3.8440000000000141E-3</v>
      </c>
      <c r="C33" s="66">
        <f>'M2'!C33-'M1'!C33</f>
        <v>-3.9851999999999978E-3</v>
      </c>
      <c r="D33" s="66">
        <f>'M2'!D33-'M1'!D33</f>
        <v>-1.0500599999999999E-2</v>
      </c>
      <c r="E33" s="66">
        <f>'M2'!E33-'M1'!E33</f>
        <v>0</v>
      </c>
      <c r="F33" s="66">
        <f>'M2'!F33-'M1'!F33</f>
        <v>2.7924000000000004E-2</v>
      </c>
      <c r="G33" s="66">
        <f>'M2'!G33-'M1'!G33</f>
        <v>0</v>
      </c>
      <c r="H33" s="66">
        <f>'M2'!H33-'M1'!H33</f>
        <v>1.2163000000000035E-2</v>
      </c>
    </row>
    <row r="34" spans="1:8">
      <c r="A34" s="66" t="s">
        <v>77</v>
      </c>
      <c r="B34" s="66">
        <f>'M2'!B34-'M1'!B34</f>
        <v>-7.0000000000000062E-3</v>
      </c>
      <c r="C34" s="66">
        <f>'M2'!C34-'M1'!C34</f>
        <v>5.0809999999999744E-4</v>
      </c>
      <c r="D34" s="66">
        <f>'M2'!D34-'M1'!D34</f>
        <v>9.7349999999999937E-3</v>
      </c>
      <c r="E34" s="66">
        <f>'M2'!E34-'M1'!E34</f>
        <v>0</v>
      </c>
      <c r="F34" s="66">
        <f>'M2'!F34-'M1'!F34</f>
        <v>8.3260000000000001E-3</v>
      </c>
      <c r="G34" s="66">
        <f>'M2'!G34-'M1'!G34</f>
        <v>0</v>
      </c>
      <c r="H34" s="66">
        <f>'M2'!H34-'M1'!H34</f>
        <v>-3.4994999999999998E-2</v>
      </c>
    </row>
    <row r="35" spans="1:8">
      <c r="A35" s="66" t="s">
        <v>78</v>
      </c>
      <c r="B35" s="66">
        <f>'M2'!B35-'M1'!B35</f>
        <v>5.5399999999999894E-4</v>
      </c>
      <c r="C35" s="66">
        <f>'M2'!C35-'M1'!C35</f>
        <v>4.9008000000000003E-3</v>
      </c>
      <c r="D35" s="66">
        <f>'M2'!D35-'M1'!D35</f>
        <v>4.5516999999999974E-2</v>
      </c>
      <c r="E35" s="66">
        <f>'M2'!E35-'M1'!E35</f>
        <v>0</v>
      </c>
      <c r="F35" s="66">
        <f>'M2'!F35-'M1'!F35</f>
        <v>-1.3924199999999998E-2</v>
      </c>
      <c r="G35" s="66">
        <f>'M2'!G35-'M1'!G35</f>
        <v>0</v>
      </c>
      <c r="H35" s="66">
        <f>'M2'!H35-'M1'!H35</f>
        <v>-4.5390000000000152E-3</v>
      </c>
    </row>
    <row r="36" spans="1:8">
      <c r="A36" s="66" t="s">
        <v>79</v>
      </c>
      <c r="B36" s="66">
        <f>'M2'!B36-'M1'!B36</f>
        <v>-1.3038000000000022E-2</v>
      </c>
      <c r="C36" s="66">
        <f>'M2'!C36-'M1'!C36</f>
        <v>3.3099999999999796E-4</v>
      </c>
      <c r="D36" s="66">
        <f>'M2'!D36-'M1'!D36</f>
        <v>4.6200000000000019E-2</v>
      </c>
      <c r="E36" s="66">
        <f>'M2'!E36-'M1'!E36</f>
        <v>0</v>
      </c>
      <c r="F36" s="66">
        <f>'M2'!F36-'M1'!F36</f>
        <v>-1.5902999999999959E-3</v>
      </c>
      <c r="G36" s="66">
        <f>'M2'!G36-'M1'!G36</f>
        <v>0</v>
      </c>
      <c r="H36" s="66">
        <f>'M2'!H36-'M1'!H36</f>
        <v>-1.8747000000000069E-2</v>
      </c>
    </row>
    <row r="37" spans="1:8">
      <c r="A37" s="66" t="s">
        <v>80</v>
      </c>
      <c r="B37" s="66">
        <f>'M2'!B37-'M1'!B37</f>
        <v>5.0810000000000022E-3</v>
      </c>
      <c r="C37" s="66">
        <f>'M2'!C37-'M1'!C37</f>
        <v>6.8100000000001493E-4</v>
      </c>
      <c r="D37" s="66">
        <f>'M2'!D37-'M1'!D37</f>
        <v>-2.1469999999999545E-3</v>
      </c>
      <c r="E37" s="66">
        <f>'M2'!E37-'M1'!E37</f>
        <v>0</v>
      </c>
      <c r="F37" s="66">
        <f>'M2'!F37-'M1'!F37</f>
        <v>-1.9939200000000004E-2</v>
      </c>
      <c r="G37" s="66">
        <f>'M2'!G37-'M1'!G37</f>
        <v>0</v>
      </c>
      <c r="H37" s="66">
        <f>'M2'!H37-'M1'!H37</f>
        <v>5.3130000000000011E-2</v>
      </c>
    </row>
    <row r="38" spans="1:8">
      <c r="A38" s="66" t="s">
        <v>81</v>
      </c>
      <c r="B38" s="66">
        <f>'M2'!B38-'M1'!B38</f>
        <v>-6.7588999999999997</v>
      </c>
      <c r="C38" s="66">
        <f>'M2'!C38-'M1'!C38</f>
        <v>-1.1517999999999944</v>
      </c>
      <c r="D38" s="66">
        <f>'M2'!D38-'M1'!D38</f>
        <v>12.550919999999998</v>
      </c>
      <c r="E38" s="66">
        <f>'M2'!E38-'M1'!E38</f>
        <v>0</v>
      </c>
      <c r="F38" s="66">
        <f>'M2'!F38-'M1'!F38</f>
        <v>-35.31</v>
      </c>
      <c r="G38" s="66">
        <f>'M2'!G38-'M1'!G38</f>
        <v>0</v>
      </c>
      <c r="H38" s="66">
        <f>'M2'!H38-'M1'!H38</f>
        <v>46.90300000000002</v>
      </c>
    </row>
    <row r="39" spans="1:8">
      <c r="A39" s="66" t="s">
        <v>82</v>
      </c>
      <c r="B39" s="66">
        <f>'M2'!B39-'M1'!B39</f>
        <v>-0.91057999999999995</v>
      </c>
      <c r="C39" s="66">
        <f>'M2'!C39-'M1'!C39</f>
        <v>-4.1237500000000002</v>
      </c>
      <c r="D39" s="66">
        <f>'M2'!D39-'M1'!D39</f>
        <v>3.8369000000000004</v>
      </c>
      <c r="E39" s="66">
        <f>'M2'!E39-'M1'!E39</f>
        <v>0</v>
      </c>
      <c r="F39" s="66">
        <f>'M2'!F39-'M1'!F39</f>
        <v>0.88750000000000107</v>
      </c>
      <c r="G39" s="66">
        <f>'M2'!G39-'M1'!G39</f>
        <v>0</v>
      </c>
      <c r="H39" s="66">
        <f>'M2'!H39-'M1'!H39</f>
        <v>1.571399999999997</v>
      </c>
    </row>
    <row r="40" spans="1:8">
      <c r="A40" s="66" t="s">
        <v>83</v>
      </c>
      <c r="B40" s="66">
        <f>'M2'!B40-'M1'!B40</f>
        <v>0.99521999999999999</v>
      </c>
      <c r="C40" s="66">
        <f>'M2'!C40-'M1'!C40</f>
        <v>-0.61943900000000007</v>
      </c>
      <c r="D40" s="66">
        <f>'M2'!D40-'M1'!D40</f>
        <v>0.13477099999999997</v>
      </c>
      <c r="E40" s="66">
        <f>'M2'!E40-'M1'!E40</f>
        <v>0</v>
      </c>
      <c r="F40" s="66">
        <f>'M2'!F40-'M1'!F40</f>
        <v>1.3481700000000001</v>
      </c>
      <c r="G40" s="66">
        <f>'M2'!G40-'M1'!G40</f>
        <v>0</v>
      </c>
      <c r="H40" s="66">
        <f>'M2'!H40-'M1'!H40</f>
        <v>-0.43971500000000002</v>
      </c>
    </row>
    <row r="41" spans="1:8">
      <c r="A41" s="66" t="s">
        <v>84</v>
      </c>
      <c r="B41" s="66">
        <f>'M2'!B41-'M1'!B41</f>
        <v>-1.2647999999999965E-3</v>
      </c>
      <c r="C41" s="66">
        <f>'M2'!C41-'M1'!C41</f>
        <v>6.8880000000000052E-3</v>
      </c>
      <c r="D41" s="66">
        <f>'M2'!D41-'M1'!D41</f>
        <v>9.5650000000000901E-2</v>
      </c>
      <c r="E41" s="66">
        <f>'M2'!E41-'M1'!E41</f>
        <v>0</v>
      </c>
      <c r="F41" s="66">
        <f>'M2'!F41-'M1'!F41</f>
        <v>-0.34482800000000002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-1.4201499999999999E-2</v>
      </c>
      <c r="C42" s="66">
        <f>'M2'!C42-'M1'!C42</f>
        <v>-1.2471099999999999E-2</v>
      </c>
      <c r="D42" s="66">
        <f>'M2'!D42-'M1'!D42</f>
        <v>2.5650200000000001</v>
      </c>
      <c r="E42" s="66">
        <f>'M2'!E42-'M1'!E42</f>
        <v>0</v>
      </c>
      <c r="F42" s="66">
        <f>'M2'!F42-'M1'!F42</f>
        <v>-1.8888999999999989E-2</v>
      </c>
      <c r="G42" s="66">
        <f>'M2'!G42-'M1'!G42</f>
        <v>0</v>
      </c>
      <c r="H42" s="66">
        <f>'M2'!H42-'M1'!H42</f>
        <v>0.24439000000000005</v>
      </c>
    </row>
    <row r="43" spans="1:8">
      <c r="A43" s="66" t="s">
        <v>86</v>
      </c>
      <c r="B43" s="66">
        <f>'M2'!B43-'M1'!B43</f>
        <v>8.8346499999999994E-2</v>
      </c>
      <c r="C43" s="66">
        <f>'M2'!C43-'M1'!C43</f>
        <v>-3.5457299999999997E-2</v>
      </c>
      <c r="D43" s="66">
        <f>'M2'!D43-'M1'!D43</f>
        <v>1.8115999999999999</v>
      </c>
      <c r="E43" s="66">
        <f>'M2'!E43-'M1'!E43</f>
        <v>0</v>
      </c>
      <c r="F43" s="66">
        <f>'M2'!F43-'M1'!F43</f>
        <v>0.12344079999999999</v>
      </c>
      <c r="G43" s="66">
        <f>'M2'!G43-'M1'!G43</f>
        <v>0</v>
      </c>
      <c r="H43" s="66">
        <f>'M2'!H43-'M1'!H43</f>
        <v>-2.6348299999999998E-2</v>
      </c>
    </row>
    <row r="44" spans="1:8">
      <c r="A44" s="66" t="s">
        <v>87</v>
      </c>
      <c r="B44" s="66">
        <f>'M2'!B44-'M1'!B44</f>
        <v>1.5731000000000002</v>
      </c>
      <c r="C44" s="66">
        <f>'M2'!C44-'M1'!C44</f>
        <v>2.0890999999999984</v>
      </c>
      <c r="D44" s="66">
        <f>'M2'!D44-'M1'!D44</f>
        <v>-8.9739999999999986E-2</v>
      </c>
      <c r="E44" s="66">
        <f>'M2'!E44-'M1'!E44</f>
        <v>0</v>
      </c>
      <c r="F44" s="66">
        <f>'M2'!F44-'M1'!F44</f>
        <v>-6.4723000000000042</v>
      </c>
      <c r="G44" s="66">
        <f>'M2'!G44-'M1'!G44</f>
        <v>0</v>
      </c>
      <c r="H44" s="66">
        <f>'M2'!H44-'M1'!H44</f>
        <v>2.7499399999999996</v>
      </c>
    </row>
    <row r="45" spans="1:8">
      <c r="A45" s="66" t="s">
        <v>88</v>
      </c>
      <c r="B45" s="66">
        <f>'M2'!B45-'M1'!B45</f>
        <v>2.8146999999999949</v>
      </c>
      <c r="C45" s="66">
        <f>'M2'!C45-'M1'!C45</f>
        <v>0.38975000000000026</v>
      </c>
      <c r="D45" s="66">
        <f>'M2'!D45-'M1'!D45</f>
        <v>1.3650000000000051E-3</v>
      </c>
      <c r="E45" s="66">
        <f>'M2'!E45-'M1'!E45</f>
        <v>0</v>
      </c>
      <c r="F45" s="66">
        <f>'M2'!F45-'M1'!F45</f>
        <v>1.8558999999999983</v>
      </c>
      <c r="G45" s="66">
        <f>'M2'!G45-'M1'!G45</f>
        <v>0</v>
      </c>
      <c r="H45" s="66">
        <f>'M2'!H45-'M1'!H45</f>
        <v>1.6914999999999907</v>
      </c>
    </row>
    <row r="46" spans="1:8">
      <c r="A46" s="66" t="s">
        <v>89</v>
      </c>
      <c r="B46" s="66">
        <f>'M2'!B46-'M1'!B46</f>
        <v>6.5889000000000024</v>
      </c>
      <c r="C46" s="66">
        <f>'M2'!C46-'M1'!C46</f>
        <v>-1.8237999999999999</v>
      </c>
      <c r="D46" s="66">
        <f>'M2'!D46-'M1'!D46</f>
        <v>-8.2754699999999987E-2</v>
      </c>
      <c r="E46" s="66">
        <f>'M2'!E46-'M1'!E46</f>
        <v>0</v>
      </c>
      <c r="F46" s="66">
        <f>'M2'!F46-'M1'!F46</f>
        <v>12.0383</v>
      </c>
      <c r="G46" s="66">
        <f>'M2'!G46-'M1'!G46</f>
        <v>0</v>
      </c>
      <c r="H46" s="66">
        <f>'M2'!H46-'M1'!H46</f>
        <v>4.4179999999999993</v>
      </c>
    </row>
    <row r="47" spans="1:8">
      <c r="A47" s="66" t="s">
        <v>90</v>
      </c>
      <c r="B47" s="66">
        <f>'M2'!B47-'M1'!B47</f>
        <v>0.12281599999999993</v>
      </c>
      <c r="C47" s="66">
        <f>'M2'!C47-'M1'!C47</f>
        <v>-2.7015000000000011E-2</v>
      </c>
      <c r="D47" s="66">
        <f>'M2'!D47-'M1'!D47</f>
        <v>-6.8996999999999975E-2</v>
      </c>
      <c r="E47" s="66">
        <f>'M2'!E47-'M1'!E47</f>
        <v>0</v>
      </c>
      <c r="F47" s="66">
        <f>'M2'!F47-'M1'!F47</f>
        <v>-0.121503</v>
      </c>
      <c r="G47" s="66">
        <f>'M2'!G47-'M1'!G47</f>
        <v>0</v>
      </c>
      <c r="H47" s="66">
        <f>'M2'!H47-'M1'!H47</f>
        <v>9.4499999999999584E-2</v>
      </c>
    </row>
    <row r="48" spans="1:8">
      <c r="A48" s="66" t="s">
        <v>91</v>
      </c>
      <c r="B48" s="66">
        <f>'M2'!B48-'M1'!B48</f>
        <v>0.30735299999999999</v>
      </c>
      <c r="C48" s="66">
        <f>'M2'!C48-'M1'!C48</f>
        <v>-8.8613799999999993E-2</v>
      </c>
      <c r="D48" s="66">
        <f>'M2'!D48-'M1'!D48</f>
        <v>-0.18783470000000002</v>
      </c>
      <c r="E48" s="66">
        <f>'M2'!E48-'M1'!E48</f>
        <v>0</v>
      </c>
      <c r="F48" s="66">
        <f>'M2'!F48-'M1'!F48</f>
        <v>0.30974000000000002</v>
      </c>
      <c r="G48" s="66">
        <f>'M2'!G48-'M1'!G48</f>
        <v>0</v>
      </c>
      <c r="H48" s="66">
        <f>'M2'!H48-'M1'!H48</f>
        <v>8.2100000000000062E-2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346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347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35.044699999999999</v>
      </c>
      <c r="C5" s="66">
        <v>4.69794</v>
      </c>
      <c r="D5" s="66">
        <v>13.4056</v>
      </c>
      <c r="E5" s="66">
        <v>20</v>
      </c>
      <c r="F5" s="66">
        <v>24.253900000000002</v>
      </c>
      <c r="G5" s="66">
        <v>50</v>
      </c>
      <c r="H5" s="66">
        <v>43.970599999999997</v>
      </c>
    </row>
    <row r="6" spans="1:8">
      <c r="A6" s="66" t="s">
        <v>303</v>
      </c>
      <c r="B6" s="66">
        <v>30.525500000000001</v>
      </c>
      <c r="C6" s="66">
        <v>1.88046</v>
      </c>
      <c r="D6" s="66">
        <v>6.16031</v>
      </c>
      <c r="E6" s="66">
        <v>20</v>
      </c>
      <c r="F6" s="66">
        <v>26.795000000000002</v>
      </c>
      <c r="G6" s="66">
        <v>40</v>
      </c>
      <c r="H6" s="66">
        <v>32.984200000000001</v>
      </c>
    </row>
    <row r="7" spans="1:8">
      <c r="A7" s="66" t="s">
        <v>304</v>
      </c>
      <c r="B7" s="66">
        <v>31.576599999999999</v>
      </c>
      <c r="C7" s="66">
        <v>8.2526700000000002</v>
      </c>
      <c r="D7" s="66">
        <v>26.135400000000001</v>
      </c>
      <c r="E7" s="66">
        <v>15</v>
      </c>
      <c r="F7" s="66">
        <v>9.5749200000000005</v>
      </c>
      <c r="G7" s="66">
        <v>40</v>
      </c>
      <c r="H7" s="66">
        <v>39.281100000000002</v>
      </c>
    </row>
    <row r="8" spans="1:8">
      <c r="A8" s="66" t="s">
        <v>305</v>
      </c>
      <c r="B8" s="66">
        <v>31.734000000000002</v>
      </c>
      <c r="C8" s="66">
        <v>3.1559599999999999</v>
      </c>
      <c r="D8" s="66">
        <v>9.9450199999999995</v>
      </c>
      <c r="E8" s="66">
        <v>20</v>
      </c>
      <c r="F8" s="66">
        <v>25.227900000000002</v>
      </c>
      <c r="G8" s="66">
        <v>50</v>
      </c>
      <c r="H8" s="66">
        <v>35.352600000000002</v>
      </c>
    </row>
    <row r="9" spans="1:8">
      <c r="A9" s="66" t="s">
        <v>306</v>
      </c>
      <c r="B9" s="66">
        <v>61.183500000000002</v>
      </c>
      <c r="C9" s="66">
        <v>5.4979500000000003</v>
      </c>
      <c r="D9" s="66">
        <v>8.9859899999999993</v>
      </c>
      <c r="E9" s="66">
        <v>50</v>
      </c>
      <c r="F9" s="66">
        <v>47.7316</v>
      </c>
      <c r="G9" s="66">
        <v>100</v>
      </c>
      <c r="H9" s="66">
        <v>72.695800000000006</v>
      </c>
    </row>
    <row r="10" spans="1:8">
      <c r="A10" s="66" t="s">
        <v>307</v>
      </c>
      <c r="B10" s="66">
        <v>77.038300000000007</v>
      </c>
      <c r="C10" s="66">
        <v>2.4249900000000002</v>
      </c>
      <c r="D10" s="66">
        <v>3.14777</v>
      </c>
      <c r="E10" s="66">
        <v>40</v>
      </c>
      <c r="F10" s="66">
        <v>71.747900000000001</v>
      </c>
      <c r="G10" s="66">
        <v>100</v>
      </c>
      <c r="H10" s="66">
        <v>80.099100000000007</v>
      </c>
    </row>
    <row r="11" spans="1:8">
      <c r="A11" s="66" t="s">
        <v>308</v>
      </c>
      <c r="B11" s="66">
        <v>15.9567</v>
      </c>
      <c r="C11" s="66">
        <v>2.8486099999999999</v>
      </c>
      <c r="D11" s="66">
        <v>17.8521</v>
      </c>
      <c r="E11" s="66">
        <v>10</v>
      </c>
      <c r="F11" s="66">
        <v>12.1195</v>
      </c>
      <c r="G11" s="66">
        <v>50</v>
      </c>
      <c r="H11" s="66">
        <v>22.914400000000001</v>
      </c>
    </row>
    <row r="12" spans="1:8">
      <c r="A12" s="66" t="s">
        <v>309</v>
      </c>
      <c r="B12" s="66">
        <v>68.588700000000003</v>
      </c>
      <c r="C12" s="66">
        <v>2.29094</v>
      </c>
      <c r="D12" s="66">
        <v>3.3401200000000002</v>
      </c>
      <c r="E12" s="66">
        <v>50</v>
      </c>
      <c r="F12" s="66">
        <v>63.553199999999997</v>
      </c>
      <c r="G12" s="66">
        <v>100</v>
      </c>
      <c r="H12" s="66">
        <v>73.768100000000004</v>
      </c>
    </row>
    <row r="13" spans="1:8">
      <c r="A13" s="66" t="s">
        <v>310</v>
      </c>
      <c r="B13" s="66">
        <v>22.686199999999999</v>
      </c>
      <c r="C13" s="66">
        <v>5.2903099999999998</v>
      </c>
      <c r="D13" s="66">
        <v>23.319500000000001</v>
      </c>
      <c r="E13" s="66">
        <v>10</v>
      </c>
      <c r="F13" s="66">
        <v>15.0144</v>
      </c>
      <c r="G13" s="66">
        <v>25</v>
      </c>
      <c r="H13" s="66">
        <v>41.099899999999998</v>
      </c>
    </row>
    <row r="14" spans="1:8">
      <c r="A14" s="66" t="s">
        <v>311</v>
      </c>
      <c r="B14" s="66">
        <v>52.903100000000002</v>
      </c>
      <c r="C14" s="66">
        <v>19.030200000000001</v>
      </c>
      <c r="D14" s="66">
        <v>35.971800000000002</v>
      </c>
      <c r="E14" s="66">
        <v>10</v>
      </c>
      <c r="F14" s="66">
        <v>4.2619699999999998</v>
      </c>
      <c r="G14" s="66">
        <v>50</v>
      </c>
      <c r="H14" s="66">
        <v>63.0321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0.496114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0.57003999999999999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66">
        <v>9.0264100000000003E-4</v>
      </c>
      <c r="C20" s="66">
        <v>2.71115E-2</v>
      </c>
      <c r="D20" s="66">
        <v>30.035699999999999</v>
      </c>
      <c r="E20" s="66">
        <v>0</v>
      </c>
      <c r="F20" s="66">
        <v>0</v>
      </c>
      <c r="G20" s="66">
        <v>0</v>
      </c>
      <c r="H20" s="66">
        <v>0.21051500000000001</v>
      </c>
    </row>
    <row r="21" spans="1:8">
      <c r="A21" s="66" t="s">
        <v>318</v>
      </c>
      <c r="B21" s="66">
        <v>8.9642399999999997E-2</v>
      </c>
      <c r="C21" s="66">
        <v>0.35241299999999998</v>
      </c>
      <c r="D21" s="66">
        <v>3.9313199999999999</v>
      </c>
      <c r="E21" s="66">
        <v>0</v>
      </c>
      <c r="F21" s="66">
        <v>1.7797700000000001E-4</v>
      </c>
      <c r="G21" s="66">
        <v>0</v>
      </c>
      <c r="H21" s="66">
        <v>2.79135</v>
      </c>
    </row>
    <row r="22" spans="1:8">
      <c r="A22" s="66" t="s">
        <v>319</v>
      </c>
      <c r="B22" s="66">
        <v>47.012999999999998</v>
      </c>
      <c r="C22" s="66">
        <v>10.440799999999999</v>
      </c>
      <c r="D22" s="66">
        <v>0.222084</v>
      </c>
      <c r="E22" s="66">
        <v>0</v>
      </c>
      <c r="F22" s="66">
        <v>25.827200000000001</v>
      </c>
      <c r="G22" s="66">
        <v>0</v>
      </c>
      <c r="H22" s="66">
        <v>81.133300000000006</v>
      </c>
    </row>
    <row r="23" spans="1:8">
      <c r="A23" s="66" t="s">
        <v>320</v>
      </c>
      <c r="B23" s="66">
        <v>18.571000000000002</v>
      </c>
      <c r="C23" s="66">
        <v>2.0665399999999998</v>
      </c>
      <c r="D23" s="66">
        <v>0.111278</v>
      </c>
      <c r="E23" s="66">
        <v>0</v>
      </c>
      <c r="F23" s="66">
        <v>12.8505</v>
      </c>
      <c r="G23" s="66">
        <v>0</v>
      </c>
      <c r="H23" s="66">
        <v>20.704899999999999</v>
      </c>
    </row>
    <row r="24" spans="1:8">
      <c r="A24" s="66" t="s">
        <v>321</v>
      </c>
      <c r="B24" s="66">
        <v>2.6545100000000001E-3</v>
      </c>
      <c r="C24" s="66">
        <v>1.73893E-2</v>
      </c>
      <c r="D24" s="66">
        <v>6.5508600000000001</v>
      </c>
      <c r="E24" s="66">
        <v>0</v>
      </c>
      <c r="F24" s="196">
        <v>4.8119299999999999E-5</v>
      </c>
      <c r="G24" s="66">
        <v>0</v>
      </c>
      <c r="H24" s="66">
        <v>0.142958</v>
      </c>
    </row>
    <row r="25" spans="1:8">
      <c r="A25" s="66" t="s">
        <v>322</v>
      </c>
      <c r="B25" s="66">
        <v>0.17564399999999999</v>
      </c>
      <c r="C25" s="66">
        <v>0.20849100000000001</v>
      </c>
      <c r="D25" s="66">
        <v>1.1870099999999999</v>
      </c>
      <c r="E25" s="66">
        <v>0</v>
      </c>
      <c r="F25" s="66">
        <v>1.4903599999999999E-2</v>
      </c>
      <c r="G25" s="66">
        <v>0</v>
      </c>
      <c r="H25" s="66">
        <v>1.05183</v>
      </c>
    </row>
    <row r="26" spans="1:8">
      <c r="A26" s="66" t="s">
        <v>323</v>
      </c>
      <c r="B26" s="66">
        <v>2.4947499999999998E-4</v>
      </c>
      <c r="C26" s="66">
        <v>2.5954099999999998E-3</v>
      </c>
      <c r="D26" s="66">
        <v>10.403499999999999</v>
      </c>
      <c r="E26" s="66">
        <v>0</v>
      </c>
      <c r="F26" s="66">
        <v>0</v>
      </c>
      <c r="G26" s="66">
        <v>0</v>
      </c>
      <c r="H26" s="66">
        <v>2.6148899999999999E-2</v>
      </c>
    </row>
    <row r="27" spans="1:8">
      <c r="A27" s="66" t="s">
        <v>324</v>
      </c>
      <c r="B27" s="196">
        <v>-9.8476899999999999E-6</v>
      </c>
      <c r="C27" s="66">
        <v>1.0737800000000001E-3</v>
      </c>
      <c r="D27" s="66">
        <v>-109.039</v>
      </c>
      <c r="E27" s="66">
        <v>0</v>
      </c>
      <c r="F27" s="66">
        <v>-6.7489500000000001E-3</v>
      </c>
      <c r="G27" s="66">
        <v>0</v>
      </c>
      <c r="H27" s="66">
        <v>5.1043900000000003E-3</v>
      </c>
    </row>
    <row r="28" spans="1:8">
      <c r="A28" s="66" t="s">
        <v>325</v>
      </c>
      <c r="B28" s="66">
        <v>1.05827E-2</v>
      </c>
      <c r="C28" s="66">
        <v>2.5228799999999999E-2</v>
      </c>
      <c r="D28" s="66">
        <v>2.3839700000000001</v>
      </c>
      <c r="E28" s="66">
        <v>0</v>
      </c>
      <c r="F28" s="196">
        <v>6.1848999999999997E-5</v>
      </c>
      <c r="G28" s="66">
        <v>0</v>
      </c>
      <c r="H28" s="66">
        <v>0.160941</v>
      </c>
    </row>
    <row r="29" spans="1:8">
      <c r="A29" s="66" t="s">
        <v>326</v>
      </c>
      <c r="B29" s="66">
        <v>68.206199999999995</v>
      </c>
      <c r="C29" s="66">
        <v>9.6787399999999995</v>
      </c>
      <c r="D29" s="66">
        <v>0.141904</v>
      </c>
      <c r="E29" s="66">
        <v>0</v>
      </c>
      <c r="F29" s="66">
        <v>46.892000000000003</v>
      </c>
      <c r="G29" s="66">
        <v>0</v>
      </c>
      <c r="H29" s="66">
        <v>92.9542</v>
      </c>
    </row>
    <row r="30" spans="1:8">
      <c r="A30" s="66" t="s">
        <v>327</v>
      </c>
      <c r="B30" s="66">
        <v>22.107500000000002</v>
      </c>
      <c r="C30" s="66">
        <v>2.2834599999999998</v>
      </c>
      <c r="D30" s="66">
        <v>0.10328900000000001</v>
      </c>
      <c r="E30" s="66">
        <v>0</v>
      </c>
      <c r="F30" s="66">
        <v>15.064299999999999</v>
      </c>
      <c r="G30" s="66">
        <v>0</v>
      </c>
      <c r="H30" s="66">
        <v>24.756499999999999</v>
      </c>
    </row>
    <row r="31" spans="1:8">
      <c r="A31" s="66" t="s">
        <v>328</v>
      </c>
      <c r="B31" s="66">
        <v>256.988</v>
      </c>
      <c r="C31" s="66">
        <v>39.448599999999999</v>
      </c>
      <c r="D31" s="66">
        <v>0.153503</v>
      </c>
      <c r="E31" s="66">
        <v>0</v>
      </c>
      <c r="F31" s="66">
        <v>141.846</v>
      </c>
      <c r="G31" s="66">
        <v>0</v>
      </c>
      <c r="H31" s="66">
        <v>301.51400000000001</v>
      </c>
    </row>
    <row r="32" spans="1:8">
      <c r="A32" s="66" t="s">
        <v>329</v>
      </c>
      <c r="B32" s="66">
        <v>0.31576599999999999</v>
      </c>
      <c r="C32" s="66">
        <v>8.2526699999999995E-2</v>
      </c>
      <c r="D32" s="66">
        <v>0.26135399999999998</v>
      </c>
      <c r="E32" s="66">
        <v>0.15</v>
      </c>
      <c r="F32" s="66">
        <v>9.5749200000000007E-2</v>
      </c>
      <c r="G32" s="66">
        <v>0.4</v>
      </c>
      <c r="H32" s="66">
        <v>0.39281100000000002</v>
      </c>
    </row>
    <row r="33" spans="1:8">
      <c r="A33" s="66" t="s">
        <v>330</v>
      </c>
      <c r="B33" s="66">
        <v>0.36608200000000002</v>
      </c>
      <c r="C33" s="66">
        <v>1.7287899999999998E-2</v>
      </c>
      <c r="D33" s="66">
        <v>4.7224200000000001E-2</v>
      </c>
      <c r="E33" s="66">
        <v>0</v>
      </c>
      <c r="F33" s="66">
        <v>0.30158600000000002</v>
      </c>
      <c r="G33" s="66">
        <v>0</v>
      </c>
      <c r="H33" s="66">
        <v>0.39118599999999998</v>
      </c>
    </row>
    <row r="34" spans="1:8">
      <c r="A34" s="66" t="s">
        <v>331</v>
      </c>
      <c r="B34" s="66">
        <v>0.22686200000000001</v>
      </c>
      <c r="C34" s="66">
        <v>5.2903100000000002E-2</v>
      </c>
      <c r="D34" s="66">
        <v>0.23319500000000001</v>
      </c>
      <c r="E34" s="66">
        <v>0.1</v>
      </c>
      <c r="F34" s="66">
        <v>0.150144</v>
      </c>
      <c r="G34" s="66">
        <v>0.25</v>
      </c>
      <c r="H34" s="66">
        <v>0.410999</v>
      </c>
    </row>
    <row r="35" spans="1:8">
      <c r="A35" s="66" t="s">
        <v>332</v>
      </c>
      <c r="B35" s="66">
        <v>0.103648</v>
      </c>
      <c r="C35" s="66">
        <v>2.9526899999999998E-2</v>
      </c>
      <c r="D35" s="66">
        <v>0.28487800000000002</v>
      </c>
      <c r="E35" s="66">
        <v>0</v>
      </c>
      <c r="F35" s="66">
        <v>5.4378999999999997E-2</v>
      </c>
      <c r="G35" s="66">
        <v>0</v>
      </c>
      <c r="H35" s="66">
        <v>0.190111</v>
      </c>
    </row>
    <row r="36" spans="1:8">
      <c r="A36" s="66" t="s">
        <v>333</v>
      </c>
      <c r="B36" s="66">
        <v>0.19994200000000001</v>
      </c>
      <c r="C36" s="66">
        <v>0.12733</v>
      </c>
      <c r="D36" s="66">
        <v>0.63683400000000001</v>
      </c>
      <c r="E36" s="66">
        <v>0</v>
      </c>
      <c r="F36" s="66">
        <v>4.0529599999999999E-2</v>
      </c>
      <c r="G36" s="66">
        <v>0</v>
      </c>
      <c r="H36" s="66">
        <v>0.63428300000000004</v>
      </c>
    </row>
    <row r="37" spans="1:8">
      <c r="A37" s="66" t="s">
        <v>334</v>
      </c>
      <c r="B37" s="66">
        <v>0.52903100000000003</v>
      </c>
      <c r="C37" s="66">
        <v>0.190302</v>
      </c>
      <c r="D37" s="66">
        <v>0.35971799999999998</v>
      </c>
      <c r="E37" s="66">
        <v>0.1</v>
      </c>
      <c r="F37" s="66">
        <v>4.2619700000000003E-2</v>
      </c>
      <c r="G37" s="66">
        <v>0.5</v>
      </c>
      <c r="H37" s="66">
        <v>0.63032100000000002</v>
      </c>
    </row>
    <row r="38" spans="1:8">
      <c r="A38" s="66" t="s">
        <v>335</v>
      </c>
      <c r="B38" s="66">
        <v>-4.2061999999999999</v>
      </c>
      <c r="C38" s="66">
        <v>84.928100000000001</v>
      </c>
      <c r="D38" s="66">
        <v>-20.191199999999998</v>
      </c>
      <c r="E38" s="66">
        <v>0</v>
      </c>
      <c r="F38" s="66">
        <v>-142.648</v>
      </c>
      <c r="G38" s="66">
        <v>0</v>
      </c>
      <c r="H38" s="66">
        <v>423.69200000000001</v>
      </c>
    </row>
    <row r="39" spans="1:8">
      <c r="A39" s="66" t="s">
        <v>336</v>
      </c>
      <c r="B39" s="66">
        <v>-1.51593</v>
      </c>
      <c r="C39" s="66">
        <v>8.63443</v>
      </c>
      <c r="D39" s="66">
        <v>-5.6958200000000003</v>
      </c>
      <c r="E39" s="66">
        <v>0</v>
      </c>
      <c r="F39" s="66">
        <v>-14.5014</v>
      </c>
      <c r="G39" s="66">
        <v>0</v>
      </c>
      <c r="H39" s="66">
        <v>34.706600000000002</v>
      </c>
    </row>
    <row r="40" spans="1:8">
      <c r="A40" s="66" t="s">
        <v>337</v>
      </c>
      <c r="B40" s="66">
        <v>-2.1832400000000001</v>
      </c>
      <c r="C40" s="66">
        <v>1.0076400000000001</v>
      </c>
      <c r="D40" s="66">
        <v>-0.461534</v>
      </c>
      <c r="E40" s="66">
        <v>0</v>
      </c>
      <c r="F40" s="66">
        <v>-3.29711</v>
      </c>
      <c r="G40" s="66">
        <v>0</v>
      </c>
      <c r="H40" s="66">
        <v>0.168159</v>
      </c>
    </row>
    <row r="41" spans="1:8">
      <c r="A41" s="66" t="s">
        <v>338</v>
      </c>
      <c r="B41" s="66">
        <v>-3.9562600000000003E-2</v>
      </c>
      <c r="C41" s="66">
        <v>0.33758100000000002</v>
      </c>
      <c r="D41" s="66">
        <v>-8.5328400000000002</v>
      </c>
      <c r="E41" s="66">
        <v>0</v>
      </c>
      <c r="F41" s="66">
        <v>-0.65517199999999998</v>
      </c>
      <c r="G41" s="66">
        <v>0</v>
      </c>
      <c r="H41" s="66">
        <v>1</v>
      </c>
    </row>
    <row r="42" spans="1:8">
      <c r="A42" s="66" t="s">
        <v>339</v>
      </c>
      <c r="B42" s="66">
        <v>2.8163899999999999E-2</v>
      </c>
      <c r="C42" s="66">
        <v>9.5756400000000005E-2</v>
      </c>
      <c r="D42" s="66">
        <v>3.3999700000000002</v>
      </c>
      <c r="E42" s="66">
        <v>0</v>
      </c>
      <c r="F42" s="66">
        <v>-0.18651100000000001</v>
      </c>
      <c r="G42" s="66">
        <v>0</v>
      </c>
      <c r="H42" s="66">
        <v>0.26986199999999999</v>
      </c>
    </row>
    <row r="43" spans="1:8">
      <c r="A43" s="66" t="s">
        <v>340</v>
      </c>
      <c r="B43" s="66">
        <v>-6.7116200000000001E-2</v>
      </c>
      <c r="C43" s="66">
        <v>5.6155099999999999E-2</v>
      </c>
      <c r="D43" s="66">
        <v>-0.83668500000000001</v>
      </c>
      <c r="E43" s="66">
        <v>0</v>
      </c>
      <c r="F43" s="66">
        <v>-0.13889299999999999</v>
      </c>
      <c r="G43" s="66">
        <v>0</v>
      </c>
      <c r="H43" s="66">
        <v>8.8383699999999996E-2</v>
      </c>
    </row>
    <row r="44" spans="1:8">
      <c r="A44" s="66" t="s">
        <v>341</v>
      </c>
      <c r="B44" s="66">
        <v>-31.284500000000001</v>
      </c>
      <c r="C44" s="66">
        <v>11.478300000000001</v>
      </c>
      <c r="D44" s="66">
        <v>-0.3669</v>
      </c>
      <c r="E44" s="66">
        <v>0</v>
      </c>
      <c r="F44" s="66">
        <v>-52.137999999999998</v>
      </c>
      <c r="G44" s="66">
        <v>0</v>
      </c>
      <c r="H44" s="66">
        <v>-7.2194799999999999</v>
      </c>
    </row>
    <row r="45" spans="1:8">
      <c r="A45" s="66" t="s">
        <v>342</v>
      </c>
      <c r="B45" s="66">
        <v>52.018700000000003</v>
      </c>
      <c r="C45" s="66">
        <v>5.8191600000000001</v>
      </c>
      <c r="D45" s="66">
        <v>0.11186699999999999</v>
      </c>
      <c r="E45" s="66">
        <v>0</v>
      </c>
      <c r="F45" s="66">
        <v>39.114899999999999</v>
      </c>
      <c r="G45" s="66">
        <v>0</v>
      </c>
      <c r="H45" s="66">
        <v>66.587000000000003</v>
      </c>
    </row>
    <row r="46" spans="1:8">
      <c r="A46" s="66" t="s">
        <v>343</v>
      </c>
      <c r="B46" s="66">
        <v>26.4465</v>
      </c>
      <c r="C46" s="66">
        <v>3.6527799999999999</v>
      </c>
      <c r="D46" s="66">
        <v>0.13811899999999999</v>
      </c>
      <c r="E46" s="66">
        <v>0</v>
      </c>
      <c r="F46" s="66">
        <v>18.071300000000001</v>
      </c>
      <c r="G46" s="66">
        <v>0</v>
      </c>
      <c r="H46" s="66">
        <v>32.866300000000003</v>
      </c>
    </row>
    <row r="47" spans="1:8">
      <c r="A47" s="66" t="s">
        <v>344</v>
      </c>
      <c r="B47" s="66">
        <v>0.975464</v>
      </c>
      <c r="C47" s="66">
        <v>0.387295</v>
      </c>
      <c r="D47" s="66">
        <v>0.39703699999999997</v>
      </c>
      <c r="E47" s="66">
        <v>0</v>
      </c>
      <c r="F47" s="66">
        <v>0.367201</v>
      </c>
      <c r="G47" s="66">
        <v>0</v>
      </c>
      <c r="H47" s="66">
        <v>2.2993800000000002</v>
      </c>
    </row>
    <row r="48" spans="1:8">
      <c r="A48" s="66" t="s">
        <v>345</v>
      </c>
      <c r="B48" s="66">
        <v>0.63394499999999998</v>
      </c>
      <c r="C48" s="66">
        <v>0.18190799999999999</v>
      </c>
      <c r="D48" s="66">
        <v>0.28694700000000001</v>
      </c>
      <c r="E48" s="66">
        <v>0</v>
      </c>
      <c r="F48" s="66">
        <v>0.446689</v>
      </c>
      <c r="G48" s="66">
        <v>0</v>
      </c>
      <c r="H48" s="66">
        <v>1.06372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346</v>
      </c>
      <c r="D1" s="66" t="s">
        <v>348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347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41.921100000000003</v>
      </c>
      <c r="C5" s="66">
        <v>3.0745900000000002</v>
      </c>
      <c r="D5" s="66">
        <v>7.3342299999999998</v>
      </c>
      <c r="E5" s="66">
        <v>20</v>
      </c>
      <c r="F5" s="66">
        <v>35.321899999999999</v>
      </c>
      <c r="G5" s="66">
        <v>50</v>
      </c>
      <c r="H5" s="66">
        <v>51.180799999999998</v>
      </c>
    </row>
    <row r="6" spans="1:8">
      <c r="A6" s="66" t="s">
        <v>303</v>
      </c>
      <c r="B6" s="66">
        <v>31.118300000000001</v>
      </c>
      <c r="C6" s="66">
        <v>1.4417500000000001</v>
      </c>
      <c r="D6" s="66">
        <v>4.6331300000000004</v>
      </c>
      <c r="E6" s="66">
        <v>20</v>
      </c>
      <c r="F6" s="66">
        <v>28.977900000000002</v>
      </c>
      <c r="G6" s="66">
        <v>40</v>
      </c>
      <c r="H6" s="66">
        <v>34.5608</v>
      </c>
    </row>
    <row r="7" spans="1:8">
      <c r="A7" s="66" t="s">
        <v>304</v>
      </c>
      <c r="B7" s="66">
        <v>29.654299999999999</v>
      </c>
      <c r="C7" s="66">
        <v>7.6400499999999996</v>
      </c>
      <c r="D7" s="66">
        <v>25.7637</v>
      </c>
      <c r="E7" s="66">
        <v>15</v>
      </c>
      <c r="F7" s="66">
        <v>8.0628299999999999</v>
      </c>
      <c r="G7" s="66">
        <v>40</v>
      </c>
      <c r="H7" s="66">
        <v>38.127899999999997</v>
      </c>
    </row>
    <row r="8" spans="1:8">
      <c r="A8" s="66" t="s">
        <v>305</v>
      </c>
      <c r="B8" s="66">
        <v>34.549799999999998</v>
      </c>
      <c r="C8" s="66">
        <v>2.8514300000000001</v>
      </c>
      <c r="D8" s="66">
        <v>8.2530999999999999</v>
      </c>
      <c r="E8" s="66">
        <v>20</v>
      </c>
      <c r="F8" s="66">
        <v>26.692900000000002</v>
      </c>
      <c r="G8" s="66">
        <v>50</v>
      </c>
      <c r="H8" s="66">
        <v>38.016800000000003</v>
      </c>
    </row>
    <row r="9" spans="1:8">
      <c r="A9" s="66" t="s">
        <v>306</v>
      </c>
      <c r="B9" s="66">
        <v>65.878200000000007</v>
      </c>
      <c r="C9" s="66">
        <v>4.0826900000000004</v>
      </c>
      <c r="D9" s="66">
        <v>6.19733</v>
      </c>
      <c r="E9" s="66">
        <v>50</v>
      </c>
      <c r="F9" s="66">
        <v>58.030900000000003</v>
      </c>
      <c r="G9" s="66">
        <v>100</v>
      </c>
      <c r="H9" s="66">
        <v>78.922300000000007</v>
      </c>
    </row>
    <row r="10" spans="1:8">
      <c r="A10" s="66" t="s">
        <v>307</v>
      </c>
      <c r="B10" s="66">
        <v>74.170100000000005</v>
      </c>
      <c r="C10" s="66">
        <v>1.82558</v>
      </c>
      <c r="D10" s="66">
        <v>2.4613399999999999</v>
      </c>
      <c r="E10" s="66">
        <v>40</v>
      </c>
      <c r="F10" s="66">
        <v>69.718699999999998</v>
      </c>
      <c r="G10" s="66">
        <v>100</v>
      </c>
      <c r="H10" s="66">
        <v>76.812299999999993</v>
      </c>
    </row>
    <row r="11" spans="1:8">
      <c r="A11" s="66" t="s">
        <v>308</v>
      </c>
      <c r="B11" s="66">
        <v>22.262</v>
      </c>
      <c r="C11" s="66">
        <v>1.12103</v>
      </c>
      <c r="D11" s="66">
        <v>5.0356199999999998</v>
      </c>
      <c r="E11" s="66">
        <v>10</v>
      </c>
      <c r="F11" s="66">
        <v>19.331</v>
      </c>
      <c r="G11" s="66">
        <v>50</v>
      </c>
      <c r="H11" s="66">
        <v>24.423100000000002</v>
      </c>
    </row>
    <row r="12" spans="1:8">
      <c r="A12" s="66" t="s">
        <v>309</v>
      </c>
      <c r="B12" s="66">
        <v>69.642899999999997</v>
      </c>
      <c r="C12" s="66">
        <v>2.2427299999999999</v>
      </c>
      <c r="D12" s="66">
        <v>3.2203400000000002</v>
      </c>
      <c r="E12" s="66">
        <v>50</v>
      </c>
      <c r="F12" s="66">
        <v>65.183099999999996</v>
      </c>
      <c r="G12" s="66">
        <v>100</v>
      </c>
      <c r="H12" s="66">
        <v>76.651300000000006</v>
      </c>
    </row>
    <row r="13" spans="1:8">
      <c r="A13" s="66" t="s">
        <v>310</v>
      </c>
      <c r="B13" s="66">
        <v>21.9862</v>
      </c>
      <c r="C13" s="66">
        <v>5.3411200000000001</v>
      </c>
      <c r="D13" s="66">
        <v>24.292999999999999</v>
      </c>
      <c r="E13" s="66">
        <v>10</v>
      </c>
      <c r="F13" s="66">
        <v>15.847</v>
      </c>
      <c r="G13" s="66">
        <v>25</v>
      </c>
      <c r="H13" s="66">
        <v>37.6004</v>
      </c>
    </row>
    <row r="14" spans="1:8">
      <c r="A14" s="66" t="s">
        <v>311</v>
      </c>
      <c r="B14" s="66">
        <v>53.411200000000001</v>
      </c>
      <c r="C14" s="66">
        <v>19.098299999999998</v>
      </c>
      <c r="D14" s="66">
        <v>35.757100000000001</v>
      </c>
      <c r="E14" s="66">
        <v>10</v>
      </c>
      <c r="F14" s="66">
        <v>2.2680500000000001</v>
      </c>
      <c r="G14" s="66">
        <v>50</v>
      </c>
      <c r="H14" s="66">
        <v>68.345100000000002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0.54491800000000001</v>
      </c>
      <c r="C18" s="66">
        <v>7.3224300000000004E-3</v>
      </c>
      <c r="D18" s="66">
        <v>1.34377E-2</v>
      </c>
      <c r="E18" s="66">
        <v>0</v>
      </c>
      <c r="F18" s="66">
        <v>0.53759599999999996</v>
      </c>
      <c r="G18" s="66">
        <v>0</v>
      </c>
      <c r="H18" s="66">
        <v>0.55224099999999998</v>
      </c>
    </row>
    <row r="19" spans="1:8">
      <c r="A19" s="66" t="s">
        <v>316</v>
      </c>
      <c r="B19" s="66">
        <v>0.65548799999999996</v>
      </c>
      <c r="C19" s="66">
        <v>2.58842E-2</v>
      </c>
      <c r="D19" s="66">
        <v>3.9488500000000003E-2</v>
      </c>
      <c r="E19" s="66">
        <v>0</v>
      </c>
      <c r="F19" s="66">
        <v>0.62960400000000005</v>
      </c>
      <c r="G19" s="66">
        <v>0</v>
      </c>
      <c r="H19" s="66">
        <v>0.68137300000000001</v>
      </c>
    </row>
    <row r="20" spans="1:8">
      <c r="A20" s="66" t="s">
        <v>317</v>
      </c>
      <c r="B20" s="66">
        <v>6.32904E-4</v>
      </c>
      <c r="C20" s="66">
        <v>2.7120200000000001E-2</v>
      </c>
      <c r="D20" s="66">
        <v>42.850499999999997</v>
      </c>
      <c r="E20" s="66">
        <v>0</v>
      </c>
      <c r="F20" s="66">
        <v>0</v>
      </c>
      <c r="G20" s="66">
        <v>0</v>
      </c>
      <c r="H20" s="66">
        <v>0.276227</v>
      </c>
    </row>
    <row r="21" spans="1:8">
      <c r="A21" s="66" t="s">
        <v>318</v>
      </c>
      <c r="B21" s="66">
        <v>9.3405299999999997E-2</v>
      </c>
      <c r="C21" s="66">
        <v>0.29045799999999999</v>
      </c>
      <c r="D21" s="66">
        <v>3.1096599999999999</v>
      </c>
      <c r="E21" s="66">
        <v>0</v>
      </c>
      <c r="F21" s="66">
        <v>2.3519200000000001E-4</v>
      </c>
      <c r="G21" s="66">
        <v>0</v>
      </c>
      <c r="H21" s="66">
        <v>2.1417999999999999</v>
      </c>
    </row>
    <row r="22" spans="1:8">
      <c r="A22" s="66" t="s">
        <v>319</v>
      </c>
      <c r="B22" s="66">
        <v>45.7179</v>
      </c>
      <c r="C22" s="66">
        <v>9.2753399999999999</v>
      </c>
      <c r="D22" s="66">
        <v>0.20288200000000001</v>
      </c>
      <c r="E22" s="66">
        <v>0</v>
      </c>
      <c r="F22" s="66">
        <v>29.048200000000001</v>
      </c>
      <c r="G22" s="66">
        <v>0</v>
      </c>
      <c r="H22" s="66">
        <v>78.961200000000005</v>
      </c>
    </row>
    <row r="23" spans="1:8">
      <c r="A23" s="66" t="s">
        <v>320</v>
      </c>
      <c r="B23" s="66">
        <v>19.4635</v>
      </c>
      <c r="C23" s="66">
        <v>0.81026699999999996</v>
      </c>
      <c r="D23" s="66">
        <v>4.1630100000000003E-2</v>
      </c>
      <c r="E23" s="66">
        <v>0</v>
      </c>
      <c r="F23" s="66">
        <v>17.5076</v>
      </c>
      <c r="G23" s="66">
        <v>0</v>
      </c>
      <c r="H23" s="66">
        <v>20.884899999999998</v>
      </c>
    </row>
    <row r="24" spans="1:8">
      <c r="A24" s="66" t="s">
        <v>321</v>
      </c>
      <c r="B24" s="66">
        <v>1.50512E-3</v>
      </c>
      <c r="C24" s="66">
        <v>1.8266999999999999E-2</v>
      </c>
      <c r="D24" s="66">
        <v>12.1366</v>
      </c>
      <c r="E24" s="66">
        <v>0</v>
      </c>
      <c r="F24" s="196">
        <v>6.0516900000000003E-5</v>
      </c>
      <c r="G24" s="66">
        <v>0</v>
      </c>
      <c r="H24" s="66">
        <v>0.170988</v>
      </c>
    </row>
    <row r="25" spans="1:8">
      <c r="A25" s="66" t="s">
        <v>322</v>
      </c>
      <c r="B25" s="66">
        <v>0.126522</v>
      </c>
      <c r="C25" s="66">
        <v>0.17044500000000001</v>
      </c>
      <c r="D25" s="66">
        <v>1.3471500000000001</v>
      </c>
      <c r="E25" s="66">
        <v>0</v>
      </c>
      <c r="F25" s="66">
        <v>2.0715899999999999E-2</v>
      </c>
      <c r="G25" s="66">
        <v>0</v>
      </c>
      <c r="H25" s="66">
        <v>0.81078600000000001</v>
      </c>
    </row>
    <row r="26" spans="1:8">
      <c r="A26" s="66" t="s">
        <v>323</v>
      </c>
      <c r="B26" s="66">
        <v>1.73976E-4</v>
      </c>
      <c r="C26" s="66">
        <v>2.3962499999999999E-3</v>
      </c>
      <c r="D26" s="66">
        <v>13.773400000000001</v>
      </c>
      <c r="E26" s="66">
        <v>0</v>
      </c>
      <c r="F26" s="66">
        <v>0</v>
      </c>
      <c r="G26" s="66">
        <v>0</v>
      </c>
      <c r="H26" s="66">
        <v>3.0114200000000001E-2</v>
      </c>
    </row>
    <row r="27" spans="1:8">
      <c r="A27" s="66" t="s">
        <v>324</v>
      </c>
      <c r="B27" s="196">
        <v>-6.5651299999999996E-6</v>
      </c>
      <c r="C27" s="66">
        <v>9.8621999999999989E-4</v>
      </c>
      <c r="D27" s="66">
        <v>-150.221</v>
      </c>
      <c r="E27" s="66">
        <v>0</v>
      </c>
      <c r="F27" s="66">
        <v>-5.6624199999999996E-3</v>
      </c>
      <c r="G27" s="66">
        <v>0</v>
      </c>
      <c r="H27" s="66">
        <v>8.4394699999999993E-3</v>
      </c>
    </row>
    <row r="28" spans="1:8">
      <c r="A28" s="66" t="s">
        <v>325</v>
      </c>
      <c r="B28" s="66">
        <v>1.07878E-2</v>
      </c>
      <c r="C28" s="66">
        <v>2.0373800000000001E-2</v>
      </c>
      <c r="D28" s="66">
        <v>1.8886000000000001</v>
      </c>
      <c r="E28" s="66">
        <v>0</v>
      </c>
      <c r="F28" s="196">
        <v>5.5338499999999999E-5</v>
      </c>
      <c r="G28" s="66">
        <v>0</v>
      </c>
      <c r="H28" s="66">
        <v>0.12597</v>
      </c>
    </row>
    <row r="29" spans="1:8">
      <c r="A29" s="66" t="s">
        <v>326</v>
      </c>
      <c r="B29" s="66">
        <v>71.172499999999999</v>
      </c>
      <c r="C29" s="66">
        <v>10.155200000000001</v>
      </c>
      <c r="D29" s="66">
        <v>0.14268500000000001</v>
      </c>
      <c r="E29" s="66">
        <v>0</v>
      </c>
      <c r="F29" s="66">
        <v>45.046700000000001</v>
      </c>
      <c r="G29" s="66">
        <v>0</v>
      </c>
      <c r="H29" s="66">
        <v>103.06699999999999</v>
      </c>
    </row>
    <row r="30" spans="1:8">
      <c r="A30" s="66" t="s">
        <v>327</v>
      </c>
      <c r="B30" s="66">
        <v>23.858000000000001</v>
      </c>
      <c r="C30" s="66">
        <v>0.87959500000000002</v>
      </c>
      <c r="D30" s="66">
        <v>3.6867900000000002E-2</v>
      </c>
      <c r="E30" s="66">
        <v>0</v>
      </c>
      <c r="F30" s="66">
        <v>21.6404</v>
      </c>
      <c r="G30" s="66">
        <v>0</v>
      </c>
      <c r="H30" s="66">
        <v>25.434999999999999</v>
      </c>
    </row>
    <row r="31" spans="1:8">
      <c r="A31" s="66" t="s">
        <v>328</v>
      </c>
      <c r="B31" s="66">
        <v>240.77600000000001</v>
      </c>
      <c r="C31" s="66">
        <v>13.966100000000001</v>
      </c>
      <c r="D31" s="66">
        <v>5.8004699999999999E-2</v>
      </c>
      <c r="E31" s="66">
        <v>0</v>
      </c>
      <c r="F31" s="66">
        <v>215.386</v>
      </c>
      <c r="G31" s="66">
        <v>0</v>
      </c>
      <c r="H31" s="66">
        <v>279.30200000000002</v>
      </c>
    </row>
    <row r="32" spans="1:8">
      <c r="A32" s="66" t="s">
        <v>329</v>
      </c>
      <c r="B32" s="66">
        <v>0.296543</v>
      </c>
      <c r="C32" s="66">
        <v>7.6400499999999996E-2</v>
      </c>
      <c r="D32" s="66">
        <v>0.257637</v>
      </c>
      <c r="E32" s="66">
        <v>0.15</v>
      </c>
      <c r="F32" s="66">
        <v>8.06283E-2</v>
      </c>
      <c r="G32" s="66">
        <v>0.4</v>
      </c>
      <c r="H32" s="66">
        <v>0.38127899999999998</v>
      </c>
    </row>
    <row r="33" spans="1:8">
      <c r="A33" s="66" t="s">
        <v>330</v>
      </c>
      <c r="B33" s="66">
        <v>0.362238</v>
      </c>
      <c r="C33" s="66">
        <v>1.3302700000000001E-2</v>
      </c>
      <c r="D33" s="66">
        <v>3.6723600000000002E-2</v>
      </c>
      <c r="E33" s="66">
        <v>0</v>
      </c>
      <c r="F33" s="66">
        <v>0.32951000000000003</v>
      </c>
      <c r="G33" s="66">
        <v>0</v>
      </c>
      <c r="H33" s="66">
        <v>0.40334900000000001</v>
      </c>
    </row>
    <row r="34" spans="1:8">
      <c r="A34" s="66" t="s">
        <v>331</v>
      </c>
      <c r="B34" s="66">
        <v>0.219862</v>
      </c>
      <c r="C34" s="66">
        <v>5.3411199999999999E-2</v>
      </c>
      <c r="D34" s="66">
        <v>0.24293000000000001</v>
      </c>
      <c r="E34" s="66">
        <v>0.1</v>
      </c>
      <c r="F34" s="66">
        <v>0.15847</v>
      </c>
      <c r="G34" s="66">
        <v>0.25</v>
      </c>
      <c r="H34" s="66">
        <v>0.376004</v>
      </c>
    </row>
    <row r="35" spans="1:8">
      <c r="A35" s="66" t="s">
        <v>332</v>
      </c>
      <c r="B35" s="66">
        <v>0.104202</v>
      </c>
      <c r="C35" s="66">
        <v>3.4427699999999999E-2</v>
      </c>
      <c r="D35" s="66">
        <v>0.33039499999999999</v>
      </c>
      <c r="E35" s="66">
        <v>0</v>
      </c>
      <c r="F35" s="66">
        <v>4.0454799999999999E-2</v>
      </c>
      <c r="G35" s="66">
        <v>0</v>
      </c>
      <c r="H35" s="66">
        <v>0.18557199999999999</v>
      </c>
    </row>
    <row r="36" spans="1:8">
      <c r="A36" s="66" t="s">
        <v>333</v>
      </c>
      <c r="B36" s="66">
        <v>0.18690399999999999</v>
      </c>
      <c r="C36" s="66">
        <v>0.127661</v>
      </c>
      <c r="D36" s="66">
        <v>0.68303400000000003</v>
      </c>
      <c r="E36" s="66">
        <v>0</v>
      </c>
      <c r="F36" s="66">
        <v>3.8939300000000003E-2</v>
      </c>
      <c r="G36" s="66">
        <v>0</v>
      </c>
      <c r="H36" s="66">
        <v>0.61553599999999997</v>
      </c>
    </row>
    <row r="37" spans="1:8">
      <c r="A37" s="66" t="s">
        <v>334</v>
      </c>
      <c r="B37" s="66">
        <v>0.53411200000000003</v>
      </c>
      <c r="C37" s="66">
        <v>0.19098300000000001</v>
      </c>
      <c r="D37" s="66">
        <v>0.35757100000000003</v>
      </c>
      <c r="E37" s="66">
        <v>0.1</v>
      </c>
      <c r="F37" s="66">
        <v>2.2680499999999999E-2</v>
      </c>
      <c r="G37" s="66">
        <v>0.5</v>
      </c>
      <c r="H37" s="66">
        <v>0.68345100000000003</v>
      </c>
    </row>
    <row r="38" spans="1:8">
      <c r="A38" s="66" t="s">
        <v>335</v>
      </c>
      <c r="B38" s="66">
        <v>-10.9651</v>
      </c>
      <c r="C38" s="66">
        <v>83.776300000000006</v>
      </c>
      <c r="D38" s="66">
        <v>-7.6402799999999997</v>
      </c>
      <c r="E38" s="66">
        <v>0</v>
      </c>
      <c r="F38" s="66">
        <v>-177.958</v>
      </c>
      <c r="G38" s="66">
        <v>0</v>
      </c>
      <c r="H38" s="66">
        <v>470.59500000000003</v>
      </c>
    </row>
    <row r="39" spans="1:8">
      <c r="A39" s="66" t="s">
        <v>336</v>
      </c>
      <c r="B39" s="66">
        <v>-2.4265099999999999</v>
      </c>
      <c r="C39" s="66">
        <v>4.5106799999999998</v>
      </c>
      <c r="D39" s="66">
        <v>-1.8589199999999999</v>
      </c>
      <c r="E39" s="66">
        <v>0</v>
      </c>
      <c r="F39" s="66">
        <v>-13.613899999999999</v>
      </c>
      <c r="G39" s="66">
        <v>0</v>
      </c>
      <c r="H39" s="66">
        <v>36.277999999999999</v>
      </c>
    </row>
    <row r="40" spans="1:8">
      <c r="A40" s="66" t="s">
        <v>337</v>
      </c>
      <c r="B40" s="66">
        <v>-1.1880200000000001</v>
      </c>
      <c r="C40" s="66">
        <v>0.38820100000000002</v>
      </c>
      <c r="D40" s="66">
        <v>-0.32676300000000003</v>
      </c>
      <c r="E40" s="66">
        <v>0</v>
      </c>
      <c r="F40" s="66">
        <v>-1.9489399999999999</v>
      </c>
      <c r="G40" s="66">
        <v>0</v>
      </c>
      <c r="H40" s="66">
        <v>-0.27155600000000002</v>
      </c>
    </row>
    <row r="41" spans="1:8">
      <c r="A41" s="66" t="s">
        <v>338</v>
      </c>
      <c r="B41" s="66">
        <v>-4.08274E-2</v>
      </c>
      <c r="C41" s="66">
        <v>0.34446900000000003</v>
      </c>
      <c r="D41" s="66">
        <v>-8.4371899999999993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339</v>
      </c>
      <c r="B42" s="66">
        <v>1.39624E-2</v>
      </c>
      <c r="C42" s="66">
        <v>8.3285300000000007E-2</v>
      </c>
      <c r="D42" s="66">
        <v>5.9649900000000002</v>
      </c>
      <c r="E42" s="66">
        <v>0</v>
      </c>
      <c r="F42" s="66">
        <v>-0.2054</v>
      </c>
      <c r="G42" s="66">
        <v>0</v>
      </c>
      <c r="H42" s="66">
        <v>0.51425200000000004</v>
      </c>
    </row>
    <row r="43" spans="1:8">
      <c r="A43" s="66" t="s">
        <v>340</v>
      </c>
      <c r="B43" s="66">
        <v>2.1230300000000001E-2</v>
      </c>
      <c r="C43" s="66">
        <v>2.0697799999999999E-2</v>
      </c>
      <c r="D43" s="66">
        <v>0.97491499999999998</v>
      </c>
      <c r="E43" s="66">
        <v>0</v>
      </c>
      <c r="F43" s="66">
        <v>-1.5452199999999999E-2</v>
      </c>
      <c r="G43" s="66">
        <v>0</v>
      </c>
      <c r="H43" s="66">
        <v>6.2035399999999997E-2</v>
      </c>
    </row>
    <row r="44" spans="1:8">
      <c r="A44" s="66" t="s">
        <v>341</v>
      </c>
      <c r="B44" s="66">
        <v>-29.711400000000001</v>
      </c>
      <c r="C44" s="66">
        <v>13.567399999999999</v>
      </c>
      <c r="D44" s="66">
        <v>-0.45663999999999999</v>
      </c>
      <c r="E44" s="66">
        <v>0</v>
      </c>
      <c r="F44" s="66">
        <v>-58.610300000000002</v>
      </c>
      <c r="G44" s="66">
        <v>0</v>
      </c>
      <c r="H44" s="66">
        <v>-4.4695400000000003</v>
      </c>
    </row>
    <row r="45" spans="1:8">
      <c r="A45" s="66" t="s">
        <v>342</v>
      </c>
      <c r="B45" s="66">
        <v>54.833399999999997</v>
      </c>
      <c r="C45" s="66">
        <v>6.2089100000000004</v>
      </c>
      <c r="D45" s="66">
        <v>0.113232</v>
      </c>
      <c r="E45" s="66">
        <v>0</v>
      </c>
      <c r="F45" s="66">
        <v>40.970799999999997</v>
      </c>
      <c r="G45" s="66">
        <v>0</v>
      </c>
      <c r="H45" s="66">
        <v>68.278499999999994</v>
      </c>
    </row>
    <row r="46" spans="1:8">
      <c r="A46" s="66" t="s">
        <v>343</v>
      </c>
      <c r="B46" s="66">
        <v>33.035400000000003</v>
      </c>
      <c r="C46" s="66">
        <v>1.8289800000000001</v>
      </c>
      <c r="D46" s="66">
        <v>5.5364299999999998E-2</v>
      </c>
      <c r="E46" s="66">
        <v>0</v>
      </c>
      <c r="F46" s="66">
        <v>30.1096</v>
      </c>
      <c r="G46" s="66">
        <v>0</v>
      </c>
      <c r="H46" s="66">
        <v>37.284300000000002</v>
      </c>
    </row>
    <row r="47" spans="1:8">
      <c r="A47" s="66" t="s">
        <v>344</v>
      </c>
      <c r="B47" s="66">
        <v>1.0982799999999999</v>
      </c>
      <c r="C47" s="66">
        <v>0.36027999999999999</v>
      </c>
      <c r="D47" s="66">
        <v>0.32804</v>
      </c>
      <c r="E47" s="66">
        <v>0</v>
      </c>
      <c r="F47" s="66">
        <v>0.245698</v>
      </c>
      <c r="G47" s="66">
        <v>0</v>
      </c>
      <c r="H47" s="66">
        <v>2.3938799999999998</v>
      </c>
    </row>
    <row r="48" spans="1:8">
      <c r="A48" s="66" t="s">
        <v>345</v>
      </c>
      <c r="B48" s="66">
        <v>0.94129799999999997</v>
      </c>
      <c r="C48" s="66">
        <v>9.3294199999999994E-2</v>
      </c>
      <c r="D48" s="66">
        <v>9.91123E-2</v>
      </c>
      <c r="E48" s="66">
        <v>0</v>
      </c>
      <c r="F48" s="66">
        <v>0.75642900000000002</v>
      </c>
      <c r="G48" s="66">
        <v>0</v>
      </c>
      <c r="H48" s="66">
        <v>1.1458200000000001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349</v>
      </c>
      <c r="B1" s="60" t="s">
        <v>350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79.564644839023671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1.5353542711854142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0.59539110870246981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3868</v>
      </c>
      <c r="B8" s="66">
        <v>3868</v>
      </c>
      <c r="D8">
        <f t="shared" si="0"/>
        <v>2.38218412041485E-2</v>
      </c>
      <c r="E8">
        <f t="shared" si="0"/>
        <v>2.38218412041485E-2</v>
      </c>
      <c r="G8">
        <f t="shared" ca="1" si="1"/>
        <v>6</v>
      </c>
      <c r="H8">
        <f t="shared" ca="1" si="2"/>
        <v>0.142931047224891</v>
      </c>
      <c r="I8">
        <f t="shared" ca="1" si="3"/>
        <v>128.91801518173247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9254</v>
      </c>
      <c r="B10" s="66">
        <v>9254</v>
      </c>
      <c r="D10">
        <f t="shared" si="0"/>
        <v>5.6992584928435938E-2</v>
      </c>
      <c r="E10">
        <f t="shared" si="0"/>
        <v>5.6992584928435938E-2</v>
      </c>
      <c r="G10">
        <f t="shared" ca="1" si="1"/>
        <v>8</v>
      </c>
      <c r="H10">
        <f t="shared" ca="1" si="2"/>
        <v>0.45594067942748751</v>
      </c>
      <c r="I10">
        <f t="shared" ca="1" si="3"/>
        <v>291.88743200624504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13100</v>
      </c>
      <c r="B13" s="66">
        <v>13100</v>
      </c>
      <c r="D13">
        <f t="shared" si="0"/>
        <v>8.0678934791712856E-2</v>
      </c>
      <c r="E13">
        <f t="shared" si="0"/>
        <v>8.0678934791712856E-2</v>
      </c>
      <c r="G13">
        <f t="shared" ca="1" si="1"/>
        <v>11</v>
      </c>
      <c r="H13">
        <f t="shared" ca="1" si="2"/>
        <v>0.88746828270884137</v>
      </c>
      <c r="I13">
        <f t="shared" ca="1" si="3"/>
        <v>379.28058924512271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20005</v>
      </c>
      <c r="B15" s="66">
        <v>20005</v>
      </c>
      <c r="D15">
        <f t="shared" si="0"/>
        <v>0.12320473973345158</v>
      </c>
      <c r="E15">
        <f t="shared" si="0"/>
        <v>0.12320473973345158</v>
      </c>
      <c r="G15">
        <f t="shared" ca="1" si="1"/>
        <v>13</v>
      </c>
      <c r="H15">
        <f t="shared" ca="1" si="2"/>
        <v>1.6016616165348707</v>
      </c>
      <c r="I15">
        <f t="shared" ca="1" si="3"/>
        <v>545.90196037875955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27330</v>
      </c>
      <c r="B18" s="66">
        <v>27330</v>
      </c>
      <c r="D18">
        <f t="shared" si="0"/>
        <v>0.168317197546375</v>
      </c>
      <c r="E18">
        <f t="shared" si="0"/>
        <v>0.168317197546375</v>
      </c>
      <c r="G18">
        <f t="shared" ca="1" si="1"/>
        <v>16</v>
      </c>
      <c r="H18">
        <f t="shared" ca="1" si="2"/>
        <v>2.693075160742</v>
      </c>
      <c r="I18">
        <f t="shared" ca="1" si="3"/>
        <v>680.07958964021884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32927</v>
      </c>
      <c r="B21" s="66">
        <v>32927</v>
      </c>
      <c r="D21">
        <f t="shared" si="0"/>
        <v>0.20278742640356712</v>
      </c>
      <c r="E21">
        <f t="shared" si="0"/>
        <v>0.20278742640356712</v>
      </c>
      <c r="G21">
        <f t="shared" ca="1" si="1"/>
        <v>19</v>
      </c>
      <c r="H21">
        <f t="shared" ca="1" si="2"/>
        <v>3.8529611016677752</v>
      </c>
      <c r="I21">
        <f t="shared" ca="1" si="3"/>
        <v>743.83973335807104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30669</v>
      </c>
      <c r="B23" s="66">
        <v>30669</v>
      </c>
      <c r="D23">
        <f t="shared" si="0"/>
        <v>0.18888108787229324</v>
      </c>
      <c r="E23">
        <f t="shared" si="0"/>
        <v>0.18888108787229324</v>
      </c>
      <c r="G23">
        <f t="shared" ca="1" si="1"/>
        <v>21</v>
      </c>
      <c r="H23">
        <f t="shared" ca="1" si="2"/>
        <v>3.9665028453181579</v>
      </c>
      <c r="I23">
        <f t="shared" ca="1" si="3"/>
        <v>647.8276842364163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30253</v>
      </c>
      <c r="B26" s="66">
        <v>30253</v>
      </c>
      <c r="D26">
        <f t="shared" si="0"/>
        <v>0.18631906979035795</v>
      </c>
      <c r="E26">
        <f t="shared" si="0"/>
        <v>0.18631906979035795</v>
      </c>
      <c r="G26">
        <f t="shared" ca="1" si="1"/>
        <v>24</v>
      </c>
      <c r="H26">
        <f t="shared" ca="1" si="2"/>
        <v>4.4716576749685908</v>
      </c>
      <c r="I26">
        <f t="shared" ca="1" si="3"/>
        <v>575.24704019717171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37056</v>
      </c>
      <c r="B28" s="66">
        <v>37056</v>
      </c>
      <c r="D28">
        <f t="shared" si="0"/>
        <v>0.22821668760623753</v>
      </c>
      <c r="E28">
        <f t="shared" si="0"/>
        <v>0.22821668760623753</v>
      </c>
      <c r="G28">
        <f t="shared" ca="1" si="1"/>
        <v>26</v>
      </c>
      <c r="H28">
        <f t="shared" ca="1" si="2"/>
        <v>5.9336338777621762</v>
      </c>
      <c r="I28">
        <f t="shared" ca="1" si="3"/>
        <v>654.79274212878147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49722</v>
      </c>
      <c r="B31" s="66">
        <v>49722</v>
      </c>
      <c r="D31">
        <f t="shared" si="0"/>
        <v>0.3062227477643929</v>
      </c>
      <c r="E31">
        <f t="shared" si="0"/>
        <v>0.3062227477643929</v>
      </c>
      <c r="G31">
        <f t="shared" ca="1" si="1"/>
        <v>29</v>
      </c>
      <c r="H31">
        <f t="shared" ca="1" si="2"/>
        <v>8.8804596851673949</v>
      </c>
      <c r="I31">
        <f t="shared" ca="1" si="3"/>
        <v>782.94520992098705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52094</v>
      </c>
      <c r="B33" s="66">
        <v>52094</v>
      </c>
      <c r="D33">
        <f t="shared" si="0"/>
        <v>0.320831177789274</v>
      </c>
      <c r="E33">
        <f t="shared" si="0"/>
        <v>0.320831177789274</v>
      </c>
      <c r="G33">
        <f t="shared" ca="1" si="1"/>
        <v>31</v>
      </c>
      <c r="H33">
        <f t="shared" ca="1" si="2"/>
        <v>9.9457665114674949</v>
      </c>
      <c r="I33">
        <f t="shared" ca="1" si="3"/>
        <v>756.6882664386128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66148</v>
      </c>
      <c r="B36" s="66">
        <v>66148</v>
      </c>
      <c r="D36">
        <f t="shared" si="0"/>
        <v>0.40738550981696353</v>
      </c>
      <c r="E36">
        <f t="shared" si="0"/>
        <v>0.40738550981696353</v>
      </c>
      <c r="G36">
        <f t="shared" ca="1" si="1"/>
        <v>34</v>
      </c>
      <c r="H36">
        <f t="shared" ca="1" si="2"/>
        <v>13.85110733377676</v>
      </c>
      <c r="I36">
        <f t="shared" ca="1" si="3"/>
        <v>845.78807287831364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68307</v>
      </c>
      <c r="B39" s="66">
        <v>68307</v>
      </c>
      <c r="D39">
        <f t="shared" si="0"/>
        <v>0.42068213731431525</v>
      </c>
      <c r="E39">
        <f t="shared" si="0"/>
        <v>0.42068213731431525</v>
      </c>
      <c r="G39">
        <f t="shared" ca="1" si="1"/>
        <v>37</v>
      </c>
      <c r="H39">
        <f t="shared" ca="1" si="2"/>
        <v>15.565239080629665</v>
      </c>
      <c r="I39">
        <f t="shared" ca="1" si="3"/>
        <v>762.17043750477194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74971</v>
      </c>
      <c r="B41" s="66">
        <v>74971</v>
      </c>
      <c r="D41">
        <f t="shared" si="0"/>
        <v>0.46172369620377895</v>
      </c>
      <c r="E41">
        <f t="shared" si="0"/>
        <v>0.46172369620377895</v>
      </c>
      <c r="G41">
        <f t="shared" ca="1" si="1"/>
        <v>39</v>
      </c>
      <c r="H41">
        <f t="shared" ca="1" si="2"/>
        <v>18.00722415194738</v>
      </c>
      <c r="I41">
        <f t="shared" ca="1" si="3"/>
        <v>759.76191459607048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76356</v>
      </c>
      <c r="B44" s="66">
        <v>76356</v>
      </c>
      <c r="D44">
        <f t="shared" si="0"/>
        <v>0.47025349198137611</v>
      </c>
      <c r="E44">
        <f t="shared" si="0"/>
        <v>0.47025349198137611</v>
      </c>
      <c r="G44">
        <f t="shared" ca="1" si="1"/>
        <v>42</v>
      </c>
      <c r="H44">
        <f t="shared" ca="1" si="2"/>
        <v>19.750646663217797</v>
      </c>
      <c r="I44">
        <f t="shared" ca="1" si="3"/>
        <v>663.57589786380072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84535</v>
      </c>
      <c r="B46" s="66">
        <v>84535</v>
      </c>
      <c r="D46">
        <f t="shared" si="0"/>
        <v>0.52062547729904174</v>
      </c>
      <c r="E46">
        <f t="shared" si="0"/>
        <v>0.52062547729904174</v>
      </c>
      <c r="G46">
        <f t="shared" ca="1" si="1"/>
        <v>44</v>
      </c>
      <c r="H46">
        <f t="shared" ca="1" si="2"/>
        <v>22.907521001157836</v>
      </c>
      <c r="I46">
        <f t="shared" ca="1" si="3"/>
        <v>658.50999169885438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89217</v>
      </c>
      <c r="B49" s="66">
        <v>89217</v>
      </c>
      <c r="D49">
        <f t="shared" si="0"/>
        <v>0.54946049811543862</v>
      </c>
      <c r="E49">
        <f t="shared" si="0"/>
        <v>0.54946049811543862</v>
      </c>
      <c r="G49">
        <f t="shared" ca="1" si="1"/>
        <v>47</v>
      </c>
      <c r="H49">
        <f t="shared" ca="1" si="2"/>
        <v>25.824643411425615</v>
      </c>
      <c r="I49">
        <f t="shared" ca="1" si="3"/>
        <v>582.6787333595297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95646</v>
      </c>
      <c r="B51" s="66">
        <v>95646</v>
      </c>
      <c r="D51">
        <f t="shared" si="0"/>
        <v>0.5890547631365014</v>
      </c>
      <c r="E51">
        <f t="shared" si="0"/>
        <v>0.5890547631365014</v>
      </c>
      <c r="G51">
        <f t="shared" ca="1" si="1"/>
        <v>49</v>
      </c>
      <c r="H51">
        <f t="shared" ca="1" si="2"/>
        <v>28.863683393688568</v>
      </c>
      <c r="I51">
        <f t="shared" ca="1" si="3"/>
        <v>550.29349541188742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114142</v>
      </c>
      <c r="B54" s="66">
        <v>114142</v>
      </c>
      <c r="D54">
        <f t="shared" si="0"/>
        <v>0.70296602862562507</v>
      </c>
      <c r="E54">
        <f t="shared" si="0"/>
        <v>0.70296602862562507</v>
      </c>
      <c r="G54">
        <f t="shared" ca="1" si="1"/>
        <v>52</v>
      </c>
      <c r="H54">
        <f t="shared" ca="1" si="2"/>
        <v>36.554233488532503</v>
      </c>
      <c r="I54">
        <f t="shared" ca="1" si="3"/>
        <v>534.12036872845715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120705</v>
      </c>
      <c r="B57" s="66">
        <v>120705</v>
      </c>
      <c r="D57">
        <f t="shared" si="0"/>
        <v>0.74338555908654202</v>
      </c>
      <c r="E57">
        <f t="shared" si="0"/>
        <v>0.74338555908654202</v>
      </c>
      <c r="G57">
        <f t="shared" ca="1" si="1"/>
        <v>55</v>
      </c>
      <c r="H57">
        <f t="shared" ca="1" si="2"/>
        <v>40.88620574975981</v>
      </c>
      <c r="I57">
        <f t="shared" ca="1" si="3"/>
        <v>448.57503436683771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132804</v>
      </c>
      <c r="B59" s="66">
        <v>132804</v>
      </c>
      <c r="D59">
        <f t="shared" si="0"/>
        <v>0.81789963786859798</v>
      </c>
      <c r="E59">
        <f t="shared" si="0"/>
        <v>0.81789963786859798</v>
      </c>
      <c r="G59">
        <f t="shared" ca="1" si="1"/>
        <v>57</v>
      </c>
      <c r="H59">
        <f t="shared" ca="1" si="2"/>
        <v>46.620279358510082</v>
      </c>
      <c r="I59">
        <f t="shared" ca="1" si="3"/>
        <v>416.44439420617169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137820</v>
      </c>
      <c r="B62" s="66">
        <v>137820</v>
      </c>
      <c r="D62">
        <f t="shared" si="0"/>
        <v>0.84879166358731806</v>
      </c>
      <c r="E62">
        <f t="shared" si="0"/>
        <v>0.84879166358731806</v>
      </c>
      <c r="G62">
        <f t="shared" ca="1" si="1"/>
        <v>60</v>
      </c>
      <c r="H62">
        <f t="shared" ca="1" si="2"/>
        <v>50.927499815239081</v>
      </c>
      <c r="I62">
        <f t="shared" ca="1" si="3"/>
        <v>324.89650715925671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139477</v>
      </c>
      <c r="B64" s="66">
        <v>139477</v>
      </c>
      <c r="D64">
        <f t="shared" si="0"/>
        <v>0.85899662503387286</v>
      </c>
      <c r="E64">
        <f t="shared" si="0"/>
        <v>0.85899662503387286</v>
      </c>
      <c r="G64">
        <f t="shared" ca="1" si="1"/>
        <v>62</v>
      </c>
      <c r="H64">
        <f t="shared" ca="1" si="2"/>
        <v>53.257790752100121</v>
      </c>
      <c r="I64">
        <f t="shared" ca="1" si="3"/>
        <v>265.01484557419889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162372</v>
      </c>
      <c r="B67" s="66">
        <v>162372</v>
      </c>
      <c r="D67">
        <f t="shared" ref="D67:E130" si="4">IFERROR( A67/MAX(A$2:A$257), 0 )</f>
        <v>1</v>
      </c>
      <c r="E67">
        <f t="shared" si="4"/>
        <v>1</v>
      </c>
      <c r="G67">
        <f t="shared" ref="G67:G130" ca="1" si="5">CELL("row",D67)-2</f>
        <v>65</v>
      </c>
      <c r="H67">
        <f t="shared" ref="H67:H130" ca="1" si="6">D67*G67</f>
        <v>65</v>
      </c>
      <c r="I67">
        <f t="shared" ref="I67:I130" ca="1" si="7">D67*((G67-$L$1)^2)</f>
        <v>212.12887928689887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143198</v>
      </c>
      <c r="B69" s="66">
        <v>143198</v>
      </c>
      <c r="D69">
        <f t="shared" si="4"/>
        <v>0.88191313773310664</v>
      </c>
      <c r="E69">
        <f t="shared" si="4"/>
        <v>0.88191313773310664</v>
      </c>
      <c r="G69">
        <f t="shared" ca="1" si="5"/>
        <v>67</v>
      </c>
      <c r="H69">
        <f t="shared" ca="1" si="6"/>
        <v>59.088180228118148</v>
      </c>
      <c r="I69">
        <f t="shared" ca="1" si="7"/>
        <v>139.22789156684217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154444</v>
      </c>
      <c r="B72" s="66">
        <v>154444</v>
      </c>
      <c r="D72">
        <f t="shared" si="4"/>
        <v>0.95117384770773283</v>
      </c>
      <c r="E72">
        <f t="shared" si="4"/>
        <v>0.95117384770773283</v>
      </c>
      <c r="G72">
        <f t="shared" ca="1" si="5"/>
        <v>70</v>
      </c>
      <c r="H72">
        <f t="shared" ca="1" si="6"/>
        <v>66.582169339541295</v>
      </c>
      <c r="I72">
        <f t="shared" ca="1" si="7"/>
        <v>87.015695793634919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162001</v>
      </c>
      <c r="B75" s="66">
        <v>162001</v>
      </c>
      <c r="D75">
        <f t="shared" si="4"/>
        <v>0.9977151232971202</v>
      </c>
      <c r="E75">
        <f t="shared" si="4"/>
        <v>0.9977151232971202</v>
      </c>
      <c r="G75">
        <f t="shared" ca="1" si="5"/>
        <v>73</v>
      </c>
      <c r="H75">
        <f t="shared" ca="1" si="6"/>
        <v>72.833204000689776</v>
      </c>
      <c r="I75">
        <f t="shared" ca="1" si="7"/>
        <v>42.996096102099642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156055</v>
      </c>
      <c r="B77" s="66">
        <v>156055</v>
      </c>
      <c r="D77">
        <f t="shared" si="4"/>
        <v>0.96109550907791985</v>
      </c>
      <c r="E77">
        <f t="shared" si="4"/>
        <v>0.96109550907791985</v>
      </c>
      <c r="G77">
        <f t="shared" ca="1" si="5"/>
        <v>75</v>
      </c>
      <c r="H77">
        <f t="shared" ca="1" si="6"/>
        <v>72.082163180843992</v>
      </c>
      <c r="I77">
        <f t="shared" ca="1" si="7"/>
        <v>20.025369214151588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155485</v>
      </c>
      <c r="B80" s="66">
        <v>155485</v>
      </c>
      <c r="D80">
        <f t="shared" si="4"/>
        <v>0.9575850516098835</v>
      </c>
      <c r="E80">
        <f t="shared" si="4"/>
        <v>0.9575850516098835</v>
      </c>
      <c r="G80">
        <f t="shared" ca="1" si="5"/>
        <v>78</v>
      </c>
      <c r="H80">
        <f t="shared" ca="1" si="6"/>
        <v>74.691634025570906</v>
      </c>
      <c r="I80">
        <f t="shared" ca="1" si="7"/>
        <v>2.3442768657033608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149797</v>
      </c>
      <c r="B82" s="66">
        <v>149797</v>
      </c>
      <c r="D82">
        <f t="shared" si="4"/>
        <v>0.92255438129726797</v>
      </c>
      <c r="E82">
        <f t="shared" si="4"/>
        <v>0.92255438129726797</v>
      </c>
      <c r="G82">
        <f t="shared" ca="1" si="5"/>
        <v>80</v>
      </c>
      <c r="H82">
        <f t="shared" ca="1" si="6"/>
        <v>73.804350503781436</v>
      </c>
      <c r="I82">
        <f t="shared" ca="1" si="7"/>
        <v>0.17485552929521372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149963</v>
      </c>
      <c r="B85" s="66">
        <v>149963</v>
      </c>
      <c r="D85">
        <f t="shared" si="4"/>
        <v>0.92357672505111721</v>
      </c>
      <c r="E85">
        <f t="shared" si="4"/>
        <v>0.92357672505111721</v>
      </c>
      <c r="G85">
        <f t="shared" ca="1" si="5"/>
        <v>83</v>
      </c>
      <c r="H85">
        <f t="shared" ca="1" si="6"/>
        <v>76.656868179242721</v>
      </c>
      <c r="I85">
        <f t="shared" ca="1" si="7"/>
        <v>10.899743186626813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143766</v>
      </c>
      <c r="B88" s="66">
        <v>143766</v>
      </c>
      <c r="D88">
        <f t="shared" si="4"/>
        <v>0.8854112778065184</v>
      </c>
      <c r="E88">
        <f t="shared" si="4"/>
        <v>0.8854112778065184</v>
      </c>
      <c r="G88">
        <f t="shared" ca="1" si="5"/>
        <v>86</v>
      </c>
      <c r="H88">
        <f t="shared" ca="1" si="6"/>
        <v>76.145369891360588</v>
      </c>
      <c r="I88">
        <f t="shared" ca="1" si="7"/>
        <v>36.668242077593817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137278</v>
      </c>
      <c r="B90" s="66">
        <v>137278</v>
      </c>
      <c r="D90">
        <f t="shared" si="4"/>
        <v>0.84545364964402725</v>
      </c>
      <c r="E90">
        <f t="shared" si="4"/>
        <v>0.84545364964402725</v>
      </c>
      <c r="G90">
        <f t="shared" ca="1" si="5"/>
        <v>88</v>
      </c>
      <c r="H90">
        <f t="shared" ca="1" si="6"/>
        <v>74.399921168674396</v>
      </c>
      <c r="I90">
        <f t="shared" ca="1" si="7"/>
        <v>60.158437643302356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141332</v>
      </c>
      <c r="B93" s="66">
        <v>141332</v>
      </c>
      <c r="D93">
        <f t="shared" si="4"/>
        <v>0.87042100854827187</v>
      </c>
      <c r="E93">
        <f t="shared" si="4"/>
        <v>0.87042100854827187</v>
      </c>
      <c r="G93">
        <f t="shared" ca="1" si="5"/>
        <v>91</v>
      </c>
      <c r="H93">
        <f t="shared" ca="1" si="6"/>
        <v>79.208311777892746</v>
      </c>
      <c r="I93">
        <f t="shared" ca="1" si="7"/>
        <v>113.82264663336984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132271</v>
      </c>
      <c r="B95" s="66">
        <v>132271</v>
      </c>
      <c r="D95">
        <f t="shared" si="4"/>
        <v>0.81461705220111846</v>
      </c>
      <c r="E95">
        <f t="shared" si="4"/>
        <v>0.81461705220111846</v>
      </c>
      <c r="G95">
        <f t="shared" ca="1" si="5"/>
        <v>93</v>
      </c>
      <c r="H95">
        <f t="shared" ca="1" si="6"/>
        <v>75.759385854704021</v>
      </c>
      <c r="I95">
        <f t="shared" ca="1" si="7"/>
        <v>147.04552073028231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126232</v>
      </c>
      <c r="B98" s="66">
        <v>126232</v>
      </c>
      <c r="D98">
        <f t="shared" si="4"/>
        <v>0.77742467913187008</v>
      </c>
      <c r="E98">
        <f t="shared" si="4"/>
        <v>0.77742467913187008</v>
      </c>
      <c r="G98">
        <f t="shared" ca="1" si="5"/>
        <v>96</v>
      </c>
      <c r="H98">
        <f t="shared" ca="1" si="6"/>
        <v>74.632769196659524</v>
      </c>
      <c r="I98">
        <f t="shared" ca="1" si="7"/>
        <v>209.99865343979494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119521</v>
      </c>
      <c r="B100" s="66">
        <v>119521</v>
      </c>
      <c r="D100">
        <f t="shared" si="4"/>
        <v>0.73609366146872612</v>
      </c>
      <c r="E100">
        <f t="shared" si="4"/>
        <v>0.73609366146872612</v>
      </c>
      <c r="G100">
        <f t="shared" ca="1" si="5"/>
        <v>98</v>
      </c>
      <c r="H100">
        <f t="shared" ca="1" si="6"/>
        <v>72.137178823935159</v>
      </c>
      <c r="I100">
        <f t="shared" ca="1" si="7"/>
        <v>250.17049945879126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114768</v>
      </c>
      <c r="B103" s="66">
        <v>114768</v>
      </c>
      <c r="D103">
        <f t="shared" si="4"/>
        <v>0.70682137314315274</v>
      </c>
      <c r="E103">
        <f t="shared" si="4"/>
        <v>0.70682137314315274</v>
      </c>
      <c r="G103">
        <f t="shared" ca="1" si="5"/>
        <v>101</v>
      </c>
      <c r="H103">
        <f t="shared" ca="1" si="6"/>
        <v>71.388958687458427</v>
      </c>
      <c r="I103">
        <f t="shared" ca="1" si="7"/>
        <v>324.76636229321474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106818</v>
      </c>
      <c r="B106" s="66">
        <v>106818</v>
      </c>
      <c r="D106">
        <f t="shared" si="4"/>
        <v>0.65785972951001404</v>
      </c>
      <c r="E106">
        <f t="shared" si="4"/>
        <v>0.65785972951001404</v>
      </c>
      <c r="G106">
        <f t="shared" ca="1" si="5"/>
        <v>104</v>
      </c>
      <c r="H106">
        <f t="shared" ca="1" si="6"/>
        <v>68.417411869041459</v>
      </c>
      <c r="I106">
        <f t="shared" ca="1" si="7"/>
        <v>392.79921722532936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98613</v>
      </c>
      <c r="B108" s="66">
        <v>98613</v>
      </c>
      <c r="D108">
        <f t="shared" si="4"/>
        <v>0.60732761806222746</v>
      </c>
      <c r="E108">
        <f t="shared" si="4"/>
        <v>0.60732761806222746</v>
      </c>
      <c r="G108">
        <f t="shared" ca="1" si="5"/>
        <v>106</v>
      </c>
      <c r="H108">
        <f t="shared" ca="1" si="6"/>
        <v>64.376727514596112</v>
      </c>
      <c r="I108">
        <f t="shared" ca="1" si="7"/>
        <v>424.41754618558849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90602</v>
      </c>
      <c r="B111" s="66">
        <v>90602</v>
      </c>
      <c r="D111">
        <f t="shared" si="4"/>
        <v>0.55799029389303578</v>
      </c>
      <c r="E111">
        <f t="shared" si="4"/>
        <v>0.55799029389303578</v>
      </c>
      <c r="G111">
        <f t="shared" ca="1" si="5"/>
        <v>109</v>
      </c>
      <c r="H111">
        <f t="shared" ca="1" si="6"/>
        <v>60.820942034340902</v>
      </c>
      <c r="I111">
        <f t="shared" ca="1" si="7"/>
        <v>483.46518470605781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87969</v>
      </c>
      <c r="B113" s="66">
        <v>87969</v>
      </c>
      <c r="D113">
        <f t="shared" si="4"/>
        <v>0.54177444386963269</v>
      </c>
      <c r="E113">
        <f t="shared" si="4"/>
        <v>0.54177444386963269</v>
      </c>
      <c r="G113">
        <f t="shared" ca="1" si="5"/>
        <v>111</v>
      </c>
      <c r="H113">
        <f t="shared" ca="1" si="6"/>
        <v>60.136963269529232</v>
      </c>
      <c r="I113">
        <f t="shared" ca="1" si="7"/>
        <v>535.3715119129804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79053</v>
      </c>
      <c r="B116" s="66">
        <v>79053</v>
      </c>
      <c r="D116">
        <f t="shared" si="4"/>
        <v>0.48686349863276918</v>
      </c>
      <c r="E116">
        <f t="shared" si="4"/>
        <v>0.48686349863276918</v>
      </c>
      <c r="G116">
        <f t="shared" ca="1" si="5"/>
        <v>114</v>
      </c>
      <c r="H116">
        <f t="shared" ca="1" si="6"/>
        <v>55.502438844135689</v>
      </c>
      <c r="I116">
        <f t="shared" ca="1" si="7"/>
        <v>577.31966216621129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72291</v>
      </c>
      <c r="B118" s="66">
        <v>72291</v>
      </c>
      <c r="D118">
        <f t="shared" si="4"/>
        <v>0.44521838740669573</v>
      </c>
      <c r="E118">
        <f t="shared" si="4"/>
        <v>0.44521838740669573</v>
      </c>
      <c r="G118">
        <f t="shared" ca="1" si="5"/>
        <v>116</v>
      </c>
      <c r="H118">
        <f t="shared" ca="1" si="6"/>
        <v>51.645332939176704</v>
      </c>
      <c r="I118">
        <f t="shared" ca="1" si="7"/>
        <v>591.0430389884184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72787</v>
      </c>
      <c r="B121" s="66">
        <v>72787</v>
      </c>
      <c r="D121">
        <f t="shared" si="4"/>
        <v>0.44827310127361858</v>
      </c>
      <c r="E121">
        <f t="shared" si="4"/>
        <v>0.44827310127361858</v>
      </c>
      <c r="G121">
        <f t="shared" ca="1" si="5"/>
        <v>119</v>
      </c>
      <c r="H121">
        <f t="shared" ca="1" si="6"/>
        <v>53.344499051560611</v>
      </c>
      <c r="I121">
        <f t="shared" ca="1" si="7"/>
        <v>697.13067472020907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64491</v>
      </c>
      <c r="B124" s="66">
        <v>64491</v>
      </c>
      <c r="D124">
        <f t="shared" si="4"/>
        <v>0.39718054837040867</v>
      </c>
      <c r="E124">
        <f t="shared" si="4"/>
        <v>0.39718054837040867</v>
      </c>
      <c r="G124">
        <f t="shared" ca="1" si="5"/>
        <v>122</v>
      </c>
      <c r="H124">
        <f t="shared" ca="1" si="6"/>
        <v>48.456026901189858</v>
      </c>
      <c r="I124">
        <f t="shared" ca="1" si="7"/>
        <v>715.22659312169071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63386</v>
      </c>
      <c r="B126" s="66">
        <v>63386</v>
      </c>
      <c r="D126">
        <f t="shared" si="4"/>
        <v>0.39037518784026803</v>
      </c>
      <c r="E126">
        <f t="shared" si="4"/>
        <v>0.39037518784026803</v>
      </c>
      <c r="G126">
        <f t="shared" ca="1" si="5"/>
        <v>124</v>
      </c>
      <c r="H126">
        <f t="shared" ca="1" si="6"/>
        <v>48.406523292193235</v>
      </c>
      <c r="I126">
        <f t="shared" ca="1" si="7"/>
        <v>770.79611611638438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62046</v>
      </c>
      <c r="B129" s="66">
        <v>62046</v>
      </c>
      <c r="D129">
        <f t="shared" si="4"/>
        <v>0.38212253344172642</v>
      </c>
      <c r="E129">
        <f t="shared" si="4"/>
        <v>0.38212253344172642</v>
      </c>
      <c r="G129">
        <f t="shared" ca="1" si="5"/>
        <v>127</v>
      </c>
      <c r="H129">
        <f t="shared" ca="1" si="6"/>
        <v>48.529561747099258</v>
      </c>
      <c r="I129">
        <f t="shared" ca="1" si="7"/>
        <v>859.8188492329906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59971</v>
      </c>
      <c r="B131" s="66">
        <v>59971</v>
      </c>
      <c r="D131">
        <f t="shared" ref="D131:E194" si="8">IFERROR( A131/MAX(A$2:A$257), 0 )</f>
        <v>0.36934323651861156</v>
      </c>
      <c r="E131">
        <f t="shared" si="8"/>
        <v>0.36934323651861156</v>
      </c>
      <c r="G131">
        <f t="shared" ref="G131:G194" ca="1" si="9">CELL("row",D131)-2</f>
        <v>129</v>
      </c>
      <c r="H131">
        <f t="shared" ref="H131:H194" ca="1" si="10">D131*G131</f>
        <v>47.64527751090089</v>
      </c>
      <c r="I131">
        <f t="shared" ref="I131:I194" ca="1" si="11">D131*((G131-$L$1)^2)</f>
        <v>902.62107147571794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57455</v>
      </c>
      <c r="B134" s="66">
        <v>57455</v>
      </c>
      <c r="D134">
        <f t="shared" si="8"/>
        <v>0.35384795408075281</v>
      </c>
      <c r="E134">
        <f t="shared" si="8"/>
        <v>0.35384795408075281</v>
      </c>
      <c r="G134">
        <f t="shared" ca="1" si="9"/>
        <v>132</v>
      </c>
      <c r="H134">
        <f t="shared" ca="1" si="10"/>
        <v>46.707929938659369</v>
      </c>
      <c r="I134">
        <f t="shared" ca="1" si="11"/>
        <v>972.89308552663454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47871</v>
      </c>
      <c r="B136" s="66">
        <v>47871</v>
      </c>
      <c r="D136">
        <f t="shared" si="8"/>
        <v>0.29482299903924319</v>
      </c>
      <c r="E136">
        <f t="shared" si="8"/>
        <v>0.29482299903924319</v>
      </c>
      <c r="G136">
        <f t="shared" ca="1" si="9"/>
        <v>134</v>
      </c>
      <c r="H136">
        <f t="shared" ca="1" si="10"/>
        <v>39.506281871258587</v>
      </c>
      <c r="I136">
        <f t="shared" ca="1" si="11"/>
        <v>873.62183734926361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38849</v>
      </c>
      <c r="B139" s="66">
        <v>38849</v>
      </c>
      <c r="D139">
        <f t="shared" si="8"/>
        <v>0.23925923188727122</v>
      </c>
      <c r="E139">
        <f t="shared" si="8"/>
        <v>0.23925923188727122</v>
      </c>
      <c r="G139">
        <f t="shared" ca="1" si="9"/>
        <v>137</v>
      </c>
      <c r="H139">
        <f t="shared" ca="1" si="10"/>
        <v>32.778514768556157</v>
      </c>
      <c r="I139">
        <f t="shared" ca="1" si="11"/>
        <v>789.27314470992246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32237</v>
      </c>
      <c r="B142" s="66">
        <v>32237</v>
      </c>
      <c r="D142">
        <f t="shared" si="8"/>
        <v>0.19853792525804942</v>
      </c>
      <c r="E142">
        <f t="shared" si="8"/>
        <v>0.19853792525804942</v>
      </c>
      <c r="G142">
        <f t="shared" ca="1" si="9"/>
        <v>140</v>
      </c>
      <c r="H142">
        <f t="shared" ca="1" si="10"/>
        <v>27.795309536126918</v>
      </c>
      <c r="I142">
        <f t="shared" ca="1" si="11"/>
        <v>725.14630188844649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21396</v>
      </c>
      <c r="B144" s="66">
        <v>21396</v>
      </c>
      <c r="D144">
        <f t="shared" si="8"/>
        <v>0.13177148769492278</v>
      </c>
      <c r="E144">
        <f t="shared" si="8"/>
        <v>0.13177148769492278</v>
      </c>
      <c r="G144">
        <f t="shared" ca="1" si="9"/>
        <v>142</v>
      </c>
      <c r="H144">
        <f t="shared" ca="1" si="10"/>
        <v>18.711551252679033</v>
      </c>
      <c r="I144">
        <f t="shared" ca="1" si="11"/>
        <v>513.66813114919398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18863</v>
      </c>
      <c r="B147" s="66">
        <v>18863</v>
      </c>
      <c r="D147">
        <f t="shared" si="8"/>
        <v>0.11617150740275417</v>
      </c>
      <c r="E147">
        <f t="shared" si="8"/>
        <v>0.11617150740275417</v>
      </c>
      <c r="G147">
        <f t="shared" ca="1" si="9"/>
        <v>145</v>
      </c>
      <c r="H147">
        <f t="shared" ca="1" si="10"/>
        <v>16.844868573399356</v>
      </c>
      <c r="I147">
        <f t="shared" ca="1" si="11"/>
        <v>497.42149973042279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14592</v>
      </c>
      <c r="B149" s="66">
        <v>14592</v>
      </c>
      <c r="D149">
        <f t="shared" si="8"/>
        <v>8.9867711181730842E-2</v>
      </c>
      <c r="E149">
        <f t="shared" si="8"/>
        <v>8.9867711181730842E-2</v>
      </c>
      <c r="G149">
        <f t="shared" ca="1" si="9"/>
        <v>147</v>
      </c>
      <c r="H149">
        <f t="shared" ca="1" si="10"/>
        <v>13.210553543714434</v>
      </c>
      <c r="I149">
        <f t="shared" ca="1" si="11"/>
        <v>408.67585432232738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12675</v>
      </c>
      <c r="B152" s="66">
        <v>12675</v>
      </c>
      <c r="D152">
        <f t="shared" si="8"/>
        <v>7.8061488433966444E-2</v>
      </c>
      <c r="E152">
        <f t="shared" si="8"/>
        <v>7.8061488433966444E-2</v>
      </c>
      <c r="G152">
        <f t="shared" ca="1" si="9"/>
        <v>150</v>
      </c>
      <c r="H152">
        <f t="shared" ca="1" si="10"/>
        <v>11.709223265094966</v>
      </c>
      <c r="I152">
        <f t="shared" ca="1" si="11"/>
        <v>387.27391470250529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7974</v>
      </c>
      <c r="B154" s="66">
        <v>7974</v>
      </c>
      <c r="D154">
        <f t="shared" si="8"/>
        <v>4.9109452368634988E-2</v>
      </c>
      <c r="E154">
        <f t="shared" si="8"/>
        <v>4.9109452368634988E-2</v>
      </c>
      <c r="G154">
        <f t="shared" ca="1" si="9"/>
        <v>152</v>
      </c>
      <c r="H154">
        <f t="shared" ca="1" si="10"/>
        <v>7.4646367600325183</v>
      </c>
      <c r="I154">
        <f t="shared" ca="1" si="11"/>
        <v>257.67143670561751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5829</v>
      </c>
      <c r="B157" s="66">
        <v>5829</v>
      </c>
      <c r="D157">
        <f t="shared" si="8"/>
        <v>3.5899046633656048E-2</v>
      </c>
      <c r="E157">
        <f t="shared" si="8"/>
        <v>3.5899046633656048E-2</v>
      </c>
      <c r="G157">
        <f t="shared" ca="1" si="9"/>
        <v>155</v>
      </c>
      <c r="H157">
        <f t="shared" ca="1" si="10"/>
        <v>5.5643522282166877</v>
      </c>
      <c r="I157">
        <f t="shared" ca="1" si="11"/>
        <v>204.28326669230484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4774</v>
      </c>
      <c r="B160" s="66">
        <v>4774</v>
      </c>
      <c r="D160">
        <f t="shared" si="8"/>
        <v>2.9401620969132611E-2</v>
      </c>
      <c r="E160">
        <f t="shared" si="8"/>
        <v>2.9401620969132611E-2</v>
      </c>
      <c r="G160">
        <f t="shared" ca="1" si="9"/>
        <v>158</v>
      </c>
      <c r="H160">
        <f t="shared" ca="1" si="10"/>
        <v>4.6454561131229521</v>
      </c>
      <c r="I160">
        <f t="shared" ca="1" si="11"/>
        <v>180.88185758552484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2806</v>
      </c>
      <c r="B162" s="66">
        <v>2806</v>
      </c>
      <c r="D162">
        <f t="shared" si="8"/>
        <v>1.7281304658438648E-2</v>
      </c>
      <c r="E162">
        <f t="shared" si="8"/>
        <v>1.7281304658438648E-2</v>
      </c>
      <c r="G162">
        <f t="shared" ca="1" si="9"/>
        <v>160</v>
      </c>
      <c r="H162">
        <f t="shared" ca="1" si="10"/>
        <v>2.7650087453501837</v>
      </c>
      <c r="I162">
        <f t="shared" ca="1" si="11"/>
        <v>111.80738603824526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3257</v>
      </c>
      <c r="B165" s="66">
        <v>3257</v>
      </c>
      <c r="D165">
        <f t="shared" si="8"/>
        <v>2.0058877146306012E-2</v>
      </c>
      <c r="E165">
        <f t="shared" si="8"/>
        <v>2.0058877146306012E-2</v>
      </c>
      <c r="G165">
        <f t="shared" ca="1" si="9"/>
        <v>163</v>
      </c>
      <c r="H165">
        <f t="shared" ca="1" si="10"/>
        <v>3.2695969748478797</v>
      </c>
      <c r="I165">
        <f t="shared" ca="1" si="11"/>
        <v>139.63904062683349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1564</v>
      </c>
      <c r="B167" s="66">
        <v>1564</v>
      </c>
      <c r="D167">
        <f t="shared" si="8"/>
        <v>9.6322025965067861E-3</v>
      </c>
      <c r="E167">
        <f t="shared" si="8"/>
        <v>9.6322025965067861E-3</v>
      </c>
      <c r="G167">
        <f t="shared" ca="1" si="9"/>
        <v>165</v>
      </c>
      <c r="H167">
        <f t="shared" ca="1" si="10"/>
        <v>1.5893134284236197</v>
      </c>
      <c r="I167">
        <f t="shared" ca="1" si="11"/>
        <v>70.307372339800608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1757</v>
      </c>
      <c r="B170" s="66">
        <v>1757</v>
      </c>
      <c r="D170">
        <f t="shared" si="8"/>
        <v>1.0820831177789274E-2</v>
      </c>
      <c r="E170">
        <f t="shared" si="8"/>
        <v>1.0820831177789274E-2</v>
      </c>
      <c r="G170">
        <f t="shared" ca="1" si="9"/>
        <v>168</v>
      </c>
      <c r="H170">
        <f t="shared" ca="1" si="10"/>
        <v>1.8178996378685981</v>
      </c>
      <c r="I170">
        <f t="shared" ca="1" si="11"/>
        <v>84.627686784551386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1332</v>
      </c>
      <c r="B173" s="66">
        <v>1332</v>
      </c>
      <c r="D173">
        <f t="shared" si="8"/>
        <v>8.2033848200428645E-3</v>
      </c>
      <c r="E173">
        <f t="shared" si="8"/>
        <v>8.2033848200428645E-3</v>
      </c>
      <c r="G173">
        <f t="shared" ca="1" si="9"/>
        <v>171</v>
      </c>
      <c r="H173">
        <f t="shared" ca="1" si="10"/>
        <v>1.4027788042273299</v>
      </c>
      <c r="I173">
        <f t="shared" ca="1" si="11"/>
        <v>68.583776753302843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1390</v>
      </c>
      <c r="B175" s="66">
        <v>1390</v>
      </c>
      <c r="D175">
        <f t="shared" si="8"/>
        <v>8.5605892641588445E-3</v>
      </c>
      <c r="E175">
        <f t="shared" si="8"/>
        <v>8.5605892641588445E-3</v>
      </c>
      <c r="G175">
        <f t="shared" ca="1" si="9"/>
        <v>173</v>
      </c>
      <c r="H175">
        <f t="shared" ca="1" si="10"/>
        <v>1.4809819426994801</v>
      </c>
      <c r="I175">
        <f t="shared" ca="1" si="11"/>
        <v>74.735361858819999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1083</v>
      </c>
      <c r="B178" s="66">
        <v>1083</v>
      </c>
      <c r="D178">
        <f t="shared" si="8"/>
        <v>6.6698691892690858E-3</v>
      </c>
      <c r="E178">
        <f t="shared" si="8"/>
        <v>6.6698691892690858E-3</v>
      </c>
      <c r="G178">
        <f t="shared" ca="1" si="9"/>
        <v>176</v>
      </c>
      <c r="H178">
        <f t="shared" ca="1" si="10"/>
        <v>1.173896977311359</v>
      </c>
      <c r="I178">
        <f t="shared" ca="1" si="11"/>
        <v>62.028300915186151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591</v>
      </c>
      <c r="B180" s="66">
        <v>591</v>
      </c>
      <c r="D180">
        <f t="shared" si="8"/>
        <v>3.6397901115955951E-3</v>
      </c>
      <c r="E180">
        <f t="shared" si="8"/>
        <v>3.6397901115955951E-3</v>
      </c>
      <c r="G180">
        <f t="shared" ca="1" si="9"/>
        <v>178</v>
      </c>
      <c r="H180">
        <f t="shared" ca="1" si="10"/>
        <v>0.64788263986401595</v>
      </c>
      <c r="I180">
        <f t="shared" ca="1" si="11"/>
        <v>35.267815972516942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251</v>
      </c>
      <c r="B183" s="66">
        <v>251</v>
      </c>
      <c r="D183">
        <f t="shared" si="8"/>
        <v>1.5458330253984678E-3</v>
      </c>
      <c r="E183">
        <f t="shared" si="8"/>
        <v>1.5458330253984678E-3</v>
      </c>
      <c r="G183">
        <f t="shared" ca="1" si="9"/>
        <v>181</v>
      </c>
      <c r="H183">
        <f t="shared" ca="1" si="10"/>
        <v>0.27979577759712265</v>
      </c>
      <c r="I183">
        <f t="shared" ca="1" si="11"/>
        <v>15.905278930080218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349</v>
      </c>
      <c r="B1" s="66" t="s">
        <v>350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71.621679328963168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1.3820793329710419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0.56028570846602188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2404</v>
      </c>
      <c r="B8" s="66">
        <v>2404</v>
      </c>
      <c r="D8">
        <f t="shared" si="0"/>
        <v>2.1820228186579289</v>
      </c>
      <c r="E8">
        <f t="shared" si="1"/>
        <v>2.1820228186579289</v>
      </c>
      <c r="G8">
        <f t="shared" ca="1" si="2"/>
        <v>6</v>
      </c>
      <c r="H8">
        <f t="shared" ca="1" si="3"/>
        <v>13.092136911947573</v>
      </c>
      <c r="I8">
        <f t="shared" ca="1" si="4"/>
        <v>9396.2371309482951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3719</v>
      </c>
      <c r="B10" s="66">
        <v>3719</v>
      </c>
      <c r="D10">
        <f t="shared" si="0"/>
        <v>3.375600192424641</v>
      </c>
      <c r="E10">
        <f t="shared" si="1"/>
        <v>3.375600192424641</v>
      </c>
      <c r="G10">
        <f t="shared" ca="1" si="2"/>
        <v>8</v>
      </c>
      <c r="H10">
        <f t="shared" ca="1" si="3"/>
        <v>27.004801539397128</v>
      </c>
      <c r="I10">
        <f t="shared" ca="1" si="4"/>
        <v>13663.477931880372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6443</v>
      </c>
      <c r="B13" s="66">
        <v>6443</v>
      </c>
      <c r="D13">
        <f t="shared" si="0"/>
        <v>5.8480752997558385</v>
      </c>
      <c r="E13">
        <f t="shared" si="1"/>
        <v>5.8480752997558385</v>
      </c>
      <c r="G13">
        <f t="shared" ca="1" si="2"/>
        <v>11</v>
      </c>
      <c r="H13">
        <f t="shared" ca="1" si="3"/>
        <v>64.328828297314217</v>
      </c>
      <c r="I13">
        <f t="shared" ca="1" si="4"/>
        <v>21491.60657697243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13370</v>
      </c>
      <c r="B15" s="66">
        <v>13370</v>
      </c>
      <c r="D15">
        <f t="shared" si="0"/>
        <v>12.135459686129996</v>
      </c>
      <c r="E15">
        <f t="shared" si="1"/>
        <v>12.135459686129996</v>
      </c>
      <c r="G15">
        <f t="shared" ca="1" si="2"/>
        <v>13</v>
      </c>
      <c r="H15">
        <f t="shared" ca="1" si="3"/>
        <v>157.76097591968994</v>
      </c>
      <c r="I15">
        <f t="shared" ca="1" si="4"/>
        <v>41703.522833942909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17171</v>
      </c>
      <c r="B18" s="66">
        <v>17171</v>
      </c>
      <c r="D18">
        <f t="shared" si="0"/>
        <v>15.585488277527162</v>
      </c>
      <c r="E18">
        <f t="shared" si="1"/>
        <v>15.585488277527162</v>
      </c>
      <c r="G18">
        <f t="shared" ca="1" si="2"/>
        <v>16</v>
      </c>
      <c r="H18">
        <f t="shared" ca="1" si="3"/>
        <v>249.36781244043459</v>
      </c>
      <c r="I18">
        <f t="shared" ca="1" si="4"/>
        <v>48217.934948220616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17849</v>
      </c>
      <c r="B21" s="66">
        <v>17849</v>
      </c>
      <c r="D21">
        <f t="shared" si="0"/>
        <v>16.200884064153648</v>
      </c>
      <c r="E21">
        <f t="shared" si="1"/>
        <v>16.200884064153648</v>
      </c>
      <c r="G21">
        <f t="shared" ca="1" si="2"/>
        <v>19</v>
      </c>
      <c r="H21">
        <f t="shared" ca="1" si="3"/>
        <v>307.81679721891931</v>
      </c>
      <c r="I21">
        <f t="shared" ca="1" si="4"/>
        <v>44860.914403491501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17235</v>
      </c>
      <c r="B23" s="66">
        <v>17235</v>
      </c>
      <c r="D23">
        <f t="shared" si="0"/>
        <v>15.643578735261816</v>
      </c>
      <c r="E23">
        <f t="shared" si="1"/>
        <v>15.643578735261816</v>
      </c>
      <c r="G23">
        <f t="shared" ca="1" si="2"/>
        <v>21</v>
      </c>
      <c r="H23">
        <f t="shared" ca="1" si="3"/>
        <v>328.51515344049812</v>
      </c>
      <c r="I23">
        <f t="shared" ca="1" si="4"/>
        <v>40087.52180269597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17277</v>
      </c>
      <c r="B26" s="66">
        <v>17277</v>
      </c>
      <c r="D26">
        <f t="shared" si="0"/>
        <v>15.681700598150181</v>
      </c>
      <c r="E26">
        <f t="shared" si="1"/>
        <v>15.681700598150181</v>
      </c>
      <c r="G26">
        <f t="shared" ca="1" si="2"/>
        <v>24</v>
      </c>
      <c r="H26">
        <f t="shared" ca="1" si="3"/>
        <v>376.36081435560436</v>
      </c>
      <c r="I26">
        <f t="shared" ca="1" si="4"/>
        <v>35563.34234217531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20858</v>
      </c>
      <c r="B28" s="66">
        <v>20858</v>
      </c>
      <c r="D28">
        <f t="shared" si="0"/>
        <v>18.932043241084475</v>
      </c>
      <c r="E28">
        <f t="shared" si="1"/>
        <v>18.932043241084475</v>
      </c>
      <c r="G28">
        <f t="shared" ca="1" si="2"/>
        <v>26</v>
      </c>
      <c r="H28">
        <f t="shared" ca="1" si="3"/>
        <v>492.23312426819638</v>
      </c>
      <c r="I28">
        <f t="shared" ca="1" si="4"/>
        <v>39403.973911910172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31968</v>
      </c>
      <c r="B31" s="66">
        <v>31968</v>
      </c>
      <c r="D31">
        <f t="shared" si="0"/>
        <v>29.016183638459513</v>
      </c>
      <c r="E31">
        <f t="shared" si="1"/>
        <v>29.016183638459513</v>
      </c>
      <c r="G31">
        <f t="shared" ca="1" si="2"/>
        <v>29</v>
      </c>
      <c r="H31">
        <f t="shared" ca="1" si="3"/>
        <v>841.46932551532586</v>
      </c>
      <c r="I31">
        <f t="shared" ca="1" si="4"/>
        <v>52711.018235600961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29868</v>
      </c>
      <c r="B33" s="66">
        <v>29868</v>
      </c>
      <c r="D33">
        <f t="shared" si="0"/>
        <v>27.110090494041192</v>
      </c>
      <c r="E33">
        <f t="shared" si="1"/>
        <v>27.110090494041192</v>
      </c>
      <c r="G33">
        <f t="shared" ca="1" si="2"/>
        <v>31</v>
      </c>
      <c r="H33">
        <f t="shared" ca="1" si="3"/>
        <v>840.41280531527696</v>
      </c>
      <c r="I33">
        <f t="shared" ca="1" si="4"/>
        <v>44734.925068206125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41995</v>
      </c>
      <c r="B36" s="66">
        <v>41995</v>
      </c>
      <c r="D36">
        <f t="shared" si="0"/>
        <v>38.117324571355958</v>
      </c>
      <c r="E36">
        <f t="shared" si="1"/>
        <v>38.117324571355958</v>
      </c>
      <c r="G36">
        <f t="shared" ca="1" si="2"/>
        <v>34</v>
      </c>
      <c r="H36">
        <f t="shared" ca="1" si="3"/>
        <v>1295.9890354261026</v>
      </c>
      <c r="I36">
        <f t="shared" ca="1" si="4"/>
        <v>53950.908823884609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41679</v>
      </c>
      <c r="B39" s="66">
        <v>41679</v>
      </c>
      <c r="D39">
        <f t="shared" si="0"/>
        <v>37.830502936291104</v>
      </c>
      <c r="E39">
        <f t="shared" si="1"/>
        <v>37.830502936291104</v>
      </c>
      <c r="G39">
        <f t="shared" ca="1" si="2"/>
        <v>37</v>
      </c>
      <c r="H39">
        <f t="shared" ca="1" si="3"/>
        <v>1399.728608642771</v>
      </c>
      <c r="I39">
        <f t="shared" ca="1" si="4"/>
        <v>45345.936357618797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47469</v>
      </c>
      <c r="B41" s="66">
        <v>47469</v>
      </c>
      <c r="D41">
        <f t="shared" si="0"/>
        <v>43.085874034473058</v>
      </c>
      <c r="E41">
        <f t="shared" si="1"/>
        <v>43.085874034473058</v>
      </c>
      <c r="G41">
        <f t="shared" ca="1" si="2"/>
        <v>39</v>
      </c>
      <c r="H41">
        <f t="shared" ca="1" si="3"/>
        <v>1680.3490873444493</v>
      </c>
      <c r="I41">
        <f t="shared" ca="1" si="4"/>
        <v>45850.8652879121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46684</v>
      </c>
      <c r="B44" s="66">
        <v>46684</v>
      </c>
      <c r="D44">
        <f t="shared" si="0"/>
        <v>42.373358263821444</v>
      </c>
      <c r="E44">
        <f t="shared" si="1"/>
        <v>42.373358263821444</v>
      </c>
      <c r="G44">
        <f t="shared" ca="1" si="2"/>
        <v>42</v>
      </c>
      <c r="H44">
        <f t="shared" ca="1" si="3"/>
        <v>1779.6810470805008</v>
      </c>
      <c r="I44">
        <f t="shared" ca="1" si="4"/>
        <v>37180.244149230537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54652</v>
      </c>
      <c r="B46" s="66">
        <v>54652</v>
      </c>
      <c r="D46">
        <f t="shared" si="0"/>
        <v>49.60562025178583</v>
      </c>
      <c r="E46">
        <f t="shared" si="1"/>
        <v>49.60562025178583</v>
      </c>
      <c r="G46">
        <f t="shared" ca="1" si="2"/>
        <v>44</v>
      </c>
      <c r="H46">
        <f t="shared" ca="1" si="3"/>
        <v>2182.6472910785765</v>
      </c>
      <c r="I46">
        <f t="shared" ca="1" si="4"/>
        <v>37846.963591414045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60342</v>
      </c>
      <c r="B49" s="66">
        <v>60342</v>
      </c>
      <c r="D49">
        <f t="shared" si="0"/>
        <v>54.770225009757382</v>
      </c>
      <c r="E49">
        <f t="shared" si="1"/>
        <v>54.770225009757382</v>
      </c>
      <c r="G49">
        <f t="shared" ca="1" si="2"/>
        <v>47</v>
      </c>
      <c r="H49">
        <f t="shared" ca="1" si="3"/>
        <v>2574.2005754585971</v>
      </c>
      <c r="I49">
        <f t="shared" ca="1" si="4"/>
        <v>33203.194289432169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61967</v>
      </c>
      <c r="B51" s="66">
        <v>61967</v>
      </c>
      <c r="D51">
        <f t="shared" si="0"/>
        <v>56.24517803817632</v>
      </c>
      <c r="E51">
        <f t="shared" si="1"/>
        <v>56.24517803817632</v>
      </c>
      <c r="G51">
        <f t="shared" ca="1" si="2"/>
        <v>49</v>
      </c>
      <c r="H51">
        <f t="shared" ca="1" si="3"/>
        <v>2756.0137238706398</v>
      </c>
      <c r="I51">
        <f t="shared" ca="1" si="4"/>
        <v>28782.928538457141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75574</v>
      </c>
      <c r="B54" s="66">
        <v>75574</v>
      </c>
      <c r="D54">
        <f t="shared" si="0"/>
        <v>68.595753950604959</v>
      </c>
      <c r="E54">
        <f t="shared" si="1"/>
        <v>68.595753950604959</v>
      </c>
      <c r="G54">
        <f t="shared" ca="1" si="2"/>
        <v>52</v>
      </c>
      <c r="H54">
        <f t="shared" ca="1" si="3"/>
        <v>3566.979205431458</v>
      </c>
      <c r="I54">
        <f t="shared" ca="1" si="4"/>
        <v>26410.071785892032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80812</v>
      </c>
      <c r="B57" s="66">
        <v>80812</v>
      </c>
      <c r="D57">
        <f t="shared" si="0"/>
        <v>73.350094850825514</v>
      </c>
      <c r="E57">
        <f t="shared" si="1"/>
        <v>73.350094850825514</v>
      </c>
      <c r="G57">
        <f t="shared" ca="1" si="2"/>
        <v>55</v>
      </c>
      <c r="H57">
        <f t="shared" ca="1" si="3"/>
        <v>4034.2552167954032</v>
      </c>
      <c r="I57">
        <f t="shared" ca="1" si="4"/>
        <v>20265.180614893849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88161</v>
      </c>
      <c r="B59" s="66">
        <v>88161</v>
      </c>
      <c r="D59">
        <f t="shared" si="0"/>
        <v>80.020513192887549</v>
      </c>
      <c r="E59">
        <f t="shared" si="1"/>
        <v>80.020513192887549</v>
      </c>
      <c r="G59">
        <f t="shared" ca="1" si="2"/>
        <v>57</v>
      </c>
      <c r="H59">
        <f t="shared" ca="1" si="3"/>
        <v>4561.16925199459</v>
      </c>
      <c r="I59">
        <f t="shared" ca="1" si="4"/>
        <v>17107.866099357172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92408</v>
      </c>
      <c r="B62" s="66">
        <v>92408</v>
      </c>
      <c r="D62">
        <f t="shared" si="0"/>
        <v>83.875359661623079</v>
      </c>
      <c r="E62">
        <f t="shared" si="1"/>
        <v>83.875359661623079</v>
      </c>
      <c r="G62">
        <f t="shared" ca="1" si="2"/>
        <v>60</v>
      </c>
      <c r="H62">
        <f t="shared" ca="1" si="3"/>
        <v>5032.5215796973844</v>
      </c>
      <c r="I62">
        <f t="shared" ca="1" si="4"/>
        <v>11328.493804050433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96733</v>
      </c>
      <c r="B64" s="66">
        <v>96733</v>
      </c>
      <c r="D64">
        <f t="shared" si="0"/>
        <v>87.801003875722728</v>
      </c>
      <c r="E64">
        <f t="shared" si="1"/>
        <v>87.801003875722728</v>
      </c>
      <c r="G64">
        <f t="shared" ca="1" si="2"/>
        <v>62</v>
      </c>
      <c r="H64">
        <f t="shared" ca="1" si="3"/>
        <v>5443.6622402948087</v>
      </c>
      <c r="I64">
        <f t="shared" ca="1" si="4"/>
        <v>8128.3283465198474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110173</v>
      </c>
      <c r="B67" s="66">
        <v>110173</v>
      </c>
      <c r="D67">
        <f t="shared" ref="D67:D130" si="5">IFERROR( 100*A67/MAX(A$2:A$257), 0 )</f>
        <v>100</v>
      </c>
      <c r="E67">
        <f t="shared" ref="E67:E130" si="6">IFERROR( 100*B67/MAX(B$2:B$257), 0 )</f>
        <v>100</v>
      </c>
      <c r="G67">
        <f t="shared" ref="G67:G130" ca="1" si="7">CELL("row",D67)-2</f>
        <v>65</v>
      </c>
      <c r="H67">
        <f t="shared" ref="H67:H130" ca="1" si="8">D67*G67</f>
        <v>6500</v>
      </c>
      <c r="I67">
        <f t="shared" ref="I67:I130" ca="1" si="9">D67*((G67-$L$1)^2)</f>
        <v>4384.6637135618112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92462</v>
      </c>
      <c r="B69" s="66">
        <v>92462</v>
      </c>
      <c r="D69">
        <f t="shared" si="5"/>
        <v>83.924373485336702</v>
      </c>
      <c r="E69">
        <f t="shared" si="6"/>
        <v>83.924373485336702</v>
      </c>
      <c r="G69">
        <f t="shared" ca="1" si="7"/>
        <v>67</v>
      </c>
      <c r="H69">
        <f t="shared" ca="1" si="8"/>
        <v>5622.9330235175594</v>
      </c>
      <c r="I69">
        <f t="shared" ca="1" si="9"/>
        <v>1792.6178885708407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97261</v>
      </c>
      <c r="B72" s="66">
        <v>97261</v>
      </c>
      <c r="D72">
        <f t="shared" si="5"/>
        <v>88.280250152033616</v>
      </c>
      <c r="E72">
        <f t="shared" si="6"/>
        <v>88.280250152033616</v>
      </c>
      <c r="G72">
        <f t="shared" ca="1" si="7"/>
        <v>70</v>
      </c>
      <c r="H72">
        <f t="shared" ca="1" si="8"/>
        <v>6179.6175106423534</v>
      </c>
      <c r="I72">
        <f t="shared" ca="1" si="9"/>
        <v>232.16327258446833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98633</v>
      </c>
      <c r="B75" s="66">
        <v>98633</v>
      </c>
      <c r="D75">
        <f t="shared" si="5"/>
        <v>89.525564339720262</v>
      </c>
      <c r="E75">
        <f t="shared" si="6"/>
        <v>89.525564339720262</v>
      </c>
      <c r="G75">
        <f t="shared" ca="1" si="7"/>
        <v>73</v>
      </c>
      <c r="H75">
        <f t="shared" ca="1" si="8"/>
        <v>6535.3661967995795</v>
      </c>
      <c r="I75">
        <f t="shared" ca="1" si="9"/>
        <v>170.07779087383906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82273</v>
      </c>
      <c r="B77" s="66">
        <v>82273</v>
      </c>
      <c r="D77">
        <f t="shared" si="5"/>
        <v>74.676191081299407</v>
      </c>
      <c r="E77">
        <f t="shared" si="6"/>
        <v>74.676191081299407</v>
      </c>
      <c r="G77">
        <f t="shared" ca="1" si="7"/>
        <v>75</v>
      </c>
      <c r="H77">
        <f t="shared" ca="1" si="8"/>
        <v>5600.7143310974552</v>
      </c>
      <c r="I77">
        <f t="shared" ca="1" si="9"/>
        <v>852.28314416687772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74080</v>
      </c>
      <c r="B80" s="66">
        <v>74080</v>
      </c>
      <c r="D80">
        <f t="shared" si="5"/>
        <v>67.23970482786163</v>
      </c>
      <c r="E80">
        <f t="shared" si="6"/>
        <v>67.23970482786163</v>
      </c>
      <c r="G80">
        <f t="shared" ca="1" si="7"/>
        <v>78</v>
      </c>
      <c r="H80">
        <f t="shared" ca="1" si="8"/>
        <v>5244.6969765732074</v>
      </c>
      <c r="I80">
        <f t="shared" ca="1" si="9"/>
        <v>2735.5112024517898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65481</v>
      </c>
      <c r="B82" s="66">
        <v>65481</v>
      </c>
      <c r="D82">
        <f t="shared" si="5"/>
        <v>59.434707233169654</v>
      </c>
      <c r="E82">
        <f t="shared" si="6"/>
        <v>59.434707233169654</v>
      </c>
      <c r="G82">
        <f t="shared" ca="1" si="7"/>
        <v>80</v>
      </c>
      <c r="H82">
        <f t="shared" ca="1" si="8"/>
        <v>4754.776578653572</v>
      </c>
      <c r="I82">
        <f t="shared" ca="1" si="9"/>
        <v>4172.0939995119434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65378</v>
      </c>
      <c r="B85" s="66">
        <v>65378</v>
      </c>
      <c r="D85">
        <f t="shared" si="5"/>
        <v>59.341217902752945</v>
      </c>
      <c r="E85">
        <f t="shared" si="6"/>
        <v>59.341217902752945</v>
      </c>
      <c r="G85">
        <f t="shared" ca="1" si="7"/>
        <v>83</v>
      </c>
      <c r="H85">
        <f t="shared" ca="1" si="8"/>
        <v>4925.3210859284945</v>
      </c>
      <c r="I85">
        <f t="shared" ca="1" si="9"/>
        <v>7682.6808751419112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60163</v>
      </c>
      <c r="B88" s="66">
        <v>60163</v>
      </c>
      <c r="D88">
        <f t="shared" si="5"/>
        <v>54.607753260780775</v>
      </c>
      <c r="E88">
        <f t="shared" si="6"/>
        <v>54.607753260780775</v>
      </c>
      <c r="G88">
        <f t="shared" ca="1" si="7"/>
        <v>86</v>
      </c>
      <c r="H88">
        <f t="shared" ca="1" si="8"/>
        <v>4696.2667804271468</v>
      </c>
      <c r="I88">
        <f t="shared" ca="1" si="9"/>
        <v>11289.394229363754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56538</v>
      </c>
      <c r="B90" s="66">
        <v>56538</v>
      </c>
      <c r="D90">
        <f t="shared" si="5"/>
        <v>51.317473428153903</v>
      </c>
      <c r="E90">
        <f t="shared" si="6"/>
        <v>51.317473428153903</v>
      </c>
      <c r="G90">
        <f t="shared" ca="1" si="7"/>
        <v>88</v>
      </c>
      <c r="H90">
        <f t="shared" ca="1" si="8"/>
        <v>4515.9376616775435</v>
      </c>
      <c r="I90">
        <f t="shared" ca="1" si="9"/>
        <v>13765.880840978531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57000</v>
      </c>
      <c r="B93" s="66">
        <v>57000</v>
      </c>
      <c r="D93">
        <f t="shared" si="5"/>
        <v>51.736813919925936</v>
      </c>
      <c r="E93">
        <f t="shared" si="6"/>
        <v>51.736813919925936</v>
      </c>
      <c r="G93">
        <f t="shared" ca="1" si="7"/>
        <v>91</v>
      </c>
      <c r="H93">
        <f t="shared" ca="1" si="8"/>
        <v>4708.0500667132601</v>
      </c>
      <c r="I93">
        <f t="shared" ca="1" si="9"/>
        <v>19428.172769810571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51867</v>
      </c>
      <c r="B95" s="66">
        <v>51867</v>
      </c>
      <c r="D95">
        <f t="shared" si="5"/>
        <v>47.077777676926289</v>
      </c>
      <c r="E95">
        <f t="shared" si="6"/>
        <v>47.077777676926289</v>
      </c>
      <c r="G95">
        <f t="shared" ca="1" si="7"/>
        <v>93</v>
      </c>
      <c r="H95">
        <f t="shared" ca="1" si="8"/>
        <v>4378.2333239541449</v>
      </c>
      <c r="I95">
        <f t="shared" ca="1" si="9"/>
        <v>21516.078885039416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47415</v>
      </c>
      <c r="B98" s="66">
        <v>47415</v>
      </c>
      <c r="D98">
        <f t="shared" si="5"/>
        <v>43.036860210759443</v>
      </c>
      <c r="E98">
        <f t="shared" si="6"/>
        <v>43.036860210759443</v>
      </c>
      <c r="G98">
        <f t="shared" ca="1" si="7"/>
        <v>96</v>
      </c>
      <c r="H98">
        <f t="shared" ca="1" si="8"/>
        <v>4131.5385802329065</v>
      </c>
      <c r="I98">
        <f t="shared" ca="1" si="9"/>
        <v>25576.914421911391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43621</v>
      </c>
      <c r="B100" s="66">
        <v>43621</v>
      </c>
      <c r="D100">
        <f t="shared" si="5"/>
        <v>39.593185263177006</v>
      </c>
      <c r="E100">
        <f t="shared" si="6"/>
        <v>39.593185263177006</v>
      </c>
      <c r="G100">
        <f t="shared" ca="1" si="7"/>
        <v>98</v>
      </c>
      <c r="H100">
        <f t="shared" ca="1" si="8"/>
        <v>3880.1321557913466</v>
      </c>
      <c r="I100">
        <f t="shared" ca="1" si="9"/>
        <v>27549.563934828355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37830</v>
      </c>
      <c r="B103" s="66">
        <v>37830</v>
      </c>
      <c r="D103">
        <f t="shared" si="5"/>
        <v>34.336906501592949</v>
      </c>
      <c r="E103">
        <f t="shared" si="6"/>
        <v>34.336906501592949</v>
      </c>
      <c r="G103">
        <f t="shared" ca="1" si="7"/>
        <v>101</v>
      </c>
      <c r="H103">
        <f t="shared" ca="1" si="8"/>
        <v>3468.027556660888</v>
      </c>
      <c r="I103">
        <f t="shared" ca="1" si="9"/>
        <v>29635.693857645445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36192</v>
      </c>
      <c r="B106" s="66">
        <v>36192</v>
      </c>
      <c r="D106">
        <f t="shared" si="5"/>
        <v>32.850153848946654</v>
      </c>
      <c r="E106">
        <f t="shared" si="6"/>
        <v>32.850153848946654</v>
      </c>
      <c r="G106">
        <f t="shared" ca="1" si="7"/>
        <v>104</v>
      </c>
      <c r="H106">
        <f t="shared" ca="1" si="8"/>
        <v>3416.4160002904518</v>
      </c>
      <c r="I106">
        <f t="shared" ca="1" si="9"/>
        <v>34438.64437371512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28625</v>
      </c>
      <c r="B108" s="66">
        <v>28625</v>
      </c>
      <c r="D108">
        <f t="shared" si="5"/>
        <v>25.981864885225963</v>
      </c>
      <c r="E108">
        <f t="shared" si="6"/>
        <v>25.981864885225963</v>
      </c>
      <c r="G108">
        <f t="shared" ca="1" si="7"/>
        <v>106</v>
      </c>
      <c r="H108">
        <f t="shared" ca="1" si="8"/>
        <v>2754.0776778339523</v>
      </c>
      <c r="I108">
        <f t="shared" ca="1" si="9"/>
        <v>30707.158907443994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27439</v>
      </c>
      <c r="B111" s="66">
        <v>27439</v>
      </c>
      <c r="D111">
        <f t="shared" si="5"/>
        <v>24.905376090330662</v>
      </c>
      <c r="E111">
        <f t="shared" si="6"/>
        <v>24.905376090330662</v>
      </c>
      <c r="G111">
        <f t="shared" ca="1" si="7"/>
        <v>109</v>
      </c>
      <c r="H111">
        <f t="shared" ca="1" si="8"/>
        <v>2714.685993846042</v>
      </c>
      <c r="I111">
        <f t="shared" ca="1" si="9"/>
        <v>34796.268663748138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24770</v>
      </c>
      <c r="B113" s="66">
        <v>24770</v>
      </c>
      <c r="D113">
        <f t="shared" si="5"/>
        <v>22.482822470115181</v>
      </c>
      <c r="E113">
        <f t="shared" si="6"/>
        <v>22.482822470115181</v>
      </c>
      <c r="G113">
        <f t="shared" ca="1" si="7"/>
        <v>111</v>
      </c>
      <c r="H113">
        <f t="shared" ca="1" si="8"/>
        <v>2495.593294182785</v>
      </c>
      <c r="I113">
        <f t="shared" ca="1" si="9"/>
        <v>34863.036751141233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19649</v>
      </c>
      <c r="B116" s="66">
        <v>19649</v>
      </c>
      <c r="D116">
        <f t="shared" si="5"/>
        <v>17.834678187940785</v>
      </c>
      <c r="E116">
        <f t="shared" si="6"/>
        <v>17.834678187940785</v>
      </c>
      <c r="G116">
        <f t="shared" ca="1" si="7"/>
        <v>114</v>
      </c>
      <c r="H116">
        <f t="shared" ca="1" si="8"/>
        <v>2033.1533134252495</v>
      </c>
      <c r="I116">
        <f t="shared" ca="1" si="9"/>
        <v>32029.692042394803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18309</v>
      </c>
      <c r="B118" s="66">
        <v>18309</v>
      </c>
      <c r="D118">
        <f t="shared" si="5"/>
        <v>16.618409229121472</v>
      </c>
      <c r="E118">
        <f t="shared" si="6"/>
        <v>16.618409229121472</v>
      </c>
      <c r="G118">
        <f t="shared" ca="1" si="7"/>
        <v>116</v>
      </c>
      <c r="H118">
        <f t="shared" ca="1" si="8"/>
        <v>1927.7354705780908</v>
      </c>
      <c r="I118">
        <f t="shared" ca="1" si="9"/>
        <v>32728.882523167558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18633</v>
      </c>
      <c r="B121" s="66">
        <v>18633</v>
      </c>
      <c r="D121">
        <f t="shared" si="5"/>
        <v>16.912492171403155</v>
      </c>
      <c r="E121">
        <f t="shared" si="6"/>
        <v>16.912492171403155</v>
      </c>
      <c r="G121">
        <f t="shared" ca="1" si="7"/>
        <v>119</v>
      </c>
      <c r="H121">
        <f t="shared" ca="1" si="8"/>
        <v>2012.5865683969755</v>
      </c>
      <c r="I121">
        <f t="shared" ca="1" si="9"/>
        <v>37963.560299345882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18204</v>
      </c>
      <c r="B124" s="66">
        <v>18204</v>
      </c>
      <c r="D124">
        <f t="shared" si="5"/>
        <v>16.523104571900557</v>
      </c>
      <c r="E124">
        <f t="shared" si="6"/>
        <v>16.523104571900557</v>
      </c>
      <c r="G124">
        <f t="shared" ca="1" si="7"/>
        <v>122</v>
      </c>
      <c r="H124">
        <f t="shared" ca="1" si="8"/>
        <v>2015.8187577718679</v>
      </c>
      <c r="I124">
        <f t="shared" ca="1" si="9"/>
        <v>41935.229525301125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16913</v>
      </c>
      <c r="B126" s="66">
        <v>16913</v>
      </c>
      <c r="D126">
        <f t="shared" si="5"/>
        <v>15.35131111978434</v>
      </c>
      <c r="E126">
        <f t="shared" si="6"/>
        <v>15.35131111978434</v>
      </c>
      <c r="G126">
        <f t="shared" ca="1" si="7"/>
        <v>124</v>
      </c>
      <c r="H126">
        <f t="shared" ca="1" si="8"/>
        <v>1903.5625788532582</v>
      </c>
      <c r="I126">
        <f t="shared" ca="1" si="9"/>
        <v>42116.145153500162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15177</v>
      </c>
      <c r="B129" s="66">
        <v>15177</v>
      </c>
      <c r="D129">
        <f t="shared" si="5"/>
        <v>13.775607453731858</v>
      </c>
      <c r="E129">
        <f t="shared" si="6"/>
        <v>13.775607453731858</v>
      </c>
      <c r="G129">
        <f t="shared" ca="1" si="7"/>
        <v>127</v>
      </c>
      <c r="H129">
        <f t="shared" ca="1" si="8"/>
        <v>1749.5021466239459</v>
      </c>
      <c r="I129">
        <f t="shared" ca="1" si="9"/>
        <v>42246.459878576148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15482</v>
      </c>
      <c r="B131" s="66">
        <v>15482</v>
      </c>
      <c r="D131">
        <f t="shared" ref="D131:D194" si="10">IFERROR( 100*A131/MAX(A$2:A$257), 0 )</f>
        <v>14.052444791373567</v>
      </c>
      <c r="E131">
        <f t="shared" ref="E131:E194" si="11">IFERROR( 100*B131/MAX(B$2:B$257), 0 )</f>
        <v>14.052444791373567</v>
      </c>
      <c r="G131">
        <f t="shared" ref="G131:G194" ca="1" si="12">CELL("row",D131)-2</f>
        <v>129</v>
      </c>
      <c r="H131">
        <f t="shared" ref="H131:H194" ca="1" si="13">D131*G131</f>
        <v>1812.7653780871901</v>
      </c>
      <c r="I131">
        <f t="shared" ref="I131:I194" ca="1" si="14">D131*((G131-$L$1)^2)</f>
        <v>46264.466063958178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12490</v>
      </c>
      <c r="B134" s="66">
        <v>12490</v>
      </c>
      <c r="D134">
        <f t="shared" si="10"/>
        <v>11.336715892278507</v>
      </c>
      <c r="E134">
        <f t="shared" si="11"/>
        <v>11.336715892278507</v>
      </c>
      <c r="G134">
        <f t="shared" ca="1" si="12"/>
        <v>132</v>
      </c>
      <c r="H134">
        <f t="shared" ca="1" si="13"/>
        <v>1496.4464977807629</v>
      </c>
      <c r="I134">
        <f t="shared" ca="1" si="14"/>
        <v>41328.469472657882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10980</v>
      </c>
      <c r="B136" s="66">
        <v>10980</v>
      </c>
      <c r="D136">
        <f t="shared" si="10"/>
        <v>9.9661441551015226</v>
      </c>
      <c r="E136">
        <f t="shared" si="11"/>
        <v>9.9661441551015226</v>
      </c>
      <c r="G136">
        <f t="shared" ca="1" si="12"/>
        <v>134</v>
      </c>
      <c r="H136">
        <f t="shared" ca="1" si="13"/>
        <v>1335.4633167836041</v>
      </c>
      <c r="I136">
        <f t="shared" ca="1" si="14"/>
        <v>38778.813946548551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10305</v>
      </c>
      <c r="B139" s="66">
        <v>10305</v>
      </c>
      <c r="D139">
        <f t="shared" si="10"/>
        <v>9.3534713586813467</v>
      </c>
      <c r="E139">
        <f t="shared" si="11"/>
        <v>9.3534713586813467</v>
      </c>
      <c r="G139">
        <f t="shared" ca="1" si="12"/>
        <v>137</v>
      </c>
      <c r="H139">
        <f t="shared" ca="1" si="13"/>
        <v>1281.4255761393445</v>
      </c>
      <c r="I139">
        <f t="shared" ca="1" si="14"/>
        <v>39979.774723251176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10440</v>
      </c>
      <c r="B142" s="66">
        <v>10440</v>
      </c>
      <c r="D142">
        <f t="shared" si="10"/>
        <v>9.4760059179653808</v>
      </c>
      <c r="E142">
        <f t="shared" si="11"/>
        <v>9.4760059179653808</v>
      </c>
      <c r="G142">
        <f t="shared" ca="1" si="12"/>
        <v>140</v>
      </c>
      <c r="H142">
        <f t="shared" ca="1" si="13"/>
        <v>1326.6408285151533</v>
      </c>
      <c r="I142">
        <f t="shared" ca="1" si="14"/>
        <v>44305.963405316659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7473</v>
      </c>
      <c r="B144" s="66">
        <v>7473</v>
      </c>
      <c r="D144">
        <f t="shared" si="10"/>
        <v>6.7829686039229209</v>
      </c>
      <c r="E144">
        <f t="shared" si="11"/>
        <v>6.7829686039229209</v>
      </c>
      <c r="G144">
        <f t="shared" ca="1" si="12"/>
        <v>142</v>
      </c>
      <c r="H144">
        <f t="shared" ca="1" si="13"/>
        <v>963.18154175705479</v>
      </c>
      <c r="I144">
        <f t="shared" ca="1" si="14"/>
        <v>33596.776194722697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5836</v>
      </c>
      <c r="B147" s="66">
        <v>5836</v>
      </c>
      <c r="D147">
        <f t="shared" si="10"/>
        <v>5.2971236146787328</v>
      </c>
      <c r="E147">
        <f t="shared" si="11"/>
        <v>5.2971236146787328</v>
      </c>
      <c r="G147">
        <f t="shared" ca="1" si="12"/>
        <v>145</v>
      </c>
      <c r="H147">
        <f t="shared" ca="1" si="13"/>
        <v>768.08292412841627</v>
      </c>
      <c r="I147">
        <f t="shared" ca="1" si="14"/>
        <v>28521.715560174292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6257</v>
      </c>
      <c r="B149" s="66">
        <v>6257</v>
      </c>
      <c r="D149">
        <f t="shared" si="10"/>
        <v>5.6792499069645013</v>
      </c>
      <c r="E149">
        <f t="shared" si="11"/>
        <v>5.6792499069645013</v>
      </c>
      <c r="G149">
        <f t="shared" ca="1" si="12"/>
        <v>147</v>
      </c>
      <c r="H149">
        <f t="shared" ca="1" si="13"/>
        <v>834.84973632378171</v>
      </c>
      <c r="I149">
        <f t="shared" ca="1" si="14"/>
        <v>32268.880223376567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5877</v>
      </c>
      <c r="B152" s="66">
        <v>5877</v>
      </c>
      <c r="D152">
        <f t="shared" si="10"/>
        <v>5.3343378141649946</v>
      </c>
      <c r="E152">
        <f t="shared" si="11"/>
        <v>5.3343378141649946</v>
      </c>
      <c r="G152">
        <f t="shared" ca="1" si="12"/>
        <v>150</v>
      </c>
      <c r="H152">
        <f t="shared" ca="1" si="13"/>
        <v>800.15067212474924</v>
      </c>
      <c r="I152">
        <f t="shared" ca="1" si="14"/>
        <v>32769.696827418891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3707</v>
      </c>
      <c r="B154" s="66">
        <v>3707</v>
      </c>
      <c r="D154">
        <f t="shared" si="10"/>
        <v>3.3647082315993937</v>
      </c>
      <c r="E154">
        <f t="shared" si="11"/>
        <v>3.3647082315993937</v>
      </c>
      <c r="G154">
        <f t="shared" ca="1" si="12"/>
        <v>152</v>
      </c>
      <c r="H154">
        <f t="shared" ca="1" si="13"/>
        <v>511.43565120310785</v>
      </c>
      <c r="I154">
        <f t="shared" ca="1" si="14"/>
        <v>21738.284449413713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3498</v>
      </c>
      <c r="B157" s="66">
        <v>3498</v>
      </c>
      <c r="D157">
        <f t="shared" si="10"/>
        <v>3.1750065805596654</v>
      </c>
      <c r="E157">
        <f t="shared" si="11"/>
        <v>3.1750065805596654</v>
      </c>
      <c r="G157">
        <f t="shared" ca="1" si="12"/>
        <v>155</v>
      </c>
      <c r="H157">
        <f t="shared" ca="1" si="13"/>
        <v>492.12601998674813</v>
      </c>
      <c r="I157">
        <f t="shared" ca="1" si="14"/>
        <v>22072.469084087774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3228</v>
      </c>
      <c r="B160" s="66">
        <v>3228</v>
      </c>
      <c r="D160">
        <f t="shared" si="10"/>
        <v>2.929937461991595</v>
      </c>
      <c r="E160">
        <f t="shared" si="11"/>
        <v>2.929937461991595</v>
      </c>
      <c r="G160">
        <f t="shared" ca="1" si="12"/>
        <v>158</v>
      </c>
      <c r="H160">
        <f t="shared" ca="1" si="13"/>
        <v>462.930118994672</v>
      </c>
      <c r="I160">
        <f t="shared" ca="1" si="14"/>
        <v>21860.891236627536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2067</v>
      </c>
      <c r="B162" s="66">
        <v>2067</v>
      </c>
      <c r="D162">
        <f t="shared" si="10"/>
        <v>1.876140252148893</v>
      </c>
      <c r="E162">
        <f t="shared" si="11"/>
        <v>1.876140252148893</v>
      </c>
      <c r="G162">
        <f t="shared" ca="1" si="12"/>
        <v>160</v>
      </c>
      <c r="H162">
        <f t="shared" ca="1" si="13"/>
        <v>300.18244034382286</v>
      </c>
      <c r="I162">
        <f t="shared" ca="1" si="14"/>
        <v>14654.020382576145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2439</v>
      </c>
      <c r="B165" s="66">
        <v>2439</v>
      </c>
      <c r="D165">
        <f t="shared" si="10"/>
        <v>2.2137910377315677</v>
      </c>
      <c r="E165">
        <f t="shared" si="11"/>
        <v>2.2137910377315677</v>
      </c>
      <c r="G165">
        <f t="shared" ca="1" si="12"/>
        <v>163</v>
      </c>
      <c r="H165">
        <f t="shared" ca="1" si="13"/>
        <v>360.84793915024557</v>
      </c>
      <c r="I165">
        <f t="shared" ca="1" si="14"/>
        <v>18485.149605474031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1335</v>
      </c>
      <c r="B167" s="66">
        <v>1335</v>
      </c>
      <c r="D167">
        <f t="shared" si="10"/>
        <v>1.2117306418087916</v>
      </c>
      <c r="E167">
        <f t="shared" si="11"/>
        <v>1.2117306418087916</v>
      </c>
      <c r="G167">
        <f t="shared" ca="1" si="12"/>
        <v>165</v>
      </c>
      <c r="H167">
        <f t="shared" ca="1" si="13"/>
        <v>199.93555589845062</v>
      </c>
      <c r="I167">
        <f t="shared" ca="1" si="14"/>
        <v>10565.698383218107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1657</v>
      </c>
      <c r="B170" s="66">
        <v>1657</v>
      </c>
      <c r="D170">
        <f t="shared" si="10"/>
        <v>1.503998257286268</v>
      </c>
      <c r="E170">
        <f t="shared" si="11"/>
        <v>1.503998257286268</v>
      </c>
      <c r="G170">
        <f t="shared" ca="1" si="12"/>
        <v>168</v>
      </c>
      <c r="H170">
        <f t="shared" ca="1" si="13"/>
        <v>252.67170722409304</v>
      </c>
      <c r="I170">
        <f t="shared" ca="1" si="14"/>
        <v>13970.309978149613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1106</v>
      </c>
      <c r="B173" s="66">
        <v>1106</v>
      </c>
      <c r="D173">
        <f t="shared" si="10"/>
        <v>1.0038757227269839</v>
      </c>
      <c r="E173">
        <f t="shared" si="11"/>
        <v>1.0038757227269839</v>
      </c>
      <c r="G173">
        <f t="shared" ca="1" si="12"/>
        <v>171</v>
      </c>
      <c r="H173">
        <f t="shared" ca="1" si="13"/>
        <v>171.66274858631425</v>
      </c>
      <c r="I173">
        <f t="shared" ca="1" si="14"/>
        <v>9914.3274532338601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1086</v>
      </c>
      <c r="B175" s="66">
        <v>1086</v>
      </c>
      <c r="D175">
        <f t="shared" si="10"/>
        <v>0.9857224546849046</v>
      </c>
      <c r="E175">
        <f t="shared" si="11"/>
        <v>0.9857224546849046</v>
      </c>
      <c r="G175">
        <f t="shared" ca="1" si="12"/>
        <v>173</v>
      </c>
      <c r="H175">
        <f t="shared" ca="1" si="13"/>
        <v>170.52998466048851</v>
      </c>
      <c r="I175">
        <f t="shared" ca="1" si="14"/>
        <v>10130.825517738844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728</v>
      </c>
      <c r="B178" s="66">
        <v>728</v>
      </c>
      <c r="D178">
        <f t="shared" si="10"/>
        <v>0.66077895673168563</v>
      </c>
      <c r="E178">
        <f t="shared" si="11"/>
        <v>0.66077895673168563</v>
      </c>
      <c r="G178">
        <f t="shared" ca="1" si="12"/>
        <v>176</v>
      </c>
      <c r="H178">
        <f t="shared" ca="1" si="13"/>
        <v>116.29709638477667</v>
      </c>
      <c r="I178">
        <f t="shared" ca="1" si="14"/>
        <v>7199.0769293792655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551</v>
      </c>
      <c r="B180" s="66">
        <v>551</v>
      </c>
      <c r="D180">
        <f t="shared" si="10"/>
        <v>0.50012253455928402</v>
      </c>
      <c r="E180">
        <f t="shared" si="11"/>
        <v>0.50012253455928402</v>
      </c>
      <c r="G180">
        <f t="shared" ca="1" si="12"/>
        <v>178</v>
      </c>
      <c r="H180">
        <f t="shared" ca="1" si="13"/>
        <v>89.021811151552555</v>
      </c>
      <c r="I180">
        <f t="shared" ca="1" si="14"/>
        <v>5659.5601980006513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251</v>
      </c>
      <c r="B183" s="66">
        <v>251</v>
      </c>
      <c r="D183">
        <f t="shared" si="10"/>
        <v>0.22782351392809491</v>
      </c>
      <c r="E183">
        <f t="shared" si="11"/>
        <v>0.22782351392809491</v>
      </c>
      <c r="G183">
        <f t="shared" ca="1" si="12"/>
        <v>181</v>
      </c>
      <c r="H183">
        <f t="shared" ca="1" si="13"/>
        <v>41.236056020985181</v>
      </c>
      <c r="I183">
        <f t="shared" ca="1" si="14"/>
        <v>2725.5932717061864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349</v>
      </c>
      <c r="B1" s="66" t="s">
        <v>350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87.144543649198397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1.681623132648955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0.59099312757195688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1524</v>
      </c>
      <c r="B8" s="66">
        <v>1524</v>
      </c>
      <c r="D8">
        <f t="shared" si="0"/>
        <v>1.7793345008756567</v>
      </c>
      <c r="E8">
        <f t="shared" si="1"/>
        <v>1.7793345008756567</v>
      </c>
      <c r="G8">
        <f t="shared" ca="1" si="2"/>
        <v>6</v>
      </c>
      <c r="H8">
        <f t="shared" ca="1" si="3"/>
        <v>10.67600700525394</v>
      </c>
      <c r="I8">
        <f t="shared" ca="1" si="4"/>
        <v>11715.915858951403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5577</v>
      </c>
      <c r="B10" s="66">
        <v>5577</v>
      </c>
      <c r="D10">
        <f t="shared" si="0"/>
        <v>6.5113835376532396</v>
      </c>
      <c r="E10">
        <f t="shared" si="1"/>
        <v>6.5113835376532396</v>
      </c>
      <c r="G10">
        <f t="shared" ca="1" si="2"/>
        <v>8</v>
      </c>
      <c r="H10">
        <f t="shared" ca="1" si="3"/>
        <v>52.091068301225917</v>
      </c>
      <c r="I10">
        <f t="shared" ca="1" si="4"/>
        <v>40786.387003743323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6693</v>
      </c>
      <c r="B13" s="66">
        <v>6693</v>
      </c>
      <c r="D13">
        <f t="shared" si="0"/>
        <v>7.8143607705779337</v>
      </c>
      <c r="E13">
        <f t="shared" si="1"/>
        <v>7.8143607705779337</v>
      </c>
      <c r="G13">
        <f t="shared" ca="1" si="2"/>
        <v>11</v>
      </c>
      <c r="H13">
        <f t="shared" ca="1" si="3"/>
        <v>85.957968476357266</v>
      </c>
      <c r="I13">
        <f t="shared" ca="1" si="4"/>
        <v>45307.597540988376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6717</v>
      </c>
      <c r="B15" s="66">
        <v>6717</v>
      </c>
      <c r="D15">
        <f t="shared" si="0"/>
        <v>7.8423817863397547</v>
      </c>
      <c r="E15">
        <f t="shared" si="1"/>
        <v>7.8423817863397547</v>
      </c>
      <c r="G15">
        <f t="shared" ca="1" si="2"/>
        <v>13</v>
      </c>
      <c r="H15">
        <f t="shared" ca="1" si="3"/>
        <v>101.95096322241682</v>
      </c>
      <c r="I15">
        <f t="shared" ca="1" si="4"/>
        <v>43112.814351139466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10257</v>
      </c>
      <c r="B18" s="66">
        <v>10257</v>
      </c>
      <c r="D18">
        <f t="shared" si="0"/>
        <v>11.975481611208407</v>
      </c>
      <c r="E18">
        <f t="shared" si="1"/>
        <v>11.975481611208407</v>
      </c>
      <c r="G18">
        <f t="shared" ca="1" si="2"/>
        <v>16</v>
      </c>
      <c r="H18">
        <f t="shared" ca="1" si="3"/>
        <v>191.60770577933451</v>
      </c>
      <c r="I18">
        <f t="shared" ca="1" si="4"/>
        <v>60614.452137685359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15309</v>
      </c>
      <c r="B21" s="66">
        <v>15309</v>
      </c>
      <c r="D21">
        <f t="shared" si="0"/>
        <v>17.873905429071804</v>
      </c>
      <c r="E21">
        <f t="shared" si="1"/>
        <v>17.873905429071804</v>
      </c>
      <c r="G21">
        <f t="shared" ca="1" si="2"/>
        <v>19</v>
      </c>
      <c r="H21">
        <f t="shared" ca="1" si="3"/>
        <v>339.60420315236428</v>
      </c>
      <c r="I21">
        <f t="shared" ca="1" si="4"/>
        <v>83000.676235344145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13575</v>
      </c>
      <c r="B23" s="66">
        <v>13575</v>
      </c>
      <c r="D23">
        <f t="shared" si="0"/>
        <v>15.84938704028021</v>
      </c>
      <c r="E23">
        <f t="shared" si="1"/>
        <v>15.84938704028021</v>
      </c>
      <c r="G23">
        <f t="shared" ca="1" si="2"/>
        <v>21</v>
      </c>
      <c r="H23">
        <f t="shared" ca="1" si="3"/>
        <v>332.83712784588442</v>
      </c>
      <c r="I23">
        <f t="shared" ca="1" si="4"/>
        <v>69342.663614316014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13179</v>
      </c>
      <c r="B26" s="66">
        <v>13179</v>
      </c>
      <c r="D26">
        <f t="shared" si="0"/>
        <v>15.387040280210158</v>
      </c>
      <c r="E26">
        <f t="shared" si="1"/>
        <v>15.387040280210158</v>
      </c>
      <c r="G26">
        <f t="shared" ca="1" si="2"/>
        <v>24</v>
      </c>
      <c r="H26">
        <f t="shared" ca="1" si="3"/>
        <v>369.28896672504379</v>
      </c>
      <c r="I26">
        <f t="shared" ca="1" si="4"/>
        <v>61351.720819543385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16339</v>
      </c>
      <c r="B28" s="66">
        <v>16339</v>
      </c>
      <c r="D28">
        <f t="shared" si="0"/>
        <v>19.076474022183305</v>
      </c>
      <c r="E28">
        <f t="shared" si="1"/>
        <v>19.076474022183305</v>
      </c>
      <c r="G28">
        <f t="shared" ca="1" si="2"/>
        <v>26</v>
      </c>
      <c r="H28">
        <f t="shared" ca="1" si="3"/>
        <v>495.98832457676593</v>
      </c>
      <c r="I28">
        <f t="shared" ca="1" si="4"/>
        <v>71320.359145388153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17978</v>
      </c>
      <c r="B31" s="66">
        <v>17978</v>
      </c>
      <c r="D31">
        <f t="shared" si="0"/>
        <v>20.99007589025102</v>
      </c>
      <c r="E31">
        <f t="shared" si="1"/>
        <v>20.99007589025102</v>
      </c>
      <c r="G31">
        <f t="shared" ca="1" si="2"/>
        <v>29</v>
      </c>
      <c r="H31">
        <f t="shared" ca="1" si="3"/>
        <v>608.71220081727961</v>
      </c>
      <c r="I31">
        <f t="shared" ca="1" si="4"/>
        <v>70962.995768929191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22477</v>
      </c>
      <c r="B33" s="66">
        <v>22477</v>
      </c>
      <c r="D33">
        <f t="shared" si="0"/>
        <v>26.242848803269119</v>
      </c>
      <c r="E33">
        <f t="shared" si="1"/>
        <v>26.242848803269119</v>
      </c>
      <c r="G33">
        <f t="shared" ca="1" si="2"/>
        <v>31</v>
      </c>
      <c r="H33">
        <f t="shared" ca="1" si="3"/>
        <v>813.5283129013427</v>
      </c>
      <c r="I33">
        <f t="shared" ca="1" si="4"/>
        <v>82722.964694104478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24480</v>
      </c>
      <c r="B36" s="66">
        <v>24480</v>
      </c>
      <c r="D36">
        <f t="shared" si="0"/>
        <v>28.581436077057795</v>
      </c>
      <c r="E36">
        <f t="shared" si="1"/>
        <v>28.581436077057795</v>
      </c>
      <c r="G36">
        <f t="shared" ca="1" si="2"/>
        <v>34</v>
      </c>
      <c r="H36">
        <f t="shared" ca="1" si="3"/>
        <v>971.76882661996501</v>
      </c>
      <c r="I36">
        <f t="shared" ca="1" si="4"/>
        <v>80723.765185994678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27104</v>
      </c>
      <c r="B39" s="66">
        <v>27104</v>
      </c>
      <c r="D39">
        <f t="shared" si="0"/>
        <v>31.645067133683597</v>
      </c>
      <c r="E39">
        <f t="shared" si="1"/>
        <v>31.645067133683597</v>
      </c>
      <c r="G39">
        <f t="shared" ca="1" si="2"/>
        <v>37</v>
      </c>
      <c r="H39">
        <f t="shared" ca="1" si="3"/>
        <v>1170.8674839462931</v>
      </c>
      <c r="I39">
        <f t="shared" ca="1" si="4"/>
        <v>79570.738338635827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27989</v>
      </c>
      <c r="B41" s="66">
        <v>27989</v>
      </c>
      <c r="D41">
        <f t="shared" si="0"/>
        <v>32.67834208990076</v>
      </c>
      <c r="E41">
        <f t="shared" si="1"/>
        <v>32.67834208990076</v>
      </c>
      <c r="G41">
        <f t="shared" ca="1" si="2"/>
        <v>39</v>
      </c>
      <c r="H41">
        <f t="shared" ca="1" si="3"/>
        <v>1274.4553415061296</v>
      </c>
      <c r="I41">
        <f t="shared" ca="1" si="4"/>
        <v>75745.033813651928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30525</v>
      </c>
      <c r="B44" s="66">
        <v>30525</v>
      </c>
      <c r="D44">
        <f t="shared" si="0"/>
        <v>35.639229422066549</v>
      </c>
      <c r="E44">
        <f t="shared" si="1"/>
        <v>35.639229422066549</v>
      </c>
      <c r="G44">
        <f t="shared" ca="1" si="2"/>
        <v>42</v>
      </c>
      <c r="H44">
        <f t="shared" ca="1" si="3"/>
        <v>1496.847635726795</v>
      </c>
      <c r="I44">
        <f t="shared" ca="1" si="4"/>
        <v>72633.812370123676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30563</v>
      </c>
      <c r="B46" s="66">
        <v>30563</v>
      </c>
      <c r="D46">
        <f t="shared" si="0"/>
        <v>35.6835960303561</v>
      </c>
      <c r="E46">
        <f t="shared" si="1"/>
        <v>35.6835960303561</v>
      </c>
      <c r="G46">
        <f t="shared" ca="1" si="2"/>
        <v>44</v>
      </c>
      <c r="H46">
        <f t="shared" ca="1" si="3"/>
        <v>1570.0782253356683</v>
      </c>
      <c r="I46">
        <f t="shared" ca="1" si="4"/>
        <v>66423.288590797805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29483</v>
      </c>
      <c r="B49" s="66">
        <v>29483</v>
      </c>
      <c r="D49">
        <f t="shared" si="0"/>
        <v>34.422650321074137</v>
      </c>
      <c r="E49">
        <f t="shared" si="1"/>
        <v>34.422650321074137</v>
      </c>
      <c r="G49">
        <f t="shared" ca="1" si="2"/>
        <v>47</v>
      </c>
      <c r="H49">
        <f t="shared" ca="1" si="3"/>
        <v>1617.8645650904843</v>
      </c>
      <c r="I49">
        <f t="shared" ca="1" si="4"/>
        <v>55475.005740956236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34173</v>
      </c>
      <c r="B51" s="66">
        <v>34173</v>
      </c>
      <c r="D51">
        <f t="shared" si="0"/>
        <v>39.898423817863396</v>
      </c>
      <c r="E51">
        <f t="shared" si="1"/>
        <v>39.898423817863396</v>
      </c>
      <c r="G51">
        <f t="shared" ca="1" si="2"/>
        <v>49</v>
      </c>
      <c r="H51">
        <f t="shared" ca="1" si="3"/>
        <v>1955.0227670753063</v>
      </c>
      <c r="I51">
        <f t="shared" ca="1" si="4"/>
        <v>58052.454432406339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38955</v>
      </c>
      <c r="B54" s="66">
        <v>38955</v>
      </c>
      <c r="D54">
        <f t="shared" si="0"/>
        <v>45.481611208406306</v>
      </c>
      <c r="E54">
        <f t="shared" si="1"/>
        <v>45.481611208406306</v>
      </c>
      <c r="G54">
        <f t="shared" ca="1" si="2"/>
        <v>52</v>
      </c>
      <c r="H54">
        <f t="shared" ca="1" si="3"/>
        <v>2365.0437828371278</v>
      </c>
      <c r="I54">
        <f t="shared" ca="1" si="4"/>
        <v>56176.109435413986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40425</v>
      </c>
      <c r="B57" s="66">
        <v>40425</v>
      </c>
      <c r="D57">
        <f t="shared" si="0"/>
        <v>47.197898423817861</v>
      </c>
      <c r="E57">
        <f t="shared" si="1"/>
        <v>47.197898423817861</v>
      </c>
      <c r="G57">
        <f t="shared" ca="1" si="2"/>
        <v>55</v>
      </c>
      <c r="H57">
        <f t="shared" ca="1" si="3"/>
        <v>2595.8844133099824</v>
      </c>
      <c r="I57">
        <f t="shared" ca="1" si="4"/>
        <v>48768.252099632584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45239</v>
      </c>
      <c r="B59" s="66">
        <v>45239</v>
      </c>
      <c r="D59">
        <f t="shared" si="0"/>
        <v>52.818447168709866</v>
      </c>
      <c r="E59">
        <f t="shared" si="1"/>
        <v>52.818447168709866</v>
      </c>
      <c r="G59">
        <f t="shared" ca="1" si="2"/>
        <v>57</v>
      </c>
      <c r="H59">
        <f t="shared" ca="1" si="3"/>
        <v>3010.6514886164623</v>
      </c>
      <c r="I59">
        <f t="shared" ca="1" si="4"/>
        <v>47995.780246531045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46025</v>
      </c>
      <c r="B62" s="66">
        <v>46025</v>
      </c>
      <c r="D62">
        <f t="shared" si="0"/>
        <v>53.736135434909514</v>
      </c>
      <c r="E62">
        <f t="shared" si="1"/>
        <v>53.736135434909514</v>
      </c>
      <c r="G62">
        <f t="shared" ca="1" si="2"/>
        <v>60</v>
      </c>
      <c r="H62">
        <f t="shared" ca="1" si="3"/>
        <v>3224.1681260945707</v>
      </c>
      <c r="I62">
        <f t="shared" ca="1" si="4"/>
        <v>39594.195157871553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43222</v>
      </c>
      <c r="B64" s="66">
        <v>43222</v>
      </c>
      <c r="D64">
        <f t="shared" si="0"/>
        <v>50.463514302393463</v>
      </c>
      <c r="E64">
        <f t="shared" si="1"/>
        <v>50.463514302393463</v>
      </c>
      <c r="G64">
        <f t="shared" ca="1" si="2"/>
        <v>62</v>
      </c>
      <c r="H64">
        <f t="shared" ca="1" si="3"/>
        <v>3128.7378867483949</v>
      </c>
      <c r="I64">
        <f t="shared" ca="1" si="4"/>
        <v>31905.459791896719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52881</v>
      </c>
      <c r="B67" s="66">
        <v>52881</v>
      </c>
      <c r="D67">
        <f t="shared" ref="D67:D130" si="5">IFERROR(100*A67/MAX(A$2:A$257), 0 )</f>
        <v>61.740805604203153</v>
      </c>
      <c r="E67">
        <f t="shared" ref="E67:E130" si="6">IFERROR(100*B67/MAX(B$2:B$257), 0 )</f>
        <v>61.740805604203153</v>
      </c>
      <c r="G67">
        <f t="shared" ref="G67:G130" ca="1" si="7">CELL("row",D67)-2</f>
        <v>65</v>
      </c>
      <c r="H67">
        <f t="shared" ref="H67:H130" ca="1" si="8">D67*G67</f>
        <v>4013.152364273205</v>
      </c>
      <c r="I67">
        <f t="shared" ref="I67:I130" ca="1" si="9">D67*((G67-$L$1)^2)</f>
        <v>30276.506474090009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51455</v>
      </c>
      <c r="B69" s="66">
        <v>51455</v>
      </c>
      <c r="D69">
        <f t="shared" si="5"/>
        <v>60.075890251021598</v>
      </c>
      <c r="E69">
        <f t="shared" si="6"/>
        <v>60.075890251021598</v>
      </c>
      <c r="G69">
        <f t="shared" ca="1" si="7"/>
        <v>67</v>
      </c>
      <c r="H69">
        <f t="shared" ca="1" si="8"/>
        <v>4025.0846468184473</v>
      </c>
      <c r="I69">
        <f t="shared" ca="1" si="9"/>
        <v>24378.954794193942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57927</v>
      </c>
      <c r="B72" s="66">
        <v>57927</v>
      </c>
      <c r="D72">
        <f t="shared" si="5"/>
        <v>67.6322241681261</v>
      </c>
      <c r="E72">
        <f t="shared" si="6"/>
        <v>67.6322241681261</v>
      </c>
      <c r="G72">
        <f t="shared" ca="1" si="7"/>
        <v>70</v>
      </c>
      <c r="H72">
        <f t="shared" ca="1" si="8"/>
        <v>4734.2556917688271</v>
      </c>
      <c r="I72">
        <f t="shared" ca="1" si="9"/>
        <v>19879.503304099289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64265</v>
      </c>
      <c r="B75" s="66">
        <v>64265</v>
      </c>
      <c r="D75">
        <f t="shared" si="5"/>
        <v>75.032107413893755</v>
      </c>
      <c r="E75">
        <f t="shared" si="6"/>
        <v>75.032107413893755</v>
      </c>
      <c r="G75">
        <f t="shared" ca="1" si="7"/>
        <v>73</v>
      </c>
      <c r="H75">
        <f t="shared" ca="1" si="8"/>
        <v>5477.3438412142441</v>
      </c>
      <c r="I75">
        <f t="shared" ca="1" si="9"/>
        <v>15011.532298082566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74430</v>
      </c>
      <c r="B77" s="66">
        <v>74430</v>
      </c>
      <c r="D77">
        <f t="shared" si="5"/>
        <v>86.900175131348504</v>
      </c>
      <c r="E77">
        <f t="shared" si="6"/>
        <v>86.900175131348504</v>
      </c>
      <c r="G77">
        <f t="shared" ca="1" si="7"/>
        <v>75</v>
      </c>
      <c r="H77">
        <f t="shared" ca="1" si="8"/>
        <v>6517.5131348511377</v>
      </c>
      <c r="I77">
        <f t="shared" ca="1" si="9"/>
        <v>12816.901654981237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82255</v>
      </c>
      <c r="B80" s="66">
        <v>82255</v>
      </c>
      <c r="D80">
        <f t="shared" si="5"/>
        <v>96.036193812025687</v>
      </c>
      <c r="E80">
        <f t="shared" si="6"/>
        <v>96.036193812025687</v>
      </c>
      <c r="G80">
        <f t="shared" ca="1" si="7"/>
        <v>78</v>
      </c>
      <c r="H80">
        <f t="shared" ca="1" si="8"/>
        <v>7490.8231173380036</v>
      </c>
      <c r="I80">
        <f t="shared" ca="1" si="9"/>
        <v>8030.8037645096938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85347</v>
      </c>
      <c r="B82" s="66">
        <v>85347</v>
      </c>
      <c r="D82">
        <f t="shared" si="5"/>
        <v>99.646234676007012</v>
      </c>
      <c r="E82">
        <f t="shared" si="6"/>
        <v>99.646234676007012</v>
      </c>
      <c r="G82">
        <f t="shared" ca="1" si="7"/>
        <v>80</v>
      </c>
      <c r="H82">
        <f t="shared" ca="1" si="8"/>
        <v>7971.6987740805607</v>
      </c>
      <c r="I82">
        <f t="shared" ca="1" si="9"/>
        <v>5086.3926200503065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85650</v>
      </c>
      <c r="B85" s="66">
        <v>85650</v>
      </c>
      <c r="D85">
        <f t="shared" si="5"/>
        <v>100</v>
      </c>
      <c r="E85">
        <f t="shared" si="6"/>
        <v>100</v>
      </c>
      <c r="G85">
        <f t="shared" ca="1" si="7"/>
        <v>83</v>
      </c>
      <c r="H85">
        <f t="shared" ca="1" si="8"/>
        <v>8300</v>
      </c>
      <c r="I85">
        <f t="shared" ca="1" si="9"/>
        <v>1717.7242060110764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84617</v>
      </c>
      <c r="B88" s="66">
        <v>84617</v>
      </c>
      <c r="D88">
        <f t="shared" si="5"/>
        <v>98.793928779918275</v>
      </c>
      <c r="E88">
        <f t="shared" si="6"/>
        <v>98.793928779918275</v>
      </c>
      <c r="G88">
        <f t="shared" ca="1" si="7"/>
        <v>86</v>
      </c>
      <c r="H88">
        <f t="shared" ca="1" si="8"/>
        <v>8496.2778750729722</v>
      </c>
      <c r="I88">
        <f t="shared" ca="1" si="9"/>
        <v>129.41808711624992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82002</v>
      </c>
      <c r="B90" s="66">
        <v>82002</v>
      </c>
      <c r="D90">
        <f t="shared" si="5"/>
        <v>95.740805604203146</v>
      </c>
      <c r="E90">
        <f t="shared" si="6"/>
        <v>95.740805604203146</v>
      </c>
      <c r="G90">
        <f t="shared" ca="1" si="7"/>
        <v>88</v>
      </c>
      <c r="H90">
        <f t="shared" ca="1" si="8"/>
        <v>8425.1908931698763</v>
      </c>
      <c r="I90">
        <f t="shared" ca="1" si="9"/>
        <v>70.063654638100957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85473</v>
      </c>
      <c r="B93" s="66">
        <v>85473</v>
      </c>
      <c r="D93">
        <f t="shared" si="5"/>
        <v>99.79334500875656</v>
      </c>
      <c r="E93">
        <f t="shared" si="6"/>
        <v>99.79334500875656</v>
      </c>
      <c r="G93">
        <f t="shared" ca="1" si="7"/>
        <v>91</v>
      </c>
      <c r="H93">
        <f t="shared" ca="1" si="8"/>
        <v>9081.1943957968469</v>
      </c>
      <c r="I93">
        <f t="shared" ca="1" si="9"/>
        <v>1483.3825351510729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81904</v>
      </c>
      <c r="B95" s="66">
        <v>81904</v>
      </c>
      <c r="D95">
        <f t="shared" si="5"/>
        <v>95.626386456509053</v>
      </c>
      <c r="E95">
        <f t="shared" si="6"/>
        <v>95.626386456509053</v>
      </c>
      <c r="G95">
        <f t="shared" ca="1" si="7"/>
        <v>93</v>
      </c>
      <c r="H95">
        <f t="shared" ca="1" si="8"/>
        <v>8893.2539404553427</v>
      </c>
      <c r="I95">
        <f t="shared" ca="1" si="9"/>
        <v>3278.681579465735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80040</v>
      </c>
      <c r="B98" s="66">
        <v>80040</v>
      </c>
      <c r="D98">
        <f t="shared" si="5"/>
        <v>93.450087565674252</v>
      </c>
      <c r="E98">
        <f t="shared" si="6"/>
        <v>93.450087565674252</v>
      </c>
      <c r="G98">
        <f t="shared" ca="1" si="7"/>
        <v>96</v>
      </c>
      <c r="H98">
        <f t="shared" ca="1" si="8"/>
        <v>8971.2084063047278</v>
      </c>
      <c r="I98">
        <f t="shared" ca="1" si="9"/>
        <v>7328.2724328820013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77012</v>
      </c>
      <c r="B100" s="66">
        <v>77012</v>
      </c>
      <c r="D100">
        <f t="shared" si="5"/>
        <v>89.914769410391131</v>
      </c>
      <c r="E100">
        <f t="shared" si="6"/>
        <v>89.914769410391131</v>
      </c>
      <c r="G100">
        <f t="shared" ca="1" si="7"/>
        <v>98</v>
      </c>
      <c r="H100">
        <f t="shared" ca="1" si="8"/>
        <v>8811.6474022183302</v>
      </c>
      <c r="I100">
        <f t="shared" ca="1" si="9"/>
        <v>10595.640280410091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77760</v>
      </c>
      <c r="B103" s="66">
        <v>77760</v>
      </c>
      <c r="D103">
        <f t="shared" si="5"/>
        <v>90.788091068301227</v>
      </c>
      <c r="E103">
        <f t="shared" si="6"/>
        <v>90.788091068301227</v>
      </c>
      <c r="G103">
        <f t="shared" ca="1" si="7"/>
        <v>101</v>
      </c>
      <c r="H103">
        <f t="shared" ca="1" si="8"/>
        <v>9169.5971978984235</v>
      </c>
      <c r="I103">
        <f t="shared" ca="1" si="9"/>
        <v>17428.923097226139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71676</v>
      </c>
      <c r="B106" s="66">
        <v>71676</v>
      </c>
      <c r="D106">
        <f t="shared" si="5"/>
        <v>83.684763572679515</v>
      </c>
      <c r="E106">
        <f t="shared" si="6"/>
        <v>83.684763572679515</v>
      </c>
      <c r="G106">
        <f t="shared" ca="1" si="7"/>
        <v>104</v>
      </c>
      <c r="H106">
        <f t="shared" ca="1" si="8"/>
        <v>8703.2154115586691</v>
      </c>
      <c r="I106">
        <f t="shared" ca="1" si="9"/>
        <v>23775.377649390357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71066</v>
      </c>
      <c r="B108" s="66">
        <v>71066</v>
      </c>
      <c r="D108">
        <f t="shared" si="5"/>
        <v>82.972562755399878</v>
      </c>
      <c r="E108">
        <f t="shared" si="6"/>
        <v>82.972562755399878</v>
      </c>
      <c r="G108">
        <f t="shared" ca="1" si="7"/>
        <v>106</v>
      </c>
      <c r="H108">
        <f t="shared" ca="1" si="8"/>
        <v>8795.0916520723877</v>
      </c>
      <c r="I108">
        <f t="shared" ca="1" si="9"/>
        <v>29499.088723225803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64146</v>
      </c>
      <c r="B111" s="66">
        <v>64146</v>
      </c>
      <c r="D111">
        <f t="shared" si="5"/>
        <v>74.893169877408056</v>
      </c>
      <c r="E111">
        <f t="shared" si="6"/>
        <v>74.893169877408056</v>
      </c>
      <c r="G111">
        <f t="shared" ca="1" si="7"/>
        <v>109</v>
      </c>
      <c r="H111">
        <f t="shared" ca="1" si="8"/>
        <v>8163.3555166374781</v>
      </c>
      <c r="I111">
        <f t="shared" ca="1" si="9"/>
        <v>35773.544342406174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64356</v>
      </c>
      <c r="B113" s="66">
        <v>64356</v>
      </c>
      <c r="D113">
        <f t="shared" si="5"/>
        <v>75.138353765323998</v>
      </c>
      <c r="E113">
        <f t="shared" si="6"/>
        <v>75.138353765323998</v>
      </c>
      <c r="G113">
        <f t="shared" ca="1" si="7"/>
        <v>111</v>
      </c>
      <c r="H113">
        <f t="shared" ca="1" si="8"/>
        <v>8340.3572679509634</v>
      </c>
      <c r="I113">
        <f t="shared" ca="1" si="9"/>
        <v>42759.94457571864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60599</v>
      </c>
      <c r="B116" s="66">
        <v>60599</v>
      </c>
      <c r="D116">
        <f t="shared" si="5"/>
        <v>70.751897256275541</v>
      </c>
      <c r="E116">
        <f t="shared" si="6"/>
        <v>70.751897256275541</v>
      </c>
      <c r="G116">
        <f t="shared" ca="1" si="7"/>
        <v>114</v>
      </c>
      <c r="H116">
        <f t="shared" ca="1" si="8"/>
        <v>8065.7162872154113</v>
      </c>
      <c r="I116">
        <f t="shared" ca="1" si="9"/>
        <v>51027.3674892454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55018</v>
      </c>
      <c r="B118" s="66">
        <v>55018</v>
      </c>
      <c r="D118">
        <f t="shared" si="5"/>
        <v>64.235843549328663</v>
      </c>
      <c r="E118">
        <f t="shared" si="6"/>
        <v>64.235843549328663</v>
      </c>
      <c r="G118">
        <f t="shared" ca="1" si="7"/>
        <v>116</v>
      </c>
      <c r="H118">
        <f t="shared" ca="1" si="8"/>
        <v>7451.3578517221249</v>
      </c>
      <c r="I118">
        <f t="shared" ca="1" si="9"/>
        <v>53485.163268205193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55045</v>
      </c>
      <c r="B121" s="66">
        <v>55045</v>
      </c>
      <c r="D121">
        <f t="shared" si="5"/>
        <v>64.267367192060718</v>
      </c>
      <c r="E121">
        <f t="shared" si="6"/>
        <v>64.267367192060718</v>
      </c>
      <c r="G121">
        <f t="shared" ca="1" si="7"/>
        <v>119</v>
      </c>
      <c r="H121">
        <f t="shared" ca="1" si="8"/>
        <v>7647.8166958552256</v>
      </c>
      <c r="I121">
        <f t="shared" ca="1" si="9"/>
        <v>65216.602588382659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47454</v>
      </c>
      <c r="B124" s="66">
        <v>47454</v>
      </c>
      <c r="D124">
        <f t="shared" si="5"/>
        <v>55.404553415061294</v>
      </c>
      <c r="E124">
        <f t="shared" si="6"/>
        <v>55.404553415061294</v>
      </c>
      <c r="G124">
        <f t="shared" ca="1" si="7"/>
        <v>122</v>
      </c>
      <c r="H124">
        <f t="shared" ca="1" si="8"/>
        <v>6759.3555166374781</v>
      </c>
      <c r="I124">
        <f t="shared" ca="1" si="9"/>
        <v>67311.149150091951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47288</v>
      </c>
      <c r="B126" s="66">
        <v>47288</v>
      </c>
      <c r="D126">
        <f t="shared" si="5"/>
        <v>55.210741389375364</v>
      </c>
      <c r="E126">
        <f t="shared" si="6"/>
        <v>55.210741389375364</v>
      </c>
      <c r="G126">
        <f t="shared" ca="1" si="7"/>
        <v>124</v>
      </c>
      <c r="H126">
        <f t="shared" ca="1" si="8"/>
        <v>6846.1319322825448</v>
      </c>
      <c r="I126">
        <f t="shared" ca="1" si="9"/>
        <v>74994.111682088071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47741</v>
      </c>
      <c r="B129" s="66">
        <v>47741</v>
      </c>
      <c r="D129">
        <f t="shared" si="5"/>
        <v>55.739638061879745</v>
      </c>
      <c r="E129">
        <f t="shared" si="6"/>
        <v>55.739638061879745</v>
      </c>
      <c r="G129">
        <f t="shared" ca="1" si="7"/>
        <v>127</v>
      </c>
      <c r="H129">
        <f t="shared" ca="1" si="8"/>
        <v>7078.9340338587281</v>
      </c>
      <c r="I129">
        <f t="shared" ca="1" si="9"/>
        <v>88540.040604588736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45467</v>
      </c>
      <c r="B131" s="66">
        <v>45467</v>
      </c>
      <c r="D131">
        <f t="shared" ref="D131:D194" si="10">IFERROR(100*A131/MAX(A$2:A$257), 0 )</f>
        <v>53.084646818447169</v>
      </c>
      <c r="E131">
        <f t="shared" ref="E131:E194" si="11">IFERROR(100*B131/MAX(B$2:B$257), 0 )</f>
        <v>53.084646818447169</v>
      </c>
      <c r="G131">
        <f t="shared" ref="G131:G194" ca="1" si="12">CELL("row",D131)-2</f>
        <v>129</v>
      </c>
      <c r="H131">
        <f t="shared" ref="H131:H194" ca="1" si="13">D131*G131</f>
        <v>6847.9194395796849</v>
      </c>
      <c r="I131">
        <f t="shared" ref="I131:I194" ca="1" si="14">D131*((G131-$L$1)^2)</f>
        <v>92997.889998507337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45571</v>
      </c>
      <c r="B134" s="66">
        <v>45571</v>
      </c>
      <c r="D134">
        <f t="shared" si="10"/>
        <v>53.206071220081725</v>
      </c>
      <c r="E134">
        <f t="shared" si="11"/>
        <v>53.206071220081725</v>
      </c>
      <c r="G134">
        <f t="shared" ca="1" si="12"/>
        <v>132</v>
      </c>
      <c r="H134">
        <f t="shared" ca="1" si="13"/>
        <v>7023.2014010507874</v>
      </c>
      <c r="I134">
        <f t="shared" ca="1" si="14"/>
        <v>107051.2518755803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37268</v>
      </c>
      <c r="B136" s="66">
        <v>37268</v>
      </c>
      <c r="D136">
        <f t="shared" si="10"/>
        <v>43.511967308814945</v>
      </c>
      <c r="E136">
        <f t="shared" si="11"/>
        <v>43.511967308814945</v>
      </c>
      <c r="G136">
        <f t="shared" ca="1" si="12"/>
        <v>134</v>
      </c>
      <c r="H136">
        <f t="shared" ca="1" si="13"/>
        <v>5830.6036193812024</v>
      </c>
      <c r="I136">
        <f t="shared" ca="1" si="14"/>
        <v>95527.643292267341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28874</v>
      </c>
      <c r="B139" s="66">
        <v>28874</v>
      </c>
      <c r="D139">
        <f t="shared" si="10"/>
        <v>33.711617046117922</v>
      </c>
      <c r="E139">
        <f t="shared" si="11"/>
        <v>33.711617046117922</v>
      </c>
      <c r="G139">
        <f t="shared" ca="1" si="12"/>
        <v>137</v>
      </c>
      <c r="H139">
        <f t="shared" ca="1" si="13"/>
        <v>4618.491535318155</v>
      </c>
      <c r="I139">
        <f t="shared" ca="1" si="14"/>
        <v>83792.466932787574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21849</v>
      </c>
      <c r="B142" s="66">
        <v>21849</v>
      </c>
      <c r="D142">
        <f t="shared" si="10"/>
        <v>25.509632224168126</v>
      </c>
      <c r="E142">
        <f t="shared" si="11"/>
        <v>25.509632224168126</v>
      </c>
      <c r="G142">
        <f t="shared" ca="1" si="12"/>
        <v>140</v>
      </c>
      <c r="H142">
        <f t="shared" ca="1" si="13"/>
        <v>3571.3485113835377</v>
      </c>
      <c r="I142">
        <f t="shared" ca="1" si="14"/>
        <v>71266.240821902014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13975</v>
      </c>
      <c r="B144" s="66">
        <v>13975</v>
      </c>
      <c r="D144">
        <f t="shared" si="10"/>
        <v>16.3164039696439</v>
      </c>
      <c r="E144">
        <f t="shared" si="11"/>
        <v>16.3164039696439</v>
      </c>
      <c r="G144">
        <f t="shared" ca="1" si="12"/>
        <v>142</v>
      </c>
      <c r="H144">
        <f t="shared" ca="1" si="13"/>
        <v>2316.929363689434</v>
      </c>
      <c r="I144">
        <f t="shared" ca="1" si="14"/>
        <v>49098.035321750656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13131</v>
      </c>
      <c r="B147" s="66">
        <v>13131</v>
      </c>
      <c r="D147">
        <f t="shared" si="10"/>
        <v>15.330998248686514</v>
      </c>
      <c r="E147">
        <f t="shared" si="11"/>
        <v>15.330998248686514</v>
      </c>
      <c r="G147">
        <f t="shared" ca="1" si="12"/>
        <v>145</v>
      </c>
      <c r="H147">
        <f t="shared" ca="1" si="13"/>
        <v>2222.9947460595445</v>
      </c>
      <c r="I147">
        <f t="shared" ca="1" si="14"/>
        <v>51316.74259888607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8335</v>
      </c>
      <c r="B149" s="66">
        <v>8335</v>
      </c>
      <c r="D149">
        <f t="shared" si="10"/>
        <v>9.7314652656158778</v>
      </c>
      <c r="E149">
        <f t="shared" si="11"/>
        <v>9.7314652656158778</v>
      </c>
      <c r="G149">
        <f t="shared" ca="1" si="12"/>
        <v>147</v>
      </c>
      <c r="H149">
        <f t="shared" ca="1" si="13"/>
        <v>1430.5253940455341</v>
      </c>
      <c r="I149">
        <f t="shared" ca="1" si="14"/>
        <v>34864.68369423729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6920</v>
      </c>
      <c r="B152" s="66">
        <v>6920</v>
      </c>
      <c r="D152">
        <f t="shared" si="10"/>
        <v>8.0793928779918271</v>
      </c>
      <c r="E152">
        <f t="shared" si="11"/>
        <v>8.0793928779918271</v>
      </c>
      <c r="G152">
        <f t="shared" ca="1" si="12"/>
        <v>150</v>
      </c>
      <c r="H152">
        <f t="shared" ca="1" si="13"/>
        <v>1211.908931698774</v>
      </c>
      <c r="I152">
        <f t="shared" ca="1" si="14"/>
        <v>31920.133193260102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4267</v>
      </c>
      <c r="B154" s="66">
        <v>4267</v>
      </c>
      <c r="D154">
        <f t="shared" si="10"/>
        <v>4.9819030939871567</v>
      </c>
      <c r="E154">
        <f t="shared" si="11"/>
        <v>4.9819030939871567</v>
      </c>
      <c r="G154">
        <f t="shared" ca="1" si="12"/>
        <v>152</v>
      </c>
      <c r="H154">
        <f t="shared" ca="1" si="13"/>
        <v>757.24927028604782</v>
      </c>
      <c r="I154">
        <f t="shared" ca="1" si="14"/>
        <v>20955.031339421614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2331</v>
      </c>
      <c r="B157" s="66">
        <v>2331</v>
      </c>
      <c r="D157">
        <f t="shared" si="10"/>
        <v>2.7215411558669</v>
      </c>
      <c r="E157">
        <f t="shared" si="11"/>
        <v>2.7215411558669</v>
      </c>
      <c r="G157">
        <f t="shared" ca="1" si="12"/>
        <v>155</v>
      </c>
      <c r="H157">
        <f t="shared" ca="1" si="13"/>
        <v>421.83887915936953</v>
      </c>
      <c r="I157">
        <f t="shared" ca="1" si="14"/>
        <v>12530.963282869337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1546</v>
      </c>
      <c r="B160" s="66">
        <v>1546</v>
      </c>
      <c r="D160">
        <f t="shared" si="10"/>
        <v>1.8050204319906598</v>
      </c>
      <c r="E160">
        <f t="shared" si="11"/>
        <v>1.8050204319906598</v>
      </c>
      <c r="G160">
        <f t="shared" ca="1" si="12"/>
        <v>158</v>
      </c>
      <c r="H160">
        <f t="shared" ca="1" si="13"/>
        <v>285.19322825452423</v>
      </c>
      <c r="I160">
        <f t="shared" ca="1" si="14"/>
        <v>9062.0973076191749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739</v>
      </c>
      <c r="B162" s="66">
        <v>739</v>
      </c>
      <c r="D162">
        <f t="shared" si="10"/>
        <v>0.86281377699941619</v>
      </c>
      <c r="E162">
        <f t="shared" si="11"/>
        <v>0.86281377699941619</v>
      </c>
      <c r="G162">
        <f t="shared" ca="1" si="12"/>
        <v>160</v>
      </c>
      <c r="H162">
        <f t="shared" ca="1" si="13"/>
        <v>138.05020431990658</v>
      </c>
      <c r="I162">
        <f t="shared" ca="1" si="14"/>
        <v>4579.7443635046693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818</v>
      </c>
      <c r="B165" s="66">
        <v>818</v>
      </c>
      <c r="D165">
        <f t="shared" si="10"/>
        <v>0.95504962054874487</v>
      </c>
      <c r="E165">
        <f t="shared" si="11"/>
        <v>0.95504962054874487</v>
      </c>
      <c r="G165">
        <f t="shared" ca="1" si="12"/>
        <v>163</v>
      </c>
      <c r="H165">
        <f t="shared" ca="1" si="13"/>
        <v>155.67308814944542</v>
      </c>
      <c r="I165">
        <f t="shared" ca="1" si="14"/>
        <v>5495.4035157012077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229</v>
      </c>
      <c r="B167" s="66">
        <v>229</v>
      </c>
      <c r="D167">
        <f t="shared" si="10"/>
        <v>0.26736719206071219</v>
      </c>
      <c r="E167">
        <f t="shared" si="11"/>
        <v>0.26736719206071219</v>
      </c>
      <c r="G167">
        <f t="shared" ca="1" si="12"/>
        <v>165</v>
      </c>
      <c r="H167">
        <f t="shared" ca="1" si="13"/>
        <v>44.115586690017508</v>
      </c>
      <c r="I167">
        <f t="shared" ca="1" si="14"/>
        <v>1620.6387707442736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100</v>
      </c>
      <c r="B170" s="66">
        <v>100</v>
      </c>
      <c r="D170">
        <f t="shared" si="10"/>
        <v>0.11675423234092236</v>
      </c>
      <c r="E170">
        <f t="shared" si="11"/>
        <v>0.11675423234092236</v>
      </c>
      <c r="G170">
        <f t="shared" ca="1" si="12"/>
        <v>168</v>
      </c>
      <c r="H170">
        <f t="shared" ca="1" si="13"/>
        <v>19.614711033274958</v>
      </c>
      <c r="I170">
        <f t="shared" ca="1" si="14"/>
        <v>763.29303230547384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226</v>
      </c>
      <c r="B173" s="66">
        <v>226</v>
      </c>
      <c r="D173">
        <f t="shared" si="10"/>
        <v>0.2638645650904845</v>
      </c>
      <c r="E173">
        <f t="shared" si="11"/>
        <v>0.2638645650904845</v>
      </c>
      <c r="G173">
        <f t="shared" ca="1" si="12"/>
        <v>171</v>
      </c>
      <c r="H173">
        <f t="shared" ca="1" si="13"/>
        <v>45.120840630472848</v>
      </c>
      <c r="I173">
        <f t="shared" ca="1" si="14"/>
        <v>1855.4263730473665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304</v>
      </c>
      <c r="B175" s="66">
        <v>304</v>
      </c>
      <c r="D175">
        <f t="shared" si="10"/>
        <v>0.35493286631640397</v>
      </c>
      <c r="E175">
        <f t="shared" si="11"/>
        <v>0.35493286631640397</v>
      </c>
      <c r="G175">
        <f t="shared" ca="1" si="12"/>
        <v>173</v>
      </c>
      <c r="H175">
        <f t="shared" ca="1" si="13"/>
        <v>61.403385872737886</v>
      </c>
      <c r="I175">
        <f t="shared" ca="1" si="14"/>
        <v>2616.2667286656597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355</v>
      </c>
      <c r="B178" s="66">
        <v>355</v>
      </c>
      <c r="D178">
        <f t="shared" si="10"/>
        <v>0.41447752481027439</v>
      </c>
      <c r="E178">
        <f t="shared" si="11"/>
        <v>0.41447752481027439</v>
      </c>
      <c r="G178">
        <f t="shared" ca="1" si="12"/>
        <v>176</v>
      </c>
      <c r="H178">
        <f t="shared" ca="1" si="13"/>
        <v>72.948044366608286</v>
      </c>
      <c r="I178">
        <f t="shared" ca="1" si="14"/>
        <v>3272.4211369232567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40</v>
      </c>
      <c r="B180" s="66">
        <v>40</v>
      </c>
      <c r="D180">
        <f t="shared" si="10"/>
        <v>4.6701692936368944E-2</v>
      </c>
      <c r="E180">
        <f t="shared" si="11"/>
        <v>4.6701692936368944E-2</v>
      </c>
      <c r="G180">
        <f t="shared" ca="1" si="12"/>
        <v>178</v>
      </c>
      <c r="H180">
        <f t="shared" ca="1" si="13"/>
        <v>8.3129013426736726</v>
      </c>
      <c r="I180">
        <f t="shared" ca="1" si="14"/>
        <v>385.50911611032876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351</v>
      </c>
      <c r="B1" s="68" t="s">
        <v>352</v>
      </c>
      <c r="C1" s="32" t="s">
        <v>353</v>
      </c>
      <c r="D1" s="32" t="s">
        <v>354</v>
      </c>
      <c r="E1" s="32" t="s">
        <v>355</v>
      </c>
    </row>
    <row r="2" spans="1:5">
      <c r="A2" s="68">
        <v>0.234765</v>
      </c>
      <c r="B2" s="68">
        <v>0.56519799999999998</v>
      </c>
      <c r="C2" s="68">
        <v>0</v>
      </c>
      <c r="D2" s="68">
        <v>1</v>
      </c>
      <c r="E2" s="68" t="s">
        <v>356</v>
      </c>
    </row>
    <row r="3" spans="1:5">
      <c r="A3" s="68">
        <v>0.237541</v>
      </c>
      <c r="B3" s="68">
        <v>0.55950999999999995</v>
      </c>
      <c r="C3" s="68">
        <v>0.39655499999999999</v>
      </c>
      <c r="D3" s="89">
        <v>1</v>
      </c>
      <c r="E3" s="68" t="s">
        <v>357</v>
      </c>
    </row>
    <row r="4" spans="1:5">
      <c r="A4" s="68">
        <v>0.24029700000000001</v>
      </c>
      <c r="B4" s="68">
        <v>0.55340599999999995</v>
      </c>
      <c r="C4" s="68">
        <v>0.80140100000000003</v>
      </c>
      <c r="D4" s="89">
        <v>1</v>
      </c>
      <c r="E4" s="68" t="s">
        <v>358</v>
      </c>
    </row>
    <row r="5" spans="1:5">
      <c r="A5" s="89">
        <v>0.243085</v>
      </c>
      <c r="B5" s="89">
        <v>0.547292</v>
      </c>
      <c r="C5" s="89">
        <v>1.2085399999999999</v>
      </c>
      <c r="D5" s="89">
        <v>1</v>
      </c>
      <c r="E5" s="68" t="s">
        <v>359</v>
      </c>
    </row>
    <row r="6" spans="1:5">
      <c r="A6" s="68">
        <v>0.245863</v>
      </c>
      <c r="B6" s="68">
        <v>0.54043699999999995</v>
      </c>
      <c r="C6" s="68">
        <v>1.6133900000000001</v>
      </c>
      <c r="D6" s="68">
        <v>1</v>
      </c>
      <c r="E6" s="68" t="s">
        <v>360</v>
      </c>
    </row>
    <row r="7" spans="1:5">
      <c r="A7" s="68">
        <v>0.24858</v>
      </c>
      <c r="B7" s="68">
        <v>0.53240200000000004</v>
      </c>
      <c r="C7" s="68">
        <v>2.0221499999999999</v>
      </c>
      <c r="D7" s="68">
        <v>1</v>
      </c>
      <c r="E7" s="68" t="s">
        <v>361</v>
      </c>
    </row>
    <row r="8" spans="1:5">
      <c r="A8" s="68">
        <v>0.25109500000000001</v>
      </c>
      <c r="B8" s="68">
        <v>0.52380300000000002</v>
      </c>
      <c r="C8" s="68">
        <v>2.4279799999999998</v>
      </c>
      <c r="D8" s="68">
        <v>1</v>
      </c>
      <c r="E8" s="68" t="s">
        <v>362</v>
      </c>
    </row>
    <row r="9" spans="1:5">
      <c r="A9" s="68">
        <v>0.25356699999999999</v>
      </c>
      <c r="B9" s="68">
        <v>0.51477799999999996</v>
      </c>
      <c r="C9" s="68">
        <v>2.8342999999999998</v>
      </c>
      <c r="D9" s="68">
        <v>1</v>
      </c>
      <c r="E9" s="68" t="s">
        <v>363</v>
      </c>
    </row>
    <row r="10" spans="1:5">
      <c r="A10" s="68">
        <v>0.25573299999999999</v>
      </c>
      <c r="B10" s="68">
        <v>0.50616399999999995</v>
      </c>
      <c r="C10" s="68">
        <v>3.2372999999999998</v>
      </c>
      <c r="D10" s="68">
        <v>1</v>
      </c>
      <c r="E10" s="68" t="s">
        <v>364</v>
      </c>
    </row>
    <row r="11" spans="1:5">
      <c r="A11" s="68">
        <v>0.25766299999999998</v>
      </c>
      <c r="B11" s="68">
        <v>0.498614</v>
      </c>
      <c r="C11" s="68">
        <v>3.64636</v>
      </c>
      <c r="D11" s="68">
        <v>1</v>
      </c>
      <c r="E11" s="68" t="s">
        <v>365</v>
      </c>
    </row>
    <row r="12" spans="1:5">
      <c r="A12" s="68">
        <v>0.25914300000000001</v>
      </c>
      <c r="B12" s="68">
        <v>0.49168000000000001</v>
      </c>
      <c r="C12" s="68">
        <v>4.0519100000000003</v>
      </c>
      <c r="D12" s="68">
        <v>1</v>
      </c>
      <c r="E12" s="68" t="s">
        <v>366</v>
      </c>
    </row>
    <row r="13" spans="1:5">
      <c r="A13" s="68">
        <v>0.26030900000000001</v>
      </c>
      <c r="B13" s="68">
        <v>0.484985</v>
      </c>
      <c r="C13" s="68">
        <v>4.4559699999999998</v>
      </c>
      <c r="D13" s="68">
        <v>1</v>
      </c>
      <c r="E13" s="68" t="s">
        <v>367</v>
      </c>
    </row>
    <row r="14" spans="1:5">
      <c r="A14" s="68">
        <v>0.26162400000000002</v>
      </c>
      <c r="B14" s="68">
        <v>0.47820600000000002</v>
      </c>
      <c r="C14" s="68">
        <v>4.8644299999999996</v>
      </c>
      <c r="D14" s="68">
        <v>1</v>
      </c>
      <c r="E14" s="68" t="s">
        <v>368</v>
      </c>
    </row>
    <row r="15" spans="1:5">
      <c r="A15" s="68">
        <v>0.26264999999999999</v>
      </c>
      <c r="B15" s="68">
        <v>0.47189399999999998</v>
      </c>
      <c r="C15" s="68">
        <v>5.2701500000000001</v>
      </c>
      <c r="D15" s="68">
        <v>1</v>
      </c>
      <c r="E15" s="68" t="s">
        <v>369</v>
      </c>
    </row>
    <row r="16" spans="1:5">
      <c r="A16" s="68">
        <v>0.26353399999999999</v>
      </c>
      <c r="B16" s="68">
        <v>0.46611399999999997</v>
      </c>
      <c r="C16" s="68">
        <v>5.67509</v>
      </c>
      <c r="D16" s="68">
        <v>1</v>
      </c>
      <c r="E16" s="68" t="s">
        <v>370</v>
      </c>
    </row>
    <row r="17" spans="1:5">
      <c r="A17" s="68">
        <v>0.26437100000000002</v>
      </c>
      <c r="B17" s="68">
        <v>0.46069500000000002</v>
      </c>
      <c r="C17" s="68">
        <v>6.0828300000000004</v>
      </c>
      <c r="D17" s="68">
        <v>1</v>
      </c>
      <c r="E17" s="68" t="s">
        <v>371</v>
      </c>
    </row>
    <row r="18" spans="1:5">
      <c r="A18" s="68">
        <v>0.26521600000000001</v>
      </c>
      <c r="B18" s="68">
        <v>0.45527800000000002</v>
      </c>
      <c r="C18" s="68">
        <v>6.4924799999999996</v>
      </c>
      <c r="D18" s="68">
        <v>1</v>
      </c>
      <c r="E18" s="68" t="s">
        <v>372</v>
      </c>
    </row>
    <row r="19" spans="1:5">
      <c r="A19" s="68">
        <v>0.26608500000000002</v>
      </c>
      <c r="B19" s="68">
        <v>0.450401</v>
      </c>
      <c r="C19" s="68">
        <v>6.8928799999999999</v>
      </c>
      <c r="D19" s="68">
        <v>1</v>
      </c>
      <c r="E19" s="68" t="s">
        <v>373</v>
      </c>
    </row>
    <row r="20" spans="1:5">
      <c r="A20" s="68">
        <v>0.267127</v>
      </c>
      <c r="B20" s="68">
        <v>0.44585200000000003</v>
      </c>
      <c r="C20" s="68">
        <v>7.2996100000000004</v>
      </c>
      <c r="D20" s="68">
        <v>1</v>
      </c>
      <c r="E20" s="68" t="s">
        <v>374</v>
      </c>
    </row>
    <row r="21" spans="1:5">
      <c r="A21" s="68">
        <v>0.268038</v>
      </c>
      <c r="B21" s="68">
        <v>0.44248900000000002</v>
      </c>
      <c r="C21" s="68">
        <v>7.70906</v>
      </c>
      <c r="D21" s="68">
        <v>1</v>
      </c>
      <c r="E21" s="68" t="s">
        <v>375</v>
      </c>
    </row>
    <row r="22" spans="1:5">
      <c r="A22" s="68">
        <v>0.268926</v>
      </c>
      <c r="B22" s="68">
        <v>0.439971</v>
      </c>
      <c r="C22" s="68">
        <v>8.1117600000000003</v>
      </c>
      <c r="D22" s="68">
        <v>1</v>
      </c>
      <c r="E22" s="68" t="s">
        <v>376</v>
      </c>
    </row>
    <row r="23" spans="1:5">
      <c r="A23" s="68">
        <v>0.26990399999999998</v>
      </c>
      <c r="B23" s="68">
        <v>0.43773299999999998</v>
      </c>
      <c r="C23" s="68">
        <v>8.5223999999999993</v>
      </c>
      <c r="D23" s="68">
        <v>1</v>
      </c>
      <c r="E23" s="68" t="s">
        <v>377</v>
      </c>
    </row>
    <row r="24" spans="1:5">
      <c r="A24" s="68">
        <v>0.270621</v>
      </c>
      <c r="B24" s="68">
        <v>0.43585600000000002</v>
      </c>
      <c r="C24" s="68">
        <v>8.9256799999999998</v>
      </c>
      <c r="D24" s="68">
        <v>1</v>
      </c>
      <c r="E24" s="68" t="s">
        <v>378</v>
      </c>
    </row>
    <row r="25" spans="1:5">
      <c r="A25" s="68">
        <v>0.27121499999999998</v>
      </c>
      <c r="B25" s="68">
        <v>0.43439699999999998</v>
      </c>
      <c r="C25" s="68">
        <v>9.3318999999999992</v>
      </c>
      <c r="D25" s="68">
        <v>1</v>
      </c>
      <c r="E25" s="68" t="s">
        <v>379</v>
      </c>
    </row>
    <row r="26" spans="1:5">
      <c r="A26" s="68">
        <v>0.27184399999999997</v>
      </c>
      <c r="B26" s="68">
        <v>0.432973</v>
      </c>
      <c r="C26" s="68">
        <v>9.7385400000000004</v>
      </c>
      <c r="D26" s="68">
        <v>1</v>
      </c>
      <c r="E26" s="68" t="s">
        <v>380</v>
      </c>
    </row>
    <row r="27" spans="1:5">
      <c r="A27" s="68">
        <v>0.27254600000000001</v>
      </c>
      <c r="B27" s="68">
        <v>0.43166599999999999</v>
      </c>
      <c r="C27" s="68">
        <v>10.1495</v>
      </c>
      <c r="D27" s="68">
        <v>1</v>
      </c>
      <c r="E27" s="68" t="s">
        <v>381</v>
      </c>
    </row>
    <row r="28" spans="1:5">
      <c r="A28" s="68">
        <v>0.27332699999999999</v>
      </c>
      <c r="B28" s="68">
        <v>0.43052299999999999</v>
      </c>
      <c r="C28" s="68">
        <v>10.553599999999999</v>
      </c>
      <c r="D28" s="68">
        <v>1</v>
      </c>
      <c r="E28" s="68" t="s">
        <v>382</v>
      </c>
    </row>
    <row r="29" spans="1:5">
      <c r="A29" s="68">
        <v>0.274283</v>
      </c>
      <c r="B29" s="68">
        <v>0.429288</v>
      </c>
      <c r="C29" s="68">
        <v>10.9575</v>
      </c>
      <c r="D29" s="68">
        <v>1</v>
      </c>
      <c r="E29" s="68" t="s">
        <v>383</v>
      </c>
    </row>
    <row r="30" spans="1:5">
      <c r="A30" s="68">
        <v>0.275393</v>
      </c>
      <c r="B30" s="68">
        <v>0.42819400000000002</v>
      </c>
      <c r="C30" s="68">
        <v>11.3645</v>
      </c>
      <c r="D30" s="68">
        <v>1</v>
      </c>
      <c r="E30" s="68" t="s">
        <v>384</v>
      </c>
    </row>
    <row r="31" spans="1:5">
      <c r="A31" s="68">
        <v>0.27641900000000003</v>
      </c>
      <c r="B31" s="68">
        <v>0.42759799999999998</v>
      </c>
      <c r="C31" s="68">
        <v>11.7698</v>
      </c>
      <c r="D31" s="68">
        <v>1</v>
      </c>
      <c r="E31" s="68" t="s">
        <v>385</v>
      </c>
    </row>
    <row r="32" spans="1:5">
      <c r="A32" s="68">
        <v>0.27732200000000001</v>
      </c>
      <c r="B32" s="68">
        <v>0.42683500000000002</v>
      </c>
      <c r="C32" s="68">
        <v>12.1762</v>
      </c>
      <c r="D32" s="68">
        <v>1</v>
      </c>
      <c r="E32" s="68" t="s">
        <v>386</v>
      </c>
    </row>
    <row r="33" spans="1:5">
      <c r="A33" s="68">
        <v>0.27822999999999998</v>
      </c>
      <c r="B33" s="68">
        <v>0.42601499999999998</v>
      </c>
      <c r="C33" s="68">
        <v>12.5846</v>
      </c>
      <c r="D33" s="68">
        <v>1</v>
      </c>
      <c r="E33" s="68" t="s">
        <v>387</v>
      </c>
    </row>
    <row r="34" spans="1:5">
      <c r="A34" s="68">
        <v>0.27926299999999998</v>
      </c>
      <c r="B34" s="68">
        <v>0.42562</v>
      </c>
      <c r="C34" s="68">
        <v>12.987399999999999</v>
      </c>
      <c r="D34" s="68">
        <v>1</v>
      </c>
      <c r="E34" s="68" t="s">
        <v>388</v>
      </c>
    </row>
    <row r="35" spans="1:5">
      <c r="A35" s="68">
        <v>0.28065200000000001</v>
      </c>
      <c r="B35" s="68">
        <v>0.42485600000000001</v>
      </c>
      <c r="C35" s="68">
        <v>13.395799999999999</v>
      </c>
      <c r="D35" s="68">
        <v>1</v>
      </c>
      <c r="E35" s="68" t="s">
        <v>389</v>
      </c>
    </row>
    <row r="36" spans="1:5">
      <c r="A36" s="68">
        <v>0.28217399999999998</v>
      </c>
      <c r="B36" s="68">
        <v>0.42384100000000002</v>
      </c>
      <c r="C36" s="68">
        <v>13.802300000000001</v>
      </c>
      <c r="D36" s="68">
        <v>1</v>
      </c>
      <c r="E36" s="68" t="s">
        <v>390</v>
      </c>
    </row>
    <row r="37" spans="1:5">
      <c r="A37" s="68">
        <v>0.28394900000000001</v>
      </c>
      <c r="B37" s="68">
        <v>0.42329099999999997</v>
      </c>
      <c r="C37" s="68">
        <v>14.2065</v>
      </c>
      <c r="D37" s="68">
        <v>1</v>
      </c>
      <c r="E37" s="68" t="s">
        <v>391</v>
      </c>
    </row>
    <row r="38" spans="1:5">
      <c r="A38" s="68">
        <v>0.286028</v>
      </c>
      <c r="B38" s="68">
        <v>0.42281099999999999</v>
      </c>
      <c r="C38" s="68">
        <v>14.6127</v>
      </c>
      <c r="D38" s="68">
        <v>1</v>
      </c>
      <c r="E38" s="68" t="s">
        <v>392</v>
      </c>
    </row>
    <row r="39" spans="1:5">
      <c r="A39" s="68">
        <v>0.288437</v>
      </c>
      <c r="B39" s="68">
        <v>0.42146800000000001</v>
      </c>
      <c r="C39" s="68">
        <v>15.0222</v>
      </c>
      <c r="D39" s="68">
        <v>1</v>
      </c>
      <c r="E39" s="68" t="s">
        <v>393</v>
      </c>
    </row>
    <row r="40" spans="1:5">
      <c r="A40" s="68">
        <v>0.29120099999999999</v>
      </c>
      <c r="B40" s="68">
        <v>0.420269</v>
      </c>
      <c r="C40" s="68">
        <v>15.4254</v>
      </c>
      <c r="D40" s="68">
        <v>1</v>
      </c>
      <c r="E40" s="68" t="s">
        <v>394</v>
      </c>
    </row>
    <row r="41" spans="1:5">
      <c r="A41" s="68">
        <v>0.29404200000000003</v>
      </c>
      <c r="B41" s="68">
        <v>0.419348</v>
      </c>
      <c r="C41" s="68">
        <v>15.833299999999999</v>
      </c>
      <c r="D41" s="68">
        <v>1</v>
      </c>
      <c r="E41" s="68" t="s">
        <v>395</v>
      </c>
    </row>
    <row r="42" spans="1:5">
      <c r="A42" s="68">
        <v>0.297072</v>
      </c>
      <c r="B42" s="68">
        <v>0.41866100000000001</v>
      </c>
      <c r="C42" s="68">
        <v>16.238399999999999</v>
      </c>
      <c r="D42" s="68">
        <v>1</v>
      </c>
      <c r="E42" s="68" t="s">
        <v>396</v>
      </c>
    </row>
    <row r="43" spans="1:5">
      <c r="A43" s="68">
        <v>0.30036200000000002</v>
      </c>
      <c r="B43" s="68">
        <v>0.41752299999999998</v>
      </c>
      <c r="C43" s="68">
        <v>16.646100000000001</v>
      </c>
      <c r="D43" s="68">
        <v>1</v>
      </c>
      <c r="E43" s="68" t="s">
        <v>397</v>
      </c>
    </row>
    <row r="44" spans="1:5">
      <c r="A44" s="68">
        <v>0.30369000000000002</v>
      </c>
      <c r="B44" s="68">
        <v>0.416188</v>
      </c>
      <c r="C44" s="68">
        <v>17.0532</v>
      </c>
      <c r="D44" s="68">
        <v>1</v>
      </c>
      <c r="E44" s="68" t="s">
        <v>398</v>
      </c>
    </row>
    <row r="45" spans="1:5">
      <c r="A45" s="68">
        <v>0.306753</v>
      </c>
      <c r="B45" s="68">
        <v>0.41544599999999998</v>
      </c>
      <c r="C45" s="68">
        <v>17.454899999999999</v>
      </c>
      <c r="D45" s="68">
        <v>1</v>
      </c>
      <c r="E45" s="68" t="s">
        <v>399</v>
      </c>
    </row>
    <row r="46" spans="1:5">
      <c r="A46" s="68">
        <v>0.30971100000000001</v>
      </c>
      <c r="B46" s="68">
        <v>0.41513800000000001</v>
      </c>
      <c r="C46" s="68">
        <v>17.8628</v>
      </c>
      <c r="D46" s="68">
        <v>1</v>
      </c>
      <c r="E46" s="68" t="s">
        <v>400</v>
      </c>
    </row>
    <row r="47" spans="1:5">
      <c r="A47" s="68">
        <v>0.31249900000000003</v>
      </c>
      <c r="B47" s="68">
        <v>0.414908</v>
      </c>
      <c r="C47" s="68">
        <v>18.2714</v>
      </c>
      <c r="D47" s="68">
        <v>1</v>
      </c>
      <c r="E47" s="68" t="s">
        <v>401</v>
      </c>
    </row>
    <row r="48" spans="1:5">
      <c r="A48" s="68">
        <v>0.31519399999999997</v>
      </c>
      <c r="B48" s="68">
        <v>0.41455999999999998</v>
      </c>
      <c r="C48" s="68">
        <v>18.6752</v>
      </c>
      <c r="D48" s="68">
        <v>1</v>
      </c>
      <c r="E48" s="68" t="s">
        <v>402</v>
      </c>
    </row>
    <row r="49" spans="1:5">
      <c r="A49" s="68">
        <v>0.31781500000000001</v>
      </c>
      <c r="B49" s="68">
        <v>0.41464200000000001</v>
      </c>
      <c r="C49" s="68">
        <v>19.084499999999998</v>
      </c>
      <c r="D49" s="68">
        <v>1</v>
      </c>
      <c r="E49" s="68" t="s">
        <v>403</v>
      </c>
    </row>
    <row r="50" spans="1:5">
      <c r="A50" s="68">
        <v>0.32035200000000003</v>
      </c>
      <c r="B50" s="68">
        <v>0.41517300000000001</v>
      </c>
      <c r="C50" s="68">
        <v>19.487300000000001</v>
      </c>
      <c r="D50" s="68">
        <v>1</v>
      </c>
      <c r="E50" s="68" t="s">
        <v>404</v>
      </c>
    </row>
    <row r="51" spans="1:5">
      <c r="A51" s="68">
        <v>0.32277099999999997</v>
      </c>
      <c r="B51" s="68">
        <v>0.41536200000000001</v>
      </c>
      <c r="C51" s="68">
        <v>19.893999999999998</v>
      </c>
      <c r="D51" s="68">
        <v>1</v>
      </c>
      <c r="E51" s="68" t="s">
        <v>405</v>
      </c>
    </row>
    <row r="52" spans="1:5">
      <c r="A52" s="68">
        <v>0.32538600000000001</v>
      </c>
      <c r="B52" s="68">
        <v>0.41483199999999998</v>
      </c>
      <c r="C52" s="68">
        <v>20.3047</v>
      </c>
      <c r="D52" s="68">
        <v>1</v>
      </c>
      <c r="E52" s="68" t="s">
        <v>406</v>
      </c>
    </row>
    <row r="53" spans="1:5">
      <c r="A53" s="68">
        <v>0.32812200000000002</v>
      </c>
      <c r="B53" s="68">
        <v>0.41343800000000003</v>
      </c>
      <c r="C53" s="68">
        <v>20.707999999999998</v>
      </c>
      <c r="D53" s="68">
        <v>1</v>
      </c>
      <c r="E53" s="68" t="s">
        <v>407</v>
      </c>
    </row>
    <row r="54" spans="1:5">
      <c r="A54" s="68">
        <v>0.33000800000000002</v>
      </c>
      <c r="B54" s="68">
        <v>0.41290100000000002</v>
      </c>
      <c r="C54" s="68">
        <v>21.115200000000002</v>
      </c>
      <c r="D54" s="68">
        <v>1</v>
      </c>
      <c r="E54" s="68" t="s">
        <v>408</v>
      </c>
    </row>
    <row r="55" spans="1:5">
      <c r="A55" s="68">
        <v>0.33203300000000002</v>
      </c>
      <c r="B55" s="68">
        <v>0.41117599999999999</v>
      </c>
      <c r="C55" s="68">
        <v>21.5185</v>
      </c>
      <c r="D55" s="68">
        <v>1</v>
      </c>
      <c r="E55" s="68" t="s">
        <v>409</v>
      </c>
    </row>
    <row r="56" spans="1:5">
      <c r="A56" s="68">
        <v>0.33411099999999999</v>
      </c>
      <c r="B56" s="68">
        <v>0.40867999999999999</v>
      </c>
      <c r="C56" s="68">
        <v>21.928100000000001</v>
      </c>
      <c r="D56" s="68">
        <v>1</v>
      </c>
      <c r="E56" s="68" t="s">
        <v>410</v>
      </c>
    </row>
    <row r="57" spans="1:5">
      <c r="A57" s="68">
        <v>0.33549400000000001</v>
      </c>
      <c r="B57" s="68">
        <v>0.408414</v>
      </c>
      <c r="C57" s="68">
        <v>22.331900000000001</v>
      </c>
      <c r="D57" s="68">
        <v>1</v>
      </c>
      <c r="E57" s="68" t="s">
        <v>411</v>
      </c>
    </row>
    <row r="58" spans="1:5">
      <c r="A58" s="68">
        <v>0.337362</v>
      </c>
      <c r="B58" s="68">
        <v>0.40699600000000002</v>
      </c>
      <c r="C58" s="68">
        <v>22.741199999999999</v>
      </c>
      <c r="D58" s="68">
        <v>1</v>
      </c>
      <c r="E58" s="68" t="s">
        <v>412</v>
      </c>
    </row>
    <row r="59" spans="1:5">
      <c r="A59" s="68">
        <v>0.33903499999999998</v>
      </c>
      <c r="B59" s="68">
        <v>0.40572200000000003</v>
      </c>
      <c r="C59" s="68">
        <v>23.148499999999999</v>
      </c>
      <c r="D59" s="68">
        <v>1</v>
      </c>
      <c r="E59" s="68" t="s">
        <v>413</v>
      </c>
    </row>
    <row r="60" spans="1:5">
      <c r="A60" s="68">
        <v>0.34066099999999999</v>
      </c>
      <c r="B60" s="68">
        <v>0.40400599999999998</v>
      </c>
      <c r="C60" s="68">
        <v>23.552700000000002</v>
      </c>
      <c r="D60" s="68">
        <v>1</v>
      </c>
      <c r="E60" s="68" t="s">
        <v>414</v>
      </c>
    </row>
    <row r="61" spans="1:5">
      <c r="A61" s="68">
        <v>0.34202300000000002</v>
      </c>
      <c r="B61" s="68">
        <v>0.40278599999999998</v>
      </c>
      <c r="C61" s="68">
        <v>23.954899999999999</v>
      </c>
      <c r="D61" s="68">
        <v>1</v>
      </c>
      <c r="E61" s="68" t="s">
        <v>415</v>
      </c>
    </row>
    <row r="62" spans="1:5">
      <c r="A62" s="68">
        <v>0.34401300000000001</v>
      </c>
      <c r="B62" s="68">
        <v>0.40051700000000001</v>
      </c>
      <c r="C62" s="68">
        <v>24.364100000000001</v>
      </c>
      <c r="D62" s="68">
        <v>1</v>
      </c>
      <c r="E62" s="68" t="s">
        <v>416</v>
      </c>
    </row>
    <row r="63" spans="1:5">
      <c r="A63" s="68">
        <v>0.34598899999999999</v>
      </c>
      <c r="B63" s="68">
        <v>0.39800400000000002</v>
      </c>
      <c r="C63" s="68">
        <v>24.773299999999999</v>
      </c>
      <c r="D63" s="68">
        <v>1</v>
      </c>
      <c r="E63" s="68" t="s">
        <v>417</v>
      </c>
    </row>
    <row r="64" spans="1:5">
      <c r="A64" s="68">
        <v>0.34720699999999999</v>
      </c>
      <c r="B64" s="68">
        <v>0.39628999999999998</v>
      </c>
      <c r="C64" s="68">
        <v>25.178100000000001</v>
      </c>
      <c r="D64" s="68">
        <v>1</v>
      </c>
      <c r="E64" s="68" t="s">
        <v>418</v>
      </c>
    </row>
    <row r="65" spans="1:5">
      <c r="A65" s="68">
        <v>0.348188</v>
      </c>
      <c r="B65" s="68">
        <v>0.395208</v>
      </c>
      <c r="C65" s="68">
        <v>25.5855</v>
      </c>
      <c r="D65" s="68">
        <v>1</v>
      </c>
      <c r="E65" s="68" t="s">
        <v>419</v>
      </c>
    </row>
    <row r="66" spans="1:5">
      <c r="A66" s="68">
        <v>0.349138</v>
      </c>
      <c r="B66" s="68">
        <v>0.39452900000000002</v>
      </c>
      <c r="C66" s="68">
        <v>25.989899999999999</v>
      </c>
      <c r="D66" s="68">
        <v>1</v>
      </c>
      <c r="E66" s="68" t="s">
        <v>420</v>
      </c>
    </row>
    <row r="67" spans="1:5">
      <c r="A67" s="68">
        <v>0.34967599999999999</v>
      </c>
      <c r="B67" s="68">
        <v>0.39382899999999998</v>
      </c>
      <c r="C67" s="68">
        <v>26.394500000000001</v>
      </c>
      <c r="D67" s="68">
        <v>1</v>
      </c>
      <c r="E67" s="68" t="s">
        <v>421</v>
      </c>
    </row>
    <row r="68" spans="1:5">
      <c r="A68" s="68">
        <v>0.34948200000000001</v>
      </c>
      <c r="B68" s="68">
        <v>0.39496599999999998</v>
      </c>
      <c r="C68" s="68">
        <v>26.8032</v>
      </c>
      <c r="D68" s="68">
        <v>1</v>
      </c>
      <c r="E68" s="68" t="s">
        <v>422</v>
      </c>
    </row>
    <row r="69" spans="1:5">
      <c r="A69" s="68">
        <v>0.34905000000000003</v>
      </c>
      <c r="B69" s="68">
        <v>0.39597500000000002</v>
      </c>
      <c r="C69" s="68">
        <v>27.210100000000001</v>
      </c>
      <c r="D69" s="68">
        <v>1</v>
      </c>
      <c r="E69" s="68" t="s">
        <v>423</v>
      </c>
    </row>
    <row r="70" spans="1:5">
      <c r="A70" s="68">
        <v>0.34881099999999998</v>
      </c>
      <c r="B70" s="68">
        <v>0.396009</v>
      </c>
      <c r="C70" s="68">
        <v>27.614799999999999</v>
      </c>
      <c r="D70" s="68">
        <v>1</v>
      </c>
      <c r="E70" s="68" t="s">
        <v>424</v>
      </c>
    </row>
    <row r="71" spans="1:5">
      <c r="A71" s="68">
        <v>0.34817799999999999</v>
      </c>
      <c r="B71" s="68">
        <v>0.39623000000000003</v>
      </c>
      <c r="C71" s="68">
        <v>28.018999999999998</v>
      </c>
      <c r="D71" s="68">
        <v>1</v>
      </c>
      <c r="E71" s="68" t="s">
        <v>425</v>
      </c>
    </row>
    <row r="72" spans="1:5">
      <c r="A72" s="68">
        <v>0.34754299999999999</v>
      </c>
      <c r="B72" s="68">
        <v>0.39605099999999999</v>
      </c>
      <c r="C72" s="68">
        <v>28.4283</v>
      </c>
      <c r="D72" s="68">
        <v>1</v>
      </c>
      <c r="E72" s="68" t="s">
        <v>426</v>
      </c>
    </row>
    <row r="73" spans="1:5">
      <c r="A73" s="68">
        <v>0.346439</v>
      </c>
      <c r="B73" s="68">
        <v>0.39650600000000003</v>
      </c>
      <c r="C73" s="68">
        <v>28.838200000000001</v>
      </c>
      <c r="D73" s="68">
        <v>1</v>
      </c>
      <c r="E73" s="68" t="s">
        <v>427</v>
      </c>
    </row>
    <row r="74" spans="1:5">
      <c r="A74" s="68">
        <v>0.34596300000000002</v>
      </c>
      <c r="B74" s="68">
        <v>0.39668700000000001</v>
      </c>
      <c r="C74" s="68">
        <v>29.241099999999999</v>
      </c>
      <c r="D74" s="68">
        <v>1</v>
      </c>
      <c r="E74" s="68" t="s">
        <v>428</v>
      </c>
    </row>
    <row r="75" spans="1:5">
      <c r="A75" s="68">
        <v>0.34556900000000002</v>
      </c>
      <c r="B75" s="68">
        <v>0.39668799999999999</v>
      </c>
      <c r="C75" s="68">
        <v>29.645499999999998</v>
      </c>
      <c r="D75" s="68">
        <v>1</v>
      </c>
      <c r="E75" s="68" t="s">
        <v>429</v>
      </c>
    </row>
    <row r="76" spans="1:5">
      <c r="A76" s="68">
        <v>0.34547600000000001</v>
      </c>
      <c r="B76" s="68">
        <v>0.39668500000000001</v>
      </c>
      <c r="C76" s="68">
        <v>30.0505</v>
      </c>
      <c r="D76" s="68">
        <v>2</v>
      </c>
      <c r="E76" s="68" t="s">
        <v>430</v>
      </c>
    </row>
    <row r="77" spans="1:5">
      <c r="A77" s="68">
        <v>0.34469100000000003</v>
      </c>
      <c r="B77" s="68">
        <v>0.398399</v>
      </c>
      <c r="C77" s="68">
        <v>30.5091</v>
      </c>
      <c r="D77" s="68">
        <v>2</v>
      </c>
      <c r="E77" s="68" t="s">
        <v>431</v>
      </c>
    </row>
    <row r="78" spans="1:5">
      <c r="A78" s="68">
        <v>0.344082</v>
      </c>
      <c r="B78" s="68">
        <v>0.400177</v>
      </c>
      <c r="C78" s="68">
        <v>30.9086</v>
      </c>
      <c r="D78" s="68">
        <v>2</v>
      </c>
      <c r="E78" s="68" t="s">
        <v>432</v>
      </c>
    </row>
    <row r="79" spans="1:5">
      <c r="A79" s="68">
        <v>0.343586</v>
      </c>
      <c r="B79" s="68">
        <v>0.40236</v>
      </c>
      <c r="C79" s="68">
        <v>31.3171</v>
      </c>
      <c r="D79" s="68">
        <v>2</v>
      </c>
      <c r="E79" s="68" t="s">
        <v>433</v>
      </c>
    </row>
    <row r="80" spans="1:5">
      <c r="A80" s="68">
        <v>0.34303899999999998</v>
      </c>
      <c r="B80" s="68">
        <v>0.40480899999999997</v>
      </c>
      <c r="C80" s="68">
        <v>31.7225</v>
      </c>
      <c r="D80" s="68">
        <v>2</v>
      </c>
      <c r="E80" s="68" t="s">
        <v>434</v>
      </c>
    </row>
    <row r="81" spans="1:5">
      <c r="A81" s="68">
        <v>0.342889</v>
      </c>
      <c r="B81" s="68">
        <v>0.40676699999999999</v>
      </c>
      <c r="C81" s="68">
        <v>32.131300000000003</v>
      </c>
      <c r="D81" s="68">
        <v>2</v>
      </c>
      <c r="E81" s="68" t="s">
        <v>435</v>
      </c>
    </row>
    <row r="82" spans="1:5">
      <c r="A82" s="68">
        <v>0.34271800000000002</v>
      </c>
      <c r="B82" s="68">
        <v>0.40875299999999998</v>
      </c>
      <c r="C82" s="68">
        <v>32.5349</v>
      </c>
      <c r="D82" s="68">
        <v>2</v>
      </c>
      <c r="E82" s="68" t="s">
        <v>436</v>
      </c>
    </row>
    <row r="83" spans="1:5">
      <c r="A83" s="68">
        <v>0.34209099999999998</v>
      </c>
      <c r="B83" s="68">
        <v>0.410746</v>
      </c>
      <c r="C83" s="68">
        <v>32.942</v>
      </c>
      <c r="D83" s="68">
        <v>2</v>
      </c>
      <c r="E83" s="68" t="s">
        <v>437</v>
      </c>
    </row>
    <row r="84" spans="1:5">
      <c r="A84" s="68">
        <v>0.34099299999999999</v>
      </c>
      <c r="B84" s="68">
        <v>0.41267900000000002</v>
      </c>
      <c r="C84" s="68">
        <v>33.347299999999997</v>
      </c>
      <c r="D84" s="68">
        <v>2</v>
      </c>
      <c r="E84" s="68" t="s">
        <v>438</v>
      </c>
    </row>
    <row r="85" spans="1:5">
      <c r="A85" s="68">
        <v>0.33981699999999998</v>
      </c>
      <c r="B85" s="68">
        <v>0.41470200000000002</v>
      </c>
      <c r="C85" s="68">
        <v>33.7547</v>
      </c>
      <c r="D85" s="68">
        <v>2</v>
      </c>
      <c r="E85" s="68" t="s">
        <v>439</v>
      </c>
    </row>
    <row r="86" spans="1:5">
      <c r="A86" s="68">
        <v>0.33853499999999997</v>
      </c>
      <c r="B86" s="68">
        <v>0.417352</v>
      </c>
      <c r="C86" s="68">
        <v>34.160200000000003</v>
      </c>
      <c r="D86" s="68">
        <v>2</v>
      </c>
      <c r="E86" s="68" t="s">
        <v>440</v>
      </c>
    </row>
    <row r="87" spans="1:5">
      <c r="A87" s="68">
        <v>0.33735799999999999</v>
      </c>
      <c r="B87" s="68">
        <v>0.420205</v>
      </c>
      <c r="C87" s="68">
        <v>34.5685</v>
      </c>
      <c r="D87" s="68">
        <v>2</v>
      </c>
      <c r="E87" s="68" t="s">
        <v>441</v>
      </c>
    </row>
    <row r="88" spans="1:5">
      <c r="A88" s="68">
        <v>0.33598</v>
      </c>
      <c r="B88" s="68">
        <v>0.42356100000000002</v>
      </c>
      <c r="C88" s="68">
        <v>34.973399999999998</v>
      </c>
      <c r="D88" s="68">
        <v>2</v>
      </c>
      <c r="E88" s="68" t="s">
        <v>442</v>
      </c>
    </row>
    <row r="89" spans="1:5">
      <c r="A89" s="68">
        <v>0.33427000000000001</v>
      </c>
      <c r="B89" s="68">
        <v>0.42688599999999999</v>
      </c>
      <c r="C89" s="68">
        <v>35.3765</v>
      </c>
      <c r="D89" s="68">
        <v>2</v>
      </c>
      <c r="E89" s="68" t="s">
        <v>443</v>
      </c>
    </row>
    <row r="90" spans="1:5">
      <c r="A90" s="68">
        <v>0.3327</v>
      </c>
      <c r="B90" s="68">
        <v>0.42904599999999998</v>
      </c>
      <c r="C90" s="68">
        <v>35.785699999999999</v>
      </c>
      <c r="D90" s="68">
        <v>2</v>
      </c>
      <c r="E90" s="68" t="s">
        <v>444</v>
      </c>
    </row>
    <row r="91" spans="1:5">
      <c r="A91" s="68">
        <v>0.33111499999999999</v>
      </c>
      <c r="B91" s="68">
        <v>0.43064000000000002</v>
      </c>
      <c r="C91" s="68">
        <v>36.192900000000002</v>
      </c>
      <c r="D91" s="68">
        <v>2</v>
      </c>
      <c r="E91" s="68" t="s">
        <v>445</v>
      </c>
    </row>
    <row r="92" spans="1:5">
      <c r="A92" s="68">
        <v>0.32957900000000001</v>
      </c>
      <c r="B92" s="68">
        <v>0.43112499999999998</v>
      </c>
      <c r="C92" s="68">
        <v>36.600200000000001</v>
      </c>
      <c r="D92" s="68">
        <v>2</v>
      </c>
      <c r="E92" s="68" t="s">
        <v>446</v>
      </c>
    </row>
    <row r="93" spans="1:5">
      <c r="A93" s="68">
        <v>0.32832</v>
      </c>
      <c r="B93" s="68">
        <v>0.43108299999999999</v>
      </c>
      <c r="C93" s="68">
        <v>37.0032</v>
      </c>
      <c r="D93" s="68">
        <v>2</v>
      </c>
      <c r="E93" s="68" t="s">
        <v>447</v>
      </c>
    </row>
    <row r="94" spans="1:5">
      <c r="A94" s="68">
        <v>0.32739800000000002</v>
      </c>
      <c r="B94" s="68">
        <v>0.430674</v>
      </c>
      <c r="C94" s="68">
        <v>37.410699999999999</v>
      </c>
      <c r="D94" s="68">
        <v>2</v>
      </c>
      <c r="E94" s="68" t="s">
        <v>448</v>
      </c>
    </row>
    <row r="95" spans="1:5">
      <c r="A95" s="68">
        <v>0.32692199999999999</v>
      </c>
      <c r="B95" s="68">
        <v>0.42969400000000002</v>
      </c>
      <c r="C95" s="68">
        <v>37.816800000000001</v>
      </c>
      <c r="D95" s="68">
        <v>2</v>
      </c>
      <c r="E95" s="68" t="s">
        <v>449</v>
      </c>
    </row>
    <row r="96" spans="1:5">
      <c r="A96" s="68">
        <v>0.32687300000000002</v>
      </c>
      <c r="B96" s="68">
        <v>0.42847499999999999</v>
      </c>
      <c r="C96" s="68">
        <v>38.225700000000003</v>
      </c>
      <c r="D96" s="68">
        <v>2</v>
      </c>
      <c r="E96" s="68" t="s">
        <v>450</v>
      </c>
    </row>
    <row r="97" spans="1:5">
      <c r="A97" s="68">
        <v>0.32695999999999997</v>
      </c>
      <c r="B97" s="68">
        <v>0.427315</v>
      </c>
      <c r="C97" s="68">
        <v>38.630099999999999</v>
      </c>
      <c r="D97" s="68">
        <v>2</v>
      </c>
      <c r="E97" s="68" t="s">
        <v>451</v>
      </c>
    </row>
    <row r="98" spans="1:5">
      <c r="A98" s="68">
        <v>0.32741599999999998</v>
      </c>
      <c r="B98" s="68">
        <v>0.42572300000000002</v>
      </c>
      <c r="C98" s="68">
        <v>39.0396</v>
      </c>
      <c r="D98" s="68">
        <v>2</v>
      </c>
      <c r="E98" s="68" t="s">
        <v>452</v>
      </c>
    </row>
    <row r="99" spans="1:5">
      <c r="A99" s="68">
        <v>0.32782899999999998</v>
      </c>
      <c r="B99" s="68">
        <v>0.423983</v>
      </c>
      <c r="C99" s="68">
        <v>39.442100000000003</v>
      </c>
      <c r="D99" s="68">
        <v>2</v>
      </c>
      <c r="E99" s="68" t="s">
        <v>453</v>
      </c>
    </row>
    <row r="100" spans="1:5">
      <c r="A100" s="68">
        <v>0.32819300000000001</v>
      </c>
      <c r="B100" s="68">
        <v>0.42238700000000001</v>
      </c>
      <c r="C100" s="68">
        <v>39.8476</v>
      </c>
      <c r="D100" s="68">
        <v>2</v>
      </c>
      <c r="E100" s="68" t="s">
        <v>454</v>
      </c>
    </row>
    <row r="101" spans="1:5">
      <c r="A101" s="68">
        <v>0.328345</v>
      </c>
      <c r="B101" s="68">
        <v>0.42094300000000001</v>
      </c>
      <c r="C101" s="68">
        <v>40.254100000000001</v>
      </c>
      <c r="D101" s="68">
        <v>2</v>
      </c>
      <c r="E101" s="68" t="s">
        <v>455</v>
      </c>
    </row>
    <row r="102" spans="1:5">
      <c r="A102" s="68">
        <v>0.32815899999999998</v>
      </c>
      <c r="B102" s="68">
        <v>0.42006399999999999</v>
      </c>
      <c r="C102" s="68">
        <v>40.662700000000001</v>
      </c>
      <c r="D102" s="68">
        <v>2</v>
      </c>
      <c r="E102" s="68" t="s">
        <v>456</v>
      </c>
    </row>
    <row r="103" spans="1:5">
      <c r="A103" s="68">
        <v>0.32781199999999999</v>
      </c>
      <c r="B103" s="68">
        <v>0.41927500000000001</v>
      </c>
      <c r="C103" s="68">
        <v>41.070099999999996</v>
      </c>
      <c r="D103" s="68">
        <v>2</v>
      </c>
      <c r="E103" s="68" t="s">
        <v>457</v>
      </c>
    </row>
    <row r="104" spans="1:5">
      <c r="A104" s="68">
        <v>0.32768399999999998</v>
      </c>
      <c r="B104" s="68">
        <v>0.41825000000000001</v>
      </c>
      <c r="C104" s="68">
        <v>41.4724</v>
      </c>
      <c r="D104" s="68">
        <v>2</v>
      </c>
      <c r="E104" s="68" t="s">
        <v>458</v>
      </c>
    </row>
    <row r="105" spans="1:5">
      <c r="A105" s="68">
        <v>0.32775500000000002</v>
      </c>
      <c r="B105" s="68">
        <v>0.417435</v>
      </c>
      <c r="C105" s="68">
        <v>41.880200000000002</v>
      </c>
      <c r="D105" s="68">
        <v>2</v>
      </c>
      <c r="E105" s="68" t="s">
        <v>459</v>
      </c>
    </row>
    <row r="106" spans="1:5">
      <c r="A106" s="68">
        <v>0.32780799999999999</v>
      </c>
      <c r="B106" s="68">
        <v>0.41683100000000001</v>
      </c>
      <c r="C106" s="68">
        <v>42.290900000000001</v>
      </c>
      <c r="D106" s="68">
        <v>2</v>
      </c>
      <c r="E106" s="68" t="s">
        <v>460</v>
      </c>
    </row>
    <row r="107" spans="1:5">
      <c r="A107" s="68">
        <v>0.32786199999999999</v>
      </c>
      <c r="B107" s="68">
        <v>0.41595399999999999</v>
      </c>
      <c r="C107" s="68">
        <v>42.692999999999998</v>
      </c>
      <c r="D107" s="68">
        <v>2</v>
      </c>
      <c r="E107" s="68" t="s">
        <v>461</v>
      </c>
    </row>
    <row r="108" spans="1:5">
      <c r="A108" s="68">
        <v>0.32835500000000001</v>
      </c>
      <c r="B108" s="68">
        <v>0.414462</v>
      </c>
      <c r="C108" s="68">
        <v>43.097099999999998</v>
      </c>
      <c r="D108" s="68">
        <v>2</v>
      </c>
      <c r="E108" s="68" t="s">
        <v>462</v>
      </c>
    </row>
    <row r="109" spans="1:5">
      <c r="A109" s="68">
        <v>0.32931199999999999</v>
      </c>
      <c r="B109" s="68">
        <v>0.41274300000000003</v>
      </c>
      <c r="C109" s="68">
        <v>43.503799999999998</v>
      </c>
      <c r="D109" s="68">
        <v>2</v>
      </c>
      <c r="E109" s="68" t="s">
        <v>463</v>
      </c>
    </row>
    <row r="110" spans="1:5">
      <c r="A110" s="68">
        <v>0.33053399999999999</v>
      </c>
      <c r="B110" s="68">
        <v>0.41049999999999998</v>
      </c>
      <c r="C110" s="68">
        <v>43.907800000000002</v>
      </c>
      <c r="D110" s="68">
        <v>2</v>
      </c>
      <c r="E110" s="68" t="s">
        <v>464</v>
      </c>
    </row>
    <row r="111" spans="1:5">
      <c r="A111" s="68">
        <v>0.33196100000000001</v>
      </c>
      <c r="B111" s="68">
        <v>0.40749400000000002</v>
      </c>
      <c r="C111" s="68">
        <v>44.316800000000001</v>
      </c>
      <c r="D111" s="68">
        <v>2</v>
      </c>
      <c r="E111" s="68" t="s">
        <v>465</v>
      </c>
    </row>
    <row r="112" spans="1:5">
      <c r="A112" s="68">
        <v>0.33326</v>
      </c>
      <c r="B112" s="68">
        <v>0.40457599999999999</v>
      </c>
      <c r="C112" s="68">
        <v>44.723100000000002</v>
      </c>
      <c r="D112" s="68">
        <v>2</v>
      </c>
      <c r="E112" s="68" t="s">
        <v>466</v>
      </c>
    </row>
    <row r="113" spans="1:5">
      <c r="A113" s="68">
        <v>0.33456599999999997</v>
      </c>
      <c r="B113" s="68">
        <v>0.40228399999999997</v>
      </c>
      <c r="C113" s="68">
        <v>45.128700000000002</v>
      </c>
      <c r="D113" s="68">
        <v>2</v>
      </c>
      <c r="E113" s="68" t="s">
        <v>467</v>
      </c>
    </row>
    <row r="114" spans="1:5">
      <c r="A114" s="68">
        <v>0.33613999999999999</v>
      </c>
      <c r="B114" s="68">
        <v>0.40035799999999999</v>
      </c>
      <c r="C114" s="68">
        <v>45.536000000000001</v>
      </c>
      <c r="D114" s="68">
        <v>2</v>
      </c>
      <c r="E114" s="68" t="s">
        <v>468</v>
      </c>
    </row>
    <row r="115" spans="1:5">
      <c r="A115" s="68">
        <v>0.33773999999999998</v>
      </c>
      <c r="B115" s="68">
        <v>0.39868199999999998</v>
      </c>
      <c r="C115" s="68">
        <v>45.941200000000002</v>
      </c>
      <c r="D115" s="68">
        <v>2</v>
      </c>
      <c r="E115" s="68" t="s">
        <v>469</v>
      </c>
    </row>
    <row r="116" spans="1:5">
      <c r="A116" s="68">
        <v>0.33917799999999998</v>
      </c>
      <c r="B116" s="68">
        <v>0.39744400000000002</v>
      </c>
      <c r="C116" s="68">
        <v>46.349299999999999</v>
      </c>
      <c r="D116" s="68">
        <v>2</v>
      </c>
      <c r="E116" s="68" t="s">
        <v>470</v>
      </c>
    </row>
    <row r="117" spans="1:5">
      <c r="A117" s="68">
        <v>0.34088000000000002</v>
      </c>
      <c r="B117" s="68">
        <v>0.39650600000000003</v>
      </c>
      <c r="C117" s="68">
        <v>46.752600000000001</v>
      </c>
      <c r="D117" s="68">
        <v>2</v>
      </c>
      <c r="E117" s="68" t="s">
        <v>471</v>
      </c>
    </row>
    <row r="118" spans="1:5">
      <c r="A118" s="68">
        <v>0.34261999999999998</v>
      </c>
      <c r="B118" s="68">
        <v>0.395343</v>
      </c>
      <c r="C118" s="68">
        <v>47.159399999999998</v>
      </c>
      <c r="D118" s="68">
        <v>2</v>
      </c>
      <c r="E118" s="68" t="s">
        <v>472</v>
      </c>
    </row>
    <row r="119" spans="1:5">
      <c r="A119" s="68">
        <v>0.344194</v>
      </c>
      <c r="B119" s="68">
        <v>0.39430799999999999</v>
      </c>
      <c r="C119" s="68">
        <v>47.5687</v>
      </c>
      <c r="D119" s="68">
        <v>2</v>
      </c>
      <c r="E119" s="68" t="s">
        <v>473</v>
      </c>
    </row>
    <row r="120" spans="1:5">
      <c r="A120" s="68">
        <v>0.34567700000000001</v>
      </c>
      <c r="B120" s="68">
        <v>0.39310800000000001</v>
      </c>
      <c r="C120" s="68">
        <v>47.9741</v>
      </c>
      <c r="D120" s="68">
        <v>2</v>
      </c>
      <c r="E120" s="68" t="s">
        <v>474</v>
      </c>
    </row>
    <row r="121" spans="1:5">
      <c r="A121" s="68">
        <v>0.34707900000000003</v>
      </c>
      <c r="B121" s="68">
        <v>0.39155099999999998</v>
      </c>
      <c r="C121" s="68">
        <v>48.380299999999998</v>
      </c>
      <c r="D121" s="68">
        <v>2</v>
      </c>
      <c r="E121" s="68" t="s">
        <v>475</v>
      </c>
    </row>
    <row r="122" spans="1:5">
      <c r="A122" s="68">
        <v>0.34835300000000002</v>
      </c>
      <c r="B122" s="68">
        <v>0.38988299999999998</v>
      </c>
      <c r="C122" s="68">
        <v>48.786000000000001</v>
      </c>
      <c r="D122" s="68">
        <v>2</v>
      </c>
      <c r="E122" s="68" t="s">
        <v>476</v>
      </c>
    </row>
    <row r="123" spans="1:5">
      <c r="A123" s="68">
        <v>0.34946300000000002</v>
      </c>
      <c r="B123" s="68">
        <v>0.38762400000000002</v>
      </c>
      <c r="C123" s="68">
        <v>49.191400000000002</v>
      </c>
      <c r="D123" s="68">
        <v>2</v>
      </c>
      <c r="E123" s="68" t="s">
        <v>477</v>
      </c>
    </row>
    <row r="124" spans="1:5">
      <c r="A124" s="68">
        <v>0.35045999999999999</v>
      </c>
      <c r="B124" s="68">
        <v>0.38576199999999999</v>
      </c>
      <c r="C124" s="68">
        <v>49.598500000000001</v>
      </c>
      <c r="D124" s="68">
        <v>2</v>
      </c>
      <c r="E124" s="68" t="s">
        <v>478</v>
      </c>
    </row>
    <row r="125" spans="1:5">
      <c r="A125" s="68">
        <v>0.35183599999999998</v>
      </c>
      <c r="B125" s="68">
        <v>0.38370199999999999</v>
      </c>
      <c r="C125" s="68">
        <v>50.0032</v>
      </c>
      <c r="D125" s="68">
        <v>2</v>
      </c>
      <c r="E125" s="68" t="s">
        <v>479</v>
      </c>
    </row>
    <row r="126" spans="1:5">
      <c r="A126" s="68">
        <v>0.352682</v>
      </c>
      <c r="B126" s="68">
        <v>0.38320799999999999</v>
      </c>
      <c r="C126" s="68">
        <v>50.409500000000001</v>
      </c>
      <c r="D126" s="68">
        <v>2</v>
      </c>
      <c r="E126" s="68" t="s">
        <v>480</v>
      </c>
    </row>
    <row r="127" spans="1:5">
      <c r="A127" s="68">
        <v>0.35373900000000003</v>
      </c>
      <c r="B127" s="68">
        <v>0.38255</v>
      </c>
      <c r="C127" s="68">
        <v>50.817399999999999</v>
      </c>
      <c r="D127" s="68">
        <v>2</v>
      </c>
      <c r="E127" s="68" t="s">
        <v>481</v>
      </c>
    </row>
    <row r="128" spans="1:5">
      <c r="A128" s="68">
        <v>0.35486400000000001</v>
      </c>
      <c r="B128" s="68">
        <v>0.38186100000000001</v>
      </c>
      <c r="C128" s="68">
        <v>51.220799999999997</v>
      </c>
      <c r="D128" s="68">
        <v>2</v>
      </c>
      <c r="E128" s="68" t="s">
        <v>482</v>
      </c>
    </row>
    <row r="129" spans="1:5">
      <c r="A129" s="68">
        <v>0.35587800000000003</v>
      </c>
      <c r="B129" s="68">
        <v>0.381054</v>
      </c>
      <c r="C129" s="68">
        <v>51.629800000000003</v>
      </c>
      <c r="D129" s="68">
        <v>2</v>
      </c>
      <c r="E129" s="68" t="s">
        <v>483</v>
      </c>
    </row>
    <row r="130" spans="1:5">
      <c r="A130" s="68">
        <v>0.35682399999999997</v>
      </c>
      <c r="B130" s="68">
        <v>0.37988499999999997</v>
      </c>
      <c r="C130" s="68">
        <v>52.035299999999999</v>
      </c>
      <c r="D130" s="68">
        <v>2</v>
      </c>
      <c r="E130" s="68" t="s">
        <v>484</v>
      </c>
    </row>
    <row r="131" spans="1:5">
      <c r="A131" s="68">
        <v>0.357678</v>
      </c>
      <c r="B131" s="68">
        <v>0.37854199999999999</v>
      </c>
      <c r="C131" s="68">
        <v>52.442599999999999</v>
      </c>
      <c r="D131" s="68">
        <v>2</v>
      </c>
      <c r="E131" s="68" t="s">
        <v>485</v>
      </c>
    </row>
    <row r="132" spans="1:5">
      <c r="A132" s="68">
        <v>0.35866999999999999</v>
      </c>
      <c r="B132" s="68">
        <v>0.37730000000000002</v>
      </c>
      <c r="C132" s="68">
        <v>52.848500000000001</v>
      </c>
      <c r="D132" s="68">
        <v>2</v>
      </c>
      <c r="E132" s="68" t="s">
        <v>486</v>
      </c>
    </row>
    <row r="133" spans="1:5">
      <c r="A133" s="68">
        <v>0.35947000000000001</v>
      </c>
      <c r="B133" s="68">
        <v>0.37606600000000001</v>
      </c>
      <c r="C133" s="68">
        <v>53.2532</v>
      </c>
      <c r="D133" s="68">
        <v>2</v>
      </c>
      <c r="E133" s="68" t="s">
        <v>487</v>
      </c>
    </row>
    <row r="134" spans="1:5">
      <c r="A134" s="68">
        <v>0.36008800000000002</v>
      </c>
      <c r="B134" s="68">
        <v>0.37465700000000002</v>
      </c>
      <c r="C134" s="68">
        <v>53.659799999999997</v>
      </c>
      <c r="D134" s="68">
        <v>2</v>
      </c>
      <c r="E134" s="68" t="s">
        <v>488</v>
      </c>
    </row>
    <row r="135" spans="1:5">
      <c r="A135" s="68">
        <v>0.36005199999999998</v>
      </c>
      <c r="B135" s="68">
        <v>0.37379299999999999</v>
      </c>
      <c r="C135" s="68">
        <v>54.069000000000003</v>
      </c>
      <c r="D135" s="68">
        <v>2</v>
      </c>
      <c r="E135" s="68" t="s">
        <v>489</v>
      </c>
    </row>
    <row r="136" spans="1:5">
      <c r="A136" s="68">
        <v>0.35929899999999998</v>
      </c>
      <c r="B136" s="68">
        <v>0.373805</v>
      </c>
      <c r="C136" s="68">
        <v>54.474699999999999</v>
      </c>
      <c r="D136" s="68">
        <v>2</v>
      </c>
      <c r="E136" s="68" t="s">
        <v>490</v>
      </c>
    </row>
    <row r="137" spans="1:5">
      <c r="A137" s="68">
        <v>0.35853099999999999</v>
      </c>
      <c r="B137" s="68">
        <v>0.37366899999999997</v>
      </c>
      <c r="C137" s="68">
        <v>54.880899999999997</v>
      </c>
      <c r="D137" s="68">
        <v>2</v>
      </c>
      <c r="E137" s="68" t="s">
        <v>491</v>
      </c>
    </row>
    <row r="138" spans="1:5">
      <c r="A138" s="68">
        <v>0.35832199999999997</v>
      </c>
      <c r="B138" s="68">
        <v>0.37226999999999999</v>
      </c>
      <c r="C138" s="68">
        <v>55.287700000000001</v>
      </c>
      <c r="D138" s="68">
        <v>2</v>
      </c>
      <c r="E138" s="68" t="s">
        <v>492</v>
      </c>
    </row>
    <row r="139" spans="1:5">
      <c r="A139" s="68">
        <v>0.35830099999999998</v>
      </c>
      <c r="B139" s="68">
        <v>0.37042900000000001</v>
      </c>
      <c r="C139" s="68">
        <v>55.691800000000001</v>
      </c>
      <c r="D139" s="68">
        <v>2</v>
      </c>
      <c r="E139" s="68" t="s">
        <v>493</v>
      </c>
    </row>
    <row r="140" spans="1:5">
      <c r="A140" s="68">
        <v>0.358207</v>
      </c>
      <c r="B140" s="68">
        <v>0.36879600000000001</v>
      </c>
      <c r="C140" s="68">
        <v>56.102800000000002</v>
      </c>
      <c r="D140" s="68">
        <v>2</v>
      </c>
      <c r="E140" s="68" t="s">
        <v>494</v>
      </c>
    </row>
    <row r="141" spans="1:5">
      <c r="A141" s="68">
        <v>0.35865900000000001</v>
      </c>
      <c r="B141" s="68">
        <v>0.36668000000000001</v>
      </c>
      <c r="C141" s="68">
        <v>56.505600000000001</v>
      </c>
      <c r="D141" s="68">
        <v>2</v>
      </c>
      <c r="E141" s="68" t="s">
        <v>495</v>
      </c>
    </row>
    <row r="142" spans="1:5">
      <c r="A142" s="68">
        <v>0.35927900000000002</v>
      </c>
      <c r="B142" s="68">
        <v>0.36448999999999998</v>
      </c>
      <c r="C142" s="68">
        <v>56.908799999999999</v>
      </c>
      <c r="D142" s="68">
        <v>2</v>
      </c>
      <c r="E142" s="68" t="s">
        <v>496</v>
      </c>
    </row>
    <row r="143" spans="1:5">
      <c r="A143" s="68">
        <v>0.36016500000000001</v>
      </c>
      <c r="B143" s="68">
        <v>0.36155599999999999</v>
      </c>
      <c r="C143" s="68">
        <v>57.316000000000003</v>
      </c>
      <c r="D143" s="68">
        <v>2</v>
      </c>
      <c r="E143" s="68" t="s">
        <v>497</v>
      </c>
    </row>
    <row r="144" spans="1:5">
      <c r="A144" s="68">
        <v>0.36155300000000001</v>
      </c>
      <c r="B144" s="68">
        <v>0.35758499999999999</v>
      </c>
      <c r="C144" s="68">
        <v>57.722299999999997</v>
      </c>
      <c r="D144" s="68">
        <v>2</v>
      </c>
      <c r="E144" s="68" t="s">
        <v>498</v>
      </c>
    </row>
    <row r="145" spans="1:5">
      <c r="A145" s="68">
        <v>0.36288100000000001</v>
      </c>
      <c r="B145" s="68">
        <v>0.353744</v>
      </c>
      <c r="C145" s="68">
        <v>58.130099999999999</v>
      </c>
      <c r="D145" s="68">
        <v>2</v>
      </c>
      <c r="E145" s="68" t="s">
        <v>499</v>
      </c>
    </row>
    <row r="146" spans="1:5">
      <c r="A146" s="68">
        <v>0.36386499999999999</v>
      </c>
      <c r="B146" s="68">
        <v>0.35051500000000002</v>
      </c>
      <c r="C146" s="68">
        <v>58.542700000000004</v>
      </c>
      <c r="D146" s="68">
        <v>2</v>
      </c>
      <c r="E146" s="68" t="s">
        <v>500</v>
      </c>
    </row>
    <row r="147" spans="1:5">
      <c r="A147" s="68">
        <v>0.36571900000000002</v>
      </c>
      <c r="B147" s="68">
        <v>0.34723100000000001</v>
      </c>
      <c r="C147" s="68">
        <v>58.949599999999997</v>
      </c>
      <c r="D147" s="68">
        <v>2</v>
      </c>
      <c r="E147" s="68" t="s">
        <v>501</v>
      </c>
    </row>
    <row r="148" spans="1:5">
      <c r="A148" s="68">
        <v>0.366591</v>
      </c>
      <c r="B148" s="68">
        <v>0.34750399999999998</v>
      </c>
      <c r="C148" s="68">
        <v>59.346899999999998</v>
      </c>
      <c r="D148" s="68">
        <v>2</v>
      </c>
      <c r="E148" s="68" t="s">
        <v>502</v>
      </c>
    </row>
    <row r="149" spans="1:5">
      <c r="A149" s="68">
        <v>0.37133100000000002</v>
      </c>
      <c r="B149" s="68">
        <v>0.34767900000000002</v>
      </c>
      <c r="C149" s="68">
        <v>59.756700000000002</v>
      </c>
      <c r="D149" s="68">
        <v>2</v>
      </c>
      <c r="E149" s="68" t="s">
        <v>503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353</v>
      </c>
      <c r="B1" s="66" t="s">
        <v>504</v>
      </c>
      <c r="C1" s="66" t="s">
        <v>506</v>
      </c>
      <c r="D1" s="66" t="s">
        <v>507</v>
      </c>
      <c r="E1" s="66" t="s">
        <v>508</v>
      </c>
      <c r="F1" s="66" t="s">
        <v>509</v>
      </c>
      <c r="G1" s="66" t="s">
        <v>346</v>
      </c>
      <c r="H1" s="66" t="s">
        <v>510</v>
      </c>
      <c r="I1" s="66" t="s">
        <v>511</v>
      </c>
      <c r="J1" s="66" t="s">
        <v>512</v>
      </c>
      <c r="K1" s="66" t="s">
        <v>513</v>
      </c>
      <c r="L1" s="66" t="s">
        <v>514</v>
      </c>
      <c r="M1" s="66" t="s">
        <v>515</v>
      </c>
      <c r="N1" s="66"/>
    </row>
    <row r="2" spans="1:14">
      <c r="A2" s="75">
        <v>43628.401446759257</v>
      </c>
      <c r="B2" s="66" t="s">
        <v>505</v>
      </c>
      <c r="C2" s="66"/>
      <c r="D2" s="66"/>
      <c r="E2" s="66">
        <v>4.9207200000000002</v>
      </c>
      <c r="F2" s="66">
        <v>1.6811400000000001</v>
      </c>
      <c r="G2" s="66">
        <v>0.59157199999999999</v>
      </c>
      <c r="H2" s="66">
        <v>0</v>
      </c>
      <c r="I2" s="66">
        <v>85650</v>
      </c>
      <c r="J2" s="66">
        <v>83</v>
      </c>
      <c r="K2" s="66">
        <v>83</v>
      </c>
      <c r="L2" s="66">
        <v>0</v>
      </c>
      <c r="M2" s="66" t="s">
        <v>516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2019-06-12T01:38:48Z</cp:lastPrinted>
  <dcterms:created xsi:type="dcterms:W3CDTF">2010-10-29T12:53:05Z</dcterms:created>
  <dcterms:modified xsi:type="dcterms:W3CDTF">2019-06-12T01:38:58Z</dcterms:modified>
</cp:coreProperties>
</file>