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<sst xmlns="http://schemas.openxmlformats.org/spreadsheetml/2006/main" count="701" uniqueCount="572">
  <si>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</si>
  <si>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</si>
  <si>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</si>
  <si>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</si>
  <si>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</si>
  <si>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</si>
  <si>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</si>
  <si>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</si>
  <si>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</si>
  <si>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</si>
  <si>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</si>
  <si>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</si>
  <si>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</si>
  <si>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</si>
  <si>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</si>
  <si>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</si>
  <si>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</si>
  <si>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</si>
  <si>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</si>
  <si>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</si>
  <si>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</si>
  <si>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</si>
  <si>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</si>
  <si>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</si>
  <si>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</si>
  <si>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</si>
  <si>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</si>
  <si>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</si>
  <si>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</si>
  <si>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</si>
  <si>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</si>
  <si>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</si>
  <si>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</si>
  <si>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</si>
  <si>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</si>
  <si>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</si>
  <si>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</si>
  <si>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</si>
  <si>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</si>
  <si>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</si>
  <si>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</si>
  <si>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</si>
  <si>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</si>
  <si>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</si>
  <si>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</si>
  <si>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</si>
  <si>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</si>
  <si>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</si>
  <si>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</si>
  <si>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</si>
  <si>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</si>
  <si>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</si>
  <si>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</si>
  <si>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</si>
  <si>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</si>
  <si>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</si>
  <si>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</si>
  <si>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</si>
  <si>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</si>
  <si>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</si>
  <si>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</si>
  <si>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</si>
  <si>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</si>
  <si>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</si>
  <si>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</si>
  <si>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</si>
  <si>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</si>
  <si>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</si>
  <si>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</si>
  <si>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</si>
  <si>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</si>
  <si>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</si>
  <si>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</si>
  <si>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</si>
  <si>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</si>
  <si>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</si>
  <si>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</si>
  <si>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</si>
  <si>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</si>
  <si>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</si>
  <si>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</si>
  <si>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</si>
  <si>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</si>
  <si>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</si>
  <si>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</si>
  <si>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</si>
  <si>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</si>
  <si>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</si>
  <si>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</si>
  <si>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</si>
  <si>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</si>
  <si>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</si>
  <si>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</si>
  <si>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</si>
  <si>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</si>
  <si>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</si>
  <si>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</si>
  <si>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</si>
  <si>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</si>
  <si>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</si>
  <si>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</si>
  <si>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</si>
  <si>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</si>
  <si>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</si>
  <si>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</si>
  <si>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</si>
  <si>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</si>
  <si>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</si>
  <si>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</si>
  <si>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</si>
  <si>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</si>
  <si>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</si>
  <si>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</si>
  <si>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</si>
  <si>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</si>
  <si>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</si>
  <si>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</si>
  <si>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</si>
  <si>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</si>
  <si>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</si>
  <si>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</si>
  <si>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</si>
  <si>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</si>
  <si>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</si>
  <si>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</si>
  <si>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</si>
  <si>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</si>
  <si>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</si>
  <si>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</si>
  <si>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</si>
  <si>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</si>
  <si>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</si>
  <si>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</si>
  <si>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</si>
  <si>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</si>
  <si>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</si>
  <si>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</si>
  <si>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</si>
  <si>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</si>
  <si>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</si>
  <si>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</si>
  <si>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</si>
  <si>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</si>
  <si>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</si>
  <si>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</si>
  <si>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</si>
  <si>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</si>
  <si>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</si>
  <si>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</si>
  <si>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</si>
  <si>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</si>
  <si>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</si>
  <si>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</si>
  <si>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</si>
  <si>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</si>
  <si>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</si>
  <si>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</si>
  <si>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</si>
  <si>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</si>
  <si>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</si>
  <si>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</si>
  <si>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</si>
  <si>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</si>
  <si>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</si>
  <si>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</si>
  <si>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</si>
  <si>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</si>
  <si>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</si>
  <si>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</si>
  <si>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</si>
  <si>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</si>
  <si>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</si>
  <si>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</si>
  <si>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</si>
  <si>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</si>
  <si>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</si>
  <si>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</si>
  <si>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</si>
  <si>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</si>
  <si>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</si>
  <si>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</si>
  <si>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</si>
  <si>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</si>
  <si>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</si>
  <si>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</si>
  <si>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</si>
  <si>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</si>
  <si>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</si>
  <si>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</si>
  <si>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</si>
  <si>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</si>
  <si>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</si>
  <si>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</si>
  <si>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</si>
  <si>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</si>
  <si>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</si>
  <si>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</si>
  <si>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</si>
  <si>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</si>
  <si>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</si>
  <si>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</si>
  <si>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</si>
  <si>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</si>
  <si>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</si>
  <si>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</si>
  <si>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</si>
  <si>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</si>
  <si>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</si>
  <si>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</si>
  <si>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</si>
  <si>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</si>
  <si>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</si>
  <si>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</si>
  <si>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</si>
  <si>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</si>
  <si>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</si>
  <si>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</si>
  <si>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</si>
  <si>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</si>
  <si>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</si>
  <si>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</si>
  <si>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</si>
  <si>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</si>
  <si>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</si>
  <si>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</si>
  <si>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</si>
  <si>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</si>
  <si>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</si>
  <si>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</si>
  <si>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</si>
  <si>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</si>
  <si>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</si>
  <si>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</si>
  <si>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</si>
  <si>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</si>
  <si>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</si>
  <si>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</si>
  <si>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</si>
  <si>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</si>
  <si>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</si>
  <si>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</si>
  <si>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</si>
  <si>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</si>
  <si>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</si>
  <si>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</si>
  <si>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</si>
  <si>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</si>
  <si>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</si>
  <si>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</si>
  <si>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</si>
  <si>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</si>
  <si>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</si>
  <si>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</si>
  <si>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</si>
  <si>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</si>
  <si>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</si>
  <si>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</si>
  <si>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</si>
  <si>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</si>
  <si>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</si>
  <si>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</si>
  <si>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</si>
  <si>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</si>
  <si>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</si>
  <si>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</si>
  <si>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</si>
  <si>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</si>
  <si>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</si>
  <si>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</si>
  <si>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</si>
  <si>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</si>
  <si>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</si>
  <si>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</si>
  <si>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</si>
  <si>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</si>
  <si>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</si>
  <si>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</si>
  <si>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</si>
  <si>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</si>
  <si>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</si>
  <si>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</si>
  <si>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</si>
  <si>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</si>
  <si>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</si>
  <si>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</si>
  <si>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</si>
  <si>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</si>
  <si>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</si>
  <si>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</si>
  <si>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</si>
  <si>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</si>
  <si>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</si>
  <si>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</si>
  <si>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</si>
  <si>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</si>
  <si>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</si>
  <si>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</si>
  <si>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</si>
  <si>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</si>
  <si>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</si>
  <si>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</si>
  <si>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</si>
  <si>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</si>
  <si>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</si>
  <si>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</si>
  <si>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</si>
  <si>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</si>
  <si>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</si>
  <si>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</si>
  <si>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</si>
  <si>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</si>
  <si>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</si>
  <si>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</si>
  <si>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</si>
  <si>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</si>
  <si>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</si>
  <si>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</si>
  <si>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</si>
  <si>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</si>
  <si>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</si>
  <si>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</si>
  <si>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</si>
  <si>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</si>
  <si>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</si>
  <si>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</si>
  <si>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</si>
  <si>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</si>
  <si>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</si>
  <si>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</si>
  <si>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</si>
  <si>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</si>
  <si>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</si>
  <si>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</si>
  <si>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</si>
  <si>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</si>
  <si>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</si>
  <si>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</si>
  <si>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</si>
  <si>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</si>
  <si>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</si>
  <si>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</si>
  <si>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</si>
  <si>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</si>
  <si>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</si>
  <si>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</si>
  <si>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</si>
  <si>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</si>
  <si>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</si>
  <si>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</si>
  <si>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</si>
  <si>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</si>
  <si>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</si>
  <si>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</si>
  <si>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</si>
  <si>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</si>
  <si>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</si>
  <si>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</si>
  <si>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</si>
  <si>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</si>
  <si>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</si>
  <si>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</si>
  <si>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</si>
  <si>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</si>
  <si>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</si>
  <si>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</si>
  <si>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</si>
  <si>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</si>
  <si>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</si>
  <si>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</si>
  <si>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</si>
  <si>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</si>
  <si>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</si>
  <si>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</si>
  <si>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</si>
  <si>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</si>
  <si>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</si>
  <si>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</si>
  <si>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</si>
  <si>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</si>
  <si>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</si>
  <si>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</si>
  <si>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</si>
  <si>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</si>
  <si>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</si>
  <si>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</si>
  <si>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</si>
  <si>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</si>
  <si>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</si>
  <si>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</si>
  <si>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</si>
  <si>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</si>
  <si>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</si>
  <si>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</si>
  <si>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</si>
  <si>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</si>
  <si>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</si>
  <si>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</si>
  <si>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</si>
  <si>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</si>
  <si>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</si>
  <si>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</si>
  <si>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BMin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</si>
  <si>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</si>
  <si>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</si>
  <si>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</si>
  <si>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</si>
  <si>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</si>
  <si>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</si>
  <si>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</si>
  <si>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</si>
  <si>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</si>
  <si>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[0.394750]</t>
  </si>
  <si>
    <t>1 [0.802401]</t>
  </si>
  <si>
    <t>1 [1.206488]</t>
  </si>
  <si>
    <t>1 [1.613432]</t>
  </si>
  <si>
    <t>1 [2.023467]</t>
  </si>
  <si>
    <t>1 [2.428100]</t>
  </si>
  <si>
    <t>1 [2.833126]</t>
  </si>
  <si>
    <t>1 [3.237463]</t>
  </si>
  <si>
    <t>1 [3.644382]</t>
  </si>
  <si>
    <t>1 [4.053022]</t>
  </si>
  <si>
    <t>1 [4.458761]</t>
  </si>
  <si>
    <t>1 [4.864924]</t>
  </si>
  <si>
    <t>1 [5.270869]</t>
  </si>
  <si>
    <t>1 [5.675511]</t>
  </si>
  <si>
    <t>1 [6.084901]</t>
  </si>
  <si>
    <t>1 [6.491083]</t>
  </si>
  <si>
    <t>1 [6.896443]</t>
  </si>
  <si>
    <t>1 [7.301990]</t>
  </si>
  <si>
    <t>1 [7.706672]</t>
  </si>
  <si>
    <t>1 [8.112655]</t>
  </si>
  <si>
    <t>1 [8.518990]</t>
  </si>
  <si>
    <t>1 [8.929385]</t>
  </si>
  <si>
    <t>1 [9.332865]</t>
  </si>
  <si>
    <t>1 [9.737468]</t>
  </si>
  <si>
    <t>1 [10.145585]</t>
  </si>
  <si>
    <t>1 [10.554881]</t>
  </si>
  <si>
    <t>1 [10.958469]</t>
  </si>
  <si>
    <t>1 [11.364344]</t>
  </si>
  <si>
    <t>1 [11.770033]</t>
  </si>
  <si>
    <t>1 [12.174769]</t>
  </si>
  <si>
    <t>1 [12.581242]</t>
  </si>
  <si>
    <t>1 [12.986890]</t>
  </si>
  <si>
    <t>1 [13.395180]</t>
  </si>
  <si>
    <t>1 [13.803748]</t>
  </si>
  <si>
    <t>1 [14.212489]</t>
  </si>
  <si>
    <t>1 [14.615039]</t>
  </si>
  <si>
    <t>1 [15.019851]</t>
  </si>
  <si>
    <t>1 [15.426539]</t>
  </si>
  <si>
    <t>1 [15.835255]</t>
  </si>
  <si>
    <t>1 [16.240277]</t>
  </si>
  <si>
    <t>1 [16.647719]</t>
  </si>
  <si>
    <t>1 [17.050579]</t>
  </si>
  <si>
    <t>1 [17.458290]</t>
  </si>
  <si>
    <t>1 [17.863927]</t>
  </si>
  <si>
    <t>1 [18.273094]</t>
  </si>
  <si>
    <t>1 [18.677972]</t>
  </si>
  <si>
    <t>1 [19.081078]</t>
  </si>
  <si>
    <t>1 [19.492371]</t>
  </si>
  <si>
    <t>1 [19.895672]</t>
  </si>
  <si>
    <t>1 [20.302419]</t>
  </si>
  <si>
    <t>1 [20.709546]</t>
  </si>
  <si>
    <t>1 [21.113969]</t>
  </si>
  <si>
    <t>1 [21.520839]</t>
  </si>
  <si>
    <t>1 [21.927517]</t>
  </si>
  <si>
    <t>1 [22.333910]</t>
  </si>
  <si>
    <t>1 [22.740707]</t>
  </si>
  <si>
    <t>1 [23.144904]</t>
  </si>
  <si>
    <t>1 [23.549153]</t>
  </si>
  <si>
    <t>1 [23.958907]</t>
  </si>
  <si>
    <t>1 [24.365212]</t>
  </si>
  <si>
    <t>1 [24.770810]</t>
  </si>
  <si>
    <t>1 [25.176279]</t>
  </si>
  <si>
    <t>1 [25.583016]</t>
  </si>
  <si>
    <t>1 [25.991347]</t>
  </si>
  <si>
    <t>1 [26.396791]</t>
  </si>
  <si>
    <t>1 [26.804999]</t>
  </si>
  <si>
    <t>1 [27.209270]</t>
  </si>
  <si>
    <t>1 [27.613562]</t>
  </si>
  <si>
    <t>1 [28.023821]</t>
  </si>
  <si>
    <t>1 [28.429399]</t>
  </si>
  <si>
    <t>1 [28.835390]</t>
  </si>
  <si>
    <t>1 [29.237916]</t>
  </si>
  <si>
    <t>1 [29.644311]</t>
  </si>
  <si>
    <t>2 [30.055999]</t>
  </si>
  <si>
    <t>2 [30.490052]</t>
  </si>
  <si>
    <t>2 [30.895082]</t>
  </si>
  <si>
    <t>2 [31.301127]</t>
  </si>
  <si>
    <t>2 [31.711288]</t>
  </si>
  <si>
    <t>2 [32.116058]</t>
  </si>
  <si>
    <t>2 [32.520232]</t>
  </si>
  <si>
    <t>2 [32.925269]</t>
  </si>
  <si>
    <t>2 [33.334211]</t>
  </si>
  <si>
    <t>2 [33.744973]</t>
  </si>
  <si>
    <t>2 [34.147282]</t>
  </si>
  <si>
    <t>2 [34.551609]</t>
  </si>
  <si>
    <t>2 [34.957872]</t>
  </si>
  <si>
    <t>2 [35.365997]</t>
  </si>
  <si>
    <t>2 [35.770892]</t>
  </si>
  <si>
    <t>2 [36.178888]</t>
  </si>
  <si>
    <t>2 [36.582582]</t>
  </si>
  <si>
    <t>2 [36.989893]</t>
  </si>
  <si>
    <t>2 [37.394010]</t>
  </si>
  <si>
    <t>2 [37.801967]</t>
  </si>
  <si>
    <t>2 [38.209754]</t>
  </si>
  <si>
    <t>2 [38.614032]</t>
  </si>
  <si>
    <t>2 [39.021445]</t>
  </si>
  <si>
    <t>2 [39.425462]</t>
  </si>
  <si>
    <t>2 [39.834623]</t>
  </si>
  <si>
    <t>2 [40.241665]</t>
  </si>
  <si>
    <t>2 [40.644929]</t>
  </si>
  <si>
    <t>2 [41.051440]</t>
  </si>
  <si>
    <t>2 [41.456508]</t>
  </si>
  <si>
    <t>2 [41.865013]</t>
  </si>
  <si>
    <t>2 [42.270213]</t>
  </si>
  <si>
    <t>2 [42.677963]</t>
  </si>
  <si>
    <t>2 [43.079478]</t>
  </si>
  <si>
    <t>2 [43.492871]</t>
  </si>
  <si>
    <t>2 [43.896802]</t>
  </si>
  <si>
    <t>2 [44.304954]</t>
  </si>
  <si>
    <t>2 [44.708967]</t>
  </si>
  <si>
    <t>2 [45.113242]</t>
  </si>
  <si>
    <t>2 [45.519818]</t>
  </si>
  <si>
    <t>2 [45.927344]</t>
  </si>
  <si>
    <t>2 [46.333932]</t>
  </si>
  <si>
    <t>2 [46.741064]</t>
  </si>
  <si>
    <t>2 [47.144011]</t>
  </si>
  <si>
    <t>2 [47.550560]</t>
  </si>
  <si>
    <t>2 [47.961381]</t>
  </si>
  <si>
    <t>2 [48.366362]</t>
  </si>
  <si>
    <t>2 [48.772531]</t>
  </si>
  <si>
    <t>2 [49.174915]</t>
  </si>
  <si>
    <t>2 [49.584619]</t>
  </si>
  <si>
    <t>2 [49.988864]</t>
  </si>
  <si>
    <t>2 [50.392296]</t>
  </si>
  <si>
    <t>2 [50.800470]</t>
  </si>
  <si>
    <t>2 [51.208259]</t>
  </si>
  <si>
    <t>2 [51.615943]</t>
  </si>
  <si>
    <t>2 [52.021286]</t>
  </si>
  <si>
    <t>2 [52.426520]</t>
  </si>
  <si>
    <t>2 [52.831997]</t>
  </si>
  <si>
    <t>2 [53.241825]</t>
  </si>
  <si>
    <t>2 [53.647419]</t>
  </si>
  <si>
    <t>2 [54.053510]</t>
  </si>
  <si>
    <t>2 [54.455971]</t>
  </si>
  <si>
    <t>2 [54.864975]</t>
  </si>
  <si>
    <t>2 [55.272768]</t>
  </si>
  <si>
    <t>2 [55.674353]</t>
  </si>
  <si>
    <t>2 [56.084106]</t>
  </si>
  <si>
    <t>2 [56.488915]</t>
  </si>
  <si>
    <t>2 [56.893189]</t>
  </si>
  <si>
    <t>2 [57.300882]</t>
  </si>
  <si>
    <t>2 [57.707152]</t>
  </si>
  <si>
    <t>2 [58.117315]</t>
  </si>
  <si>
    <t>2 [58.520989]</t>
  </si>
  <si>
    <t>2 [58.928288]</t>
  </si>
  <si>
    <t>2 [59.333424]</t>
  </si>
  <si>
    <t>2 [59.740856]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</si>
  <si>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</si>
  <si>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</si>
  <si>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</si>
  <si>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</si>
  <si>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</si>
  <si>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</si>
  <si>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</si>
  <si>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</si>
  <si>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</si>
  <si>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</si>
  <si>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</si>
  <si>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</si>
  <si>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</si>
  <si>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米红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</si>
</sst>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38.168900000000001</c:v>
                </c:pt>
                <c:pt idx="1">
                  <c:v>32.378300000000003</c:v>
                </c:pt>
                <c:pt idx="2">
                  <c:v>32.845500000000001</c:v>
                </c:pt>
                <c:pt idx="3">
                  <c:v>34.284500000000001</c:v>
                </c:pt>
                <c:pt idx="4">
                  <c:v>70.919499999999999</c:v>
                </c:pt>
                <c:pt idx="5">
                  <c:v>70.389899999999997</c:v>
                </c:pt>
                <c:pt idx="6">
                  <c:v>24.7759</c:v>
                </c:pt>
                <c:pt idx="7">
                  <c:v>70.944599999999994</c:v>
                </c:pt>
                <c:pt idx="8">
                  <c:v>15.2393</c:v>
                </c:pt>
                <c:pt idx="9">
                  <c:v>32.451500000000003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0.50422377734244628</c:v>
                </c:pt>
                <c:pt idx="1">
                  <c:v>0.29287494041018219</c:v>
                </c:pt>
                <c:pt idx="2">
                  <c:v>0.20290128224737164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2240</c:v>
                </c:pt>
                <c:pt idx="7">
                  <c:v>0</c:v>
                </c:pt>
                <c:pt idx="8">
                  <c:v>3872</c:v>
                </c:pt>
                <c:pt idx="9">
                  <c:v>0</c:v>
                </c:pt>
                <c:pt idx="10">
                  <c:v>0</c:v>
                </c:pt>
                <c:pt idx="11">
                  <c:v>6734</c:v>
                </c:pt>
                <c:pt idx="12">
                  <c:v>0</c:v>
                </c:pt>
                <c:pt idx="13">
                  <c:v>9503</c:v>
                </c:pt>
                <c:pt idx="14">
                  <c:v>0</c:v>
                </c:pt>
                <c:pt idx="15">
                  <c:v>0</c:v>
                </c:pt>
                <c:pt idx="16">
                  <c:v>11011</c:v>
                </c:pt>
                <c:pt idx="17">
                  <c:v>0</c:v>
                </c:pt>
                <c:pt idx="18">
                  <c:v>0</c:v>
                </c:pt>
                <c:pt idx="19">
                  <c:v>15918</c:v>
                </c:pt>
                <c:pt idx="20">
                  <c:v>0</c:v>
                </c:pt>
                <c:pt idx="21">
                  <c:v>19779</c:v>
                </c:pt>
                <c:pt idx="22">
                  <c:v>0</c:v>
                </c:pt>
                <c:pt idx="23">
                  <c:v>0</c:v>
                </c:pt>
                <c:pt idx="24">
                  <c:v>21046</c:v>
                </c:pt>
                <c:pt idx="25">
                  <c:v>0</c:v>
                </c:pt>
                <c:pt idx="26">
                  <c:v>26909</c:v>
                </c:pt>
                <c:pt idx="27">
                  <c:v>0</c:v>
                </c:pt>
                <c:pt idx="28">
                  <c:v>0</c:v>
                </c:pt>
                <c:pt idx="29">
                  <c:v>31414</c:v>
                </c:pt>
                <c:pt idx="30">
                  <c:v>0</c:v>
                </c:pt>
                <c:pt idx="31">
                  <c:v>38076</c:v>
                </c:pt>
                <c:pt idx="32">
                  <c:v>0</c:v>
                </c:pt>
                <c:pt idx="33">
                  <c:v>0</c:v>
                </c:pt>
                <c:pt idx="34">
                  <c:v>46737</c:v>
                </c:pt>
                <c:pt idx="35">
                  <c:v>0</c:v>
                </c:pt>
                <c:pt idx="36">
                  <c:v>0</c:v>
                </c:pt>
                <c:pt idx="37">
                  <c:v>45609</c:v>
                </c:pt>
                <c:pt idx="38">
                  <c:v>0</c:v>
                </c:pt>
                <c:pt idx="39">
                  <c:v>56032</c:v>
                </c:pt>
                <c:pt idx="40">
                  <c:v>0</c:v>
                </c:pt>
                <c:pt idx="41">
                  <c:v>0</c:v>
                </c:pt>
                <c:pt idx="42">
                  <c:v>66557</c:v>
                </c:pt>
                <c:pt idx="43">
                  <c:v>0</c:v>
                </c:pt>
                <c:pt idx="44">
                  <c:v>62566</c:v>
                </c:pt>
                <c:pt idx="45">
                  <c:v>0</c:v>
                </c:pt>
                <c:pt idx="46">
                  <c:v>0</c:v>
                </c:pt>
                <c:pt idx="47">
                  <c:v>79374</c:v>
                </c:pt>
                <c:pt idx="48">
                  <c:v>0</c:v>
                </c:pt>
                <c:pt idx="49">
                  <c:v>96527</c:v>
                </c:pt>
                <c:pt idx="50">
                  <c:v>0</c:v>
                </c:pt>
                <c:pt idx="51">
                  <c:v>0</c:v>
                </c:pt>
                <c:pt idx="52">
                  <c:v>105560</c:v>
                </c:pt>
                <c:pt idx="53">
                  <c:v>0</c:v>
                </c:pt>
                <c:pt idx="54">
                  <c:v>0</c:v>
                </c:pt>
                <c:pt idx="55">
                  <c:v>125188</c:v>
                </c:pt>
                <c:pt idx="56">
                  <c:v>0</c:v>
                </c:pt>
                <c:pt idx="57">
                  <c:v>145423</c:v>
                </c:pt>
                <c:pt idx="58">
                  <c:v>0</c:v>
                </c:pt>
                <c:pt idx="59">
                  <c:v>0</c:v>
                </c:pt>
                <c:pt idx="60">
                  <c:v>155069</c:v>
                </c:pt>
                <c:pt idx="61">
                  <c:v>0</c:v>
                </c:pt>
                <c:pt idx="62">
                  <c:v>169818</c:v>
                </c:pt>
                <c:pt idx="63">
                  <c:v>0</c:v>
                </c:pt>
                <c:pt idx="64">
                  <c:v>0</c:v>
                </c:pt>
                <c:pt idx="65">
                  <c:v>179602</c:v>
                </c:pt>
                <c:pt idx="66">
                  <c:v>0</c:v>
                </c:pt>
                <c:pt idx="67">
                  <c:v>175270</c:v>
                </c:pt>
                <c:pt idx="68">
                  <c:v>0</c:v>
                </c:pt>
                <c:pt idx="69">
                  <c:v>0</c:v>
                </c:pt>
                <c:pt idx="70">
                  <c:v>189008</c:v>
                </c:pt>
                <c:pt idx="71">
                  <c:v>0</c:v>
                </c:pt>
                <c:pt idx="72">
                  <c:v>0</c:v>
                </c:pt>
                <c:pt idx="73">
                  <c:v>198916</c:v>
                </c:pt>
                <c:pt idx="74">
                  <c:v>0</c:v>
                </c:pt>
                <c:pt idx="75">
                  <c:v>212601</c:v>
                </c:pt>
                <c:pt idx="76">
                  <c:v>0</c:v>
                </c:pt>
                <c:pt idx="77">
                  <c:v>0</c:v>
                </c:pt>
                <c:pt idx="78">
                  <c:v>221627</c:v>
                </c:pt>
                <c:pt idx="79">
                  <c:v>0</c:v>
                </c:pt>
                <c:pt idx="80">
                  <c:v>233831</c:v>
                </c:pt>
                <c:pt idx="81">
                  <c:v>0</c:v>
                </c:pt>
                <c:pt idx="82">
                  <c:v>0</c:v>
                </c:pt>
                <c:pt idx="83">
                  <c:v>245439</c:v>
                </c:pt>
                <c:pt idx="84">
                  <c:v>0</c:v>
                </c:pt>
                <c:pt idx="85">
                  <c:v>0</c:v>
                </c:pt>
                <c:pt idx="86">
                  <c:v>250117</c:v>
                </c:pt>
                <c:pt idx="87">
                  <c:v>0</c:v>
                </c:pt>
                <c:pt idx="88">
                  <c:v>236538</c:v>
                </c:pt>
                <c:pt idx="89">
                  <c:v>0</c:v>
                </c:pt>
                <c:pt idx="90">
                  <c:v>0</c:v>
                </c:pt>
                <c:pt idx="91">
                  <c:v>236862</c:v>
                </c:pt>
                <c:pt idx="92">
                  <c:v>0</c:v>
                </c:pt>
                <c:pt idx="93">
                  <c:v>236726</c:v>
                </c:pt>
                <c:pt idx="94">
                  <c:v>0</c:v>
                </c:pt>
                <c:pt idx="95">
                  <c:v>0</c:v>
                </c:pt>
                <c:pt idx="96">
                  <c:v>215328</c:v>
                </c:pt>
                <c:pt idx="97">
                  <c:v>0</c:v>
                </c:pt>
                <c:pt idx="98">
                  <c:v>194892</c:v>
                </c:pt>
                <c:pt idx="99">
                  <c:v>0</c:v>
                </c:pt>
                <c:pt idx="100">
                  <c:v>0</c:v>
                </c:pt>
                <c:pt idx="101">
                  <c:v>188180</c:v>
                </c:pt>
                <c:pt idx="102">
                  <c:v>0</c:v>
                </c:pt>
                <c:pt idx="103">
                  <c:v>0</c:v>
                </c:pt>
                <c:pt idx="104">
                  <c:v>178914</c:v>
                </c:pt>
                <c:pt idx="105">
                  <c:v>0</c:v>
                </c:pt>
                <c:pt idx="106">
                  <c:v>163887</c:v>
                </c:pt>
                <c:pt idx="107">
                  <c:v>0</c:v>
                </c:pt>
                <c:pt idx="108">
                  <c:v>0</c:v>
                </c:pt>
                <c:pt idx="109">
                  <c:v>160821</c:v>
                </c:pt>
                <c:pt idx="110">
                  <c:v>0</c:v>
                </c:pt>
                <c:pt idx="111">
                  <c:v>157660</c:v>
                </c:pt>
                <c:pt idx="112">
                  <c:v>0</c:v>
                </c:pt>
                <c:pt idx="113">
                  <c:v>0</c:v>
                </c:pt>
                <c:pt idx="114">
                  <c:v>160044</c:v>
                </c:pt>
                <c:pt idx="115">
                  <c:v>0</c:v>
                </c:pt>
                <c:pt idx="116">
                  <c:v>152624</c:v>
                </c:pt>
                <c:pt idx="117">
                  <c:v>0</c:v>
                </c:pt>
                <c:pt idx="118">
                  <c:v>0</c:v>
                </c:pt>
                <c:pt idx="119">
                  <c:v>153577</c:v>
                </c:pt>
                <c:pt idx="120">
                  <c:v>0</c:v>
                </c:pt>
                <c:pt idx="121">
                  <c:v>0</c:v>
                </c:pt>
                <c:pt idx="122">
                  <c:v>153231</c:v>
                </c:pt>
                <c:pt idx="123">
                  <c:v>0</c:v>
                </c:pt>
                <c:pt idx="124">
                  <c:v>150056</c:v>
                </c:pt>
                <c:pt idx="125">
                  <c:v>0</c:v>
                </c:pt>
                <c:pt idx="126">
                  <c:v>0</c:v>
                </c:pt>
                <c:pt idx="127">
                  <c:v>136102</c:v>
                </c:pt>
                <c:pt idx="128">
                  <c:v>0</c:v>
                </c:pt>
                <c:pt idx="129">
                  <c:v>125988</c:v>
                </c:pt>
                <c:pt idx="130">
                  <c:v>0</c:v>
                </c:pt>
                <c:pt idx="131">
                  <c:v>0</c:v>
                </c:pt>
                <c:pt idx="132">
                  <c:v>102988</c:v>
                </c:pt>
                <c:pt idx="133">
                  <c:v>0</c:v>
                </c:pt>
                <c:pt idx="134">
                  <c:v>92533</c:v>
                </c:pt>
                <c:pt idx="135">
                  <c:v>0</c:v>
                </c:pt>
                <c:pt idx="136">
                  <c:v>0</c:v>
                </c:pt>
                <c:pt idx="137">
                  <c:v>80486</c:v>
                </c:pt>
                <c:pt idx="138">
                  <c:v>0</c:v>
                </c:pt>
                <c:pt idx="139">
                  <c:v>0</c:v>
                </c:pt>
                <c:pt idx="140">
                  <c:v>68323</c:v>
                </c:pt>
                <c:pt idx="141">
                  <c:v>0</c:v>
                </c:pt>
                <c:pt idx="142">
                  <c:v>54317</c:v>
                </c:pt>
                <c:pt idx="143">
                  <c:v>0</c:v>
                </c:pt>
                <c:pt idx="144">
                  <c:v>0</c:v>
                </c:pt>
                <c:pt idx="145">
                  <c:v>51688</c:v>
                </c:pt>
                <c:pt idx="146">
                  <c:v>0</c:v>
                </c:pt>
                <c:pt idx="147">
                  <c:v>41944</c:v>
                </c:pt>
                <c:pt idx="148">
                  <c:v>0</c:v>
                </c:pt>
                <c:pt idx="149">
                  <c:v>0</c:v>
                </c:pt>
                <c:pt idx="150">
                  <c:v>33313</c:v>
                </c:pt>
                <c:pt idx="151">
                  <c:v>0</c:v>
                </c:pt>
                <c:pt idx="152">
                  <c:v>27292</c:v>
                </c:pt>
                <c:pt idx="153">
                  <c:v>0</c:v>
                </c:pt>
                <c:pt idx="154">
                  <c:v>0</c:v>
                </c:pt>
                <c:pt idx="155">
                  <c:v>19374</c:v>
                </c:pt>
                <c:pt idx="156">
                  <c:v>0</c:v>
                </c:pt>
                <c:pt idx="157">
                  <c:v>0</c:v>
                </c:pt>
                <c:pt idx="158">
                  <c:v>13856</c:v>
                </c:pt>
                <c:pt idx="159">
                  <c:v>0</c:v>
                </c:pt>
                <c:pt idx="160">
                  <c:v>12111</c:v>
                </c:pt>
                <c:pt idx="161">
                  <c:v>0</c:v>
                </c:pt>
                <c:pt idx="162">
                  <c:v>0</c:v>
                </c:pt>
                <c:pt idx="163">
                  <c:v>7365</c:v>
                </c:pt>
                <c:pt idx="164">
                  <c:v>0</c:v>
                </c:pt>
                <c:pt idx="165">
                  <c:v>4385</c:v>
                </c:pt>
                <c:pt idx="166">
                  <c:v>0</c:v>
                </c:pt>
                <c:pt idx="167">
                  <c:v>0</c:v>
                </c:pt>
                <c:pt idx="168">
                  <c:v>3927</c:v>
                </c:pt>
                <c:pt idx="169">
                  <c:v>0</c:v>
                </c:pt>
                <c:pt idx="170">
                  <c:v>0</c:v>
                </c:pt>
                <c:pt idx="171">
                  <c:v>2928</c:v>
                </c:pt>
                <c:pt idx="172">
                  <c:v>0</c:v>
                </c:pt>
                <c:pt idx="173">
                  <c:v>1848</c:v>
                </c:pt>
                <c:pt idx="174">
                  <c:v>0</c:v>
                </c:pt>
                <c:pt idx="175">
                  <c:v>0</c:v>
                </c:pt>
                <c:pt idx="176">
                  <c:v>1415</c:v>
                </c:pt>
                <c:pt idx="177">
                  <c:v>0</c:v>
                </c:pt>
                <c:pt idx="178">
                  <c:v>1547</c:v>
                </c:pt>
                <c:pt idx="179">
                  <c:v>0</c:v>
                </c:pt>
                <c:pt idx="180">
                  <c:v>0</c:v>
                </c:pt>
                <c:pt idx="181">
                  <c:v>747</c:v>
                </c:pt>
                <c:pt idx="182">
                  <c:v>0</c:v>
                </c:pt>
                <c:pt idx="183">
                  <c:v>567</c:v>
                </c:pt>
                <c:pt idx="184">
                  <c:v>0</c:v>
                </c:pt>
                <c:pt idx="185">
                  <c:v>0</c:v>
                </c:pt>
                <c:pt idx="186">
                  <c:v>650</c:v>
                </c:pt>
                <c:pt idx="187">
                  <c:v>0</c:v>
                </c:pt>
                <c:pt idx="188">
                  <c:v>0</c:v>
                </c:pt>
                <c:pt idx="189">
                  <c:v>370</c:v>
                </c:pt>
                <c:pt idx="190">
                  <c:v>0</c:v>
                </c:pt>
                <c:pt idx="191">
                  <c:v>232</c:v>
                </c:pt>
                <c:pt idx="192">
                  <c:v>0</c:v>
                </c:pt>
                <c:pt idx="193">
                  <c:v>0</c:v>
                </c:pt>
                <c:pt idx="194">
                  <c:v>139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  <c:pt idx="74">
                  <c:v>3.3927800000000001</c:v>
                </c:pt>
                <c:pt idx="75">
                  <c:v>3.4309400000000001</c:v>
                </c:pt>
                <c:pt idx="76">
                  <c:v>3.4700899999999999</c:v>
                </c:pt>
                <c:pt idx="77">
                  <c:v>3.5090399999999997</c:v>
                </c:pt>
                <c:pt idx="78">
                  <c:v>3.54657</c:v>
                </c:pt>
                <c:pt idx="79">
                  <c:v>3.5781900000000002</c:v>
                </c:pt>
                <c:pt idx="80">
                  <c:v>3.60853</c:v>
                </c:pt>
                <c:pt idx="81">
                  <c:v>3.63801</c:v>
                </c:pt>
                <c:pt idx="82">
                  <c:v>3.6657899999999999</c:v>
                </c:pt>
                <c:pt idx="83">
                  <c:v>3.6889799999999999</c:v>
                </c:pt>
                <c:pt idx="84">
                  <c:v>3.7081399999999998</c:v>
                </c:pt>
                <c:pt idx="85">
                  <c:v>3.7225599999999996</c:v>
                </c:pt>
                <c:pt idx="86">
                  <c:v>3.7351000000000001</c:v>
                </c:pt>
                <c:pt idx="87">
                  <c:v>3.7487599999999999</c:v>
                </c:pt>
                <c:pt idx="88">
                  <c:v>3.7583100000000003</c:v>
                </c:pt>
                <c:pt idx="89">
                  <c:v>3.7656899999999998</c:v>
                </c:pt>
                <c:pt idx="90">
                  <c:v>3.7673699999999997</c:v>
                </c:pt>
                <c:pt idx="91">
                  <c:v>3.7647599999999999</c:v>
                </c:pt>
                <c:pt idx="92">
                  <c:v>3.75475</c:v>
                </c:pt>
                <c:pt idx="93">
                  <c:v>3.7445400000000002</c:v>
                </c:pt>
                <c:pt idx="94">
                  <c:v>3.73027</c:v>
                </c:pt>
                <c:pt idx="95">
                  <c:v>3.7105300000000003</c:v>
                </c:pt>
                <c:pt idx="96">
                  <c:v>3.6882100000000002</c:v>
                </c:pt>
                <c:pt idx="97">
                  <c:v>3.66377</c:v>
                </c:pt>
                <c:pt idx="98">
                  <c:v>3.63639</c:v>
                </c:pt>
                <c:pt idx="99">
                  <c:v>3.6078000000000001</c:v>
                </c:pt>
                <c:pt idx="100">
                  <c:v>3.5768499999999999</c:v>
                </c:pt>
                <c:pt idx="101">
                  <c:v>3.5452699999999999</c:v>
                </c:pt>
                <c:pt idx="102">
                  <c:v>3.5166900000000001</c:v>
                </c:pt>
                <c:pt idx="103">
                  <c:v>3.4910999999999999</c:v>
                </c:pt>
                <c:pt idx="104">
                  <c:v>3.4674300000000002</c:v>
                </c:pt>
                <c:pt idx="105">
                  <c:v>3.4456599999999997</c:v>
                </c:pt>
                <c:pt idx="106">
                  <c:v>3.4249700000000001</c:v>
                </c:pt>
                <c:pt idx="107">
                  <c:v>3.4050500000000001</c:v>
                </c:pt>
                <c:pt idx="108">
                  <c:v>3.3922099999999999</c:v>
                </c:pt>
                <c:pt idx="109">
                  <c:v>3.3884799999999999</c:v>
                </c:pt>
                <c:pt idx="110">
                  <c:v>3.3916600000000003</c:v>
                </c:pt>
                <c:pt idx="111">
                  <c:v>3.39655</c:v>
                </c:pt>
                <c:pt idx="112">
                  <c:v>3.4030300000000002</c:v>
                </c:pt>
                <c:pt idx="113">
                  <c:v>3.4146199999999998</c:v>
                </c:pt>
                <c:pt idx="114">
                  <c:v>3.4310299999999998</c:v>
                </c:pt>
                <c:pt idx="115">
                  <c:v>3.4504400000000004</c:v>
                </c:pt>
                <c:pt idx="116">
                  <c:v>3.4710600000000005</c:v>
                </c:pt>
                <c:pt idx="117">
                  <c:v>3.4957799999999999</c:v>
                </c:pt>
                <c:pt idx="118">
                  <c:v>3.5207600000000001</c:v>
                </c:pt>
                <c:pt idx="119">
                  <c:v>3.5530400000000002</c:v>
                </c:pt>
                <c:pt idx="120">
                  <c:v>3.5906199999999999</c:v>
                </c:pt>
                <c:pt idx="121">
                  <c:v>3.63151</c:v>
                </c:pt>
                <c:pt idx="122">
                  <c:v>3.6760199999999998</c:v>
                </c:pt>
                <c:pt idx="123">
                  <c:v>3.7230400000000001</c:v>
                </c:pt>
                <c:pt idx="124">
                  <c:v>3.7471399999999999</c:v>
                </c:pt>
                <c:pt idx="125">
                  <c:v>3.7735500000000002</c:v>
                </c:pt>
                <c:pt idx="126">
                  <c:v>3.8001</c:v>
                </c:pt>
                <c:pt idx="127">
                  <c:v>3.8262099999999997</c:v>
                </c:pt>
                <c:pt idx="128">
                  <c:v>3.8516499999999998</c:v>
                </c:pt>
                <c:pt idx="129">
                  <c:v>3.8780199999999998</c:v>
                </c:pt>
                <c:pt idx="130">
                  <c:v>3.9039700000000002</c:v>
                </c:pt>
                <c:pt idx="131">
                  <c:v>3.9296199999999999</c:v>
                </c:pt>
                <c:pt idx="132">
                  <c:v>3.9540500000000001</c:v>
                </c:pt>
                <c:pt idx="133">
                  <c:v>3.9765800000000002</c:v>
                </c:pt>
                <c:pt idx="134">
                  <c:v>3.9982199999999999</c:v>
                </c:pt>
                <c:pt idx="135">
                  <c:v>4.0191699999999999</c:v>
                </c:pt>
                <c:pt idx="136">
                  <c:v>4.0414599999999998</c:v>
                </c:pt>
                <c:pt idx="137">
                  <c:v>4.0631500000000003</c:v>
                </c:pt>
                <c:pt idx="138">
                  <c:v>4.0797400000000001</c:v>
                </c:pt>
                <c:pt idx="139">
                  <c:v>4.0884900000000002</c:v>
                </c:pt>
                <c:pt idx="140">
                  <c:v>4.0988199999999999</c:v>
                </c:pt>
                <c:pt idx="141">
                  <c:v>4.1165500000000002</c:v>
                </c:pt>
                <c:pt idx="142">
                  <c:v>4.1407400000000001</c:v>
                </c:pt>
                <c:pt idx="143">
                  <c:v>4.1727799999999995</c:v>
                </c:pt>
                <c:pt idx="144">
                  <c:v>4.1958099999999998</c:v>
                </c:pt>
                <c:pt idx="145">
                  <c:v>4.2181999999999995</c:v>
                </c:pt>
                <c:pt idx="146">
                  <c:v>4.2329800000000004</c:v>
                </c:pt>
                <c:pt idx="147">
                  <c:v>4.2389000000000001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  <c:pt idx="74">
                  <c:v>44.942599999999999</c:v>
                </c:pt>
                <c:pt idx="75">
                  <c:v>44.698700000000002</c:v>
                </c:pt>
                <c:pt idx="76">
                  <c:v>44.428400000000003</c:v>
                </c:pt>
                <c:pt idx="77">
                  <c:v>44.270900000000005</c:v>
                </c:pt>
                <c:pt idx="78">
                  <c:v>44.195099999999996</c:v>
                </c:pt>
                <c:pt idx="79">
                  <c:v>44.115700000000004</c:v>
                </c:pt>
                <c:pt idx="80">
                  <c:v>44.036200000000001</c:v>
                </c:pt>
                <c:pt idx="81">
                  <c:v>43.9026</c:v>
                </c:pt>
                <c:pt idx="82">
                  <c:v>43.646700000000003</c:v>
                </c:pt>
                <c:pt idx="83">
                  <c:v>43.5045</c:v>
                </c:pt>
                <c:pt idx="84">
                  <c:v>43.420299999999997</c:v>
                </c:pt>
                <c:pt idx="85">
                  <c:v>43.377300000000005</c:v>
                </c:pt>
                <c:pt idx="86">
                  <c:v>43.270099999999999</c:v>
                </c:pt>
                <c:pt idx="87">
                  <c:v>43.188099999999999</c:v>
                </c:pt>
                <c:pt idx="88">
                  <c:v>43.0685</c:v>
                </c:pt>
                <c:pt idx="89">
                  <c:v>42.924900000000001</c:v>
                </c:pt>
                <c:pt idx="90">
                  <c:v>42.767500000000005</c:v>
                </c:pt>
                <c:pt idx="91">
                  <c:v>42.6462</c:v>
                </c:pt>
                <c:pt idx="92">
                  <c:v>42.479900000000001</c:v>
                </c:pt>
                <c:pt idx="93">
                  <c:v>42.3001</c:v>
                </c:pt>
                <c:pt idx="94">
                  <c:v>42.103699999999996</c:v>
                </c:pt>
                <c:pt idx="95">
                  <c:v>41.905099999999997</c:v>
                </c:pt>
                <c:pt idx="96">
                  <c:v>41.756999999999998</c:v>
                </c:pt>
                <c:pt idx="97">
                  <c:v>41.603699999999996</c:v>
                </c:pt>
                <c:pt idx="98">
                  <c:v>41.3842</c:v>
                </c:pt>
                <c:pt idx="99">
                  <c:v>41.213200000000001</c:v>
                </c:pt>
                <c:pt idx="100">
                  <c:v>41.133399999999995</c:v>
                </c:pt>
                <c:pt idx="101">
                  <c:v>41.165600000000005</c:v>
                </c:pt>
                <c:pt idx="102">
                  <c:v>41.277799999999999</c:v>
                </c:pt>
                <c:pt idx="103">
                  <c:v>41.4756</c:v>
                </c:pt>
                <c:pt idx="104">
                  <c:v>41.670499999999997</c:v>
                </c:pt>
                <c:pt idx="105">
                  <c:v>41.8949</c:v>
                </c:pt>
                <c:pt idx="106">
                  <c:v>42.2682</c:v>
                </c:pt>
                <c:pt idx="107">
                  <c:v>42.778199999999998</c:v>
                </c:pt>
                <c:pt idx="108">
                  <c:v>43.131100000000004</c:v>
                </c:pt>
                <c:pt idx="109">
                  <c:v>43.360900000000001</c:v>
                </c:pt>
                <c:pt idx="110">
                  <c:v>43.442399999999999</c:v>
                </c:pt>
                <c:pt idx="111">
                  <c:v>43.447400000000002</c:v>
                </c:pt>
                <c:pt idx="112">
                  <c:v>43.408900000000003</c:v>
                </c:pt>
                <c:pt idx="113">
                  <c:v>43.264299999999999</c:v>
                </c:pt>
                <c:pt idx="114">
                  <c:v>43.007400000000004</c:v>
                </c:pt>
                <c:pt idx="115">
                  <c:v>42.711799999999997</c:v>
                </c:pt>
                <c:pt idx="116">
                  <c:v>42.4193</c:v>
                </c:pt>
                <c:pt idx="117">
                  <c:v>42.156199999999998</c:v>
                </c:pt>
                <c:pt idx="118">
                  <c:v>41.920099999999998</c:v>
                </c:pt>
                <c:pt idx="119">
                  <c:v>41.576099999999997</c:v>
                </c:pt>
                <c:pt idx="120">
                  <c:v>41.256100000000004</c:v>
                </c:pt>
                <c:pt idx="121">
                  <c:v>40.903700000000001</c:v>
                </c:pt>
                <c:pt idx="122">
                  <c:v>40.616999999999997</c:v>
                </c:pt>
                <c:pt idx="123">
                  <c:v>40.4604</c:v>
                </c:pt>
                <c:pt idx="124">
                  <c:v>40.677</c:v>
                </c:pt>
                <c:pt idx="125">
                  <c:v>40.9542</c:v>
                </c:pt>
                <c:pt idx="126">
                  <c:v>41.228400000000001</c:v>
                </c:pt>
                <c:pt idx="127">
                  <c:v>41.452399999999997</c:v>
                </c:pt>
                <c:pt idx="128">
                  <c:v>41.595300000000002</c:v>
                </c:pt>
                <c:pt idx="129">
                  <c:v>41.743200000000002</c:v>
                </c:pt>
                <c:pt idx="130">
                  <c:v>41.904200000000003</c:v>
                </c:pt>
                <c:pt idx="131">
                  <c:v>41.986899999999999</c:v>
                </c:pt>
                <c:pt idx="132">
                  <c:v>41.997099999999996</c:v>
                </c:pt>
                <c:pt idx="133">
                  <c:v>41.966500000000003</c:v>
                </c:pt>
                <c:pt idx="134">
                  <c:v>41.860399999999998</c:v>
                </c:pt>
                <c:pt idx="135">
                  <c:v>41.737299999999998</c:v>
                </c:pt>
                <c:pt idx="136">
                  <c:v>41.671900000000001</c:v>
                </c:pt>
                <c:pt idx="137">
                  <c:v>41.625499999999995</c:v>
                </c:pt>
                <c:pt idx="138">
                  <c:v>41.547600000000003</c:v>
                </c:pt>
                <c:pt idx="139">
                  <c:v>41.436599999999999</c:v>
                </c:pt>
                <c:pt idx="140">
                  <c:v>41.298099999999998</c:v>
                </c:pt>
                <c:pt idx="141">
                  <c:v>41.105000000000004</c:v>
                </c:pt>
                <c:pt idx="142">
                  <c:v>40.892800000000001</c:v>
                </c:pt>
                <c:pt idx="143">
                  <c:v>40.709400000000002</c:v>
                </c:pt>
                <c:pt idx="144">
                  <c:v>40.659199999999998</c:v>
                </c:pt>
                <c:pt idx="145">
                  <c:v>40.495399999999997</c:v>
                </c:pt>
                <c:pt idx="146">
                  <c:v>40.335999999999999</c:v>
                </c:pt>
                <c:pt idx="147">
                  <c:v>39.763199999999998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3.3539600000000003</c:v>
                </c:pt>
                <c:pt idx="1">
                  <c:v>3.3927800000000001</c:v>
                </c:pt>
                <c:pt idx="2">
                  <c:v>3.4309400000000001</c:v>
                </c:pt>
                <c:pt idx="3">
                  <c:v>3.4700899999999999</c:v>
                </c:pt>
                <c:pt idx="4">
                  <c:v>3.5090399999999997</c:v>
                </c:pt>
                <c:pt idx="5">
                  <c:v>3.54657</c:v>
                </c:pt>
                <c:pt idx="6">
                  <c:v>3.5781900000000002</c:v>
                </c:pt>
                <c:pt idx="7">
                  <c:v>3.60853</c:v>
                </c:pt>
                <c:pt idx="8">
                  <c:v>3.63801</c:v>
                </c:pt>
                <c:pt idx="9">
                  <c:v>3.6657899999999999</c:v>
                </c:pt>
                <c:pt idx="10">
                  <c:v>3.6889799999999999</c:v>
                </c:pt>
                <c:pt idx="11">
                  <c:v>3.7081399999999998</c:v>
                </c:pt>
                <c:pt idx="12">
                  <c:v>3.7225599999999996</c:v>
                </c:pt>
                <c:pt idx="13">
                  <c:v>3.7351000000000001</c:v>
                </c:pt>
                <c:pt idx="14">
                  <c:v>3.7487599999999999</c:v>
                </c:pt>
                <c:pt idx="15">
                  <c:v>3.7583100000000003</c:v>
                </c:pt>
                <c:pt idx="16">
                  <c:v>3.7656899999999998</c:v>
                </c:pt>
                <c:pt idx="17">
                  <c:v>3.7673699999999997</c:v>
                </c:pt>
                <c:pt idx="18">
                  <c:v>3.7647599999999999</c:v>
                </c:pt>
                <c:pt idx="19">
                  <c:v>3.75475</c:v>
                </c:pt>
                <c:pt idx="20">
                  <c:v>3.7445400000000002</c:v>
                </c:pt>
                <c:pt idx="21">
                  <c:v>3.73027</c:v>
                </c:pt>
                <c:pt idx="22">
                  <c:v>3.7105300000000003</c:v>
                </c:pt>
                <c:pt idx="23">
                  <c:v>3.6882100000000002</c:v>
                </c:pt>
                <c:pt idx="24">
                  <c:v>3.66377</c:v>
                </c:pt>
                <c:pt idx="25">
                  <c:v>3.63639</c:v>
                </c:pt>
                <c:pt idx="26">
                  <c:v>3.6078000000000001</c:v>
                </c:pt>
                <c:pt idx="27">
                  <c:v>3.5768499999999999</c:v>
                </c:pt>
                <c:pt idx="28">
                  <c:v>3.5452699999999999</c:v>
                </c:pt>
                <c:pt idx="29">
                  <c:v>3.5166900000000001</c:v>
                </c:pt>
                <c:pt idx="30">
                  <c:v>3.4910999999999999</c:v>
                </c:pt>
                <c:pt idx="31">
                  <c:v>3.4674300000000002</c:v>
                </c:pt>
                <c:pt idx="32">
                  <c:v>3.4456599999999997</c:v>
                </c:pt>
                <c:pt idx="33">
                  <c:v>3.4249700000000001</c:v>
                </c:pt>
                <c:pt idx="34">
                  <c:v>3.4050500000000001</c:v>
                </c:pt>
                <c:pt idx="35">
                  <c:v>3.3922099999999999</c:v>
                </c:pt>
                <c:pt idx="36">
                  <c:v>3.3884799999999999</c:v>
                </c:pt>
                <c:pt idx="37">
                  <c:v>3.3916600000000003</c:v>
                </c:pt>
                <c:pt idx="38">
                  <c:v>3.39655</c:v>
                </c:pt>
                <c:pt idx="39">
                  <c:v>3.4030300000000002</c:v>
                </c:pt>
                <c:pt idx="40">
                  <c:v>3.4146199999999998</c:v>
                </c:pt>
                <c:pt idx="41">
                  <c:v>3.4310299999999998</c:v>
                </c:pt>
                <c:pt idx="42">
                  <c:v>3.4504400000000004</c:v>
                </c:pt>
                <c:pt idx="43">
                  <c:v>3.4710600000000005</c:v>
                </c:pt>
                <c:pt idx="44">
                  <c:v>3.4957799999999999</c:v>
                </c:pt>
                <c:pt idx="45">
                  <c:v>3.5207600000000001</c:v>
                </c:pt>
                <c:pt idx="46">
                  <c:v>3.5530400000000002</c:v>
                </c:pt>
                <c:pt idx="47">
                  <c:v>3.5906199999999999</c:v>
                </c:pt>
                <c:pt idx="48">
                  <c:v>3.63151</c:v>
                </c:pt>
                <c:pt idx="49">
                  <c:v>3.6760199999999998</c:v>
                </c:pt>
                <c:pt idx="50">
                  <c:v>3.7230400000000001</c:v>
                </c:pt>
                <c:pt idx="51">
                  <c:v>3.7471399999999999</c:v>
                </c:pt>
                <c:pt idx="52">
                  <c:v>3.7735500000000002</c:v>
                </c:pt>
                <c:pt idx="53">
                  <c:v>3.8001</c:v>
                </c:pt>
                <c:pt idx="54">
                  <c:v>3.8262099999999997</c:v>
                </c:pt>
                <c:pt idx="55">
                  <c:v>3.8516499999999998</c:v>
                </c:pt>
                <c:pt idx="56">
                  <c:v>3.8780199999999998</c:v>
                </c:pt>
                <c:pt idx="57">
                  <c:v>3.9039700000000002</c:v>
                </c:pt>
                <c:pt idx="58">
                  <c:v>3.9296199999999999</c:v>
                </c:pt>
                <c:pt idx="59">
                  <c:v>3.9540500000000001</c:v>
                </c:pt>
                <c:pt idx="60">
                  <c:v>3.9765800000000002</c:v>
                </c:pt>
                <c:pt idx="61">
                  <c:v>3.9982199999999999</c:v>
                </c:pt>
                <c:pt idx="62">
                  <c:v>4.0191699999999999</c:v>
                </c:pt>
                <c:pt idx="63">
                  <c:v>4.0414599999999998</c:v>
                </c:pt>
                <c:pt idx="64">
                  <c:v>4.0631500000000003</c:v>
                </c:pt>
                <c:pt idx="65">
                  <c:v>4.0797400000000001</c:v>
                </c:pt>
                <c:pt idx="66">
                  <c:v>4.0884900000000002</c:v>
                </c:pt>
                <c:pt idx="67">
                  <c:v>4.0988199999999999</c:v>
                </c:pt>
                <c:pt idx="68">
                  <c:v>4.1165500000000002</c:v>
                </c:pt>
                <c:pt idx="69">
                  <c:v>4.1407400000000001</c:v>
                </c:pt>
                <c:pt idx="70">
                  <c:v>4.1727799999999995</c:v>
                </c:pt>
                <c:pt idx="71">
                  <c:v>4.1958099999999998</c:v>
                </c:pt>
                <c:pt idx="72">
                  <c:v>4.2181999999999995</c:v>
                </c:pt>
                <c:pt idx="73">
                  <c:v>4.2329800000000004</c:v>
                </c:pt>
                <c:pt idx="74">
                  <c:v>4.2389000000000001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45.099499999999999</c:v>
                </c:pt>
                <c:pt idx="1">
                  <c:v>44.942599999999999</c:v>
                </c:pt>
                <c:pt idx="2">
                  <c:v>44.698700000000002</c:v>
                </c:pt>
                <c:pt idx="3">
                  <c:v>44.428400000000003</c:v>
                </c:pt>
                <c:pt idx="4">
                  <c:v>44.270900000000005</c:v>
                </c:pt>
                <c:pt idx="5">
                  <c:v>44.195099999999996</c:v>
                </c:pt>
                <c:pt idx="6">
                  <c:v>44.115700000000004</c:v>
                </c:pt>
                <c:pt idx="7">
                  <c:v>44.036200000000001</c:v>
                </c:pt>
                <c:pt idx="8">
                  <c:v>43.9026</c:v>
                </c:pt>
                <c:pt idx="9">
                  <c:v>43.646700000000003</c:v>
                </c:pt>
                <c:pt idx="10">
                  <c:v>43.5045</c:v>
                </c:pt>
                <c:pt idx="11">
                  <c:v>43.420299999999997</c:v>
                </c:pt>
                <c:pt idx="12">
                  <c:v>43.377300000000005</c:v>
                </c:pt>
                <c:pt idx="13">
                  <c:v>43.270099999999999</c:v>
                </c:pt>
                <c:pt idx="14">
                  <c:v>43.188099999999999</c:v>
                </c:pt>
                <c:pt idx="15">
                  <c:v>43.0685</c:v>
                </c:pt>
                <c:pt idx="16">
                  <c:v>42.924900000000001</c:v>
                </c:pt>
                <c:pt idx="17">
                  <c:v>42.767500000000005</c:v>
                </c:pt>
                <c:pt idx="18">
                  <c:v>42.6462</c:v>
                </c:pt>
                <c:pt idx="19">
                  <c:v>42.479900000000001</c:v>
                </c:pt>
                <c:pt idx="20">
                  <c:v>42.3001</c:v>
                </c:pt>
                <c:pt idx="21">
                  <c:v>42.103699999999996</c:v>
                </c:pt>
                <c:pt idx="22">
                  <c:v>41.905099999999997</c:v>
                </c:pt>
                <c:pt idx="23">
                  <c:v>41.756999999999998</c:v>
                </c:pt>
                <c:pt idx="24">
                  <c:v>41.603699999999996</c:v>
                </c:pt>
                <c:pt idx="25">
                  <c:v>41.3842</c:v>
                </c:pt>
                <c:pt idx="26">
                  <c:v>41.213200000000001</c:v>
                </c:pt>
                <c:pt idx="27">
                  <c:v>41.133399999999995</c:v>
                </c:pt>
                <c:pt idx="28">
                  <c:v>41.165600000000005</c:v>
                </c:pt>
                <c:pt idx="29">
                  <c:v>41.277799999999999</c:v>
                </c:pt>
                <c:pt idx="30">
                  <c:v>41.4756</c:v>
                </c:pt>
                <c:pt idx="31">
                  <c:v>41.670499999999997</c:v>
                </c:pt>
                <c:pt idx="32">
                  <c:v>41.8949</c:v>
                </c:pt>
                <c:pt idx="33">
                  <c:v>42.2682</c:v>
                </c:pt>
                <c:pt idx="34">
                  <c:v>42.778199999999998</c:v>
                </c:pt>
                <c:pt idx="35">
                  <c:v>43.131100000000004</c:v>
                </c:pt>
                <c:pt idx="36">
                  <c:v>43.360900000000001</c:v>
                </c:pt>
                <c:pt idx="37">
                  <c:v>43.442399999999999</c:v>
                </c:pt>
                <c:pt idx="38">
                  <c:v>43.447400000000002</c:v>
                </c:pt>
                <c:pt idx="39">
                  <c:v>43.408900000000003</c:v>
                </c:pt>
                <c:pt idx="40">
                  <c:v>43.264299999999999</c:v>
                </c:pt>
                <c:pt idx="41">
                  <c:v>43.007400000000004</c:v>
                </c:pt>
                <c:pt idx="42">
                  <c:v>42.711799999999997</c:v>
                </c:pt>
                <c:pt idx="43">
                  <c:v>42.4193</c:v>
                </c:pt>
                <c:pt idx="44">
                  <c:v>42.156199999999998</c:v>
                </c:pt>
                <c:pt idx="45">
                  <c:v>41.920099999999998</c:v>
                </c:pt>
                <c:pt idx="46">
                  <c:v>41.576099999999997</c:v>
                </c:pt>
                <c:pt idx="47">
                  <c:v>41.256100000000004</c:v>
                </c:pt>
                <c:pt idx="48">
                  <c:v>40.903700000000001</c:v>
                </c:pt>
                <c:pt idx="49">
                  <c:v>40.616999999999997</c:v>
                </c:pt>
                <c:pt idx="50">
                  <c:v>40.4604</c:v>
                </c:pt>
                <c:pt idx="51">
                  <c:v>40.677</c:v>
                </c:pt>
                <c:pt idx="52">
                  <c:v>40.9542</c:v>
                </c:pt>
                <c:pt idx="53">
                  <c:v>41.228400000000001</c:v>
                </c:pt>
                <c:pt idx="54">
                  <c:v>41.452399999999997</c:v>
                </c:pt>
                <c:pt idx="55">
                  <c:v>41.595300000000002</c:v>
                </c:pt>
                <c:pt idx="56">
                  <c:v>41.743200000000002</c:v>
                </c:pt>
                <c:pt idx="57">
                  <c:v>41.904200000000003</c:v>
                </c:pt>
                <c:pt idx="58">
                  <c:v>41.986899999999999</c:v>
                </c:pt>
                <c:pt idx="59">
                  <c:v>41.997099999999996</c:v>
                </c:pt>
                <c:pt idx="60">
                  <c:v>41.966500000000003</c:v>
                </c:pt>
                <c:pt idx="61">
                  <c:v>41.860399999999998</c:v>
                </c:pt>
                <c:pt idx="62">
                  <c:v>41.737299999999998</c:v>
                </c:pt>
                <c:pt idx="63">
                  <c:v>41.671900000000001</c:v>
                </c:pt>
                <c:pt idx="64">
                  <c:v>41.625499999999995</c:v>
                </c:pt>
                <c:pt idx="65">
                  <c:v>41.547600000000003</c:v>
                </c:pt>
                <c:pt idx="66">
                  <c:v>41.436599999999999</c:v>
                </c:pt>
                <c:pt idx="67">
                  <c:v>41.298099999999998</c:v>
                </c:pt>
                <c:pt idx="68">
                  <c:v>41.105000000000004</c:v>
                </c:pt>
                <c:pt idx="69">
                  <c:v>40.892800000000001</c:v>
                </c:pt>
                <c:pt idx="70">
                  <c:v>40.709400000000002</c:v>
                </c:pt>
                <c:pt idx="71">
                  <c:v>40.659199999999998</c:v>
                </c:pt>
                <c:pt idx="72">
                  <c:v>40.495399999999997</c:v>
                </c:pt>
                <c:pt idx="73">
                  <c:v>40.335999999999999</c:v>
                </c:pt>
                <c:pt idx="74">
                  <c:v>39.763199999999998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3.06514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3.4867170270270265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45.106151351351343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3.7187113513513519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42.196514864864874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3.7187113513513519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42.196514864864874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0.171537425159909</c:v>
                </c:pt>
                <c:pt idx="1">
                  <c:v>0.26090319262882</c:v>
                </c:pt>
                <c:pt idx="2">
                  <c:v>0.56755938221127089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  <c:pt idx="74">
                  <c:v>30.056000000000001</c:v>
                </c:pt>
                <c:pt idx="75">
                  <c:v>30.490100000000002</c:v>
                </c:pt>
                <c:pt idx="76">
                  <c:v>30.895099999999999</c:v>
                </c:pt>
                <c:pt idx="77">
                  <c:v>31.301100000000002</c:v>
                </c:pt>
                <c:pt idx="78">
                  <c:v>31.711300000000001</c:v>
                </c:pt>
                <c:pt idx="79">
                  <c:v>32.116100000000003</c:v>
                </c:pt>
                <c:pt idx="80">
                  <c:v>32.520200000000003</c:v>
                </c:pt>
                <c:pt idx="81">
                  <c:v>32.9253</c:v>
                </c:pt>
                <c:pt idx="82">
                  <c:v>33.334200000000003</c:v>
                </c:pt>
                <c:pt idx="83">
                  <c:v>33.744999999999997</c:v>
                </c:pt>
                <c:pt idx="84">
                  <c:v>34.147300000000001</c:v>
                </c:pt>
                <c:pt idx="85">
                  <c:v>34.551600000000001</c:v>
                </c:pt>
                <c:pt idx="86">
                  <c:v>34.957900000000002</c:v>
                </c:pt>
                <c:pt idx="87">
                  <c:v>35.366</c:v>
                </c:pt>
                <c:pt idx="88">
                  <c:v>35.770899999999997</c:v>
                </c:pt>
                <c:pt idx="89">
                  <c:v>36.178899999999999</c:v>
                </c:pt>
                <c:pt idx="90">
                  <c:v>36.582599999999999</c:v>
                </c:pt>
                <c:pt idx="91">
                  <c:v>36.989899999999999</c:v>
                </c:pt>
                <c:pt idx="92">
                  <c:v>37.393999999999998</c:v>
                </c:pt>
                <c:pt idx="93">
                  <c:v>37.802</c:v>
                </c:pt>
                <c:pt idx="94">
                  <c:v>38.209800000000001</c:v>
                </c:pt>
                <c:pt idx="95">
                  <c:v>38.613999999999997</c:v>
                </c:pt>
                <c:pt idx="96">
                  <c:v>39.0214</c:v>
                </c:pt>
                <c:pt idx="97">
                  <c:v>39.4255</c:v>
                </c:pt>
                <c:pt idx="98">
                  <c:v>39.834600000000002</c:v>
                </c:pt>
                <c:pt idx="99">
                  <c:v>40.241700000000002</c:v>
                </c:pt>
                <c:pt idx="100">
                  <c:v>40.6449</c:v>
                </c:pt>
                <c:pt idx="101">
                  <c:v>41.051400000000001</c:v>
                </c:pt>
                <c:pt idx="102">
                  <c:v>41.456499999999998</c:v>
                </c:pt>
                <c:pt idx="103">
                  <c:v>41.865000000000002</c:v>
                </c:pt>
                <c:pt idx="104">
                  <c:v>42.270200000000003</c:v>
                </c:pt>
                <c:pt idx="105">
                  <c:v>42.677999999999997</c:v>
                </c:pt>
                <c:pt idx="106">
                  <c:v>43.079500000000003</c:v>
                </c:pt>
                <c:pt idx="107">
                  <c:v>43.492899999999999</c:v>
                </c:pt>
                <c:pt idx="108">
                  <c:v>43.896799999999999</c:v>
                </c:pt>
                <c:pt idx="109">
                  <c:v>44.305</c:v>
                </c:pt>
                <c:pt idx="110">
                  <c:v>44.709000000000003</c:v>
                </c:pt>
                <c:pt idx="111">
                  <c:v>45.113199999999999</c:v>
                </c:pt>
                <c:pt idx="112">
                  <c:v>45.519799999999996</c:v>
                </c:pt>
                <c:pt idx="113">
                  <c:v>45.927300000000002</c:v>
                </c:pt>
                <c:pt idx="114">
                  <c:v>46.3339</c:v>
                </c:pt>
                <c:pt idx="115">
                  <c:v>46.741100000000003</c:v>
                </c:pt>
                <c:pt idx="116">
                  <c:v>47.143999999999998</c:v>
                </c:pt>
                <c:pt idx="117">
                  <c:v>47.550600000000003</c:v>
                </c:pt>
                <c:pt idx="118">
                  <c:v>47.961399999999998</c:v>
                </c:pt>
                <c:pt idx="119">
                  <c:v>48.366399999999999</c:v>
                </c:pt>
                <c:pt idx="120">
                  <c:v>48.772500000000001</c:v>
                </c:pt>
                <c:pt idx="121">
                  <c:v>49.174900000000001</c:v>
                </c:pt>
                <c:pt idx="122">
                  <c:v>49.584600000000002</c:v>
                </c:pt>
                <c:pt idx="123">
                  <c:v>49.988900000000001</c:v>
                </c:pt>
                <c:pt idx="124">
                  <c:v>50.392299999999999</c:v>
                </c:pt>
                <c:pt idx="125">
                  <c:v>50.8005</c:v>
                </c:pt>
                <c:pt idx="126">
                  <c:v>51.208300000000001</c:v>
                </c:pt>
                <c:pt idx="127">
                  <c:v>51.615900000000003</c:v>
                </c:pt>
                <c:pt idx="128">
                  <c:v>52.021299999999997</c:v>
                </c:pt>
                <c:pt idx="129">
                  <c:v>52.426499999999997</c:v>
                </c:pt>
                <c:pt idx="130">
                  <c:v>52.832000000000001</c:v>
                </c:pt>
                <c:pt idx="131">
                  <c:v>53.241799999999998</c:v>
                </c:pt>
                <c:pt idx="132">
                  <c:v>53.647399999999998</c:v>
                </c:pt>
                <c:pt idx="133">
                  <c:v>54.0535</c:v>
                </c:pt>
                <c:pt idx="134">
                  <c:v>54.456000000000003</c:v>
                </c:pt>
                <c:pt idx="135">
                  <c:v>54.865000000000002</c:v>
                </c:pt>
                <c:pt idx="136">
                  <c:v>55.272799999999997</c:v>
                </c:pt>
                <c:pt idx="137">
                  <c:v>55.674399999999999</c:v>
                </c:pt>
                <c:pt idx="138">
                  <c:v>56.084099999999999</c:v>
                </c:pt>
                <c:pt idx="139">
                  <c:v>56.488900000000001</c:v>
                </c:pt>
                <c:pt idx="140">
                  <c:v>56.8932</c:v>
                </c:pt>
                <c:pt idx="141">
                  <c:v>57.300899999999999</c:v>
                </c:pt>
                <c:pt idx="142">
                  <c:v>57.7072</c:v>
                </c:pt>
                <c:pt idx="143">
                  <c:v>58.1173</c:v>
                </c:pt>
                <c:pt idx="144">
                  <c:v>58.521000000000001</c:v>
                </c:pt>
                <c:pt idx="145">
                  <c:v>58.9283</c:v>
                </c:pt>
                <c:pt idx="146">
                  <c:v>59.333399999999997</c:v>
                </c:pt>
                <c:pt idx="147">
                  <c:v>59.740900000000003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  <c:pt idx="74">
                  <c:v>3.3927800000000001</c:v>
                </c:pt>
                <c:pt idx="75">
                  <c:v>3.4309400000000001</c:v>
                </c:pt>
                <c:pt idx="76">
                  <c:v>3.4700899999999999</c:v>
                </c:pt>
                <c:pt idx="77">
                  <c:v>3.5090399999999997</c:v>
                </c:pt>
                <c:pt idx="78">
                  <c:v>3.54657</c:v>
                </c:pt>
                <c:pt idx="79">
                  <c:v>3.5781900000000002</c:v>
                </c:pt>
                <c:pt idx="80">
                  <c:v>3.60853</c:v>
                </c:pt>
                <c:pt idx="81">
                  <c:v>3.63801</c:v>
                </c:pt>
                <c:pt idx="82">
                  <c:v>3.6657899999999999</c:v>
                </c:pt>
                <c:pt idx="83">
                  <c:v>3.6889799999999999</c:v>
                </c:pt>
                <c:pt idx="84">
                  <c:v>3.7081399999999998</c:v>
                </c:pt>
                <c:pt idx="85">
                  <c:v>3.7225599999999996</c:v>
                </c:pt>
                <c:pt idx="86">
                  <c:v>3.7351000000000001</c:v>
                </c:pt>
                <c:pt idx="87">
                  <c:v>3.7487599999999999</c:v>
                </c:pt>
                <c:pt idx="88">
                  <c:v>3.7583100000000003</c:v>
                </c:pt>
                <c:pt idx="89">
                  <c:v>3.7656899999999998</c:v>
                </c:pt>
                <c:pt idx="90">
                  <c:v>3.7673699999999997</c:v>
                </c:pt>
                <c:pt idx="91">
                  <c:v>3.7647599999999999</c:v>
                </c:pt>
                <c:pt idx="92">
                  <c:v>3.75475</c:v>
                </c:pt>
                <c:pt idx="93">
                  <c:v>3.7445400000000002</c:v>
                </c:pt>
                <c:pt idx="94">
                  <c:v>3.73027</c:v>
                </c:pt>
                <c:pt idx="95">
                  <c:v>3.7105300000000003</c:v>
                </c:pt>
                <c:pt idx="96">
                  <c:v>3.6882100000000002</c:v>
                </c:pt>
                <c:pt idx="97">
                  <c:v>3.66377</c:v>
                </c:pt>
                <c:pt idx="98">
                  <c:v>3.63639</c:v>
                </c:pt>
                <c:pt idx="99">
                  <c:v>3.6078000000000001</c:v>
                </c:pt>
                <c:pt idx="100">
                  <c:v>3.5768499999999999</c:v>
                </c:pt>
                <c:pt idx="101">
                  <c:v>3.5452699999999999</c:v>
                </c:pt>
                <c:pt idx="102">
                  <c:v>3.5166900000000001</c:v>
                </c:pt>
                <c:pt idx="103">
                  <c:v>3.4910999999999999</c:v>
                </c:pt>
                <c:pt idx="104">
                  <c:v>3.4674300000000002</c:v>
                </c:pt>
                <c:pt idx="105">
                  <c:v>3.4456599999999997</c:v>
                </c:pt>
                <c:pt idx="106">
                  <c:v>3.4249700000000001</c:v>
                </c:pt>
                <c:pt idx="107">
                  <c:v>3.4050500000000001</c:v>
                </c:pt>
                <c:pt idx="108">
                  <c:v>3.3922099999999999</c:v>
                </c:pt>
                <c:pt idx="109">
                  <c:v>3.3884799999999999</c:v>
                </c:pt>
                <c:pt idx="110">
                  <c:v>3.3916600000000003</c:v>
                </c:pt>
                <c:pt idx="111">
                  <c:v>3.39655</c:v>
                </c:pt>
                <c:pt idx="112">
                  <c:v>3.4030300000000002</c:v>
                </c:pt>
                <c:pt idx="113">
                  <c:v>3.4146199999999998</c:v>
                </c:pt>
                <c:pt idx="114">
                  <c:v>3.4310299999999998</c:v>
                </c:pt>
                <c:pt idx="115">
                  <c:v>3.4504400000000004</c:v>
                </c:pt>
                <c:pt idx="116">
                  <c:v>3.4710600000000005</c:v>
                </c:pt>
                <c:pt idx="117">
                  <c:v>3.4957799999999999</c:v>
                </c:pt>
                <c:pt idx="118">
                  <c:v>3.5207600000000001</c:v>
                </c:pt>
                <c:pt idx="119">
                  <c:v>3.5530400000000002</c:v>
                </c:pt>
                <c:pt idx="120">
                  <c:v>3.5906199999999999</c:v>
                </c:pt>
                <c:pt idx="121">
                  <c:v>3.63151</c:v>
                </c:pt>
                <c:pt idx="122">
                  <c:v>3.6760199999999998</c:v>
                </c:pt>
                <c:pt idx="123">
                  <c:v>3.7230400000000001</c:v>
                </c:pt>
                <c:pt idx="124">
                  <c:v>3.7471399999999999</c:v>
                </c:pt>
                <c:pt idx="125">
                  <c:v>3.7735500000000002</c:v>
                </c:pt>
                <c:pt idx="126">
                  <c:v>3.8001</c:v>
                </c:pt>
                <c:pt idx="127">
                  <c:v>3.8262099999999997</c:v>
                </c:pt>
                <c:pt idx="128">
                  <c:v>3.8516499999999998</c:v>
                </c:pt>
                <c:pt idx="129">
                  <c:v>3.8780199999999998</c:v>
                </c:pt>
                <c:pt idx="130">
                  <c:v>3.9039700000000002</c:v>
                </c:pt>
                <c:pt idx="131">
                  <c:v>3.9296199999999999</c:v>
                </c:pt>
                <c:pt idx="132">
                  <c:v>3.9540500000000001</c:v>
                </c:pt>
                <c:pt idx="133">
                  <c:v>3.9765800000000002</c:v>
                </c:pt>
                <c:pt idx="134">
                  <c:v>3.9982199999999999</c:v>
                </c:pt>
                <c:pt idx="135">
                  <c:v>4.0191699999999999</c:v>
                </c:pt>
                <c:pt idx="136">
                  <c:v>4.0414599999999998</c:v>
                </c:pt>
                <c:pt idx="137">
                  <c:v>4.0631500000000003</c:v>
                </c:pt>
                <c:pt idx="138">
                  <c:v>4.0797400000000001</c:v>
                </c:pt>
                <c:pt idx="139">
                  <c:v>4.0884900000000002</c:v>
                </c:pt>
                <c:pt idx="140">
                  <c:v>4.0988199999999999</c:v>
                </c:pt>
                <c:pt idx="141">
                  <c:v>4.1165500000000002</c:v>
                </c:pt>
                <c:pt idx="142">
                  <c:v>4.1407400000000001</c:v>
                </c:pt>
                <c:pt idx="143">
                  <c:v>4.1727799999999995</c:v>
                </c:pt>
                <c:pt idx="144">
                  <c:v>4.1958099999999998</c:v>
                </c:pt>
                <c:pt idx="145">
                  <c:v>4.2181999999999995</c:v>
                </c:pt>
                <c:pt idx="146">
                  <c:v>4.2329800000000004</c:v>
                </c:pt>
                <c:pt idx="147">
                  <c:v>4.2389000000000001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29.644300000000001</c:v>
                </c:pt>
                <c:pt idx="1">
                  <c:v>30.056000000000001</c:v>
                </c:pt>
                <c:pt idx="2">
                  <c:v>30.490100000000002</c:v>
                </c:pt>
                <c:pt idx="3">
                  <c:v>30.895099999999999</c:v>
                </c:pt>
                <c:pt idx="4">
                  <c:v>31.301100000000002</c:v>
                </c:pt>
                <c:pt idx="5">
                  <c:v>31.711300000000001</c:v>
                </c:pt>
                <c:pt idx="6">
                  <c:v>32.116100000000003</c:v>
                </c:pt>
                <c:pt idx="7">
                  <c:v>32.520200000000003</c:v>
                </c:pt>
                <c:pt idx="8">
                  <c:v>32.9253</c:v>
                </c:pt>
                <c:pt idx="9">
                  <c:v>33.334200000000003</c:v>
                </c:pt>
                <c:pt idx="10">
                  <c:v>33.744999999999997</c:v>
                </c:pt>
                <c:pt idx="11">
                  <c:v>34.147300000000001</c:v>
                </c:pt>
                <c:pt idx="12">
                  <c:v>34.551600000000001</c:v>
                </c:pt>
                <c:pt idx="13">
                  <c:v>34.957900000000002</c:v>
                </c:pt>
                <c:pt idx="14">
                  <c:v>35.366</c:v>
                </c:pt>
                <c:pt idx="15">
                  <c:v>35.770899999999997</c:v>
                </c:pt>
                <c:pt idx="16">
                  <c:v>36.178899999999999</c:v>
                </c:pt>
                <c:pt idx="17">
                  <c:v>36.582599999999999</c:v>
                </c:pt>
                <c:pt idx="18">
                  <c:v>36.989899999999999</c:v>
                </c:pt>
                <c:pt idx="19">
                  <c:v>37.393999999999998</c:v>
                </c:pt>
                <c:pt idx="20">
                  <c:v>37.802</c:v>
                </c:pt>
                <c:pt idx="21">
                  <c:v>38.209800000000001</c:v>
                </c:pt>
                <c:pt idx="22">
                  <c:v>38.613999999999997</c:v>
                </c:pt>
                <c:pt idx="23">
                  <c:v>39.0214</c:v>
                </c:pt>
                <c:pt idx="24">
                  <c:v>39.4255</c:v>
                </c:pt>
                <c:pt idx="25">
                  <c:v>39.834600000000002</c:v>
                </c:pt>
                <c:pt idx="26">
                  <c:v>40.241700000000002</c:v>
                </c:pt>
                <c:pt idx="27">
                  <c:v>40.6449</c:v>
                </c:pt>
                <c:pt idx="28">
                  <c:v>41.051400000000001</c:v>
                </c:pt>
                <c:pt idx="29">
                  <c:v>41.456499999999998</c:v>
                </c:pt>
                <c:pt idx="30">
                  <c:v>41.865000000000002</c:v>
                </c:pt>
                <c:pt idx="31">
                  <c:v>42.270200000000003</c:v>
                </c:pt>
                <c:pt idx="32">
                  <c:v>42.677999999999997</c:v>
                </c:pt>
                <c:pt idx="33">
                  <c:v>43.079500000000003</c:v>
                </c:pt>
                <c:pt idx="34">
                  <c:v>43.492899999999999</c:v>
                </c:pt>
                <c:pt idx="35">
                  <c:v>43.896799999999999</c:v>
                </c:pt>
                <c:pt idx="36">
                  <c:v>44.305</c:v>
                </c:pt>
                <c:pt idx="37">
                  <c:v>44.709000000000003</c:v>
                </c:pt>
                <c:pt idx="38">
                  <c:v>45.113199999999999</c:v>
                </c:pt>
                <c:pt idx="39">
                  <c:v>45.519799999999996</c:v>
                </c:pt>
                <c:pt idx="40">
                  <c:v>45.927300000000002</c:v>
                </c:pt>
                <c:pt idx="41">
                  <c:v>46.3339</c:v>
                </c:pt>
                <c:pt idx="42">
                  <c:v>46.741100000000003</c:v>
                </c:pt>
                <c:pt idx="43">
                  <c:v>47.143999999999998</c:v>
                </c:pt>
                <c:pt idx="44">
                  <c:v>47.550600000000003</c:v>
                </c:pt>
                <c:pt idx="45">
                  <c:v>47.961399999999998</c:v>
                </c:pt>
                <c:pt idx="46">
                  <c:v>48.366399999999999</c:v>
                </c:pt>
                <c:pt idx="47">
                  <c:v>48.772500000000001</c:v>
                </c:pt>
                <c:pt idx="48">
                  <c:v>49.174900000000001</c:v>
                </c:pt>
                <c:pt idx="49">
                  <c:v>49.584600000000002</c:v>
                </c:pt>
                <c:pt idx="50">
                  <c:v>49.988900000000001</c:v>
                </c:pt>
                <c:pt idx="51">
                  <c:v>50.392299999999999</c:v>
                </c:pt>
                <c:pt idx="52">
                  <c:v>50.8005</c:v>
                </c:pt>
                <c:pt idx="53">
                  <c:v>51.208300000000001</c:v>
                </c:pt>
                <c:pt idx="54">
                  <c:v>51.615900000000003</c:v>
                </c:pt>
                <c:pt idx="55">
                  <c:v>52.021299999999997</c:v>
                </c:pt>
                <c:pt idx="56">
                  <c:v>52.426499999999997</c:v>
                </c:pt>
                <c:pt idx="57">
                  <c:v>52.832000000000001</c:v>
                </c:pt>
                <c:pt idx="58">
                  <c:v>53.241799999999998</c:v>
                </c:pt>
                <c:pt idx="59">
                  <c:v>53.647399999999998</c:v>
                </c:pt>
                <c:pt idx="60">
                  <c:v>54.0535</c:v>
                </c:pt>
                <c:pt idx="61">
                  <c:v>54.456000000000003</c:v>
                </c:pt>
                <c:pt idx="62">
                  <c:v>54.865000000000002</c:v>
                </c:pt>
                <c:pt idx="63">
                  <c:v>55.272799999999997</c:v>
                </c:pt>
                <c:pt idx="64">
                  <c:v>55.674399999999999</c:v>
                </c:pt>
                <c:pt idx="65">
                  <c:v>56.084099999999999</c:v>
                </c:pt>
                <c:pt idx="66">
                  <c:v>56.488900000000001</c:v>
                </c:pt>
                <c:pt idx="67">
                  <c:v>56.8932</c:v>
                </c:pt>
                <c:pt idx="68">
                  <c:v>57.300899999999999</c:v>
                </c:pt>
                <c:pt idx="69">
                  <c:v>57.7072</c:v>
                </c:pt>
                <c:pt idx="70">
                  <c:v>58.1173</c:v>
                </c:pt>
                <c:pt idx="71">
                  <c:v>58.521000000000001</c:v>
                </c:pt>
                <c:pt idx="72">
                  <c:v>58.9283</c:v>
                </c:pt>
                <c:pt idx="73">
                  <c:v>59.333399999999997</c:v>
                </c:pt>
                <c:pt idx="74">
                  <c:v>59.740900000000003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3.3539600000000003</c:v>
                </c:pt>
                <c:pt idx="1">
                  <c:v>3.3927800000000001</c:v>
                </c:pt>
                <c:pt idx="2">
                  <c:v>3.4309400000000001</c:v>
                </c:pt>
                <c:pt idx="3">
                  <c:v>3.4700899999999999</c:v>
                </c:pt>
                <c:pt idx="4">
                  <c:v>3.5090399999999997</c:v>
                </c:pt>
                <c:pt idx="5">
                  <c:v>3.54657</c:v>
                </c:pt>
                <c:pt idx="6">
                  <c:v>3.5781900000000002</c:v>
                </c:pt>
                <c:pt idx="7">
                  <c:v>3.60853</c:v>
                </c:pt>
                <c:pt idx="8">
                  <c:v>3.63801</c:v>
                </c:pt>
                <c:pt idx="9">
                  <c:v>3.6657899999999999</c:v>
                </c:pt>
                <c:pt idx="10">
                  <c:v>3.6889799999999999</c:v>
                </c:pt>
                <c:pt idx="11">
                  <c:v>3.7081399999999998</c:v>
                </c:pt>
                <c:pt idx="12">
                  <c:v>3.7225599999999996</c:v>
                </c:pt>
                <c:pt idx="13">
                  <c:v>3.7351000000000001</c:v>
                </c:pt>
                <c:pt idx="14">
                  <c:v>3.7487599999999999</c:v>
                </c:pt>
                <c:pt idx="15">
                  <c:v>3.7583100000000003</c:v>
                </c:pt>
                <c:pt idx="16">
                  <c:v>3.7656899999999998</c:v>
                </c:pt>
                <c:pt idx="17">
                  <c:v>3.7673699999999997</c:v>
                </c:pt>
                <c:pt idx="18">
                  <c:v>3.7647599999999999</c:v>
                </c:pt>
                <c:pt idx="19">
                  <c:v>3.75475</c:v>
                </c:pt>
                <c:pt idx="20">
                  <c:v>3.7445400000000002</c:v>
                </c:pt>
                <c:pt idx="21">
                  <c:v>3.73027</c:v>
                </c:pt>
                <c:pt idx="22">
                  <c:v>3.7105300000000003</c:v>
                </c:pt>
                <c:pt idx="23">
                  <c:v>3.6882100000000002</c:v>
                </c:pt>
                <c:pt idx="24">
                  <c:v>3.66377</c:v>
                </c:pt>
                <c:pt idx="25">
                  <c:v>3.63639</c:v>
                </c:pt>
                <c:pt idx="26">
                  <c:v>3.6078000000000001</c:v>
                </c:pt>
                <c:pt idx="27">
                  <c:v>3.5768499999999999</c:v>
                </c:pt>
                <c:pt idx="28">
                  <c:v>3.5452699999999999</c:v>
                </c:pt>
                <c:pt idx="29">
                  <c:v>3.5166900000000001</c:v>
                </c:pt>
                <c:pt idx="30">
                  <c:v>3.4910999999999999</c:v>
                </c:pt>
                <c:pt idx="31">
                  <c:v>3.4674300000000002</c:v>
                </c:pt>
                <c:pt idx="32">
                  <c:v>3.4456599999999997</c:v>
                </c:pt>
                <c:pt idx="33">
                  <c:v>3.4249700000000001</c:v>
                </c:pt>
                <c:pt idx="34">
                  <c:v>3.4050500000000001</c:v>
                </c:pt>
                <c:pt idx="35">
                  <c:v>3.3922099999999999</c:v>
                </c:pt>
                <c:pt idx="36">
                  <c:v>3.3884799999999999</c:v>
                </c:pt>
                <c:pt idx="37">
                  <c:v>3.3916600000000003</c:v>
                </c:pt>
                <c:pt idx="38">
                  <c:v>3.39655</c:v>
                </c:pt>
                <c:pt idx="39">
                  <c:v>3.4030300000000002</c:v>
                </c:pt>
                <c:pt idx="40">
                  <c:v>3.4146199999999998</c:v>
                </c:pt>
                <c:pt idx="41">
                  <c:v>3.4310299999999998</c:v>
                </c:pt>
                <c:pt idx="42">
                  <c:v>3.4504400000000004</c:v>
                </c:pt>
                <c:pt idx="43">
                  <c:v>3.4710600000000005</c:v>
                </c:pt>
                <c:pt idx="44">
                  <c:v>3.4957799999999999</c:v>
                </c:pt>
                <c:pt idx="45">
                  <c:v>3.5207600000000001</c:v>
                </c:pt>
                <c:pt idx="46">
                  <c:v>3.5530400000000002</c:v>
                </c:pt>
                <c:pt idx="47">
                  <c:v>3.5906199999999999</c:v>
                </c:pt>
                <c:pt idx="48">
                  <c:v>3.63151</c:v>
                </c:pt>
                <c:pt idx="49">
                  <c:v>3.6760199999999998</c:v>
                </c:pt>
                <c:pt idx="50">
                  <c:v>3.7230400000000001</c:v>
                </c:pt>
                <c:pt idx="51">
                  <c:v>3.7471399999999999</c:v>
                </c:pt>
                <c:pt idx="52">
                  <c:v>3.7735500000000002</c:v>
                </c:pt>
                <c:pt idx="53">
                  <c:v>3.8001</c:v>
                </c:pt>
                <c:pt idx="54">
                  <c:v>3.8262099999999997</c:v>
                </c:pt>
                <c:pt idx="55">
                  <c:v>3.8516499999999998</c:v>
                </c:pt>
                <c:pt idx="56">
                  <c:v>3.8780199999999998</c:v>
                </c:pt>
                <c:pt idx="57">
                  <c:v>3.9039700000000002</c:v>
                </c:pt>
                <c:pt idx="58">
                  <c:v>3.9296199999999999</c:v>
                </c:pt>
                <c:pt idx="59">
                  <c:v>3.9540500000000001</c:v>
                </c:pt>
                <c:pt idx="60">
                  <c:v>3.9765800000000002</c:v>
                </c:pt>
                <c:pt idx="61">
                  <c:v>3.9982199999999999</c:v>
                </c:pt>
                <c:pt idx="62">
                  <c:v>4.0191699999999999</c:v>
                </c:pt>
                <c:pt idx="63">
                  <c:v>4.0414599999999998</c:v>
                </c:pt>
                <c:pt idx="64">
                  <c:v>4.0631500000000003</c:v>
                </c:pt>
                <c:pt idx="65">
                  <c:v>4.0797400000000001</c:v>
                </c:pt>
                <c:pt idx="66">
                  <c:v>4.0884900000000002</c:v>
                </c:pt>
                <c:pt idx="67">
                  <c:v>4.0988199999999999</c:v>
                </c:pt>
                <c:pt idx="68">
                  <c:v>4.1165500000000002</c:v>
                </c:pt>
                <c:pt idx="69">
                  <c:v>4.1407400000000001</c:v>
                </c:pt>
                <c:pt idx="70">
                  <c:v>4.1727799999999995</c:v>
                </c:pt>
                <c:pt idx="71">
                  <c:v>4.1958099999999998</c:v>
                </c:pt>
                <c:pt idx="72">
                  <c:v>4.2181999999999995</c:v>
                </c:pt>
                <c:pt idx="73">
                  <c:v>4.2329800000000004</c:v>
                </c:pt>
                <c:pt idx="74">
                  <c:v>4.2389000000000001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14.935225000000001</c:v>
                </c:pt>
                <c:pt idx="1">
                  <c:v>44.805675000000001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3.4867170270270265</c:v>
                </c:pt>
                <c:pt idx="1">
                  <c:v>3.7187113513513519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  <c:pt idx="74">
                  <c:v>30.056000000000001</c:v>
                </c:pt>
                <c:pt idx="75">
                  <c:v>30.490100000000002</c:v>
                </c:pt>
                <c:pt idx="76">
                  <c:v>30.895099999999999</c:v>
                </c:pt>
                <c:pt idx="77">
                  <c:v>31.301100000000002</c:v>
                </c:pt>
                <c:pt idx="78">
                  <c:v>31.711300000000001</c:v>
                </c:pt>
                <c:pt idx="79">
                  <c:v>32.116100000000003</c:v>
                </c:pt>
                <c:pt idx="80">
                  <c:v>32.520200000000003</c:v>
                </c:pt>
                <c:pt idx="81">
                  <c:v>32.9253</c:v>
                </c:pt>
                <c:pt idx="82">
                  <c:v>33.334200000000003</c:v>
                </c:pt>
                <c:pt idx="83">
                  <c:v>33.744999999999997</c:v>
                </c:pt>
                <c:pt idx="84">
                  <c:v>34.147300000000001</c:v>
                </c:pt>
                <c:pt idx="85">
                  <c:v>34.551600000000001</c:v>
                </c:pt>
                <c:pt idx="86">
                  <c:v>34.957900000000002</c:v>
                </c:pt>
                <c:pt idx="87">
                  <c:v>35.366</c:v>
                </c:pt>
                <c:pt idx="88">
                  <c:v>35.770899999999997</c:v>
                </c:pt>
                <c:pt idx="89">
                  <c:v>36.178899999999999</c:v>
                </c:pt>
                <c:pt idx="90">
                  <c:v>36.582599999999999</c:v>
                </c:pt>
                <c:pt idx="91">
                  <c:v>36.989899999999999</c:v>
                </c:pt>
                <c:pt idx="92">
                  <c:v>37.393999999999998</c:v>
                </c:pt>
                <c:pt idx="93">
                  <c:v>37.802</c:v>
                </c:pt>
                <c:pt idx="94">
                  <c:v>38.209800000000001</c:v>
                </c:pt>
                <c:pt idx="95">
                  <c:v>38.613999999999997</c:v>
                </c:pt>
                <c:pt idx="96">
                  <c:v>39.0214</c:v>
                </c:pt>
                <c:pt idx="97">
                  <c:v>39.4255</c:v>
                </c:pt>
                <c:pt idx="98">
                  <c:v>39.834600000000002</c:v>
                </c:pt>
                <c:pt idx="99">
                  <c:v>40.241700000000002</c:v>
                </c:pt>
                <c:pt idx="100">
                  <c:v>40.6449</c:v>
                </c:pt>
                <c:pt idx="101">
                  <c:v>41.051400000000001</c:v>
                </c:pt>
                <c:pt idx="102">
                  <c:v>41.456499999999998</c:v>
                </c:pt>
                <c:pt idx="103">
                  <c:v>41.865000000000002</c:v>
                </c:pt>
                <c:pt idx="104">
                  <c:v>42.270200000000003</c:v>
                </c:pt>
                <c:pt idx="105">
                  <c:v>42.677999999999997</c:v>
                </c:pt>
                <c:pt idx="106">
                  <c:v>43.079500000000003</c:v>
                </c:pt>
                <c:pt idx="107">
                  <c:v>43.492899999999999</c:v>
                </c:pt>
                <c:pt idx="108">
                  <c:v>43.896799999999999</c:v>
                </c:pt>
                <c:pt idx="109">
                  <c:v>44.305</c:v>
                </c:pt>
                <c:pt idx="110">
                  <c:v>44.709000000000003</c:v>
                </c:pt>
                <c:pt idx="111">
                  <c:v>45.113199999999999</c:v>
                </c:pt>
                <c:pt idx="112">
                  <c:v>45.519799999999996</c:v>
                </c:pt>
                <c:pt idx="113">
                  <c:v>45.927300000000002</c:v>
                </c:pt>
                <c:pt idx="114">
                  <c:v>46.3339</c:v>
                </c:pt>
                <c:pt idx="115">
                  <c:v>46.741100000000003</c:v>
                </c:pt>
                <c:pt idx="116">
                  <c:v>47.143999999999998</c:v>
                </c:pt>
                <c:pt idx="117">
                  <c:v>47.550600000000003</c:v>
                </c:pt>
                <c:pt idx="118">
                  <c:v>47.961399999999998</c:v>
                </c:pt>
                <c:pt idx="119">
                  <c:v>48.366399999999999</c:v>
                </c:pt>
                <c:pt idx="120">
                  <c:v>48.772500000000001</c:v>
                </c:pt>
                <c:pt idx="121">
                  <c:v>49.174900000000001</c:v>
                </c:pt>
                <c:pt idx="122">
                  <c:v>49.584600000000002</c:v>
                </c:pt>
                <c:pt idx="123">
                  <c:v>49.988900000000001</c:v>
                </c:pt>
                <c:pt idx="124">
                  <c:v>50.392299999999999</c:v>
                </c:pt>
                <c:pt idx="125">
                  <c:v>50.8005</c:v>
                </c:pt>
                <c:pt idx="126">
                  <c:v>51.208300000000001</c:v>
                </c:pt>
                <c:pt idx="127">
                  <c:v>51.615900000000003</c:v>
                </c:pt>
                <c:pt idx="128">
                  <c:v>52.021299999999997</c:v>
                </c:pt>
                <c:pt idx="129">
                  <c:v>52.426499999999997</c:v>
                </c:pt>
                <c:pt idx="130">
                  <c:v>52.832000000000001</c:v>
                </c:pt>
                <c:pt idx="131">
                  <c:v>53.241799999999998</c:v>
                </c:pt>
                <c:pt idx="132">
                  <c:v>53.647399999999998</c:v>
                </c:pt>
                <c:pt idx="133">
                  <c:v>54.0535</c:v>
                </c:pt>
                <c:pt idx="134">
                  <c:v>54.456000000000003</c:v>
                </c:pt>
                <c:pt idx="135">
                  <c:v>54.865000000000002</c:v>
                </c:pt>
                <c:pt idx="136">
                  <c:v>55.272799999999997</c:v>
                </c:pt>
                <c:pt idx="137">
                  <c:v>55.674399999999999</c:v>
                </c:pt>
                <c:pt idx="138">
                  <c:v>56.084099999999999</c:v>
                </c:pt>
                <c:pt idx="139">
                  <c:v>56.488900000000001</c:v>
                </c:pt>
                <c:pt idx="140">
                  <c:v>56.8932</c:v>
                </c:pt>
                <c:pt idx="141">
                  <c:v>57.300899999999999</c:v>
                </c:pt>
                <c:pt idx="142">
                  <c:v>57.7072</c:v>
                </c:pt>
                <c:pt idx="143">
                  <c:v>58.1173</c:v>
                </c:pt>
                <c:pt idx="144">
                  <c:v>58.521000000000001</c:v>
                </c:pt>
                <c:pt idx="145">
                  <c:v>58.9283</c:v>
                </c:pt>
                <c:pt idx="146">
                  <c:v>59.333399999999997</c:v>
                </c:pt>
                <c:pt idx="147">
                  <c:v>59.740900000000003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  <c:pt idx="74">
                  <c:v>44.942599999999999</c:v>
                </c:pt>
                <c:pt idx="75">
                  <c:v>44.698700000000002</c:v>
                </c:pt>
                <c:pt idx="76">
                  <c:v>44.428400000000003</c:v>
                </c:pt>
                <c:pt idx="77">
                  <c:v>44.270900000000005</c:v>
                </c:pt>
                <c:pt idx="78">
                  <c:v>44.195099999999996</c:v>
                </c:pt>
                <c:pt idx="79">
                  <c:v>44.115700000000004</c:v>
                </c:pt>
                <c:pt idx="80">
                  <c:v>44.036200000000001</c:v>
                </c:pt>
                <c:pt idx="81">
                  <c:v>43.9026</c:v>
                </c:pt>
                <c:pt idx="82">
                  <c:v>43.646700000000003</c:v>
                </c:pt>
                <c:pt idx="83">
                  <c:v>43.5045</c:v>
                </c:pt>
                <c:pt idx="84">
                  <c:v>43.420299999999997</c:v>
                </c:pt>
                <c:pt idx="85">
                  <c:v>43.377300000000005</c:v>
                </c:pt>
                <c:pt idx="86">
                  <c:v>43.270099999999999</c:v>
                </c:pt>
                <c:pt idx="87">
                  <c:v>43.188099999999999</c:v>
                </c:pt>
                <c:pt idx="88">
                  <c:v>43.0685</c:v>
                </c:pt>
                <c:pt idx="89">
                  <c:v>42.924900000000001</c:v>
                </c:pt>
                <c:pt idx="90">
                  <c:v>42.767500000000005</c:v>
                </c:pt>
                <c:pt idx="91">
                  <c:v>42.6462</c:v>
                </c:pt>
                <c:pt idx="92">
                  <c:v>42.479900000000001</c:v>
                </c:pt>
                <c:pt idx="93">
                  <c:v>42.3001</c:v>
                </c:pt>
                <c:pt idx="94">
                  <c:v>42.103699999999996</c:v>
                </c:pt>
                <c:pt idx="95">
                  <c:v>41.905099999999997</c:v>
                </c:pt>
                <c:pt idx="96">
                  <c:v>41.756999999999998</c:v>
                </c:pt>
                <c:pt idx="97">
                  <c:v>41.603699999999996</c:v>
                </c:pt>
                <c:pt idx="98">
                  <c:v>41.3842</c:v>
                </c:pt>
                <c:pt idx="99">
                  <c:v>41.213200000000001</c:v>
                </c:pt>
                <c:pt idx="100">
                  <c:v>41.133399999999995</c:v>
                </c:pt>
                <c:pt idx="101">
                  <c:v>41.165600000000005</c:v>
                </c:pt>
                <c:pt idx="102">
                  <c:v>41.277799999999999</c:v>
                </c:pt>
                <c:pt idx="103">
                  <c:v>41.4756</c:v>
                </c:pt>
                <c:pt idx="104">
                  <c:v>41.670499999999997</c:v>
                </c:pt>
                <c:pt idx="105">
                  <c:v>41.8949</c:v>
                </c:pt>
                <c:pt idx="106">
                  <c:v>42.2682</c:v>
                </c:pt>
                <c:pt idx="107">
                  <c:v>42.778199999999998</c:v>
                </c:pt>
                <c:pt idx="108">
                  <c:v>43.131100000000004</c:v>
                </c:pt>
                <c:pt idx="109">
                  <c:v>43.360900000000001</c:v>
                </c:pt>
                <c:pt idx="110">
                  <c:v>43.442399999999999</c:v>
                </c:pt>
                <c:pt idx="111">
                  <c:v>43.447400000000002</c:v>
                </c:pt>
                <c:pt idx="112">
                  <c:v>43.408900000000003</c:v>
                </c:pt>
                <c:pt idx="113">
                  <c:v>43.264299999999999</c:v>
                </c:pt>
                <c:pt idx="114">
                  <c:v>43.007400000000004</c:v>
                </c:pt>
                <c:pt idx="115">
                  <c:v>42.711799999999997</c:v>
                </c:pt>
                <c:pt idx="116">
                  <c:v>42.4193</c:v>
                </c:pt>
                <c:pt idx="117">
                  <c:v>42.156199999999998</c:v>
                </c:pt>
                <c:pt idx="118">
                  <c:v>41.920099999999998</c:v>
                </c:pt>
                <c:pt idx="119">
                  <c:v>41.576099999999997</c:v>
                </c:pt>
                <c:pt idx="120">
                  <c:v>41.256100000000004</c:v>
                </c:pt>
                <c:pt idx="121">
                  <c:v>40.903700000000001</c:v>
                </c:pt>
                <c:pt idx="122">
                  <c:v>40.616999999999997</c:v>
                </c:pt>
                <c:pt idx="123">
                  <c:v>40.4604</c:v>
                </c:pt>
                <c:pt idx="124">
                  <c:v>40.677</c:v>
                </c:pt>
                <c:pt idx="125">
                  <c:v>40.9542</c:v>
                </c:pt>
                <c:pt idx="126">
                  <c:v>41.228400000000001</c:v>
                </c:pt>
                <c:pt idx="127">
                  <c:v>41.452399999999997</c:v>
                </c:pt>
                <c:pt idx="128">
                  <c:v>41.595300000000002</c:v>
                </c:pt>
                <c:pt idx="129">
                  <c:v>41.743200000000002</c:v>
                </c:pt>
                <c:pt idx="130">
                  <c:v>41.904200000000003</c:v>
                </c:pt>
                <c:pt idx="131">
                  <c:v>41.986899999999999</c:v>
                </c:pt>
                <c:pt idx="132">
                  <c:v>41.997099999999996</c:v>
                </c:pt>
                <c:pt idx="133">
                  <c:v>41.966500000000003</c:v>
                </c:pt>
                <c:pt idx="134">
                  <c:v>41.860399999999998</c:v>
                </c:pt>
                <c:pt idx="135">
                  <c:v>41.737299999999998</c:v>
                </c:pt>
                <c:pt idx="136">
                  <c:v>41.671900000000001</c:v>
                </c:pt>
                <c:pt idx="137">
                  <c:v>41.625499999999995</c:v>
                </c:pt>
                <c:pt idx="138">
                  <c:v>41.547600000000003</c:v>
                </c:pt>
                <c:pt idx="139">
                  <c:v>41.436599999999999</c:v>
                </c:pt>
                <c:pt idx="140">
                  <c:v>41.298099999999998</c:v>
                </c:pt>
                <c:pt idx="141">
                  <c:v>41.105000000000004</c:v>
                </c:pt>
                <c:pt idx="142">
                  <c:v>40.892800000000001</c:v>
                </c:pt>
                <c:pt idx="143">
                  <c:v>40.709400000000002</c:v>
                </c:pt>
                <c:pt idx="144">
                  <c:v>40.659199999999998</c:v>
                </c:pt>
                <c:pt idx="145">
                  <c:v>40.495399999999997</c:v>
                </c:pt>
                <c:pt idx="146">
                  <c:v>40.335999999999999</c:v>
                </c:pt>
                <c:pt idx="147">
                  <c:v>39.763199999999998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29.644300000000001</c:v>
                </c:pt>
                <c:pt idx="1">
                  <c:v>30.056000000000001</c:v>
                </c:pt>
                <c:pt idx="2">
                  <c:v>30.490100000000002</c:v>
                </c:pt>
                <c:pt idx="3">
                  <c:v>30.895099999999999</c:v>
                </c:pt>
                <c:pt idx="4">
                  <c:v>31.301100000000002</c:v>
                </c:pt>
                <c:pt idx="5">
                  <c:v>31.711300000000001</c:v>
                </c:pt>
                <c:pt idx="6">
                  <c:v>32.116100000000003</c:v>
                </c:pt>
                <c:pt idx="7">
                  <c:v>32.520200000000003</c:v>
                </c:pt>
                <c:pt idx="8">
                  <c:v>32.9253</c:v>
                </c:pt>
                <c:pt idx="9">
                  <c:v>33.334200000000003</c:v>
                </c:pt>
                <c:pt idx="10">
                  <c:v>33.744999999999997</c:v>
                </c:pt>
                <c:pt idx="11">
                  <c:v>34.147300000000001</c:v>
                </c:pt>
                <c:pt idx="12">
                  <c:v>34.551600000000001</c:v>
                </c:pt>
                <c:pt idx="13">
                  <c:v>34.957900000000002</c:v>
                </c:pt>
                <c:pt idx="14">
                  <c:v>35.366</c:v>
                </c:pt>
                <c:pt idx="15">
                  <c:v>35.770899999999997</c:v>
                </c:pt>
                <c:pt idx="16">
                  <c:v>36.178899999999999</c:v>
                </c:pt>
                <c:pt idx="17">
                  <c:v>36.582599999999999</c:v>
                </c:pt>
                <c:pt idx="18">
                  <c:v>36.989899999999999</c:v>
                </c:pt>
                <c:pt idx="19">
                  <c:v>37.393999999999998</c:v>
                </c:pt>
                <c:pt idx="20">
                  <c:v>37.802</c:v>
                </c:pt>
                <c:pt idx="21">
                  <c:v>38.209800000000001</c:v>
                </c:pt>
                <c:pt idx="22">
                  <c:v>38.613999999999997</c:v>
                </c:pt>
                <c:pt idx="23">
                  <c:v>39.0214</c:v>
                </c:pt>
                <c:pt idx="24">
                  <c:v>39.4255</c:v>
                </c:pt>
                <c:pt idx="25">
                  <c:v>39.834600000000002</c:v>
                </c:pt>
                <c:pt idx="26">
                  <c:v>40.241700000000002</c:v>
                </c:pt>
                <c:pt idx="27">
                  <c:v>40.6449</c:v>
                </c:pt>
                <c:pt idx="28">
                  <c:v>41.051400000000001</c:v>
                </c:pt>
                <c:pt idx="29">
                  <c:v>41.456499999999998</c:v>
                </c:pt>
                <c:pt idx="30">
                  <c:v>41.865000000000002</c:v>
                </c:pt>
                <c:pt idx="31">
                  <c:v>42.270200000000003</c:v>
                </c:pt>
                <c:pt idx="32">
                  <c:v>42.677999999999997</c:v>
                </c:pt>
                <c:pt idx="33">
                  <c:v>43.079500000000003</c:v>
                </c:pt>
                <c:pt idx="34">
                  <c:v>43.492899999999999</c:v>
                </c:pt>
                <c:pt idx="35">
                  <c:v>43.896799999999999</c:v>
                </c:pt>
                <c:pt idx="36">
                  <c:v>44.305</c:v>
                </c:pt>
                <c:pt idx="37">
                  <c:v>44.709000000000003</c:v>
                </c:pt>
                <c:pt idx="38">
                  <c:v>45.113199999999999</c:v>
                </c:pt>
                <c:pt idx="39">
                  <c:v>45.519799999999996</c:v>
                </c:pt>
                <c:pt idx="40">
                  <c:v>45.927300000000002</c:v>
                </c:pt>
                <c:pt idx="41">
                  <c:v>46.3339</c:v>
                </c:pt>
                <c:pt idx="42">
                  <c:v>46.741100000000003</c:v>
                </c:pt>
                <c:pt idx="43">
                  <c:v>47.143999999999998</c:v>
                </c:pt>
                <c:pt idx="44">
                  <c:v>47.550600000000003</c:v>
                </c:pt>
                <c:pt idx="45">
                  <c:v>47.961399999999998</c:v>
                </c:pt>
                <c:pt idx="46">
                  <c:v>48.366399999999999</c:v>
                </c:pt>
                <c:pt idx="47">
                  <c:v>48.772500000000001</c:v>
                </c:pt>
                <c:pt idx="48">
                  <c:v>49.174900000000001</c:v>
                </c:pt>
                <c:pt idx="49">
                  <c:v>49.584600000000002</c:v>
                </c:pt>
                <c:pt idx="50">
                  <c:v>49.988900000000001</c:v>
                </c:pt>
                <c:pt idx="51">
                  <c:v>50.392299999999999</c:v>
                </c:pt>
                <c:pt idx="52">
                  <c:v>50.8005</c:v>
                </c:pt>
                <c:pt idx="53">
                  <c:v>51.208300000000001</c:v>
                </c:pt>
                <c:pt idx="54">
                  <c:v>51.615900000000003</c:v>
                </c:pt>
                <c:pt idx="55">
                  <c:v>52.021299999999997</c:v>
                </c:pt>
                <c:pt idx="56">
                  <c:v>52.426499999999997</c:v>
                </c:pt>
                <c:pt idx="57">
                  <c:v>52.832000000000001</c:v>
                </c:pt>
                <c:pt idx="58">
                  <c:v>53.241799999999998</c:v>
                </c:pt>
                <c:pt idx="59">
                  <c:v>53.647399999999998</c:v>
                </c:pt>
                <c:pt idx="60">
                  <c:v>54.0535</c:v>
                </c:pt>
                <c:pt idx="61">
                  <c:v>54.456000000000003</c:v>
                </c:pt>
                <c:pt idx="62">
                  <c:v>54.865000000000002</c:v>
                </c:pt>
                <c:pt idx="63">
                  <c:v>55.272799999999997</c:v>
                </c:pt>
                <c:pt idx="64">
                  <c:v>55.674399999999999</c:v>
                </c:pt>
                <c:pt idx="65">
                  <c:v>56.084099999999999</c:v>
                </c:pt>
                <c:pt idx="66">
                  <c:v>56.488900000000001</c:v>
                </c:pt>
                <c:pt idx="67">
                  <c:v>56.8932</c:v>
                </c:pt>
                <c:pt idx="68">
                  <c:v>57.300899999999999</c:v>
                </c:pt>
                <c:pt idx="69">
                  <c:v>57.7072</c:v>
                </c:pt>
                <c:pt idx="70">
                  <c:v>58.1173</c:v>
                </c:pt>
                <c:pt idx="71">
                  <c:v>58.521000000000001</c:v>
                </c:pt>
                <c:pt idx="72">
                  <c:v>58.9283</c:v>
                </c:pt>
                <c:pt idx="73">
                  <c:v>59.333399999999997</c:v>
                </c:pt>
                <c:pt idx="74">
                  <c:v>59.740900000000003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45.099499999999999</c:v>
                </c:pt>
                <c:pt idx="1">
                  <c:v>44.942599999999999</c:v>
                </c:pt>
                <c:pt idx="2">
                  <c:v>44.698700000000002</c:v>
                </c:pt>
                <c:pt idx="3">
                  <c:v>44.428400000000003</c:v>
                </c:pt>
                <c:pt idx="4">
                  <c:v>44.270900000000005</c:v>
                </c:pt>
                <c:pt idx="5">
                  <c:v>44.195099999999996</c:v>
                </c:pt>
                <c:pt idx="6">
                  <c:v>44.115700000000004</c:v>
                </c:pt>
                <c:pt idx="7">
                  <c:v>44.036200000000001</c:v>
                </c:pt>
                <c:pt idx="8">
                  <c:v>43.9026</c:v>
                </c:pt>
                <c:pt idx="9">
                  <c:v>43.646700000000003</c:v>
                </c:pt>
                <c:pt idx="10">
                  <c:v>43.5045</c:v>
                </c:pt>
                <c:pt idx="11">
                  <c:v>43.420299999999997</c:v>
                </c:pt>
                <c:pt idx="12">
                  <c:v>43.377300000000005</c:v>
                </c:pt>
                <c:pt idx="13">
                  <c:v>43.270099999999999</c:v>
                </c:pt>
                <c:pt idx="14">
                  <c:v>43.188099999999999</c:v>
                </c:pt>
                <c:pt idx="15">
                  <c:v>43.0685</c:v>
                </c:pt>
                <c:pt idx="16">
                  <c:v>42.924900000000001</c:v>
                </c:pt>
                <c:pt idx="17">
                  <c:v>42.767500000000005</c:v>
                </c:pt>
                <c:pt idx="18">
                  <c:v>42.6462</c:v>
                </c:pt>
                <c:pt idx="19">
                  <c:v>42.479900000000001</c:v>
                </c:pt>
                <c:pt idx="20">
                  <c:v>42.3001</c:v>
                </c:pt>
                <c:pt idx="21">
                  <c:v>42.103699999999996</c:v>
                </c:pt>
                <c:pt idx="22">
                  <c:v>41.905099999999997</c:v>
                </c:pt>
                <c:pt idx="23">
                  <c:v>41.756999999999998</c:v>
                </c:pt>
                <c:pt idx="24">
                  <c:v>41.603699999999996</c:v>
                </c:pt>
                <c:pt idx="25">
                  <c:v>41.3842</c:v>
                </c:pt>
                <c:pt idx="26">
                  <c:v>41.213200000000001</c:v>
                </c:pt>
                <c:pt idx="27">
                  <c:v>41.133399999999995</c:v>
                </c:pt>
                <c:pt idx="28">
                  <c:v>41.165600000000005</c:v>
                </c:pt>
                <c:pt idx="29">
                  <c:v>41.277799999999999</c:v>
                </c:pt>
                <c:pt idx="30">
                  <c:v>41.4756</c:v>
                </c:pt>
                <c:pt idx="31">
                  <c:v>41.670499999999997</c:v>
                </c:pt>
                <c:pt idx="32">
                  <c:v>41.8949</c:v>
                </c:pt>
                <c:pt idx="33">
                  <c:v>42.2682</c:v>
                </c:pt>
                <c:pt idx="34">
                  <c:v>42.778199999999998</c:v>
                </c:pt>
                <c:pt idx="35">
                  <c:v>43.131100000000004</c:v>
                </c:pt>
                <c:pt idx="36">
                  <c:v>43.360900000000001</c:v>
                </c:pt>
                <c:pt idx="37">
                  <c:v>43.442399999999999</c:v>
                </c:pt>
                <c:pt idx="38">
                  <c:v>43.447400000000002</c:v>
                </c:pt>
                <c:pt idx="39">
                  <c:v>43.408900000000003</c:v>
                </c:pt>
                <c:pt idx="40">
                  <c:v>43.264299999999999</c:v>
                </c:pt>
                <c:pt idx="41">
                  <c:v>43.007400000000004</c:v>
                </c:pt>
                <c:pt idx="42">
                  <c:v>42.711799999999997</c:v>
                </c:pt>
                <c:pt idx="43">
                  <c:v>42.4193</c:v>
                </c:pt>
                <c:pt idx="44">
                  <c:v>42.156199999999998</c:v>
                </c:pt>
                <c:pt idx="45">
                  <c:v>41.920099999999998</c:v>
                </c:pt>
                <c:pt idx="46">
                  <c:v>41.576099999999997</c:v>
                </c:pt>
                <c:pt idx="47">
                  <c:v>41.256100000000004</c:v>
                </c:pt>
                <c:pt idx="48">
                  <c:v>40.903700000000001</c:v>
                </c:pt>
                <c:pt idx="49">
                  <c:v>40.616999999999997</c:v>
                </c:pt>
                <c:pt idx="50">
                  <c:v>40.4604</c:v>
                </c:pt>
                <c:pt idx="51">
                  <c:v>40.677</c:v>
                </c:pt>
                <c:pt idx="52">
                  <c:v>40.9542</c:v>
                </c:pt>
                <c:pt idx="53">
                  <c:v>41.228400000000001</c:v>
                </c:pt>
                <c:pt idx="54">
                  <c:v>41.452399999999997</c:v>
                </c:pt>
                <c:pt idx="55">
                  <c:v>41.595300000000002</c:v>
                </c:pt>
                <c:pt idx="56">
                  <c:v>41.743200000000002</c:v>
                </c:pt>
                <c:pt idx="57">
                  <c:v>41.904200000000003</c:v>
                </c:pt>
                <c:pt idx="58">
                  <c:v>41.986899999999999</c:v>
                </c:pt>
                <c:pt idx="59">
                  <c:v>41.997099999999996</c:v>
                </c:pt>
                <c:pt idx="60">
                  <c:v>41.966500000000003</c:v>
                </c:pt>
                <c:pt idx="61">
                  <c:v>41.860399999999998</c:v>
                </c:pt>
                <c:pt idx="62">
                  <c:v>41.737299999999998</c:v>
                </c:pt>
                <c:pt idx="63">
                  <c:v>41.671900000000001</c:v>
                </c:pt>
                <c:pt idx="64">
                  <c:v>41.625499999999995</c:v>
                </c:pt>
                <c:pt idx="65">
                  <c:v>41.547600000000003</c:v>
                </c:pt>
                <c:pt idx="66">
                  <c:v>41.436599999999999</c:v>
                </c:pt>
                <c:pt idx="67">
                  <c:v>41.298099999999998</c:v>
                </c:pt>
                <c:pt idx="68">
                  <c:v>41.105000000000004</c:v>
                </c:pt>
                <c:pt idx="69">
                  <c:v>40.892800000000001</c:v>
                </c:pt>
                <c:pt idx="70">
                  <c:v>40.709400000000002</c:v>
                </c:pt>
                <c:pt idx="71">
                  <c:v>40.659199999999998</c:v>
                </c:pt>
                <c:pt idx="72">
                  <c:v>40.495399999999997</c:v>
                </c:pt>
                <c:pt idx="73">
                  <c:v>40.335999999999999</c:v>
                </c:pt>
                <c:pt idx="74">
                  <c:v>39.763199999999998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14.935225000000001</c:v>
                </c:pt>
                <c:pt idx="1">
                  <c:v>44.805675000000001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45.106151351351343</c:v>
                </c:pt>
                <c:pt idx="1">
                  <c:v>42.196514864864874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37.048200000000001</c:v>
                </c:pt>
                <c:pt idx="1">
                  <c:v>31.1159</c:v>
                </c:pt>
                <c:pt idx="2">
                  <c:v>29.369700000000002</c:v>
                </c:pt>
                <c:pt idx="3">
                  <c:v>32.693800000000003</c:v>
                </c:pt>
                <c:pt idx="4">
                  <c:v>72.3125</c:v>
                </c:pt>
                <c:pt idx="5">
                  <c:v>77.045500000000004</c:v>
                </c:pt>
                <c:pt idx="6">
                  <c:v>24.610600000000002</c:v>
                </c:pt>
                <c:pt idx="7">
                  <c:v>74.925600000000003</c:v>
                </c:pt>
                <c:pt idx="8">
                  <c:v>17.9831</c:v>
                </c:pt>
                <c:pt idx="9">
                  <c:v>27.874099999999999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38.815600000000003</c:v>
                </c:pt>
                <c:pt idx="1">
                  <c:v>33.215200000000003</c:v>
                </c:pt>
                <c:pt idx="2">
                  <c:v>34.058100000000003</c:v>
                </c:pt>
                <c:pt idx="3">
                  <c:v>35.4512</c:v>
                </c:pt>
                <c:pt idx="4">
                  <c:v>68.203999999999994</c:v>
                </c:pt>
                <c:pt idx="5">
                  <c:v>68.150499999999994</c:v>
                </c:pt>
                <c:pt idx="6">
                  <c:v>24.826499999999999</c:v>
                </c:pt>
                <c:pt idx="7">
                  <c:v>68.1815</c:v>
                </c:pt>
                <c:pt idx="8">
                  <c:v>14.462899999999999</c:v>
                </c:pt>
                <c:pt idx="9">
                  <c:v>32.526400000000002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0.5286216310470605</c:v>
                </c:pt>
                <c:pt idx="1">
                  <c:v>0.27658790891609442</c:v>
                </c:pt>
                <c:pt idx="2">
                  <c:v>0.19479046003684508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914</c:v>
                </c:pt>
                <c:pt idx="7">
                  <c:v>0</c:v>
                </c:pt>
                <c:pt idx="8">
                  <c:v>1335</c:v>
                </c:pt>
                <c:pt idx="9">
                  <c:v>0</c:v>
                </c:pt>
                <c:pt idx="10">
                  <c:v>0</c:v>
                </c:pt>
                <c:pt idx="11">
                  <c:v>1820</c:v>
                </c:pt>
                <c:pt idx="12">
                  <c:v>0</c:v>
                </c:pt>
                <c:pt idx="13">
                  <c:v>2461</c:v>
                </c:pt>
                <c:pt idx="14">
                  <c:v>0</c:v>
                </c:pt>
                <c:pt idx="15">
                  <c:v>0</c:v>
                </c:pt>
                <c:pt idx="16">
                  <c:v>1754</c:v>
                </c:pt>
                <c:pt idx="17">
                  <c:v>0</c:v>
                </c:pt>
                <c:pt idx="18">
                  <c:v>0</c:v>
                </c:pt>
                <c:pt idx="19">
                  <c:v>3734</c:v>
                </c:pt>
                <c:pt idx="20">
                  <c:v>0</c:v>
                </c:pt>
                <c:pt idx="21">
                  <c:v>5352</c:v>
                </c:pt>
                <c:pt idx="22">
                  <c:v>0</c:v>
                </c:pt>
                <c:pt idx="23">
                  <c:v>0</c:v>
                </c:pt>
                <c:pt idx="24">
                  <c:v>8533</c:v>
                </c:pt>
                <c:pt idx="25">
                  <c:v>0</c:v>
                </c:pt>
                <c:pt idx="26">
                  <c:v>9902</c:v>
                </c:pt>
                <c:pt idx="27">
                  <c:v>0</c:v>
                </c:pt>
                <c:pt idx="28">
                  <c:v>0</c:v>
                </c:pt>
                <c:pt idx="29">
                  <c:v>13014</c:v>
                </c:pt>
                <c:pt idx="30">
                  <c:v>0</c:v>
                </c:pt>
                <c:pt idx="31">
                  <c:v>15707</c:v>
                </c:pt>
                <c:pt idx="32">
                  <c:v>0</c:v>
                </c:pt>
                <c:pt idx="33">
                  <c:v>0</c:v>
                </c:pt>
                <c:pt idx="34">
                  <c:v>21563</c:v>
                </c:pt>
                <c:pt idx="35">
                  <c:v>0</c:v>
                </c:pt>
                <c:pt idx="36">
                  <c:v>0</c:v>
                </c:pt>
                <c:pt idx="37">
                  <c:v>24118</c:v>
                </c:pt>
                <c:pt idx="38">
                  <c:v>0</c:v>
                </c:pt>
                <c:pt idx="39">
                  <c:v>31696</c:v>
                </c:pt>
                <c:pt idx="40">
                  <c:v>0</c:v>
                </c:pt>
                <c:pt idx="41">
                  <c:v>0</c:v>
                </c:pt>
                <c:pt idx="42">
                  <c:v>40026</c:v>
                </c:pt>
                <c:pt idx="43">
                  <c:v>0</c:v>
                </c:pt>
                <c:pt idx="44">
                  <c:v>35359</c:v>
                </c:pt>
                <c:pt idx="45">
                  <c:v>0</c:v>
                </c:pt>
                <c:pt idx="46">
                  <c:v>0</c:v>
                </c:pt>
                <c:pt idx="47">
                  <c:v>43721</c:v>
                </c:pt>
                <c:pt idx="48">
                  <c:v>0</c:v>
                </c:pt>
                <c:pt idx="49">
                  <c:v>53379</c:v>
                </c:pt>
                <c:pt idx="50">
                  <c:v>0</c:v>
                </c:pt>
                <c:pt idx="51">
                  <c:v>0</c:v>
                </c:pt>
                <c:pt idx="52">
                  <c:v>58605</c:v>
                </c:pt>
                <c:pt idx="53">
                  <c:v>0</c:v>
                </c:pt>
                <c:pt idx="54">
                  <c:v>0</c:v>
                </c:pt>
                <c:pt idx="55">
                  <c:v>70466</c:v>
                </c:pt>
                <c:pt idx="56">
                  <c:v>0</c:v>
                </c:pt>
                <c:pt idx="57">
                  <c:v>85636</c:v>
                </c:pt>
                <c:pt idx="58">
                  <c:v>0</c:v>
                </c:pt>
                <c:pt idx="59">
                  <c:v>0</c:v>
                </c:pt>
                <c:pt idx="60">
                  <c:v>88216</c:v>
                </c:pt>
                <c:pt idx="61">
                  <c:v>0</c:v>
                </c:pt>
                <c:pt idx="62">
                  <c:v>96492</c:v>
                </c:pt>
                <c:pt idx="63">
                  <c:v>0</c:v>
                </c:pt>
                <c:pt idx="64">
                  <c:v>0</c:v>
                </c:pt>
                <c:pt idx="65">
                  <c:v>93496</c:v>
                </c:pt>
                <c:pt idx="66">
                  <c:v>0</c:v>
                </c:pt>
                <c:pt idx="67">
                  <c:v>81646</c:v>
                </c:pt>
                <c:pt idx="68">
                  <c:v>0</c:v>
                </c:pt>
                <c:pt idx="69">
                  <c:v>0</c:v>
                </c:pt>
                <c:pt idx="70">
                  <c:v>85811</c:v>
                </c:pt>
                <c:pt idx="71">
                  <c:v>0</c:v>
                </c:pt>
                <c:pt idx="72">
                  <c:v>0</c:v>
                </c:pt>
                <c:pt idx="73">
                  <c:v>90802</c:v>
                </c:pt>
                <c:pt idx="74">
                  <c:v>0</c:v>
                </c:pt>
                <c:pt idx="75">
                  <c:v>93117</c:v>
                </c:pt>
                <c:pt idx="76">
                  <c:v>0</c:v>
                </c:pt>
                <c:pt idx="77">
                  <c:v>0</c:v>
                </c:pt>
                <c:pt idx="78">
                  <c:v>98113</c:v>
                </c:pt>
                <c:pt idx="79">
                  <c:v>0</c:v>
                </c:pt>
                <c:pt idx="80">
                  <c:v>102194</c:v>
                </c:pt>
                <c:pt idx="81">
                  <c:v>0</c:v>
                </c:pt>
                <c:pt idx="82">
                  <c:v>0</c:v>
                </c:pt>
                <c:pt idx="83">
                  <c:v>105111</c:v>
                </c:pt>
                <c:pt idx="84">
                  <c:v>0</c:v>
                </c:pt>
                <c:pt idx="85">
                  <c:v>0</c:v>
                </c:pt>
                <c:pt idx="86">
                  <c:v>106514</c:v>
                </c:pt>
                <c:pt idx="87">
                  <c:v>0</c:v>
                </c:pt>
                <c:pt idx="88">
                  <c:v>100844</c:v>
                </c:pt>
                <c:pt idx="89">
                  <c:v>0</c:v>
                </c:pt>
                <c:pt idx="90">
                  <c:v>0</c:v>
                </c:pt>
                <c:pt idx="91">
                  <c:v>101057</c:v>
                </c:pt>
                <c:pt idx="92">
                  <c:v>0</c:v>
                </c:pt>
                <c:pt idx="93">
                  <c:v>101429</c:v>
                </c:pt>
                <c:pt idx="94">
                  <c:v>0</c:v>
                </c:pt>
                <c:pt idx="95">
                  <c:v>0</c:v>
                </c:pt>
                <c:pt idx="96">
                  <c:v>97039</c:v>
                </c:pt>
                <c:pt idx="97">
                  <c:v>0</c:v>
                </c:pt>
                <c:pt idx="98">
                  <c:v>84981</c:v>
                </c:pt>
                <c:pt idx="99">
                  <c:v>0</c:v>
                </c:pt>
                <c:pt idx="100">
                  <c:v>0</c:v>
                </c:pt>
                <c:pt idx="101">
                  <c:v>79258</c:v>
                </c:pt>
                <c:pt idx="102">
                  <c:v>0</c:v>
                </c:pt>
                <c:pt idx="103">
                  <c:v>0</c:v>
                </c:pt>
                <c:pt idx="104">
                  <c:v>70290</c:v>
                </c:pt>
                <c:pt idx="105">
                  <c:v>0</c:v>
                </c:pt>
                <c:pt idx="106">
                  <c:v>66996</c:v>
                </c:pt>
                <c:pt idx="107">
                  <c:v>0</c:v>
                </c:pt>
                <c:pt idx="108">
                  <c:v>0</c:v>
                </c:pt>
                <c:pt idx="109">
                  <c:v>65135</c:v>
                </c:pt>
                <c:pt idx="110">
                  <c:v>0</c:v>
                </c:pt>
                <c:pt idx="111">
                  <c:v>63008</c:v>
                </c:pt>
                <c:pt idx="112">
                  <c:v>0</c:v>
                </c:pt>
                <c:pt idx="113">
                  <c:v>0</c:v>
                </c:pt>
                <c:pt idx="114">
                  <c:v>62308</c:v>
                </c:pt>
                <c:pt idx="115">
                  <c:v>0</c:v>
                </c:pt>
                <c:pt idx="116">
                  <c:v>61205</c:v>
                </c:pt>
                <c:pt idx="117">
                  <c:v>0</c:v>
                </c:pt>
                <c:pt idx="118">
                  <c:v>0</c:v>
                </c:pt>
                <c:pt idx="119">
                  <c:v>61538</c:v>
                </c:pt>
                <c:pt idx="120">
                  <c:v>0</c:v>
                </c:pt>
                <c:pt idx="121">
                  <c:v>0</c:v>
                </c:pt>
                <c:pt idx="122">
                  <c:v>65127</c:v>
                </c:pt>
                <c:pt idx="123">
                  <c:v>0</c:v>
                </c:pt>
                <c:pt idx="124">
                  <c:v>63452</c:v>
                </c:pt>
                <c:pt idx="125">
                  <c:v>0</c:v>
                </c:pt>
                <c:pt idx="126">
                  <c:v>0</c:v>
                </c:pt>
                <c:pt idx="127">
                  <c:v>55946</c:v>
                </c:pt>
                <c:pt idx="128">
                  <c:v>0</c:v>
                </c:pt>
                <c:pt idx="129">
                  <c:v>51215</c:v>
                </c:pt>
                <c:pt idx="130">
                  <c:v>0</c:v>
                </c:pt>
                <c:pt idx="131">
                  <c:v>0</c:v>
                </c:pt>
                <c:pt idx="132">
                  <c:v>41537</c:v>
                </c:pt>
                <c:pt idx="133">
                  <c:v>0</c:v>
                </c:pt>
                <c:pt idx="134">
                  <c:v>37242</c:v>
                </c:pt>
                <c:pt idx="135">
                  <c:v>0</c:v>
                </c:pt>
                <c:pt idx="136">
                  <c:v>0</c:v>
                </c:pt>
                <c:pt idx="137">
                  <c:v>33314</c:v>
                </c:pt>
                <c:pt idx="138">
                  <c:v>0</c:v>
                </c:pt>
                <c:pt idx="139">
                  <c:v>0</c:v>
                </c:pt>
                <c:pt idx="140">
                  <c:v>27182</c:v>
                </c:pt>
                <c:pt idx="141">
                  <c:v>0</c:v>
                </c:pt>
                <c:pt idx="142">
                  <c:v>22718</c:v>
                </c:pt>
                <c:pt idx="143">
                  <c:v>0</c:v>
                </c:pt>
                <c:pt idx="144">
                  <c:v>0</c:v>
                </c:pt>
                <c:pt idx="145">
                  <c:v>23727</c:v>
                </c:pt>
                <c:pt idx="146">
                  <c:v>0</c:v>
                </c:pt>
                <c:pt idx="147">
                  <c:v>19377</c:v>
                </c:pt>
                <c:pt idx="148">
                  <c:v>0</c:v>
                </c:pt>
                <c:pt idx="149">
                  <c:v>0</c:v>
                </c:pt>
                <c:pt idx="150">
                  <c:v>14914</c:v>
                </c:pt>
                <c:pt idx="151">
                  <c:v>0</c:v>
                </c:pt>
                <c:pt idx="152">
                  <c:v>10621</c:v>
                </c:pt>
                <c:pt idx="153">
                  <c:v>0</c:v>
                </c:pt>
                <c:pt idx="154">
                  <c:v>0</c:v>
                </c:pt>
                <c:pt idx="155">
                  <c:v>8778</c:v>
                </c:pt>
                <c:pt idx="156">
                  <c:v>0</c:v>
                </c:pt>
                <c:pt idx="157">
                  <c:v>0</c:v>
                </c:pt>
                <c:pt idx="158">
                  <c:v>4766</c:v>
                </c:pt>
                <c:pt idx="159">
                  <c:v>0</c:v>
                </c:pt>
                <c:pt idx="160">
                  <c:v>4688</c:v>
                </c:pt>
                <c:pt idx="161">
                  <c:v>0</c:v>
                </c:pt>
                <c:pt idx="162">
                  <c:v>0</c:v>
                </c:pt>
                <c:pt idx="163">
                  <c:v>3474</c:v>
                </c:pt>
                <c:pt idx="164">
                  <c:v>0</c:v>
                </c:pt>
                <c:pt idx="165">
                  <c:v>2904</c:v>
                </c:pt>
                <c:pt idx="166">
                  <c:v>0</c:v>
                </c:pt>
                <c:pt idx="167">
                  <c:v>0</c:v>
                </c:pt>
                <c:pt idx="168">
                  <c:v>1525</c:v>
                </c:pt>
                <c:pt idx="169">
                  <c:v>0</c:v>
                </c:pt>
                <c:pt idx="170">
                  <c:v>0</c:v>
                </c:pt>
                <c:pt idx="171">
                  <c:v>997</c:v>
                </c:pt>
                <c:pt idx="172">
                  <c:v>0</c:v>
                </c:pt>
                <c:pt idx="173">
                  <c:v>789</c:v>
                </c:pt>
                <c:pt idx="174">
                  <c:v>0</c:v>
                </c:pt>
                <c:pt idx="175">
                  <c:v>0</c:v>
                </c:pt>
                <c:pt idx="176">
                  <c:v>419</c:v>
                </c:pt>
                <c:pt idx="177">
                  <c:v>0</c:v>
                </c:pt>
                <c:pt idx="178">
                  <c:v>260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1353</c:v>
                </c:pt>
                <c:pt idx="7">
                  <c:v>0</c:v>
                </c:pt>
                <c:pt idx="8">
                  <c:v>2641</c:v>
                </c:pt>
                <c:pt idx="9">
                  <c:v>0</c:v>
                </c:pt>
                <c:pt idx="10">
                  <c:v>0</c:v>
                </c:pt>
                <c:pt idx="11">
                  <c:v>5168</c:v>
                </c:pt>
                <c:pt idx="12">
                  <c:v>0</c:v>
                </c:pt>
                <c:pt idx="13">
                  <c:v>7294</c:v>
                </c:pt>
                <c:pt idx="14">
                  <c:v>0</c:v>
                </c:pt>
                <c:pt idx="15">
                  <c:v>0</c:v>
                </c:pt>
                <c:pt idx="16">
                  <c:v>9502</c:v>
                </c:pt>
                <c:pt idx="17">
                  <c:v>0</c:v>
                </c:pt>
                <c:pt idx="18">
                  <c:v>0</c:v>
                </c:pt>
                <c:pt idx="19">
                  <c:v>12741</c:v>
                </c:pt>
                <c:pt idx="20">
                  <c:v>0</c:v>
                </c:pt>
                <c:pt idx="21">
                  <c:v>14924</c:v>
                </c:pt>
                <c:pt idx="22">
                  <c:v>0</c:v>
                </c:pt>
                <c:pt idx="23">
                  <c:v>0</c:v>
                </c:pt>
                <c:pt idx="24">
                  <c:v>13081</c:v>
                </c:pt>
                <c:pt idx="25">
                  <c:v>0</c:v>
                </c:pt>
                <c:pt idx="26">
                  <c:v>17907</c:v>
                </c:pt>
                <c:pt idx="27">
                  <c:v>0</c:v>
                </c:pt>
                <c:pt idx="28">
                  <c:v>0</c:v>
                </c:pt>
                <c:pt idx="29">
                  <c:v>19614</c:v>
                </c:pt>
                <c:pt idx="30">
                  <c:v>0</c:v>
                </c:pt>
                <c:pt idx="31">
                  <c:v>23225</c:v>
                </c:pt>
                <c:pt idx="32">
                  <c:v>0</c:v>
                </c:pt>
                <c:pt idx="33">
                  <c:v>0</c:v>
                </c:pt>
                <c:pt idx="34">
                  <c:v>25910</c:v>
                </c:pt>
                <c:pt idx="35">
                  <c:v>0</c:v>
                </c:pt>
                <c:pt idx="36">
                  <c:v>0</c:v>
                </c:pt>
                <c:pt idx="37">
                  <c:v>22340</c:v>
                </c:pt>
                <c:pt idx="38">
                  <c:v>0</c:v>
                </c:pt>
                <c:pt idx="39">
                  <c:v>25544</c:v>
                </c:pt>
                <c:pt idx="40">
                  <c:v>0</c:v>
                </c:pt>
                <c:pt idx="41">
                  <c:v>0</c:v>
                </c:pt>
                <c:pt idx="42">
                  <c:v>28775</c:v>
                </c:pt>
                <c:pt idx="43">
                  <c:v>0</c:v>
                </c:pt>
                <c:pt idx="44">
                  <c:v>29961</c:v>
                </c:pt>
                <c:pt idx="45">
                  <c:v>0</c:v>
                </c:pt>
                <c:pt idx="46">
                  <c:v>0</c:v>
                </c:pt>
                <c:pt idx="47">
                  <c:v>39116</c:v>
                </c:pt>
                <c:pt idx="48">
                  <c:v>0</c:v>
                </c:pt>
                <c:pt idx="49">
                  <c:v>48056</c:v>
                </c:pt>
                <c:pt idx="50">
                  <c:v>0</c:v>
                </c:pt>
                <c:pt idx="51">
                  <c:v>0</c:v>
                </c:pt>
                <c:pt idx="52">
                  <c:v>50369</c:v>
                </c:pt>
                <c:pt idx="53">
                  <c:v>0</c:v>
                </c:pt>
                <c:pt idx="54">
                  <c:v>0</c:v>
                </c:pt>
                <c:pt idx="55">
                  <c:v>58806</c:v>
                </c:pt>
                <c:pt idx="56">
                  <c:v>0</c:v>
                </c:pt>
                <c:pt idx="57">
                  <c:v>65562</c:v>
                </c:pt>
                <c:pt idx="58">
                  <c:v>0</c:v>
                </c:pt>
                <c:pt idx="59">
                  <c:v>0</c:v>
                </c:pt>
                <c:pt idx="60">
                  <c:v>72916</c:v>
                </c:pt>
                <c:pt idx="61">
                  <c:v>0</c:v>
                </c:pt>
                <c:pt idx="62">
                  <c:v>78357</c:v>
                </c:pt>
                <c:pt idx="63">
                  <c:v>0</c:v>
                </c:pt>
                <c:pt idx="64">
                  <c:v>0</c:v>
                </c:pt>
                <c:pt idx="65">
                  <c:v>90503</c:v>
                </c:pt>
                <c:pt idx="66">
                  <c:v>0</c:v>
                </c:pt>
                <c:pt idx="67">
                  <c:v>97652</c:v>
                </c:pt>
                <c:pt idx="68">
                  <c:v>0</c:v>
                </c:pt>
                <c:pt idx="69">
                  <c:v>0</c:v>
                </c:pt>
                <c:pt idx="70">
                  <c:v>106707</c:v>
                </c:pt>
                <c:pt idx="71">
                  <c:v>0</c:v>
                </c:pt>
                <c:pt idx="72">
                  <c:v>0</c:v>
                </c:pt>
                <c:pt idx="73">
                  <c:v>110815</c:v>
                </c:pt>
                <c:pt idx="74">
                  <c:v>0</c:v>
                </c:pt>
                <c:pt idx="75">
                  <c:v>122154</c:v>
                </c:pt>
                <c:pt idx="76">
                  <c:v>0</c:v>
                </c:pt>
                <c:pt idx="77">
                  <c:v>0</c:v>
                </c:pt>
                <c:pt idx="78">
                  <c:v>126333</c:v>
                </c:pt>
                <c:pt idx="79">
                  <c:v>0</c:v>
                </c:pt>
                <c:pt idx="80">
                  <c:v>134549</c:v>
                </c:pt>
                <c:pt idx="81">
                  <c:v>0</c:v>
                </c:pt>
                <c:pt idx="82">
                  <c:v>0</c:v>
                </c:pt>
                <c:pt idx="83">
                  <c:v>144190</c:v>
                </c:pt>
                <c:pt idx="84">
                  <c:v>0</c:v>
                </c:pt>
                <c:pt idx="85">
                  <c:v>0</c:v>
                </c:pt>
                <c:pt idx="86">
                  <c:v>147068</c:v>
                </c:pt>
                <c:pt idx="87">
                  <c:v>0</c:v>
                </c:pt>
                <c:pt idx="88">
                  <c:v>138801</c:v>
                </c:pt>
                <c:pt idx="89">
                  <c:v>0</c:v>
                </c:pt>
                <c:pt idx="90">
                  <c:v>0</c:v>
                </c:pt>
                <c:pt idx="91">
                  <c:v>138742</c:v>
                </c:pt>
                <c:pt idx="92">
                  <c:v>0</c:v>
                </c:pt>
                <c:pt idx="93">
                  <c:v>137798</c:v>
                </c:pt>
                <c:pt idx="94">
                  <c:v>0</c:v>
                </c:pt>
                <c:pt idx="95">
                  <c:v>0</c:v>
                </c:pt>
                <c:pt idx="96">
                  <c:v>120454</c:v>
                </c:pt>
                <c:pt idx="97">
                  <c:v>0</c:v>
                </c:pt>
                <c:pt idx="98">
                  <c:v>111448</c:v>
                </c:pt>
                <c:pt idx="99">
                  <c:v>0</c:v>
                </c:pt>
                <c:pt idx="100">
                  <c:v>0</c:v>
                </c:pt>
                <c:pt idx="101">
                  <c:v>109924</c:v>
                </c:pt>
                <c:pt idx="102">
                  <c:v>0</c:v>
                </c:pt>
                <c:pt idx="103">
                  <c:v>0</c:v>
                </c:pt>
                <c:pt idx="104">
                  <c:v>109475</c:v>
                </c:pt>
                <c:pt idx="105">
                  <c:v>0</c:v>
                </c:pt>
                <c:pt idx="106">
                  <c:v>97657</c:v>
                </c:pt>
                <c:pt idx="107">
                  <c:v>0</c:v>
                </c:pt>
                <c:pt idx="108">
                  <c:v>0</c:v>
                </c:pt>
                <c:pt idx="109">
                  <c:v>96273</c:v>
                </c:pt>
                <c:pt idx="110">
                  <c:v>0</c:v>
                </c:pt>
                <c:pt idx="111">
                  <c:v>95492</c:v>
                </c:pt>
                <c:pt idx="112">
                  <c:v>0</c:v>
                </c:pt>
                <c:pt idx="113">
                  <c:v>0</c:v>
                </c:pt>
                <c:pt idx="114">
                  <c:v>98843</c:v>
                </c:pt>
                <c:pt idx="115">
                  <c:v>0</c:v>
                </c:pt>
                <c:pt idx="116">
                  <c:v>91868</c:v>
                </c:pt>
                <c:pt idx="117">
                  <c:v>0</c:v>
                </c:pt>
                <c:pt idx="118">
                  <c:v>0</c:v>
                </c:pt>
                <c:pt idx="119">
                  <c:v>93500</c:v>
                </c:pt>
                <c:pt idx="120">
                  <c:v>0</c:v>
                </c:pt>
                <c:pt idx="121">
                  <c:v>0</c:v>
                </c:pt>
                <c:pt idx="122">
                  <c:v>89162</c:v>
                </c:pt>
                <c:pt idx="123">
                  <c:v>0</c:v>
                </c:pt>
                <c:pt idx="124">
                  <c:v>87898</c:v>
                </c:pt>
                <c:pt idx="125">
                  <c:v>0</c:v>
                </c:pt>
                <c:pt idx="126">
                  <c:v>0</c:v>
                </c:pt>
                <c:pt idx="127">
                  <c:v>80675</c:v>
                </c:pt>
                <c:pt idx="128">
                  <c:v>0</c:v>
                </c:pt>
                <c:pt idx="129">
                  <c:v>75477</c:v>
                </c:pt>
                <c:pt idx="130">
                  <c:v>0</c:v>
                </c:pt>
                <c:pt idx="131">
                  <c:v>0</c:v>
                </c:pt>
                <c:pt idx="132">
                  <c:v>62183</c:v>
                </c:pt>
                <c:pt idx="133">
                  <c:v>0</c:v>
                </c:pt>
                <c:pt idx="134">
                  <c:v>56334</c:v>
                </c:pt>
                <c:pt idx="135">
                  <c:v>0</c:v>
                </c:pt>
                <c:pt idx="136">
                  <c:v>0</c:v>
                </c:pt>
                <c:pt idx="137">
                  <c:v>47460</c:v>
                </c:pt>
                <c:pt idx="138">
                  <c:v>0</c:v>
                </c:pt>
                <c:pt idx="139">
                  <c:v>0</c:v>
                </c:pt>
                <c:pt idx="140">
                  <c:v>41364</c:v>
                </c:pt>
                <c:pt idx="141">
                  <c:v>0</c:v>
                </c:pt>
                <c:pt idx="142">
                  <c:v>31784</c:v>
                </c:pt>
                <c:pt idx="143">
                  <c:v>0</c:v>
                </c:pt>
                <c:pt idx="144">
                  <c:v>0</c:v>
                </c:pt>
                <c:pt idx="145">
                  <c:v>28102</c:v>
                </c:pt>
                <c:pt idx="146">
                  <c:v>0</c:v>
                </c:pt>
                <c:pt idx="147">
                  <c:v>22710</c:v>
                </c:pt>
                <c:pt idx="148">
                  <c:v>0</c:v>
                </c:pt>
                <c:pt idx="149">
                  <c:v>0</c:v>
                </c:pt>
                <c:pt idx="150">
                  <c:v>18493</c:v>
                </c:pt>
                <c:pt idx="151">
                  <c:v>0</c:v>
                </c:pt>
                <c:pt idx="152">
                  <c:v>16718</c:v>
                </c:pt>
                <c:pt idx="153">
                  <c:v>0</c:v>
                </c:pt>
                <c:pt idx="154">
                  <c:v>0</c:v>
                </c:pt>
                <c:pt idx="155">
                  <c:v>10596</c:v>
                </c:pt>
                <c:pt idx="156">
                  <c:v>0</c:v>
                </c:pt>
                <c:pt idx="157">
                  <c:v>0</c:v>
                </c:pt>
                <c:pt idx="158">
                  <c:v>9090</c:v>
                </c:pt>
                <c:pt idx="159">
                  <c:v>0</c:v>
                </c:pt>
                <c:pt idx="160">
                  <c:v>7423</c:v>
                </c:pt>
                <c:pt idx="161">
                  <c:v>0</c:v>
                </c:pt>
                <c:pt idx="162">
                  <c:v>0</c:v>
                </c:pt>
                <c:pt idx="163">
                  <c:v>3891</c:v>
                </c:pt>
                <c:pt idx="164">
                  <c:v>0</c:v>
                </c:pt>
                <c:pt idx="165">
                  <c:v>1481</c:v>
                </c:pt>
                <c:pt idx="166">
                  <c:v>0</c:v>
                </c:pt>
                <c:pt idx="167">
                  <c:v>0</c:v>
                </c:pt>
                <c:pt idx="168">
                  <c:v>2402</c:v>
                </c:pt>
                <c:pt idx="169">
                  <c:v>0</c:v>
                </c:pt>
                <c:pt idx="170">
                  <c:v>0</c:v>
                </c:pt>
                <c:pt idx="171">
                  <c:v>1931</c:v>
                </c:pt>
                <c:pt idx="172">
                  <c:v>0</c:v>
                </c:pt>
                <c:pt idx="173">
                  <c:v>1059</c:v>
                </c:pt>
                <c:pt idx="174">
                  <c:v>0</c:v>
                </c:pt>
                <c:pt idx="175">
                  <c:v>0</c:v>
                </c:pt>
                <c:pt idx="176">
                  <c:v>996</c:v>
                </c:pt>
                <c:pt idx="177">
                  <c:v>0</c:v>
                </c:pt>
                <c:pt idx="178">
                  <c:v>1287</c:v>
                </c:pt>
                <c:pt idx="179">
                  <c:v>0</c:v>
                </c:pt>
                <c:pt idx="180">
                  <c:v>0</c:v>
                </c:pt>
                <c:pt idx="181">
                  <c:v>747</c:v>
                </c:pt>
                <c:pt idx="182">
                  <c:v>0</c:v>
                </c:pt>
                <c:pt idx="183">
                  <c:v>567</c:v>
                </c:pt>
                <c:pt idx="184">
                  <c:v>0</c:v>
                </c:pt>
                <c:pt idx="185">
                  <c:v>0</c:v>
                </c:pt>
                <c:pt idx="186">
                  <c:v>650</c:v>
                </c:pt>
                <c:pt idx="187">
                  <c:v>0</c:v>
                </c:pt>
                <c:pt idx="188">
                  <c:v>0</c:v>
                </c:pt>
                <c:pt idx="189">
                  <c:v>370</c:v>
                </c:pt>
                <c:pt idx="190">
                  <c:v>0</c:v>
                </c:pt>
                <c:pt idx="191">
                  <c:v>232</c:v>
                </c:pt>
                <c:pt idx="192">
                  <c:v>0</c:v>
                </c:pt>
                <c:pt idx="193">
                  <c:v>0</c:v>
                </c:pt>
                <c:pt idx="194">
                  <c:v>139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0.16586619803525507</c:v>
                </c:pt>
                <c:pt idx="1">
                  <c:v>0.34564062408294316</c:v>
                </c:pt>
                <c:pt idx="2">
                  <c:v>0.4884931778818018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0.49337873848200348</c:v>
                </c:pt>
                <c:pt idx="1">
                  <c:v>0.30446509774970465</c:v>
                </c:pt>
                <c:pt idx="2">
                  <c:v>0.20215616376829176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6.3118474999999998</c:v>
                </c:pt>
                <c:pt idx="1">
                  <c:v>6.6295824999999997</c:v>
                </c:pt>
                <c:pt idx="2">
                  <c:v>32.834000000000003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  <c:pt idx="74">
                  <c:v>30.056000000000001</c:v>
                </c:pt>
                <c:pt idx="75">
                  <c:v>30.490100000000002</c:v>
                </c:pt>
                <c:pt idx="76">
                  <c:v>30.895099999999999</c:v>
                </c:pt>
                <c:pt idx="77">
                  <c:v>31.301100000000002</c:v>
                </c:pt>
                <c:pt idx="78">
                  <c:v>31.711300000000001</c:v>
                </c:pt>
                <c:pt idx="79">
                  <c:v>32.116100000000003</c:v>
                </c:pt>
                <c:pt idx="80">
                  <c:v>32.520200000000003</c:v>
                </c:pt>
                <c:pt idx="81">
                  <c:v>32.9253</c:v>
                </c:pt>
                <c:pt idx="82">
                  <c:v>33.334200000000003</c:v>
                </c:pt>
                <c:pt idx="83">
                  <c:v>33.744999999999997</c:v>
                </c:pt>
                <c:pt idx="84">
                  <c:v>34.147300000000001</c:v>
                </c:pt>
                <c:pt idx="85">
                  <c:v>34.551600000000001</c:v>
                </c:pt>
                <c:pt idx="86">
                  <c:v>34.957900000000002</c:v>
                </c:pt>
                <c:pt idx="87">
                  <c:v>35.366</c:v>
                </c:pt>
                <c:pt idx="88">
                  <c:v>35.770899999999997</c:v>
                </c:pt>
                <c:pt idx="89">
                  <c:v>36.178899999999999</c:v>
                </c:pt>
                <c:pt idx="90">
                  <c:v>36.582599999999999</c:v>
                </c:pt>
                <c:pt idx="91">
                  <c:v>36.989899999999999</c:v>
                </c:pt>
                <c:pt idx="92">
                  <c:v>37.393999999999998</c:v>
                </c:pt>
                <c:pt idx="93">
                  <c:v>37.802</c:v>
                </c:pt>
                <c:pt idx="94">
                  <c:v>38.209800000000001</c:v>
                </c:pt>
                <c:pt idx="95">
                  <c:v>38.613999999999997</c:v>
                </c:pt>
                <c:pt idx="96">
                  <c:v>39.0214</c:v>
                </c:pt>
                <c:pt idx="97">
                  <c:v>39.4255</c:v>
                </c:pt>
                <c:pt idx="98">
                  <c:v>39.834600000000002</c:v>
                </c:pt>
                <c:pt idx="99">
                  <c:v>40.241700000000002</c:v>
                </c:pt>
                <c:pt idx="100">
                  <c:v>40.6449</c:v>
                </c:pt>
                <c:pt idx="101">
                  <c:v>41.051400000000001</c:v>
                </c:pt>
                <c:pt idx="102">
                  <c:v>41.456499999999998</c:v>
                </c:pt>
                <c:pt idx="103">
                  <c:v>41.865000000000002</c:v>
                </c:pt>
                <c:pt idx="104">
                  <c:v>42.270200000000003</c:v>
                </c:pt>
                <c:pt idx="105">
                  <c:v>42.677999999999997</c:v>
                </c:pt>
                <c:pt idx="106">
                  <c:v>43.079500000000003</c:v>
                </c:pt>
                <c:pt idx="107">
                  <c:v>43.492899999999999</c:v>
                </c:pt>
                <c:pt idx="108">
                  <c:v>43.896799999999999</c:v>
                </c:pt>
                <c:pt idx="109">
                  <c:v>44.305</c:v>
                </c:pt>
                <c:pt idx="110">
                  <c:v>44.709000000000003</c:v>
                </c:pt>
                <c:pt idx="111">
                  <c:v>45.113199999999999</c:v>
                </c:pt>
                <c:pt idx="112">
                  <c:v>45.519799999999996</c:v>
                </c:pt>
                <c:pt idx="113">
                  <c:v>45.927300000000002</c:v>
                </c:pt>
                <c:pt idx="114">
                  <c:v>46.3339</c:v>
                </c:pt>
                <c:pt idx="115">
                  <c:v>46.741100000000003</c:v>
                </c:pt>
                <c:pt idx="116">
                  <c:v>47.143999999999998</c:v>
                </c:pt>
                <c:pt idx="117">
                  <c:v>47.550600000000003</c:v>
                </c:pt>
                <c:pt idx="118">
                  <c:v>47.961399999999998</c:v>
                </c:pt>
                <c:pt idx="119">
                  <c:v>48.366399999999999</c:v>
                </c:pt>
                <c:pt idx="120">
                  <c:v>48.772500000000001</c:v>
                </c:pt>
                <c:pt idx="121">
                  <c:v>49.174900000000001</c:v>
                </c:pt>
                <c:pt idx="122">
                  <c:v>49.584600000000002</c:v>
                </c:pt>
                <c:pt idx="123">
                  <c:v>49.988900000000001</c:v>
                </c:pt>
                <c:pt idx="124">
                  <c:v>50.392299999999999</c:v>
                </c:pt>
                <c:pt idx="125">
                  <c:v>50.8005</c:v>
                </c:pt>
                <c:pt idx="126">
                  <c:v>51.208300000000001</c:v>
                </c:pt>
                <c:pt idx="127">
                  <c:v>51.615900000000003</c:v>
                </c:pt>
                <c:pt idx="128">
                  <c:v>52.021299999999997</c:v>
                </c:pt>
                <c:pt idx="129">
                  <c:v>52.426499999999997</c:v>
                </c:pt>
                <c:pt idx="130">
                  <c:v>52.832000000000001</c:v>
                </c:pt>
                <c:pt idx="131">
                  <c:v>53.241799999999998</c:v>
                </c:pt>
                <c:pt idx="132">
                  <c:v>53.647399999999998</c:v>
                </c:pt>
                <c:pt idx="133">
                  <c:v>54.0535</c:v>
                </c:pt>
                <c:pt idx="134">
                  <c:v>54.456000000000003</c:v>
                </c:pt>
                <c:pt idx="135">
                  <c:v>54.865000000000002</c:v>
                </c:pt>
                <c:pt idx="136">
                  <c:v>55.272799999999997</c:v>
                </c:pt>
                <c:pt idx="137">
                  <c:v>55.674399999999999</c:v>
                </c:pt>
                <c:pt idx="138">
                  <c:v>56.084099999999999</c:v>
                </c:pt>
                <c:pt idx="139">
                  <c:v>56.488900000000001</c:v>
                </c:pt>
                <c:pt idx="140">
                  <c:v>56.8932</c:v>
                </c:pt>
                <c:pt idx="141">
                  <c:v>57.300899999999999</c:v>
                </c:pt>
                <c:pt idx="142">
                  <c:v>57.7072</c:v>
                </c:pt>
                <c:pt idx="143">
                  <c:v>58.1173</c:v>
                </c:pt>
                <c:pt idx="144">
                  <c:v>58.521000000000001</c:v>
                </c:pt>
                <c:pt idx="145">
                  <c:v>58.9283</c:v>
                </c:pt>
                <c:pt idx="146">
                  <c:v>59.333399999999997</c:v>
                </c:pt>
                <c:pt idx="147">
                  <c:v>59.740900000000003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  <c:pt idx="74">
                  <c:v>3.3927800000000001</c:v>
                </c:pt>
                <c:pt idx="75">
                  <c:v>3.4309400000000001</c:v>
                </c:pt>
                <c:pt idx="76">
                  <c:v>3.4700899999999999</c:v>
                </c:pt>
                <c:pt idx="77">
                  <c:v>3.5090399999999997</c:v>
                </c:pt>
                <c:pt idx="78">
                  <c:v>3.54657</c:v>
                </c:pt>
                <c:pt idx="79">
                  <c:v>3.5781900000000002</c:v>
                </c:pt>
                <c:pt idx="80">
                  <c:v>3.60853</c:v>
                </c:pt>
                <c:pt idx="81">
                  <c:v>3.63801</c:v>
                </c:pt>
                <c:pt idx="82">
                  <c:v>3.6657899999999999</c:v>
                </c:pt>
                <c:pt idx="83">
                  <c:v>3.6889799999999999</c:v>
                </c:pt>
                <c:pt idx="84">
                  <c:v>3.7081399999999998</c:v>
                </c:pt>
                <c:pt idx="85">
                  <c:v>3.7225599999999996</c:v>
                </c:pt>
                <c:pt idx="86">
                  <c:v>3.7351000000000001</c:v>
                </c:pt>
                <c:pt idx="87">
                  <c:v>3.7487599999999999</c:v>
                </c:pt>
                <c:pt idx="88">
                  <c:v>3.7583100000000003</c:v>
                </c:pt>
                <c:pt idx="89">
                  <c:v>3.7656899999999998</c:v>
                </c:pt>
                <c:pt idx="90">
                  <c:v>3.7673699999999997</c:v>
                </c:pt>
                <c:pt idx="91">
                  <c:v>3.7647599999999999</c:v>
                </c:pt>
                <c:pt idx="92">
                  <c:v>3.75475</c:v>
                </c:pt>
                <c:pt idx="93">
                  <c:v>3.7445400000000002</c:v>
                </c:pt>
                <c:pt idx="94">
                  <c:v>3.73027</c:v>
                </c:pt>
                <c:pt idx="95">
                  <c:v>3.7105300000000003</c:v>
                </c:pt>
                <c:pt idx="96">
                  <c:v>3.6882100000000002</c:v>
                </c:pt>
                <c:pt idx="97">
                  <c:v>3.66377</c:v>
                </c:pt>
                <c:pt idx="98">
                  <c:v>3.63639</c:v>
                </c:pt>
                <c:pt idx="99">
                  <c:v>3.6078000000000001</c:v>
                </c:pt>
                <c:pt idx="100">
                  <c:v>3.5768499999999999</c:v>
                </c:pt>
                <c:pt idx="101">
                  <c:v>3.5452699999999999</c:v>
                </c:pt>
                <c:pt idx="102">
                  <c:v>3.5166900000000001</c:v>
                </c:pt>
                <c:pt idx="103">
                  <c:v>3.4910999999999999</c:v>
                </c:pt>
                <c:pt idx="104">
                  <c:v>3.4674300000000002</c:v>
                </c:pt>
                <c:pt idx="105">
                  <c:v>3.4456599999999997</c:v>
                </c:pt>
                <c:pt idx="106">
                  <c:v>3.4249700000000001</c:v>
                </c:pt>
                <c:pt idx="107">
                  <c:v>3.4050500000000001</c:v>
                </c:pt>
                <c:pt idx="108">
                  <c:v>3.3922099999999999</c:v>
                </c:pt>
                <c:pt idx="109">
                  <c:v>3.3884799999999999</c:v>
                </c:pt>
                <c:pt idx="110">
                  <c:v>3.3916600000000003</c:v>
                </c:pt>
                <c:pt idx="111">
                  <c:v>3.39655</c:v>
                </c:pt>
                <c:pt idx="112">
                  <c:v>3.4030300000000002</c:v>
                </c:pt>
                <c:pt idx="113">
                  <c:v>3.4146199999999998</c:v>
                </c:pt>
                <c:pt idx="114">
                  <c:v>3.4310299999999998</c:v>
                </c:pt>
                <c:pt idx="115">
                  <c:v>3.4504400000000004</c:v>
                </c:pt>
                <c:pt idx="116">
                  <c:v>3.4710600000000005</c:v>
                </c:pt>
                <c:pt idx="117">
                  <c:v>3.4957799999999999</c:v>
                </c:pt>
                <c:pt idx="118">
                  <c:v>3.5207600000000001</c:v>
                </c:pt>
                <c:pt idx="119">
                  <c:v>3.5530400000000002</c:v>
                </c:pt>
                <c:pt idx="120">
                  <c:v>3.5906199999999999</c:v>
                </c:pt>
                <c:pt idx="121">
                  <c:v>3.63151</c:v>
                </c:pt>
                <c:pt idx="122">
                  <c:v>3.6760199999999998</c:v>
                </c:pt>
                <c:pt idx="123">
                  <c:v>3.7230400000000001</c:v>
                </c:pt>
                <c:pt idx="124">
                  <c:v>3.7471399999999999</c:v>
                </c:pt>
                <c:pt idx="125">
                  <c:v>3.7735500000000002</c:v>
                </c:pt>
                <c:pt idx="126">
                  <c:v>3.8001</c:v>
                </c:pt>
                <c:pt idx="127">
                  <c:v>3.8262099999999997</c:v>
                </c:pt>
                <c:pt idx="128">
                  <c:v>3.8516499999999998</c:v>
                </c:pt>
                <c:pt idx="129">
                  <c:v>3.8780199999999998</c:v>
                </c:pt>
                <c:pt idx="130">
                  <c:v>3.9039700000000002</c:v>
                </c:pt>
                <c:pt idx="131">
                  <c:v>3.9296199999999999</c:v>
                </c:pt>
                <c:pt idx="132">
                  <c:v>3.9540500000000001</c:v>
                </c:pt>
                <c:pt idx="133">
                  <c:v>3.9765800000000002</c:v>
                </c:pt>
                <c:pt idx="134">
                  <c:v>3.9982199999999999</c:v>
                </c:pt>
                <c:pt idx="135">
                  <c:v>4.0191699999999999</c:v>
                </c:pt>
                <c:pt idx="136">
                  <c:v>4.0414599999999998</c:v>
                </c:pt>
                <c:pt idx="137">
                  <c:v>4.0631500000000003</c:v>
                </c:pt>
                <c:pt idx="138">
                  <c:v>4.0797400000000001</c:v>
                </c:pt>
                <c:pt idx="139">
                  <c:v>4.0884900000000002</c:v>
                </c:pt>
                <c:pt idx="140">
                  <c:v>4.0988199999999999</c:v>
                </c:pt>
                <c:pt idx="141">
                  <c:v>4.1165500000000002</c:v>
                </c:pt>
                <c:pt idx="142">
                  <c:v>4.1407400000000001</c:v>
                </c:pt>
                <c:pt idx="143">
                  <c:v>4.1727799999999995</c:v>
                </c:pt>
                <c:pt idx="144">
                  <c:v>4.1958099999999998</c:v>
                </c:pt>
                <c:pt idx="145">
                  <c:v>4.2181999999999995</c:v>
                </c:pt>
                <c:pt idx="146">
                  <c:v>4.2329800000000004</c:v>
                </c:pt>
                <c:pt idx="147">
                  <c:v>4.2389000000000001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29.644300000000001</c:v>
                </c:pt>
                <c:pt idx="1">
                  <c:v>30.056000000000001</c:v>
                </c:pt>
                <c:pt idx="2">
                  <c:v>30.490100000000002</c:v>
                </c:pt>
                <c:pt idx="3">
                  <c:v>30.895099999999999</c:v>
                </c:pt>
                <c:pt idx="4">
                  <c:v>31.301100000000002</c:v>
                </c:pt>
                <c:pt idx="5">
                  <c:v>31.711300000000001</c:v>
                </c:pt>
                <c:pt idx="6">
                  <c:v>32.116100000000003</c:v>
                </c:pt>
                <c:pt idx="7">
                  <c:v>32.520200000000003</c:v>
                </c:pt>
                <c:pt idx="8">
                  <c:v>32.9253</c:v>
                </c:pt>
                <c:pt idx="9">
                  <c:v>33.334200000000003</c:v>
                </c:pt>
                <c:pt idx="10">
                  <c:v>33.744999999999997</c:v>
                </c:pt>
                <c:pt idx="11">
                  <c:v>34.147300000000001</c:v>
                </c:pt>
                <c:pt idx="12">
                  <c:v>34.551600000000001</c:v>
                </c:pt>
                <c:pt idx="13">
                  <c:v>34.957900000000002</c:v>
                </c:pt>
                <c:pt idx="14">
                  <c:v>35.366</c:v>
                </c:pt>
                <c:pt idx="15">
                  <c:v>35.770899999999997</c:v>
                </c:pt>
                <c:pt idx="16">
                  <c:v>36.178899999999999</c:v>
                </c:pt>
                <c:pt idx="17">
                  <c:v>36.582599999999999</c:v>
                </c:pt>
                <c:pt idx="18">
                  <c:v>36.989899999999999</c:v>
                </c:pt>
                <c:pt idx="19">
                  <c:v>37.393999999999998</c:v>
                </c:pt>
                <c:pt idx="20">
                  <c:v>37.802</c:v>
                </c:pt>
                <c:pt idx="21">
                  <c:v>38.209800000000001</c:v>
                </c:pt>
                <c:pt idx="22">
                  <c:v>38.613999999999997</c:v>
                </c:pt>
                <c:pt idx="23">
                  <c:v>39.0214</c:v>
                </c:pt>
                <c:pt idx="24">
                  <c:v>39.4255</c:v>
                </c:pt>
                <c:pt idx="25">
                  <c:v>39.834600000000002</c:v>
                </c:pt>
                <c:pt idx="26">
                  <c:v>40.241700000000002</c:v>
                </c:pt>
                <c:pt idx="27">
                  <c:v>40.6449</c:v>
                </c:pt>
                <c:pt idx="28">
                  <c:v>41.051400000000001</c:v>
                </c:pt>
                <c:pt idx="29">
                  <c:v>41.456499999999998</c:v>
                </c:pt>
                <c:pt idx="30">
                  <c:v>41.865000000000002</c:v>
                </c:pt>
                <c:pt idx="31">
                  <c:v>42.270200000000003</c:v>
                </c:pt>
                <c:pt idx="32">
                  <c:v>42.677999999999997</c:v>
                </c:pt>
                <c:pt idx="33">
                  <c:v>43.079500000000003</c:v>
                </c:pt>
                <c:pt idx="34">
                  <c:v>43.492899999999999</c:v>
                </c:pt>
                <c:pt idx="35">
                  <c:v>43.896799999999999</c:v>
                </c:pt>
                <c:pt idx="36">
                  <c:v>44.305</c:v>
                </c:pt>
                <c:pt idx="37">
                  <c:v>44.709000000000003</c:v>
                </c:pt>
                <c:pt idx="38">
                  <c:v>45.113199999999999</c:v>
                </c:pt>
                <c:pt idx="39">
                  <c:v>45.519799999999996</c:v>
                </c:pt>
                <c:pt idx="40">
                  <c:v>45.927300000000002</c:v>
                </c:pt>
                <c:pt idx="41">
                  <c:v>46.3339</c:v>
                </c:pt>
                <c:pt idx="42">
                  <c:v>46.741100000000003</c:v>
                </c:pt>
                <c:pt idx="43">
                  <c:v>47.143999999999998</c:v>
                </c:pt>
                <c:pt idx="44">
                  <c:v>47.550600000000003</c:v>
                </c:pt>
                <c:pt idx="45">
                  <c:v>47.961399999999998</c:v>
                </c:pt>
                <c:pt idx="46">
                  <c:v>48.366399999999999</c:v>
                </c:pt>
                <c:pt idx="47">
                  <c:v>48.772500000000001</c:v>
                </c:pt>
                <c:pt idx="48">
                  <c:v>49.174900000000001</c:v>
                </c:pt>
                <c:pt idx="49">
                  <c:v>49.584600000000002</c:v>
                </c:pt>
                <c:pt idx="50">
                  <c:v>49.988900000000001</c:v>
                </c:pt>
                <c:pt idx="51">
                  <c:v>50.392299999999999</c:v>
                </c:pt>
                <c:pt idx="52">
                  <c:v>50.8005</c:v>
                </c:pt>
                <c:pt idx="53">
                  <c:v>51.208300000000001</c:v>
                </c:pt>
                <c:pt idx="54">
                  <c:v>51.615900000000003</c:v>
                </c:pt>
                <c:pt idx="55">
                  <c:v>52.021299999999997</c:v>
                </c:pt>
                <c:pt idx="56">
                  <c:v>52.426499999999997</c:v>
                </c:pt>
                <c:pt idx="57">
                  <c:v>52.832000000000001</c:v>
                </c:pt>
                <c:pt idx="58">
                  <c:v>53.241799999999998</c:v>
                </c:pt>
                <c:pt idx="59">
                  <c:v>53.647399999999998</c:v>
                </c:pt>
                <c:pt idx="60">
                  <c:v>54.0535</c:v>
                </c:pt>
                <c:pt idx="61">
                  <c:v>54.456000000000003</c:v>
                </c:pt>
                <c:pt idx="62">
                  <c:v>54.865000000000002</c:v>
                </c:pt>
                <c:pt idx="63">
                  <c:v>55.272799999999997</c:v>
                </c:pt>
                <c:pt idx="64">
                  <c:v>55.674399999999999</c:v>
                </c:pt>
                <c:pt idx="65">
                  <c:v>56.084099999999999</c:v>
                </c:pt>
                <c:pt idx="66">
                  <c:v>56.488900000000001</c:v>
                </c:pt>
                <c:pt idx="67">
                  <c:v>56.8932</c:v>
                </c:pt>
                <c:pt idx="68">
                  <c:v>57.300899999999999</c:v>
                </c:pt>
                <c:pt idx="69">
                  <c:v>57.7072</c:v>
                </c:pt>
                <c:pt idx="70">
                  <c:v>58.1173</c:v>
                </c:pt>
                <c:pt idx="71">
                  <c:v>58.521000000000001</c:v>
                </c:pt>
                <c:pt idx="72">
                  <c:v>58.9283</c:v>
                </c:pt>
                <c:pt idx="73">
                  <c:v>59.333399999999997</c:v>
                </c:pt>
                <c:pt idx="74">
                  <c:v>59.740900000000003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3.3539600000000003</c:v>
                </c:pt>
                <c:pt idx="1">
                  <c:v>3.3927800000000001</c:v>
                </c:pt>
                <c:pt idx="2">
                  <c:v>3.4309400000000001</c:v>
                </c:pt>
                <c:pt idx="3">
                  <c:v>3.4700899999999999</c:v>
                </c:pt>
                <c:pt idx="4">
                  <c:v>3.5090399999999997</c:v>
                </c:pt>
                <c:pt idx="5">
                  <c:v>3.54657</c:v>
                </c:pt>
                <c:pt idx="6">
                  <c:v>3.5781900000000002</c:v>
                </c:pt>
                <c:pt idx="7">
                  <c:v>3.60853</c:v>
                </c:pt>
                <c:pt idx="8">
                  <c:v>3.63801</c:v>
                </c:pt>
                <c:pt idx="9">
                  <c:v>3.6657899999999999</c:v>
                </c:pt>
                <c:pt idx="10">
                  <c:v>3.6889799999999999</c:v>
                </c:pt>
                <c:pt idx="11">
                  <c:v>3.7081399999999998</c:v>
                </c:pt>
                <c:pt idx="12">
                  <c:v>3.7225599999999996</c:v>
                </c:pt>
                <c:pt idx="13">
                  <c:v>3.7351000000000001</c:v>
                </c:pt>
                <c:pt idx="14">
                  <c:v>3.7487599999999999</c:v>
                </c:pt>
                <c:pt idx="15">
                  <c:v>3.7583100000000003</c:v>
                </c:pt>
                <c:pt idx="16">
                  <c:v>3.7656899999999998</c:v>
                </c:pt>
                <c:pt idx="17">
                  <c:v>3.7673699999999997</c:v>
                </c:pt>
                <c:pt idx="18">
                  <c:v>3.7647599999999999</c:v>
                </c:pt>
                <c:pt idx="19">
                  <c:v>3.75475</c:v>
                </c:pt>
                <c:pt idx="20">
                  <c:v>3.7445400000000002</c:v>
                </c:pt>
                <c:pt idx="21">
                  <c:v>3.73027</c:v>
                </c:pt>
                <c:pt idx="22">
                  <c:v>3.7105300000000003</c:v>
                </c:pt>
                <c:pt idx="23">
                  <c:v>3.6882100000000002</c:v>
                </c:pt>
                <c:pt idx="24">
                  <c:v>3.66377</c:v>
                </c:pt>
                <c:pt idx="25">
                  <c:v>3.63639</c:v>
                </c:pt>
                <c:pt idx="26">
                  <c:v>3.6078000000000001</c:v>
                </c:pt>
                <c:pt idx="27">
                  <c:v>3.5768499999999999</c:v>
                </c:pt>
                <c:pt idx="28">
                  <c:v>3.5452699999999999</c:v>
                </c:pt>
                <c:pt idx="29">
                  <c:v>3.5166900000000001</c:v>
                </c:pt>
                <c:pt idx="30">
                  <c:v>3.4910999999999999</c:v>
                </c:pt>
                <c:pt idx="31">
                  <c:v>3.4674300000000002</c:v>
                </c:pt>
                <c:pt idx="32">
                  <c:v>3.4456599999999997</c:v>
                </c:pt>
                <c:pt idx="33">
                  <c:v>3.4249700000000001</c:v>
                </c:pt>
                <c:pt idx="34">
                  <c:v>3.4050500000000001</c:v>
                </c:pt>
                <c:pt idx="35">
                  <c:v>3.3922099999999999</c:v>
                </c:pt>
                <c:pt idx="36">
                  <c:v>3.3884799999999999</c:v>
                </c:pt>
                <c:pt idx="37">
                  <c:v>3.3916600000000003</c:v>
                </c:pt>
                <c:pt idx="38">
                  <c:v>3.39655</c:v>
                </c:pt>
                <c:pt idx="39">
                  <c:v>3.4030300000000002</c:v>
                </c:pt>
                <c:pt idx="40">
                  <c:v>3.4146199999999998</c:v>
                </c:pt>
                <c:pt idx="41">
                  <c:v>3.4310299999999998</c:v>
                </c:pt>
                <c:pt idx="42">
                  <c:v>3.4504400000000004</c:v>
                </c:pt>
                <c:pt idx="43">
                  <c:v>3.4710600000000005</c:v>
                </c:pt>
                <c:pt idx="44">
                  <c:v>3.4957799999999999</c:v>
                </c:pt>
                <c:pt idx="45">
                  <c:v>3.5207600000000001</c:v>
                </c:pt>
                <c:pt idx="46">
                  <c:v>3.5530400000000002</c:v>
                </c:pt>
                <c:pt idx="47">
                  <c:v>3.5906199999999999</c:v>
                </c:pt>
                <c:pt idx="48">
                  <c:v>3.63151</c:v>
                </c:pt>
                <c:pt idx="49">
                  <c:v>3.6760199999999998</c:v>
                </c:pt>
                <c:pt idx="50">
                  <c:v>3.7230400000000001</c:v>
                </c:pt>
                <c:pt idx="51">
                  <c:v>3.7471399999999999</c:v>
                </c:pt>
                <c:pt idx="52">
                  <c:v>3.7735500000000002</c:v>
                </c:pt>
                <c:pt idx="53">
                  <c:v>3.8001</c:v>
                </c:pt>
                <c:pt idx="54">
                  <c:v>3.8262099999999997</c:v>
                </c:pt>
                <c:pt idx="55">
                  <c:v>3.8516499999999998</c:v>
                </c:pt>
                <c:pt idx="56">
                  <c:v>3.8780199999999998</c:v>
                </c:pt>
                <c:pt idx="57">
                  <c:v>3.9039700000000002</c:v>
                </c:pt>
                <c:pt idx="58">
                  <c:v>3.9296199999999999</c:v>
                </c:pt>
                <c:pt idx="59">
                  <c:v>3.9540500000000001</c:v>
                </c:pt>
                <c:pt idx="60">
                  <c:v>3.9765800000000002</c:v>
                </c:pt>
                <c:pt idx="61">
                  <c:v>3.9982199999999999</c:v>
                </c:pt>
                <c:pt idx="62">
                  <c:v>4.0191699999999999</c:v>
                </c:pt>
                <c:pt idx="63">
                  <c:v>4.0414599999999998</c:v>
                </c:pt>
                <c:pt idx="64">
                  <c:v>4.0631500000000003</c:v>
                </c:pt>
                <c:pt idx="65">
                  <c:v>4.0797400000000001</c:v>
                </c:pt>
                <c:pt idx="66">
                  <c:v>4.0884900000000002</c:v>
                </c:pt>
                <c:pt idx="67">
                  <c:v>4.0988199999999999</c:v>
                </c:pt>
                <c:pt idx="68">
                  <c:v>4.1165500000000002</c:v>
                </c:pt>
                <c:pt idx="69">
                  <c:v>4.1407400000000001</c:v>
                </c:pt>
                <c:pt idx="70">
                  <c:v>4.1727799999999995</c:v>
                </c:pt>
                <c:pt idx="71">
                  <c:v>4.1958099999999998</c:v>
                </c:pt>
                <c:pt idx="72">
                  <c:v>4.2181999999999995</c:v>
                </c:pt>
                <c:pt idx="73">
                  <c:v>4.2329800000000004</c:v>
                </c:pt>
                <c:pt idx="74">
                  <c:v>4.2389000000000001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14.935225000000001</c:v>
                </c:pt>
                <c:pt idx="1">
                  <c:v>44.805675000000001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3.4867170270270265</c:v>
                </c:pt>
                <c:pt idx="1">
                  <c:v>3.7187113513513519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  <c:pt idx="74">
                  <c:v>30.056000000000001</c:v>
                </c:pt>
                <c:pt idx="75">
                  <c:v>30.490100000000002</c:v>
                </c:pt>
                <c:pt idx="76">
                  <c:v>30.895099999999999</c:v>
                </c:pt>
                <c:pt idx="77">
                  <c:v>31.301100000000002</c:v>
                </c:pt>
                <c:pt idx="78">
                  <c:v>31.711300000000001</c:v>
                </c:pt>
                <c:pt idx="79">
                  <c:v>32.116100000000003</c:v>
                </c:pt>
                <c:pt idx="80">
                  <c:v>32.520200000000003</c:v>
                </c:pt>
                <c:pt idx="81">
                  <c:v>32.9253</c:v>
                </c:pt>
                <c:pt idx="82">
                  <c:v>33.334200000000003</c:v>
                </c:pt>
                <c:pt idx="83">
                  <c:v>33.744999999999997</c:v>
                </c:pt>
                <c:pt idx="84">
                  <c:v>34.147300000000001</c:v>
                </c:pt>
                <c:pt idx="85">
                  <c:v>34.551600000000001</c:v>
                </c:pt>
                <c:pt idx="86">
                  <c:v>34.957900000000002</c:v>
                </c:pt>
                <c:pt idx="87">
                  <c:v>35.366</c:v>
                </c:pt>
                <c:pt idx="88">
                  <c:v>35.770899999999997</c:v>
                </c:pt>
                <c:pt idx="89">
                  <c:v>36.178899999999999</c:v>
                </c:pt>
                <c:pt idx="90">
                  <c:v>36.582599999999999</c:v>
                </c:pt>
                <c:pt idx="91">
                  <c:v>36.989899999999999</c:v>
                </c:pt>
                <c:pt idx="92">
                  <c:v>37.393999999999998</c:v>
                </c:pt>
                <c:pt idx="93">
                  <c:v>37.802</c:v>
                </c:pt>
                <c:pt idx="94">
                  <c:v>38.209800000000001</c:v>
                </c:pt>
                <c:pt idx="95">
                  <c:v>38.613999999999997</c:v>
                </c:pt>
                <c:pt idx="96">
                  <c:v>39.0214</c:v>
                </c:pt>
                <c:pt idx="97">
                  <c:v>39.4255</c:v>
                </c:pt>
                <c:pt idx="98">
                  <c:v>39.834600000000002</c:v>
                </c:pt>
                <c:pt idx="99">
                  <c:v>40.241700000000002</c:v>
                </c:pt>
                <c:pt idx="100">
                  <c:v>40.6449</c:v>
                </c:pt>
                <c:pt idx="101">
                  <c:v>41.051400000000001</c:v>
                </c:pt>
                <c:pt idx="102">
                  <c:v>41.456499999999998</c:v>
                </c:pt>
                <c:pt idx="103">
                  <c:v>41.865000000000002</c:v>
                </c:pt>
                <c:pt idx="104">
                  <c:v>42.270200000000003</c:v>
                </c:pt>
                <c:pt idx="105">
                  <c:v>42.677999999999997</c:v>
                </c:pt>
                <c:pt idx="106">
                  <c:v>43.079500000000003</c:v>
                </c:pt>
                <c:pt idx="107">
                  <c:v>43.492899999999999</c:v>
                </c:pt>
                <c:pt idx="108">
                  <c:v>43.896799999999999</c:v>
                </c:pt>
                <c:pt idx="109">
                  <c:v>44.305</c:v>
                </c:pt>
                <c:pt idx="110">
                  <c:v>44.709000000000003</c:v>
                </c:pt>
                <c:pt idx="111">
                  <c:v>45.113199999999999</c:v>
                </c:pt>
                <c:pt idx="112">
                  <c:v>45.519799999999996</c:v>
                </c:pt>
                <c:pt idx="113">
                  <c:v>45.927300000000002</c:v>
                </c:pt>
                <c:pt idx="114">
                  <c:v>46.3339</c:v>
                </c:pt>
                <c:pt idx="115">
                  <c:v>46.741100000000003</c:v>
                </c:pt>
                <c:pt idx="116">
                  <c:v>47.143999999999998</c:v>
                </c:pt>
                <c:pt idx="117">
                  <c:v>47.550600000000003</c:v>
                </c:pt>
                <c:pt idx="118">
                  <c:v>47.961399999999998</c:v>
                </c:pt>
                <c:pt idx="119">
                  <c:v>48.366399999999999</c:v>
                </c:pt>
                <c:pt idx="120">
                  <c:v>48.772500000000001</c:v>
                </c:pt>
                <c:pt idx="121">
                  <c:v>49.174900000000001</c:v>
                </c:pt>
                <c:pt idx="122">
                  <c:v>49.584600000000002</c:v>
                </c:pt>
                <c:pt idx="123">
                  <c:v>49.988900000000001</c:v>
                </c:pt>
                <c:pt idx="124">
                  <c:v>50.392299999999999</c:v>
                </c:pt>
                <c:pt idx="125">
                  <c:v>50.8005</c:v>
                </c:pt>
                <c:pt idx="126">
                  <c:v>51.208300000000001</c:v>
                </c:pt>
                <c:pt idx="127">
                  <c:v>51.615900000000003</c:v>
                </c:pt>
                <c:pt idx="128">
                  <c:v>52.021299999999997</c:v>
                </c:pt>
                <c:pt idx="129">
                  <c:v>52.426499999999997</c:v>
                </c:pt>
                <c:pt idx="130">
                  <c:v>52.832000000000001</c:v>
                </c:pt>
                <c:pt idx="131">
                  <c:v>53.241799999999998</c:v>
                </c:pt>
                <c:pt idx="132">
                  <c:v>53.647399999999998</c:v>
                </c:pt>
                <c:pt idx="133">
                  <c:v>54.0535</c:v>
                </c:pt>
                <c:pt idx="134">
                  <c:v>54.456000000000003</c:v>
                </c:pt>
                <c:pt idx="135">
                  <c:v>54.865000000000002</c:v>
                </c:pt>
                <c:pt idx="136">
                  <c:v>55.272799999999997</c:v>
                </c:pt>
                <c:pt idx="137">
                  <c:v>55.674399999999999</c:v>
                </c:pt>
                <c:pt idx="138">
                  <c:v>56.084099999999999</c:v>
                </c:pt>
                <c:pt idx="139">
                  <c:v>56.488900000000001</c:v>
                </c:pt>
                <c:pt idx="140">
                  <c:v>56.8932</c:v>
                </c:pt>
                <c:pt idx="141">
                  <c:v>57.300899999999999</c:v>
                </c:pt>
                <c:pt idx="142">
                  <c:v>57.7072</c:v>
                </c:pt>
                <c:pt idx="143">
                  <c:v>58.1173</c:v>
                </c:pt>
                <c:pt idx="144">
                  <c:v>58.521000000000001</c:v>
                </c:pt>
                <c:pt idx="145">
                  <c:v>58.9283</c:v>
                </c:pt>
                <c:pt idx="146">
                  <c:v>59.333399999999997</c:v>
                </c:pt>
                <c:pt idx="147">
                  <c:v>59.740900000000003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  <c:pt idx="74">
                  <c:v>44.942599999999999</c:v>
                </c:pt>
                <c:pt idx="75">
                  <c:v>44.698700000000002</c:v>
                </c:pt>
                <c:pt idx="76">
                  <c:v>44.428400000000003</c:v>
                </c:pt>
                <c:pt idx="77">
                  <c:v>44.270900000000005</c:v>
                </c:pt>
                <c:pt idx="78">
                  <c:v>44.195099999999996</c:v>
                </c:pt>
                <c:pt idx="79">
                  <c:v>44.115700000000004</c:v>
                </c:pt>
                <c:pt idx="80">
                  <c:v>44.036200000000001</c:v>
                </c:pt>
                <c:pt idx="81">
                  <c:v>43.9026</c:v>
                </c:pt>
                <c:pt idx="82">
                  <c:v>43.646700000000003</c:v>
                </c:pt>
                <c:pt idx="83">
                  <c:v>43.5045</c:v>
                </c:pt>
                <c:pt idx="84">
                  <c:v>43.420299999999997</c:v>
                </c:pt>
                <c:pt idx="85">
                  <c:v>43.377300000000005</c:v>
                </c:pt>
                <c:pt idx="86">
                  <c:v>43.270099999999999</c:v>
                </c:pt>
                <c:pt idx="87">
                  <c:v>43.188099999999999</c:v>
                </c:pt>
                <c:pt idx="88">
                  <c:v>43.0685</c:v>
                </c:pt>
                <c:pt idx="89">
                  <c:v>42.924900000000001</c:v>
                </c:pt>
                <c:pt idx="90">
                  <c:v>42.767500000000005</c:v>
                </c:pt>
                <c:pt idx="91">
                  <c:v>42.6462</c:v>
                </c:pt>
                <c:pt idx="92">
                  <c:v>42.479900000000001</c:v>
                </c:pt>
                <c:pt idx="93">
                  <c:v>42.3001</c:v>
                </c:pt>
                <c:pt idx="94">
                  <c:v>42.103699999999996</c:v>
                </c:pt>
                <c:pt idx="95">
                  <c:v>41.905099999999997</c:v>
                </c:pt>
                <c:pt idx="96">
                  <c:v>41.756999999999998</c:v>
                </c:pt>
                <c:pt idx="97">
                  <c:v>41.603699999999996</c:v>
                </c:pt>
                <c:pt idx="98">
                  <c:v>41.3842</c:v>
                </c:pt>
                <c:pt idx="99">
                  <c:v>41.213200000000001</c:v>
                </c:pt>
                <c:pt idx="100">
                  <c:v>41.133399999999995</c:v>
                </c:pt>
                <c:pt idx="101">
                  <c:v>41.165600000000005</c:v>
                </c:pt>
                <c:pt idx="102">
                  <c:v>41.277799999999999</c:v>
                </c:pt>
                <c:pt idx="103">
                  <c:v>41.4756</c:v>
                </c:pt>
                <c:pt idx="104">
                  <c:v>41.670499999999997</c:v>
                </c:pt>
                <c:pt idx="105">
                  <c:v>41.8949</c:v>
                </c:pt>
                <c:pt idx="106">
                  <c:v>42.2682</c:v>
                </c:pt>
                <c:pt idx="107">
                  <c:v>42.778199999999998</c:v>
                </c:pt>
                <c:pt idx="108">
                  <c:v>43.131100000000004</c:v>
                </c:pt>
                <c:pt idx="109">
                  <c:v>43.360900000000001</c:v>
                </c:pt>
                <c:pt idx="110">
                  <c:v>43.442399999999999</c:v>
                </c:pt>
                <c:pt idx="111">
                  <c:v>43.447400000000002</c:v>
                </c:pt>
                <c:pt idx="112">
                  <c:v>43.408900000000003</c:v>
                </c:pt>
                <c:pt idx="113">
                  <c:v>43.264299999999999</c:v>
                </c:pt>
                <c:pt idx="114">
                  <c:v>43.007400000000004</c:v>
                </c:pt>
                <c:pt idx="115">
                  <c:v>42.711799999999997</c:v>
                </c:pt>
                <c:pt idx="116">
                  <c:v>42.4193</c:v>
                </c:pt>
                <c:pt idx="117">
                  <c:v>42.156199999999998</c:v>
                </c:pt>
                <c:pt idx="118">
                  <c:v>41.920099999999998</c:v>
                </c:pt>
                <c:pt idx="119">
                  <c:v>41.576099999999997</c:v>
                </c:pt>
                <c:pt idx="120">
                  <c:v>41.256100000000004</c:v>
                </c:pt>
                <c:pt idx="121">
                  <c:v>40.903700000000001</c:v>
                </c:pt>
                <c:pt idx="122">
                  <c:v>40.616999999999997</c:v>
                </c:pt>
                <c:pt idx="123">
                  <c:v>40.4604</c:v>
                </c:pt>
                <c:pt idx="124">
                  <c:v>40.677</c:v>
                </c:pt>
                <c:pt idx="125">
                  <c:v>40.9542</c:v>
                </c:pt>
                <c:pt idx="126">
                  <c:v>41.228400000000001</c:v>
                </c:pt>
                <c:pt idx="127">
                  <c:v>41.452399999999997</c:v>
                </c:pt>
                <c:pt idx="128">
                  <c:v>41.595300000000002</c:v>
                </c:pt>
                <c:pt idx="129">
                  <c:v>41.743200000000002</c:v>
                </c:pt>
                <c:pt idx="130">
                  <c:v>41.904200000000003</c:v>
                </c:pt>
                <c:pt idx="131">
                  <c:v>41.986899999999999</c:v>
                </c:pt>
                <c:pt idx="132">
                  <c:v>41.997099999999996</c:v>
                </c:pt>
                <c:pt idx="133">
                  <c:v>41.966500000000003</c:v>
                </c:pt>
                <c:pt idx="134">
                  <c:v>41.860399999999998</c:v>
                </c:pt>
                <c:pt idx="135">
                  <c:v>41.737299999999998</c:v>
                </c:pt>
                <c:pt idx="136">
                  <c:v>41.671900000000001</c:v>
                </c:pt>
                <c:pt idx="137">
                  <c:v>41.625499999999995</c:v>
                </c:pt>
                <c:pt idx="138">
                  <c:v>41.547600000000003</c:v>
                </c:pt>
                <c:pt idx="139">
                  <c:v>41.436599999999999</c:v>
                </c:pt>
                <c:pt idx="140">
                  <c:v>41.298099999999998</c:v>
                </c:pt>
                <c:pt idx="141">
                  <c:v>41.105000000000004</c:v>
                </c:pt>
                <c:pt idx="142">
                  <c:v>40.892800000000001</c:v>
                </c:pt>
                <c:pt idx="143">
                  <c:v>40.709400000000002</c:v>
                </c:pt>
                <c:pt idx="144">
                  <c:v>40.659199999999998</c:v>
                </c:pt>
                <c:pt idx="145">
                  <c:v>40.495399999999997</c:v>
                </c:pt>
                <c:pt idx="146">
                  <c:v>40.335999999999999</c:v>
                </c:pt>
                <c:pt idx="147">
                  <c:v>39.763199999999998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0.39474999999999999</c:v>
                </c:pt>
                <c:pt idx="2">
                  <c:v>0.80240100000000003</c:v>
                </c:pt>
                <c:pt idx="3">
                  <c:v>1.2064900000000001</c:v>
                </c:pt>
                <c:pt idx="4">
                  <c:v>1.6134299999999999</c:v>
                </c:pt>
                <c:pt idx="5">
                  <c:v>2.0234700000000001</c:v>
                </c:pt>
                <c:pt idx="6">
                  <c:v>2.4281000000000001</c:v>
                </c:pt>
                <c:pt idx="7">
                  <c:v>2.8331300000000001</c:v>
                </c:pt>
                <c:pt idx="8">
                  <c:v>3.23746</c:v>
                </c:pt>
                <c:pt idx="9">
                  <c:v>3.64438</c:v>
                </c:pt>
                <c:pt idx="10">
                  <c:v>4.0530200000000001</c:v>
                </c:pt>
                <c:pt idx="11">
                  <c:v>4.4587599999999998</c:v>
                </c:pt>
                <c:pt idx="12">
                  <c:v>4.8649199999999997</c:v>
                </c:pt>
                <c:pt idx="13">
                  <c:v>5.2708700000000004</c:v>
                </c:pt>
                <c:pt idx="14">
                  <c:v>5.6755100000000001</c:v>
                </c:pt>
                <c:pt idx="15">
                  <c:v>6.0849000000000002</c:v>
                </c:pt>
                <c:pt idx="16">
                  <c:v>6.4910800000000002</c:v>
                </c:pt>
                <c:pt idx="17">
                  <c:v>6.8964400000000001</c:v>
                </c:pt>
                <c:pt idx="18">
                  <c:v>7.30199</c:v>
                </c:pt>
                <c:pt idx="19">
                  <c:v>7.7066699999999999</c:v>
                </c:pt>
                <c:pt idx="20">
                  <c:v>8.1126500000000004</c:v>
                </c:pt>
                <c:pt idx="21">
                  <c:v>8.5189900000000005</c:v>
                </c:pt>
                <c:pt idx="22">
                  <c:v>8.9293800000000001</c:v>
                </c:pt>
                <c:pt idx="23">
                  <c:v>9.3328600000000002</c:v>
                </c:pt>
                <c:pt idx="24">
                  <c:v>9.7374700000000001</c:v>
                </c:pt>
                <c:pt idx="25">
                  <c:v>10.1456</c:v>
                </c:pt>
                <c:pt idx="26">
                  <c:v>10.5549</c:v>
                </c:pt>
                <c:pt idx="27">
                  <c:v>10.958500000000001</c:v>
                </c:pt>
                <c:pt idx="28">
                  <c:v>11.3643</c:v>
                </c:pt>
                <c:pt idx="29">
                  <c:v>11.77</c:v>
                </c:pt>
                <c:pt idx="30">
                  <c:v>12.174799999999999</c:v>
                </c:pt>
                <c:pt idx="31">
                  <c:v>12.581200000000001</c:v>
                </c:pt>
                <c:pt idx="32">
                  <c:v>12.9869</c:v>
                </c:pt>
                <c:pt idx="33">
                  <c:v>13.395200000000001</c:v>
                </c:pt>
                <c:pt idx="34">
                  <c:v>13.803699999999999</c:v>
                </c:pt>
                <c:pt idx="35">
                  <c:v>14.2125</c:v>
                </c:pt>
                <c:pt idx="36">
                  <c:v>14.615</c:v>
                </c:pt>
                <c:pt idx="37">
                  <c:v>15.0199</c:v>
                </c:pt>
                <c:pt idx="38">
                  <c:v>15.426500000000001</c:v>
                </c:pt>
                <c:pt idx="39">
                  <c:v>15.8353</c:v>
                </c:pt>
                <c:pt idx="40">
                  <c:v>16.240300000000001</c:v>
                </c:pt>
                <c:pt idx="41">
                  <c:v>16.6477</c:v>
                </c:pt>
                <c:pt idx="42">
                  <c:v>17.050599999999999</c:v>
                </c:pt>
                <c:pt idx="43">
                  <c:v>17.458300000000001</c:v>
                </c:pt>
                <c:pt idx="44">
                  <c:v>17.863900000000001</c:v>
                </c:pt>
                <c:pt idx="45">
                  <c:v>18.273099999999999</c:v>
                </c:pt>
                <c:pt idx="46">
                  <c:v>18.678000000000001</c:v>
                </c:pt>
                <c:pt idx="47">
                  <c:v>19.081099999999999</c:v>
                </c:pt>
                <c:pt idx="48">
                  <c:v>19.4924</c:v>
                </c:pt>
                <c:pt idx="49">
                  <c:v>19.895700000000001</c:v>
                </c:pt>
                <c:pt idx="50">
                  <c:v>20.302399999999999</c:v>
                </c:pt>
                <c:pt idx="51">
                  <c:v>20.709499999999998</c:v>
                </c:pt>
                <c:pt idx="52">
                  <c:v>21.114000000000001</c:v>
                </c:pt>
                <c:pt idx="53">
                  <c:v>21.520800000000001</c:v>
                </c:pt>
                <c:pt idx="54">
                  <c:v>21.927499999999998</c:v>
                </c:pt>
                <c:pt idx="55">
                  <c:v>22.3339</c:v>
                </c:pt>
                <c:pt idx="56">
                  <c:v>22.7407</c:v>
                </c:pt>
                <c:pt idx="57">
                  <c:v>23.1449</c:v>
                </c:pt>
                <c:pt idx="58">
                  <c:v>23.549199999999999</c:v>
                </c:pt>
                <c:pt idx="59">
                  <c:v>23.9589</c:v>
                </c:pt>
                <c:pt idx="60">
                  <c:v>24.365200000000002</c:v>
                </c:pt>
                <c:pt idx="61">
                  <c:v>24.770800000000001</c:v>
                </c:pt>
                <c:pt idx="62">
                  <c:v>25.176300000000001</c:v>
                </c:pt>
                <c:pt idx="63">
                  <c:v>25.582999999999998</c:v>
                </c:pt>
                <c:pt idx="64">
                  <c:v>25.991299999999999</c:v>
                </c:pt>
                <c:pt idx="65">
                  <c:v>26.396799999999999</c:v>
                </c:pt>
                <c:pt idx="66">
                  <c:v>26.805</c:v>
                </c:pt>
                <c:pt idx="67">
                  <c:v>27.209299999999999</c:v>
                </c:pt>
                <c:pt idx="68">
                  <c:v>27.613600000000002</c:v>
                </c:pt>
                <c:pt idx="69">
                  <c:v>28.023800000000001</c:v>
                </c:pt>
                <c:pt idx="70">
                  <c:v>28.429400000000001</c:v>
                </c:pt>
                <c:pt idx="71">
                  <c:v>28.8354</c:v>
                </c:pt>
                <c:pt idx="72">
                  <c:v>29.2379</c:v>
                </c:pt>
                <c:pt idx="73">
                  <c:v>29.644300000000001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29.644300000000001</c:v>
                </c:pt>
                <c:pt idx="1">
                  <c:v>30.056000000000001</c:v>
                </c:pt>
                <c:pt idx="2">
                  <c:v>30.490100000000002</c:v>
                </c:pt>
                <c:pt idx="3">
                  <c:v>30.895099999999999</c:v>
                </c:pt>
                <c:pt idx="4">
                  <c:v>31.301100000000002</c:v>
                </c:pt>
                <c:pt idx="5">
                  <c:v>31.711300000000001</c:v>
                </c:pt>
                <c:pt idx="6">
                  <c:v>32.116100000000003</c:v>
                </c:pt>
                <c:pt idx="7">
                  <c:v>32.520200000000003</c:v>
                </c:pt>
                <c:pt idx="8">
                  <c:v>32.9253</c:v>
                </c:pt>
                <c:pt idx="9">
                  <c:v>33.334200000000003</c:v>
                </c:pt>
                <c:pt idx="10">
                  <c:v>33.744999999999997</c:v>
                </c:pt>
                <c:pt idx="11">
                  <c:v>34.147300000000001</c:v>
                </c:pt>
                <c:pt idx="12">
                  <c:v>34.551600000000001</c:v>
                </c:pt>
                <c:pt idx="13">
                  <c:v>34.957900000000002</c:v>
                </c:pt>
                <c:pt idx="14">
                  <c:v>35.366</c:v>
                </c:pt>
                <c:pt idx="15">
                  <c:v>35.770899999999997</c:v>
                </c:pt>
                <c:pt idx="16">
                  <c:v>36.178899999999999</c:v>
                </c:pt>
                <c:pt idx="17">
                  <c:v>36.582599999999999</c:v>
                </c:pt>
                <c:pt idx="18">
                  <c:v>36.989899999999999</c:v>
                </c:pt>
                <c:pt idx="19">
                  <c:v>37.393999999999998</c:v>
                </c:pt>
                <c:pt idx="20">
                  <c:v>37.802</c:v>
                </c:pt>
                <c:pt idx="21">
                  <c:v>38.209800000000001</c:v>
                </c:pt>
                <c:pt idx="22">
                  <c:v>38.613999999999997</c:v>
                </c:pt>
                <c:pt idx="23">
                  <c:v>39.0214</c:v>
                </c:pt>
                <c:pt idx="24">
                  <c:v>39.4255</c:v>
                </c:pt>
                <c:pt idx="25">
                  <c:v>39.834600000000002</c:v>
                </c:pt>
                <c:pt idx="26">
                  <c:v>40.241700000000002</c:v>
                </c:pt>
                <c:pt idx="27">
                  <c:v>40.6449</c:v>
                </c:pt>
                <c:pt idx="28">
                  <c:v>41.051400000000001</c:v>
                </c:pt>
                <c:pt idx="29">
                  <c:v>41.456499999999998</c:v>
                </c:pt>
                <c:pt idx="30">
                  <c:v>41.865000000000002</c:v>
                </c:pt>
                <c:pt idx="31">
                  <c:v>42.270200000000003</c:v>
                </c:pt>
                <c:pt idx="32">
                  <c:v>42.677999999999997</c:v>
                </c:pt>
                <c:pt idx="33">
                  <c:v>43.079500000000003</c:v>
                </c:pt>
                <c:pt idx="34">
                  <c:v>43.492899999999999</c:v>
                </c:pt>
                <c:pt idx="35">
                  <c:v>43.896799999999999</c:v>
                </c:pt>
                <c:pt idx="36">
                  <c:v>44.305</c:v>
                </c:pt>
                <c:pt idx="37">
                  <c:v>44.709000000000003</c:v>
                </c:pt>
                <c:pt idx="38">
                  <c:v>45.113199999999999</c:v>
                </c:pt>
                <c:pt idx="39">
                  <c:v>45.519799999999996</c:v>
                </c:pt>
                <c:pt idx="40">
                  <c:v>45.927300000000002</c:v>
                </c:pt>
                <c:pt idx="41">
                  <c:v>46.3339</c:v>
                </c:pt>
                <c:pt idx="42">
                  <c:v>46.741100000000003</c:v>
                </c:pt>
                <c:pt idx="43">
                  <c:v>47.143999999999998</c:v>
                </c:pt>
                <c:pt idx="44">
                  <c:v>47.550600000000003</c:v>
                </c:pt>
                <c:pt idx="45">
                  <c:v>47.961399999999998</c:v>
                </c:pt>
                <c:pt idx="46">
                  <c:v>48.366399999999999</c:v>
                </c:pt>
                <c:pt idx="47">
                  <c:v>48.772500000000001</c:v>
                </c:pt>
                <c:pt idx="48">
                  <c:v>49.174900000000001</c:v>
                </c:pt>
                <c:pt idx="49">
                  <c:v>49.584600000000002</c:v>
                </c:pt>
                <c:pt idx="50">
                  <c:v>49.988900000000001</c:v>
                </c:pt>
                <c:pt idx="51">
                  <c:v>50.392299999999999</c:v>
                </c:pt>
                <c:pt idx="52">
                  <c:v>50.8005</c:v>
                </c:pt>
                <c:pt idx="53">
                  <c:v>51.208300000000001</c:v>
                </c:pt>
                <c:pt idx="54">
                  <c:v>51.615900000000003</c:v>
                </c:pt>
                <c:pt idx="55">
                  <c:v>52.021299999999997</c:v>
                </c:pt>
                <c:pt idx="56">
                  <c:v>52.426499999999997</c:v>
                </c:pt>
                <c:pt idx="57">
                  <c:v>52.832000000000001</c:v>
                </c:pt>
                <c:pt idx="58">
                  <c:v>53.241799999999998</c:v>
                </c:pt>
                <c:pt idx="59">
                  <c:v>53.647399999999998</c:v>
                </c:pt>
                <c:pt idx="60">
                  <c:v>54.0535</c:v>
                </c:pt>
                <c:pt idx="61">
                  <c:v>54.456000000000003</c:v>
                </c:pt>
                <c:pt idx="62">
                  <c:v>54.865000000000002</c:v>
                </c:pt>
                <c:pt idx="63">
                  <c:v>55.272799999999997</c:v>
                </c:pt>
                <c:pt idx="64">
                  <c:v>55.674399999999999</c:v>
                </c:pt>
                <c:pt idx="65">
                  <c:v>56.084099999999999</c:v>
                </c:pt>
                <c:pt idx="66">
                  <c:v>56.488900000000001</c:v>
                </c:pt>
                <c:pt idx="67">
                  <c:v>56.8932</c:v>
                </c:pt>
                <c:pt idx="68">
                  <c:v>57.300899999999999</c:v>
                </c:pt>
                <c:pt idx="69">
                  <c:v>57.7072</c:v>
                </c:pt>
                <c:pt idx="70">
                  <c:v>58.1173</c:v>
                </c:pt>
                <c:pt idx="71">
                  <c:v>58.521000000000001</c:v>
                </c:pt>
                <c:pt idx="72">
                  <c:v>58.9283</c:v>
                </c:pt>
                <c:pt idx="73">
                  <c:v>59.333399999999997</c:v>
                </c:pt>
                <c:pt idx="74">
                  <c:v>59.740900000000003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45.099499999999999</c:v>
                </c:pt>
                <c:pt idx="1">
                  <c:v>44.942599999999999</c:v>
                </c:pt>
                <c:pt idx="2">
                  <c:v>44.698700000000002</c:v>
                </c:pt>
                <c:pt idx="3">
                  <c:v>44.428400000000003</c:v>
                </c:pt>
                <c:pt idx="4">
                  <c:v>44.270900000000005</c:v>
                </c:pt>
                <c:pt idx="5">
                  <c:v>44.195099999999996</c:v>
                </c:pt>
                <c:pt idx="6">
                  <c:v>44.115700000000004</c:v>
                </c:pt>
                <c:pt idx="7">
                  <c:v>44.036200000000001</c:v>
                </c:pt>
                <c:pt idx="8">
                  <c:v>43.9026</c:v>
                </c:pt>
                <c:pt idx="9">
                  <c:v>43.646700000000003</c:v>
                </c:pt>
                <c:pt idx="10">
                  <c:v>43.5045</c:v>
                </c:pt>
                <c:pt idx="11">
                  <c:v>43.420299999999997</c:v>
                </c:pt>
                <c:pt idx="12">
                  <c:v>43.377300000000005</c:v>
                </c:pt>
                <c:pt idx="13">
                  <c:v>43.270099999999999</c:v>
                </c:pt>
                <c:pt idx="14">
                  <c:v>43.188099999999999</c:v>
                </c:pt>
                <c:pt idx="15">
                  <c:v>43.0685</c:v>
                </c:pt>
                <c:pt idx="16">
                  <c:v>42.924900000000001</c:v>
                </c:pt>
                <c:pt idx="17">
                  <c:v>42.767500000000005</c:v>
                </c:pt>
                <c:pt idx="18">
                  <c:v>42.6462</c:v>
                </c:pt>
                <c:pt idx="19">
                  <c:v>42.479900000000001</c:v>
                </c:pt>
                <c:pt idx="20">
                  <c:v>42.3001</c:v>
                </c:pt>
                <c:pt idx="21">
                  <c:v>42.103699999999996</c:v>
                </c:pt>
                <c:pt idx="22">
                  <c:v>41.905099999999997</c:v>
                </c:pt>
                <c:pt idx="23">
                  <c:v>41.756999999999998</c:v>
                </c:pt>
                <c:pt idx="24">
                  <c:v>41.603699999999996</c:v>
                </c:pt>
                <c:pt idx="25">
                  <c:v>41.3842</c:v>
                </c:pt>
                <c:pt idx="26">
                  <c:v>41.213200000000001</c:v>
                </c:pt>
                <c:pt idx="27">
                  <c:v>41.133399999999995</c:v>
                </c:pt>
                <c:pt idx="28">
                  <c:v>41.165600000000005</c:v>
                </c:pt>
                <c:pt idx="29">
                  <c:v>41.277799999999999</c:v>
                </c:pt>
                <c:pt idx="30">
                  <c:v>41.4756</c:v>
                </c:pt>
                <c:pt idx="31">
                  <c:v>41.670499999999997</c:v>
                </c:pt>
                <c:pt idx="32">
                  <c:v>41.8949</c:v>
                </c:pt>
                <c:pt idx="33">
                  <c:v>42.2682</c:v>
                </c:pt>
                <c:pt idx="34">
                  <c:v>42.778199999999998</c:v>
                </c:pt>
                <c:pt idx="35">
                  <c:v>43.131100000000004</c:v>
                </c:pt>
                <c:pt idx="36">
                  <c:v>43.360900000000001</c:v>
                </c:pt>
                <c:pt idx="37">
                  <c:v>43.442399999999999</c:v>
                </c:pt>
                <c:pt idx="38">
                  <c:v>43.447400000000002</c:v>
                </c:pt>
                <c:pt idx="39">
                  <c:v>43.408900000000003</c:v>
                </c:pt>
                <c:pt idx="40">
                  <c:v>43.264299999999999</c:v>
                </c:pt>
                <c:pt idx="41">
                  <c:v>43.007400000000004</c:v>
                </c:pt>
                <c:pt idx="42">
                  <c:v>42.711799999999997</c:v>
                </c:pt>
                <c:pt idx="43">
                  <c:v>42.4193</c:v>
                </c:pt>
                <c:pt idx="44">
                  <c:v>42.156199999999998</c:v>
                </c:pt>
                <c:pt idx="45">
                  <c:v>41.920099999999998</c:v>
                </c:pt>
                <c:pt idx="46">
                  <c:v>41.576099999999997</c:v>
                </c:pt>
                <c:pt idx="47">
                  <c:v>41.256100000000004</c:v>
                </c:pt>
                <c:pt idx="48">
                  <c:v>40.903700000000001</c:v>
                </c:pt>
                <c:pt idx="49">
                  <c:v>40.616999999999997</c:v>
                </c:pt>
                <c:pt idx="50">
                  <c:v>40.4604</c:v>
                </c:pt>
                <c:pt idx="51">
                  <c:v>40.677</c:v>
                </c:pt>
                <c:pt idx="52">
                  <c:v>40.9542</c:v>
                </c:pt>
                <c:pt idx="53">
                  <c:v>41.228400000000001</c:v>
                </c:pt>
                <c:pt idx="54">
                  <c:v>41.452399999999997</c:v>
                </c:pt>
                <c:pt idx="55">
                  <c:v>41.595300000000002</c:v>
                </c:pt>
                <c:pt idx="56">
                  <c:v>41.743200000000002</c:v>
                </c:pt>
                <c:pt idx="57">
                  <c:v>41.904200000000003</c:v>
                </c:pt>
                <c:pt idx="58">
                  <c:v>41.986899999999999</c:v>
                </c:pt>
                <c:pt idx="59">
                  <c:v>41.997099999999996</c:v>
                </c:pt>
                <c:pt idx="60">
                  <c:v>41.966500000000003</c:v>
                </c:pt>
                <c:pt idx="61">
                  <c:v>41.860399999999998</c:v>
                </c:pt>
                <c:pt idx="62">
                  <c:v>41.737299999999998</c:v>
                </c:pt>
                <c:pt idx="63">
                  <c:v>41.671900000000001</c:v>
                </c:pt>
                <c:pt idx="64">
                  <c:v>41.625499999999995</c:v>
                </c:pt>
                <c:pt idx="65">
                  <c:v>41.547600000000003</c:v>
                </c:pt>
                <c:pt idx="66">
                  <c:v>41.436599999999999</c:v>
                </c:pt>
                <c:pt idx="67">
                  <c:v>41.298099999999998</c:v>
                </c:pt>
                <c:pt idx="68">
                  <c:v>41.105000000000004</c:v>
                </c:pt>
                <c:pt idx="69">
                  <c:v>40.892800000000001</c:v>
                </c:pt>
                <c:pt idx="70">
                  <c:v>40.709400000000002</c:v>
                </c:pt>
                <c:pt idx="71">
                  <c:v>40.659199999999998</c:v>
                </c:pt>
                <c:pt idx="72">
                  <c:v>40.495399999999997</c:v>
                </c:pt>
                <c:pt idx="73">
                  <c:v>40.335999999999999</c:v>
                </c:pt>
                <c:pt idx="74">
                  <c:v>39.763199999999998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14.935225000000001</c:v>
                </c:pt>
                <c:pt idx="1">
                  <c:v>44.805675000000001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45.106151351351343</c:v>
                </c:pt>
                <c:pt idx="1">
                  <c:v>42.196514864864874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  <c:pt idx="74">
                  <c:v>3.3927800000000001</c:v>
                </c:pt>
                <c:pt idx="75">
                  <c:v>3.4309400000000001</c:v>
                </c:pt>
                <c:pt idx="76">
                  <c:v>3.4700899999999999</c:v>
                </c:pt>
                <c:pt idx="77">
                  <c:v>3.5090399999999997</c:v>
                </c:pt>
                <c:pt idx="78">
                  <c:v>3.54657</c:v>
                </c:pt>
                <c:pt idx="79">
                  <c:v>3.5781900000000002</c:v>
                </c:pt>
                <c:pt idx="80">
                  <c:v>3.60853</c:v>
                </c:pt>
                <c:pt idx="81">
                  <c:v>3.63801</c:v>
                </c:pt>
                <c:pt idx="82">
                  <c:v>3.6657899999999999</c:v>
                </c:pt>
                <c:pt idx="83">
                  <c:v>3.6889799999999999</c:v>
                </c:pt>
                <c:pt idx="84">
                  <c:v>3.7081399999999998</c:v>
                </c:pt>
                <c:pt idx="85">
                  <c:v>3.7225599999999996</c:v>
                </c:pt>
                <c:pt idx="86">
                  <c:v>3.7351000000000001</c:v>
                </c:pt>
                <c:pt idx="87">
                  <c:v>3.7487599999999999</c:v>
                </c:pt>
                <c:pt idx="88">
                  <c:v>3.7583100000000003</c:v>
                </c:pt>
                <c:pt idx="89">
                  <c:v>3.7656899999999998</c:v>
                </c:pt>
                <c:pt idx="90">
                  <c:v>3.7673699999999997</c:v>
                </c:pt>
                <c:pt idx="91">
                  <c:v>3.7647599999999999</c:v>
                </c:pt>
                <c:pt idx="92">
                  <c:v>3.75475</c:v>
                </c:pt>
                <c:pt idx="93">
                  <c:v>3.7445400000000002</c:v>
                </c:pt>
                <c:pt idx="94">
                  <c:v>3.73027</c:v>
                </c:pt>
                <c:pt idx="95">
                  <c:v>3.7105300000000003</c:v>
                </c:pt>
                <c:pt idx="96">
                  <c:v>3.6882100000000002</c:v>
                </c:pt>
                <c:pt idx="97">
                  <c:v>3.66377</c:v>
                </c:pt>
                <c:pt idx="98">
                  <c:v>3.63639</c:v>
                </c:pt>
                <c:pt idx="99">
                  <c:v>3.6078000000000001</c:v>
                </c:pt>
                <c:pt idx="100">
                  <c:v>3.5768499999999999</c:v>
                </c:pt>
                <c:pt idx="101">
                  <c:v>3.5452699999999999</c:v>
                </c:pt>
                <c:pt idx="102">
                  <c:v>3.5166900000000001</c:v>
                </c:pt>
                <c:pt idx="103">
                  <c:v>3.4910999999999999</c:v>
                </c:pt>
                <c:pt idx="104">
                  <c:v>3.4674300000000002</c:v>
                </c:pt>
                <c:pt idx="105">
                  <c:v>3.4456599999999997</c:v>
                </c:pt>
                <c:pt idx="106">
                  <c:v>3.4249700000000001</c:v>
                </c:pt>
                <c:pt idx="107">
                  <c:v>3.4050500000000001</c:v>
                </c:pt>
                <c:pt idx="108">
                  <c:v>3.3922099999999999</c:v>
                </c:pt>
                <c:pt idx="109">
                  <c:v>3.3884799999999999</c:v>
                </c:pt>
                <c:pt idx="110">
                  <c:v>3.3916600000000003</c:v>
                </c:pt>
                <c:pt idx="111">
                  <c:v>3.39655</c:v>
                </c:pt>
                <c:pt idx="112">
                  <c:v>3.4030300000000002</c:v>
                </c:pt>
                <c:pt idx="113">
                  <c:v>3.4146199999999998</c:v>
                </c:pt>
                <c:pt idx="114">
                  <c:v>3.4310299999999998</c:v>
                </c:pt>
                <c:pt idx="115">
                  <c:v>3.4504400000000004</c:v>
                </c:pt>
                <c:pt idx="116">
                  <c:v>3.4710600000000005</c:v>
                </c:pt>
                <c:pt idx="117">
                  <c:v>3.4957799999999999</c:v>
                </c:pt>
                <c:pt idx="118">
                  <c:v>3.5207600000000001</c:v>
                </c:pt>
                <c:pt idx="119">
                  <c:v>3.5530400000000002</c:v>
                </c:pt>
                <c:pt idx="120">
                  <c:v>3.5906199999999999</c:v>
                </c:pt>
                <c:pt idx="121">
                  <c:v>3.63151</c:v>
                </c:pt>
                <c:pt idx="122">
                  <c:v>3.6760199999999998</c:v>
                </c:pt>
                <c:pt idx="123">
                  <c:v>3.7230400000000001</c:v>
                </c:pt>
                <c:pt idx="124">
                  <c:v>3.7471399999999999</c:v>
                </c:pt>
                <c:pt idx="125">
                  <c:v>3.7735500000000002</c:v>
                </c:pt>
                <c:pt idx="126">
                  <c:v>3.8001</c:v>
                </c:pt>
                <c:pt idx="127">
                  <c:v>3.8262099999999997</c:v>
                </c:pt>
                <c:pt idx="128">
                  <c:v>3.8516499999999998</c:v>
                </c:pt>
                <c:pt idx="129">
                  <c:v>3.8780199999999998</c:v>
                </c:pt>
                <c:pt idx="130">
                  <c:v>3.9039700000000002</c:v>
                </c:pt>
                <c:pt idx="131">
                  <c:v>3.9296199999999999</c:v>
                </c:pt>
                <c:pt idx="132">
                  <c:v>3.9540500000000001</c:v>
                </c:pt>
                <c:pt idx="133">
                  <c:v>3.9765800000000002</c:v>
                </c:pt>
                <c:pt idx="134">
                  <c:v>3.9982199999999999</c:v>
                </c:pt>
                <c:pt idx="135">
                  <c:v>4.0191699999999999</c:v>
                </c:pt>
                <c:pt idx="136">
                  <c:v>4.0414599999999998</c:v>
                </c:pt>
                <c:pt idx="137">
                  <c:v>4.0631500000000003</c:v>
                </c:pt>
                <c:pt idx="138">
                  <c:v>4.0797400000000001</c:v>
                </c:pt>
                <c:pt idx="139">
                  <c:v>4.0884900000000002</c:v>
                </c:pt>
                <c:pt idx="140">
                  <c:v>4.0988199999999999</c:v>
                </c:pt>
                <c:pt idx="141">
                  <c:v>4.1165500000000002</c:v>
                </c:pt>
                <c:pt idx="142">
                  <c:v>4.1407400000000001</c:v>
                </c:pt>
                <c:pt idx="143">
                  <c:v>4.1727799999999995</c:v>
                </c:pt>
                <c:pt idx="144">
                  <c:v>4.1958099999999998</c:v>
                </c:pt>
                <c:pt idx="145">
                  <c:v>4.2181999999999995</c:v>
                </c:pt>
                <c:pt idx="146">
                  <c:v>4.2329800000000004</c:v>
                </c:pt>
                <c:pt idx="147">
                  <c:v>4.2389000000000001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  <c:pt idx="74">
                  <c:v>44.942599999999999</c:v>
                </c:pt>
                <c:pt idx="75">
                  <c:v>44.698700000000002</c:v>
                </c:pt>
                <c:pt idx="76">
                  <c:v>44.428400000000003</c:v>
                </c:pt>
                <c:pt idx="77">
                  <c:v>44.270900000000005</c:v>
                </c:pt>
                <c:pt idx="78">
                  <c:v>44.195099999999996</c:v>
                </c:pt>
                <c:pt idx="79">
                  <c:v>44.115700000000004</c:v>
                </c:pt>
                <c:pt idx="80">
                  <c:v>44.036200000000001</c:v>
                </c:pt>
                <c:pt idx="81">
                  <c:v>43.9026</c:v>
                </c:pt>
                <c:pt idx="82">
                  <c:v>43.646700000000003</c:v>
                </c:pt>
                <c:pt idx="83">
                  <c:v>43.5045</c:v>
                </c:pt>
                <c:pt idx="84">
                  <c:v>43.420299999999997</c:v>
                </c:pt>
                <c:pt idx="85">
                  <c:v>43.377300000000005</c:v>
                </c:pt>
                <c:pt idx="86">
                  <c:v>43.270099999999999</c:v>
                </c:pt>
                <c:pt idx="87">
                  <c:v>43.188099999999999</c:v>
                </c:pt>
                <c:pt idx="88">
                  <c:v>43.0685</c:v>
                </c:pt>
                <c:pt idx="89">
                  <c:v>42.924900000000001</c:v>
                </c:pt>
                <c:pt idx="90">
                  <c:v>42.767500000000005</c:v>
                </c:pt>
                <c:pt idx="91">
                  <c:v>42.6462</c:v>
                </c:pt>
                <c:pt idx="92">
                  <c:v>42.479900000000001</c:v>
                </c:pt>
                <c:pt idx="93">
                  <c:v>42.3001</c:v>
                </c:pt>
                <c:pt idx="94">
                  <c:v>42.103699999999996</c:v>
                </c:pt>
                <c:pt idx="95">
                  <c:v>41.905099999999997</c:v>
                </c:pt>
                <c:pt idx="96">
                  <c:v>41.756999999999998</c:v>
                </c:pt>
                <c:pt idx="97">
                  <c:v>41.603699999999996</c:v>
                </c:pt>
                <c:pt idx="98">
                  <c:v>41.3842</c:v>
                </c:pt>
                <c:pt idx="99">
                  <c:v>41.213200000000001</c:v>
                </c:pt>
                <c:pt idx="100">
                  <c:v>41.133399999999995</c:v>
                </c:pt>
                <c:pt idx="101">
                  <c:v>41.165600000000005</c:v>
                </c:pt>
                <c:pt idx="102">
                  <c:v>41.277799999999999</c:v>
                </c:pt>
                <c:pt idx="103">
                  <c:v>41.4756</c:v>
                </c:pt>
                <c:pt idx="104">
                  <c:v>41.670499999999997</c:v>
                </c:pt>
                <c:pt idx="105">
                  <c:v>41.8949</c:v>
                </c:pt>
                <c:pt idx="106">
                  <c:v>42.2682</c:v>
                </c:pt>
                <c:pt idx="107">
                  <c:v>42.778199999999998</c:v>
                </c:pt>
                <c:pt idx="108">
                  <c:v>43.131100000000004</c:v>
                </c:pt>
                <c:pt idx="109">
                  <c:v>43.360900000000001</c:v>
                </c:pt>
                <c:pt idx="110">
                  <c:v>43.442399999999999</c:v>
                </c:pt>
                <c:pt idx="111">
                  <c:v>43.447400000000002</c:v>
                </c:pt>
                <c:pt idx="112">
                  <c:v>43.408900000000003</c:v>
                </c:pt>
                <c:pt idx="113">
                  <c:v>43.264299999999999</c:v>
                </c:pt>
                <c:pt idx="114">
                  <c:v>43.007400000000004</c:v>
                </c:pt>
                <c:pt idx="115">
                  <c:v>42.711799999999997</c:v>
                </c:pt>
                <c:pt idx="116">
                  <c:v>42.4193</c:v>
                </c:pt>
                <c:pt idx="117">
                  <c:v>42.156199999999998</c:v>
                </c:pt>
                <c:pt idx="118">
                  <c:v>41.920099999999998</c:v>
                </c:pt>
                <c:pt idx="119">
                  <c:v>41.576099999999997</c:v>
                </c:pt>
                <c:pt idx="120">
                  <c:v>41.256100000000004</c:v>
                </c:pt>
                <c:pt idx="121">
                  <c:v>40.903700000000001</c:v>
                </c:pt>
                <c:pt idx="122">
                  <c:v>40.616999999999997</c:v>
                </c:pt>
                <c:pt idx="123">
                  <c:v>40.4604</c:v>
                </c:pt>
                <c:pt idx="124">
                  <c:v>40.677</c:v>
                </c:pt>
                <c:pt idx="125">
                  <c:v>40.9542</c:v>
                </c:pt>
                <c:pt idx="126">
                  <c:v>41.228400000000001</c:v>
                </c:pt>
                <c:pt idx="127">
                  <c:v>41.452399999999997</c:v>
                </c:pt>
                <c:pt idx="128">
                  <c:v>41.595300000000002</c:v>
                </c:pt>
                <c:pt idx="129">
                  <c:v>41.743200000000002</c:v>
                </c:pt>
                <c:pt idx="130">
                  <c:v>41.904200000000003</c:v>
                </c:pt>
                <c:pt idx="131">
                  <c:v>41.986899999999999</c:v>
                </c:pt>
                <c:pt idx="132">
                  <c:v>41.997099999999996</c:v>
                </c:pt>
                <c:pt idx="133">
                  <c:v>41.966500000000003</c:v>
                </c:pt>
                <c:pt idx="134">
                  <c:v>41.860399999999998</c:v>
                </c:pt>
                <c:pt idx="135">
                  <c:v>41.737299999999998</c:v>
                </c:pt>
                <c:pt idx="136">
                  <c:v>41.671900000000001</c:v>
                </c:pt>
                <c:pt idx="137">
                  <c:v>41.625499999999995</c:v>
                </c:pt>
                <c:pt idx="138">
                  <c:v>41.547600000000003</c:v>
                </c:pt>
                <c:pt idx="139">
                  <c:v>41.436599999999999</c:v>
                </c:pt>
                <c:pt idx="140">
                  <c:v>41.298099999999998</c:v>
                </c:pt>
                <c:pt idx="141">
                  <c:v>41.105000000000004</c:v>
                </c:pt>
                <c:pt idx="142">
                  <c:v>40.892800000000001</c:v>
                </c:pt>
                <c:pt idx="143">
                  <c:v>40.709400000000002</c:v>
                </c:pt>
                <c:pt idx="144">
                  <c:v>40.659199999999998</c:v>
                </c:pt>
                <c:pt idx="145">
                  <c:v>40.495399999999997</c:v>
                </c:pt>
                <c:pt idx="146">
                  <c:v>40.335999999999999</c:v>
                </c:pt>
                <c:pt idx="147">
                  <c:v>39.763199999999998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3.06514</c:v>
                </c:pt>
                <c:pt idx="1">
                  <c:v>3.1372599999999999</c:v>
                </c:pt>
                <c:pt idx="2">
                  <c:v>3.20831</c:v>
                </c:pt>
                <c:pt idx="3">
                  <c:v>3.28165</c:v>
                </c:pt>
                <c:pt idx="4">
                  <c:v>3.3533200000000001</c:v>
                </c:pt>
                <c:pt idx="5">
                  <c:v>3.4230100000000001</c:v>
                </c:pt>
                <c:pt idx="6">
                  <c:v>3.4900599999999997</c:v>
                </c:pt>
                <c:pt idx="7">
                  <c:v>3.5526200000000001</c:v>
                </c:pt>
                <c:pt idx="8">
                  <c:v>3.6086900000000002</c:v>
                </c:pt>
                <c:pt idx="9">
                  <c:v>3.6608000000000001</c:v>
                </c:pt>
                <c:pt idx="10">
                  <c:v>3.7092999999999998</c:v>
                </c:pt>
                <c:pt idx="11">
                  <c:v>3.7554700000000003</c:v>
                </c:pt>
                <c:pt idx="12">
                  <c:v>3.7976999999999999</c:v>
                </c:pt>
                <c:pt idx="13">
                  <c:v>3.8368600000000002</c:v>
                </c:pt>
                <c:pt idx="14">
                  <c:v>3.8715000000000002</c:v>
                </c:pt>
                <c:pt idx="15">
                  <c:v>3.9031500000000001</c:v>
                </c:pt>
                <c:pt idx="16">
                  <c:v>3.9314100000000001</c:v>
                </c:pt>
                <c:pt idx="17">
                  <c:v>3.95208</c:v>
                </c:pt>
                <c:pt idx="18">
                  <c:v>3.9667000000000003</c:v>
                </c:pt>
                <c:pt idx="19">
                  <c:v>3.9754</c:v>
                </c:pt>
                <c:pt idx="20">
                  <c:v>3.9793499999999997</c:v>
                </c:pt>
                <c:pt idx="21">
                  <c:v>3.98353</c:v>
                </c:pt>
                <c:pt idx="22">
                  <c:v>3.9867599999999999</c:v>
                </c:pt>
                <c:pt idx="23">
                  <c:v>3.9856599999999998</c:v>
                </c:pt>
                <c:pt idx="24">
                  <c:v>3.9813199999999997</c:v>
                </c:pt>
                <c:pt idx="25">
                  <c:v>3.9751799999999999</c:v>
                </c:pt>
                <c:pt idx="26">
                  <c:v>3.9652399999999997</c:v>
                </c:pt>
                <c:pt idx="27">
                  <c:v>3.95486</c:v>
                </c:pt>
                <c:pt idx="28">
                  <c:v>3.93919</c:v>
                </c:pt>
                <c:pt idx="29">
                  <c:v>3.91777</c:v>
                </c:pt>
                <c:pt idx="30">
                  <c:v>3.8944000000000001</c:v>
                </c:pt>
                <c:pt idx="31">
                  <c:v>3.8690699999999998</c:v>
                </c:pt>
                <c:pt idx="32">
                  <c:v>3.8428400000000003</c:v>
                </c:pt>
                <c:pt idx="33">
                  <c:v>3.81698</c:v>
                </c:pt>
                <c:pt idx="34">
                  <c:v>3.7901199999999999</c:v>
                </c:pt>
                <c:pt idx="35">
                  <c:v>3.7589299999999999</c:v>
                </c:pt>
                <c:pt idx="36">
                  <c:v>3.7260599999999999</c:v>
                </c:pt>
                <c:pt idx="37">
                  <c:v>3.6907399999999999</c:v>
                </c:pt>
                <c:pt idx="38">
                  <c:v>3.65205</c:v>
                </c:pt>
                <c:pt idx="39">
                  <c:v>3.6112100000000003</c:v>
                </c:pt>
                <c:pt idx="40">
                  <c:v>3.56853</c:v>
                </c:pt>
                <c:pt idx="41">
                  <c:v>3.5233599999999998</c:v>
                </c:pt>
                <c:pt idx="42">
                  <c:v>3.4803099999999998</c:v>
                </c:pt>
                <c:pt idx="43">
                  <c:v>3.43797</c:v>
                </c:pt>
                <c:pt idx="44">
                  <c:v>3.39636</c:v>
                </c:pt>
                <c:pt idx="45">
                  <c:v>3.3569599999999999</c:v>
                </c:pt>
                <c:pt idx="46">
                  <c:v>3.3164400000000001</c:v>
                </c:pt>
                <c:pt idx="47">
                  <c:v>3.2735399999999997</c:v>
                </c:pt>
                <c:pt idx="48">
                  <c:v>3.23169</c:v>
                </c:pt>
                <c:pt idx="49">
                  <c:v>3.1946300000000001</c:v>
                </c:pt>
                <c:pt idx="50">
                  <c:v>3.1603500000000002</c:v>
                </c:pt>
                <c:pt idx="51">
                  <c:v>3.12975</c:v>
                </c:pt>
                <c:pt idx="52">
                  <c:v>3.0957800000000004</c:v>
                </c:pt>
                <c:pt idx="53">
                  <c:v>3.06311</c:v>
                </c:pt>
                <c:pt idx="54">
                  <c:v>3.0411100000000002</c:v>
                </c:pt>
                <c:pt idx="55">
                  <c:v>3.0219299999999998</c:v>
                </c:pt>
                <c:pt idx="56">
                  <c:v>3.0076299999999998</c:v>
                </c:pt>
                <c:pt idx="57">
                  <c:v>3.0006500000000003</c:v>
                </c:pt>
                <c:pt idx="58">
                  <c:v>2.9984100000000002</c:v>
                </c:pt>
                <c:pt idx="59">
                  <c:v>2.9968899999999996</c:v>
                </c:pt>
                <c:pt idx="60">
                  <c:v>2.9998999999999998</c:v>
                </c:pt>
                <c:pt idx="61">
                  <c:v>3.0062600000000002</c:v>
                </c:pt>
                <c:pt idx="62">
                  <c:v>3.0145200000000001</c:v>
                </c:pt>
                <c:pt idx="63">
                  <c:v>3.03023</c:v>
                </c:pt>
                <c:pt idx="64">
                  <c:v>3.0487299999999999</c:v>
                </c:pt>
                <c:pt idx="65">
                  <c:v>3.0704199999999999</c:v>
                </c:pt>
                <c:pt idx="66">
                  <c:v>3.0959399999999997</c:v>
                </c:pt>
                <c:pt idx="67">
                  <c:v>3.1268899999999999</c:v>
                </c:pt>
                <c:pt idx="68">
                  <c:v>3.1591499999999999</c:v>
                </c:pt>
                <c:pt idx="69">
                  <c:v>3.1943899999999998</c:v>
                </c:pt>
                <c:pt idx="70">
                  <c:v>3.2328099999999997</c:v>
                </c:pt>
                <c:pt idx="71">
                  <c:v>3.2728800000000002</c:v>
                </c:pt>
                <c:pt idx="72">
                  <c:v>3.3138899999999998</c:v>
                </c:pt>
                <c:pt idx="73">
                  <c:v>3.3539600000000003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51.270299999999999</c:v>
                </c:pt>
                <c:pt idx="1">
                  <c:v>50.322000000000003</c:v>
                </c:pt>
                <c:pt idx="2">
                  <c:v>49.445699999999995</c:v>
                </c:pt>
                <c:pt idx="3">
                  <c:v>48.5518</c:v>
                </c:pt>
                <c:pt idx="4">
                  <c:v>47.739800000000002</c:v>
                </c:pt>
                <c:pt idx="5">
                  <c:v>47.058100000000003</c:v>
                </c:pt>
                <c:pt idx="6">
                  <c:v>46.528199999999998</c:v>
                </c:pt>
                <c:pt idx="7">
                  <c:v>46.186799999999998</c:v>
                </c:pt>
                <c:pt idx="8">
                  <c:v>46.057700000000004</c:v>
                </c:pt>
                <c:pt idx="9">
                  <c:v>45.9953</c:v>
                </c:pt>
                <c:pt idx="10">
                  <c:v>45.933700000000002</c:v>
                </c:pt>
                <c:pt idx="11">
                  <c:v>45.931600000000003</c:v>
                </c:pt>
                <c:pt idx="12">
                  <c:v>45.977499999999999</c:v>
                </c:pt>
                <c:pt idx="13">
                  <c:v>46.015699999999995</c:v>
                </c:pt>
                <c:pt idx="14">
                  <c:v>45.992899999999999</c:v>
                </c:pt>
                <c:pt idx="15">
                  <c:v>45.932499999999997</c:v>
                </c:pt>
                <c:pt idx="16">
                  <c:v>45.875999999999998</c:v>
                </c:pt>
                <c:pt idx="17">
                  <c:v>45.767499999999998</c:v>
                </c:pt>
                <c:pt idx="18">
                  <c:v>45.611400000000003</c:v>
                </c:pt>
                <c:pt idx="19">
                  <c:v>45.406999999999996</c:v>
                </c:pt>
                <c:pt idx="20">
                  <c:v>45.1751</c:v>
                </c:pt>
                <c:pt idx="21">
                  <c:v>44.947700000000005</c:v>
                </c:pt>
                <c:pt idx="22">
                  <c:v>44.715899999999998</c:v>
                </c:pt>
                <c:pt idx="23">
                  <c:v>44.500399999999999</c:v>
                </c:pt>
                <c:pt idx="24">
                  <c:v>44.2849</c:v>
                </c:pt>
                <c:pt idx="25">
                  <c:v>44.0794</c:v>
                </c:pt>
                <c:pt idx="26">
                  <c:v>43.870199999999997</c:v>
                </c:pt>
                <c:pt idx="27">
                  <c:v>43.716899999999995</c:v>
                </c:pt>
                <c:pt idx="28">
                  <c:v>43.650800000000004</c:v>
                </c:pt>
                <c:pt idx="29">
                  <c:v>43.616</c:v>
                </c:pt>
                <c:pt idx="30">
                  <c:v>43.624200000000002</c:v>
                </c:pt>
                <c:pt idx="31">
                  <c:v>43.680999999999997</c:v>
                </c:pt>
                <c:pt idx="32">
                  <c:v>43.735700000000001</c:v>
                </c:pt>
                <c:pt idx="33">
                  <c:v>43.732700000000001</c:v>
                </c:pt>
                <c:pt idx="34">
                  <c:v>43.725500000000004</c:v>
                </c:pt>
                <c:pt idx="35">
                  <c:v>43.645400000000002</c:v>
                </c:pt>
                <c:pt idx="36">
                  <c:v>43.563600000000001</c:v>
                </c:pt>
                <c:pt idx="37">
                  <c:v>43.432200000000002</c:v>
                </c:pt>
                <c:pt idx="38">
                  <c:v>43.258600000000001</c:v>
                </c:pt>
                <c:pt idx="39">
                  <c:v>43.1111</c:v>
                </c:pt>
                <c:pt idx="40">
                  <c:v>43.072099999999999</c:v>
                </c:pt>
                <c:pt idx="41">
                  <c:v>43.028499999999994</c:v>
                </c:pt>
                <c:pt idx="42">
                  <c:v>42.91</c:v>
                </c:pt>
                <c:pt idx="43">
                  <c:v>42.7545</c:v>
                </c:pt>
                <c:pt idx="44">
                  <c:v>42.598599999999998</c:v>
                </c:pt>
                <c:pt idx="45">
                  <c:v>42.484400000000001</c:v>
                </c:pt>
                <c:pt idx="46">
                  <c:v>42.464400000000005</c:v>
                </c:pt>
                <c:pt idx="47">
                  <c:v>42.5321</c:v>
                </c:pt>
                <c:pt idx="48">
                  <c:v>42.662199999999999</c:v>
                </c:pt>
                <c:pt idx="49">
                  <c:v>42.8735</c:v>
                </c:pt>
                <c:pt idx="50">
                  <c:v>43.229199999999999</c:v>
                </c:pt>
                <c:pt idx="51">
                  <c:v>43.626300000000001</c:v>
                </c:pt>
                <c:pt idx="52">
                  <c:v>44.124899999999997</c:v>
                </c:pt>
                <c:pt idx="53">
                  <c:v>44.632800000000003</c:v>
                </c:pt>
                <c:pt idx="54">
                  <c:v>45.0565</c:v>
                </c:pt>
                <c:pt idx="55">
                  <c:v>45.473300000000002</c:v>
                </c:pt>
                <c:pt idx="56">
                  <c:v>45.7973</c:v>
                </c:pt>
                <c:pt idx="57">
                  <c:v>46.02</c:v>
                </c:pt>
                <c:pt idx="58">
                  <c:v>46.150600000000004</c:v>
                </c:pt>
                <c:pt idx="59">
                  <c:v>46.296799999999998</c:v>
                </c:pt>
                <c:pt idx="60">
                  <c:v>46.388600000000004</c:v>
                </c:pt>
                <c:pt idx="61">
                  <c:v>46.508500000000005</c:v>
                </c:pt>
                <c:pt idx="62">
                  <c:v>46.581200000000003</c:v>
                </c:pt>
                <c:pt idx="63">
                  <c:v>46.571200000000005</c:v>
                </c:pt>
                <c:pt idx="64">
                  <c:v>46.526299999999999</c:v>
                </c:pt>
                <c:pt idx="65">
                  <c:v>46.406399999999998</c:v>
                </c:pt>
                <c:pt idx="66">
                  <c:v>46.2761</c:v>
                </c:pt>
                <c:pt idx="67">
                  <c:v>46.082499999999996</c:v>
                </c:pt>
                <c:pt idx="68">
                  <c:v>45.964100000000002</c:v>
                </c:pt>
                <c:pt idx="69">
                  <c:v>45.830199999999998</c:v>
                </c:pt>
                <c:pt idx="70">
                  <c:v>45.598199999999999</c:v>
                </c:pt>
                <c:pt idx="71">
                  <c:v>45.360900000000001</c:v>
                </c:pt>
                <c:pt idx="72">
                  <c:v>45.204699999999995</c:v>
                </c:pt>
                <c:pt idx="73">
                  <c:v>45.099499999999999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3.3539600000000003</c:v>
                </c:pt>
                <c:pt idx="1">
                  <c:v>3.3927800000000001</c:v>
                </c:pt>
                <c:pt idx="2">
                  <c:v>3.4309400000000001</c:v>
                </c:pt>
                <c:pt idx="3">
                  <c:v>3.4700899999999999</c:v>
                </c:pt>
                <c:pt idx="4">
                  <c:v>3.5090399999999997</c:v>
                </c:pt>
                <c:pt idx="5">
                  <c:v>3.54657</c:v>
                </c:pt>
                <c:pt idx="6">
                  <c:v>3.5781900000000002</c:v>
                </c:pt>
                <c:pt idx="7">
                  <c:v>3.60853</c:v>
                </c:pt>
                <c:pt idx="8">
                  <c:v>3.63801</c:v>
                </c:pt>
                <c:pt idx="9">
                  <c:v>3.6657899999999999</c:v>
                </c:pt>
                <c:pt idx="10">
                  <c:v>3.6889799999999999</c:v>
                </c:pt>
                <c:pt idx="11">
                  <c:v>3.7081399999999998</c:v>
                </c:pt>
                <c:pt idx="12">
                  <c:v>3.7225599999999996</c:v>
                </c:pt>
                <c:pt idx="13">
                  <c:v>3.7351000000000001</c:v>
                </c:pt>
                <c:pt idx="14">
                  <c:v>3.7487599999999999</c:v>
                </c:pt>
                <c:pt idx="15">
                  <c:v>3.7583100000000003</c:v>
                </c:pt>
                <c:pt idx="16">
                  <c:v>3.7656899999999998</c:v>
                </c:pt>
                <c:pt idx="17">
                  <c:v>3.7673699999999997</c:v>
                </c:pt>
                <c:pt idx="18">
                  <c:v>3.7647599999999999</c:v>
                </c:pt>
                <c:pt idx="19">
                  <c:v>3.75475</c:v>
                </c:pt>
                <c:pt idx="20">
                  <c:v>3.7445400000000002</c:v>
                </c:pt>
                <c:pt idx="21">
                  <c:v>3.73027</c:v>
                </c:pt>
                <c:pt idx="22">
                  <c:v>3.7105300000000003</c:v>
                </c:pt>
                <c:pt idx="23">
                  <c:v>3.6882100000000002</c:v>
                </c:pt>
                <c:pt idx="24">
                  <c:v>3.66377</c:v>
                </c:pt>
                <c:pt idx="25">
                  <c:v>3.63639</c:v>
                </c:pt>
                <c:pt idx="26">
                  <c:v>3.6078000000000001</c:v>
                </c:pt>
                <c:pt idx="27">
                  <c:v>3.5768499999999999</c:v>
                </c:pt>
                <c:pt idx="28">
                  <c:v>3.5452699999999999</c:v>
                </c:pt>
                <c:pt idx="29">
                  <c:v>3.5166900000000001</c:v>
                </c:pt>
                <c:pt idx="30">
                  <c:v>3.4910999999999999</c:v>
                </c:pt>
                <c:pt idx="31">
                  <c:v>3.4674300000000002</c:v>
                </c:pt>
                <c:pt idx="32">
                  <c:v>3.4456599999999997</c:v>
                </c:pt>
                <c:pt idx="33">
                  <c:v>3.4249700000000001</c:v>
                </c:pt>
                <c:pt idx="34">
                  <c:v>3.4050500000000001</c:v>
                </c:pt>
                <c:pt idx="35">
                  <c:v>3.3922099999999999</c:v>
                </c:pt>
                <c:pt idx="36">
                  <c:v>3.3884799999999999</c:v>
                </c:pt>
                <c:pt idx="37">
                  <c:v>3.3916600000000003</c:v>
                </c:pt>
                <c:pt idx="38">
                  <c:v>3.39655</c:v>
                </c:pt>
                <c:pt idx="39">
                  <c:v>3.4030300000000002</c:v>
                </c:pt>
                <c:pt idx="40">
                  <c:v>3.4146199999999998</c:v>
                </c:pt>
                <c:pt idx="41">
                  <c:v>3.4310299999999998</c:v>
                </c:pt>
                <c:pt idx="42">
                  <c:v>3.4504400000000004</c:v>
                </c:pt>
                <c:pt idx="43">
                  <c:v>3.4710600000000005</c:v>
                </c:pt>
                <c:pt idx="44">
                  <c:v>3.4957799999999999</c:v>
                </c:pt>
                <c:pt idx="45">
                  <c:v>3.5207600000000001</c:v>
                </c:pt>
                <c:pt idx="46">
                  <c:v>3.5530400000000002</c:v>
                </c:pt>
                <c:pt idx="47">
                  <c:v>3.5906199999999999</c:v>
                </c:pt>
                <c:pt idx="48">
                  <c:v>3.63151</c:v>
                </c:pt>
                <c:pt idx="49">
                  <c:v>3.6760199999999998</c:v>
                </c:pt>
                <c:pt idx="50">
                  <c:v>3.7230400000000001</c:v>
                </c:pt>
                <c:pt idx="51">
                  <c:v>3.7471399999999999</c:v>
                </c:pt>
                <c:pt idx="52">
                  <c:v>3.7735500000000002</c:v>
                </c:pt>
                <c:pt idx="53">
                  <c:v>3.8001</c:v>
                </c:pt>
                <c:pt idx="54">
                  <c:v>3.8262099999999997</c:v>
                </c:pt>
                <c:pt idx="55">
                  <c:v>3.8516499999999998</c:v>
                </c:pt>
                <c:pt idx="56">
                  <c:v>3.8780199999999998</c:v>
                </c:pt>
                <c:pt idx="57">
                  <c:v>3.9039700000000002</c:v>
                </c:pt>
                <c:pt idx="58">
                  <c:v>3.9296199999999999</c:v>
                </c:pt>
                <c:pt idx="59">
                  <c:v>3.9540500000000001</c:v>
                </c:pt>
                <c:pt idx="60">
                  <c:v>3.9765800000000002</c:v>
                </c:pt>
                <c:pt idx="61">
                  <c:v>3.9982199999999999</c:v>
                </c:pt>
                <c:pt idx="62">
                  <c:v>4.0191699999999999</c:v>
                </c:pt>
                <c:pt idx="63">
                  <c:v>4.0414599999999998</c:v>
                </c:pt>
                <c:pt idx="64">
                  <c:v>4.0631500000000003</c:v>
                </c:pt>
                <c:pt idx="65">
                  <c:v>4.0797400000000001</c:v>
                </c:pt>
                <c:pt idx="66">
                  <c:v>4.0884900000000002</c:v>
                </c:pt>
                <c:pt idx="67">
                  <c:v>4.0988199999999999</c:v>
                </c:pt>
                <c:pt idx="68">
                  <c:v>4.1165500000000002</c:v>
                </c:pt>
                <c:pt idx="69">
                  <c:v>4.1407400000000001</c:v>
                </c:pt>
                <c:pt idx="70">
                  <c:v>4.1727799999999995</c:v>
                </c:pt>
                <c:pt idx="71">
                  <c:v>4.1958099999999998</c:v>
                </c:pt>
                <c:pt idx="72">
                  <c:v>4.2181999999999995</c:v>
                </c:pt>
                <c:pt idx="73">
                  <c:v>4.2329800000000004</c:v>
                </c:pt>
                <c:pt idx="74">
                  <c:v>4.2389000000000001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45.099499999999999</c:v>
                </c:pt>
                <c:pt idx="1">
                  <c:v>44.942599999999999</c:v>
                </c:pt>
                <c:pt idx="2">
                  <c:v>44.698700000000002</c:v>
                </c:pt>
                <c:pt idx="3">
                  <c:v>44.428400000000003</c:v>
                </c:pt>
                <c:pt idx="4">
                  <c:v>44.270900000000005</c:v>
                </c:pt>
                <c:pt idx="5">
                  <c:v>44.195099999999996</c:v>
                </c:pt>
                <c:pt idx="6">
                  <c:v>44.115700000000004</c:v>
                </c:pt>
                <c:pt idx="7">
                  <c:v>44.036200000000001</c:v>
                </c:pt>
                <c:pt idx="8">
                  <c:v>43.9026</c:v>
                </c:pt>
                <c:pt idx="9">
                  <c:v>43.646700000000003</c:v>
                </c:pt>
                <c:pt idx="10">
                  <c:v>43.5045</c:v>
                </c:pt>
                <c:pt idx="11">
                  <c:v>43.420299999999997</c:v>
                </c:pt>
                <c:pt idx="12">
                  <c:v>43.377300000000005</c:v>
                </c:pt>
                <c:pt idx="13">
                  <c:v>43.270099999999999</c:v>
                </c:pt>
                <c:pt idx="14">
                  <c:v>43.188099999999999</c:v>
                </c:pt>
                <c:pt idx="15">
                  <c:v>43.0685</c:v>
                </c:pt>
                <c:pt idx="16">
                  <c:v>42.924900000000001</c:v>
                </c:pt>
                <c:pt idx="17">
                  <c:v>42.767500000000005</c:v>
                </c:pt>
                <c:pt idx="18">
                  <c:v>42.6462</c:v>
                </c:pt>
                <c:pt idx="19">
                  <c:v>42.479900000000001</c:v>
                </c:pt>
                <c:pt idx="20">
                  <c:v>42.3001</c:v>
                </c:pt>
                <c:pt idx="21">
                  <c:v>42.103699999999996</c:v>
                </c:pt>
                <c:pt idx="22">
                  <c:v>41.905099999999997</c:v>
                </c:pt>
                <c:pt idx="23">
                  <c:v>41.756999999999998</c:v>
                </c:pt>
                <c:pt idx="24">
                  <c:v>41.603699999999996</c:v>
                </c:pt>
                <c:pt idx="25">
                  <c:v>41.3842</c:v>
                </c:pt>
                <c:pt idx="26">
                  <c:v>41.213200000000001</c:v>
                </c:pt>
                <c:pt idx="27">
                  <c:v>41.133399999999995</c:v>
                </c:pt>
                <c:pt idx="28">
                  <c:v>41.165600000000005</c:v>
                </c:pt>
                <c:pt idx="29">
                  <c:v>41.277799999999999</c:v>
                </c:pt>
                <c:pt idx="30">
                  <c:v>41.4756</c:v>
                </c:pt>
                <c:pt idx="31">
                  <c:v>41.670499999999997</c:v>
                </c:pt>
                <c:pt idx="32">
                  <c:v>41.8949</c:v>
                </c:pt>
                <c:pt idx="33">
                  <c:v>42.2682</c:v>
                </c:pt>
                <c:pt idx="34">
                  <c:v>42.778199999999998</c:v>
                </c:pt>
                <c:pt idx="35">
                  <c:v>43.131100000000004</c:v>
                </c:pt>
                <c:pt idx="36">
                  <c:v>43.360900000000001</c:v>
                </c:pt>
                <c:pt idx="37">
                  <c:v>43.442399999999999</c:v>
                </c:pt>
                <c:pt idx="38">
                  <c:v>43.447400000000002</c:v>
                </c:pt>
                <c:pt idx="39">
                  <c:v>43.408900000000003</c:v>
                </c:pt>
                <c:pt idx="40">
                  <c:v>43.264299999999999</c:v>
                </c:pt>
                <c:pt idx="41">
                  <c:v>43.007400000000004</c:v>
                </c:pt>
                <c:pt idx="42">
                  <c:v>42.711799999999997</c:v>
                </c:pt>
                <c:pt idx="43">
                  <c:v>42.4193</c:v>
                </c:pt>
                <c:pt idx="44">
                  <c:v>42.156199999999998</c:v>
                </c:pt>
                <c:pt idx="45">
                  <c:v>41.920099999999998</c:v>
                </c:pt>
                <c:pt idx="46">
                  <c:v>41.576099999999997</c:v>
                </c:pt>
                <c:pt idx="47">
                  <c:v>41.256100000000004</c:v>
                </c:pt>
                <c:pt idx="48">
                  <c:v>40.903700000000001</c:v>
                </c:pt>
                <c:pt idx="49">
                  <c:v>40.616999999999997</c:v>
                </c:pt>
                <c:pt idx="50">
                  <c:v>40.4604</c:v>
                </c:pt>
                <c:pt idx="51">
                  <c:v>40.677</c:v>
                </c:pt>
                <c:pt idx="52">
                  <c:v>40.9542</c:v>
                </c:pt>
                <c:pt idx="53">
                  <c:v>41.228400000000001</c:v>
                </c:pt>
                <c:pt idx="54">
                  <c:v>41.452399999999997</c:v>
                </c:pt>
                <c:pt idx="55">
                  <c:v>41.595300000000002</c:v>
                </c:pt>
                <c:pt idx="56">
                  <c:v>41.743200000000002</c:v>
                </c:pt>
                <c:pt idx="57">
                  <c:v>41.904200000000003</c:v>
                </c:pt>
                <c:pt idx="58">
                  <c:v>41.986899999999999</c:v>
                </c:pt>
                <c:pt idx="59">
                  <c:v>41.997099999999996</c:v>
                </c:pt>
                <c:pt idx="60">
                  <c:v>41.966500000000003</c:v>
                </c:pt>
                <c:pt idx="61">
                  <c:v>41.860399999999998</c:v>
                </c:pt>
                <c:pt idx="62">
                  <c:v>41.737299999999998</c:v>
                </c:pt>
                <c:pt idx="63">
                  <c:v>41.671900000000001</c:v>
                </c:pt>
                <c:pt idx="64">
                  <c:v>41.625499999999995</c:v>
                </c:pt>
                <c:pt idx="65">
                  <c:v>41.547600000000003</c:v>
                </c:pt>
                <c:pt idx="66">
                  <c:v>41.436599999999999</c:v>
                </c:pt>
                <c:pt idx="67">
                  <c:v>41.298099999999998</c:v>
                </c:pt>
                <c:pt idx="68">
                  <c:v>41.105000000000004</c:v>
                </c:pt>
                <c:pt idx="69">
                  <c:v>40.892800000000001</c:v>
                </c:pt>
                <c:pt idx="70">
                  <c:v>40.709400000000002</c:v>
                </c:pt>
                <c:pt idx="71">
                  <c:v>40.659199999999998</c:v>
                </c:pt>
                <c:pt idx="72">
                  <c:v>40.495399999999997</c:v>
                </c:pt>
                <c:pt idx="73">
                  <c:v>40.335999999999999</c:v>
                </c:pt>
                <c:pt idx="74">
                  <c:v>39.763199999999998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3.06514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51.270299999999999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3.4867170270270265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45.106151351351343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3.7187113513513519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42.196514864864874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3.7187113513513519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42.196514864864874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571</v>
      </c>
      <c r="D5" s="191"/>
      <c r="E5" s="191"/>
      <c r="F5" s="192"/>
      <c r="G5" s="48" t="str">
        <f>lang!B27</f>
        <v>编号</v>
      </c>
      <c r="H5" s="190">
        <v>14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570</v>
      </c>
      <c r="D6" s="145"/>
      <c r="E6" s="145"/>
      <c r="F6" s="146"/>
      <c r="G6" s="49" t="str">
        <f>lang!B28</f>
        <v xml:space="preserve"> 日期</v>
      </c>
      <c r="H6" s="129">
        <f>FH_info!A2</f>
        <v>43612.710821759261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45</v>
      </c>
      <c r="D7" s="148"/>
      <c r="E7" s="148"/>
      <c r="F7" s="149"/>
      <c r="G7" s="50" t="str">
        <f>lang!B29</f>
        <v>误差率（%）</v>
      </c>
      <c r="H7" s="132">
        <f>M!B17*1</f>
        <v>15.019299999999999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38.168900000000001</v>
      </c>
      <c r="O8" s="59">
        <f>M!C5*1</f>
        <v>5.2484799999999998</v>
      </c>
      <c r="P8" s="59">
        <f>M!D5*1</f>
        <v>13.7507</v>
      </c>
      <c r="Q8" s="59">
        <f>M!E5*1</f>
        <v>20</v>
      </c>
      <c r="R8" s="59">
        <f>M!F5*1</f>
        <v>19.228300000000001</v>
      </c>
      <c r="S8" s="59">
        <f>M!G5*1</f>
        <v>50</v>
      </c>
      <c r="T8" s="59">
        <f>M!H5*1</f>
        <v>46.726599999999998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32.378300000000003</v>
      </c>
      <c r="O9" s="59">
        <f>M!C6*1</f>
        <v>1.8812899999999999</v>
      </c>
      <c r="P9" s="59">
        <f>M!D6*1</f>
        <v>5.8103499999999997</v>
      </c>
      <c r="Q9" s="59">
        <f>M!E6*1</f>
        <v>20</v>
      </c>
      <c r="R9" s="59">
        <f>M!F6*1</f>
        <v>25.284300000000002</v>
      </c>
      <c r="S9" s="59">
        <f>M!G6*1</f>
        <v>40</v>
      </c>
      <c r="T9" s="59">
        <f>M!H6*1</f>
        <v>35.116900000000001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19.228300000000001</v>
      </c>
      <c r="D10" s="99">
        <f>N8</f>
        <v>38.168900000000001</v>
      </c>
      <c r="E10" s="100">
        <f>T8</f>
        <v>46.726599999999998</v>
      </c>
      <c r="F10" s="91">
        <f>P8</f>
        <v>13.7507</v>
      </c>
      <c r="G10" s="81" t="str">
        <f>CONCATENATE(M9,"
(20 ~ 40)")</f>
        <v>压力
(20 ~ 40)</v>
      </c>
      <c r="H10" s="98">
        <f>R9</f>
        <v>25.284300000000002</v>
      </c>
      <c r="I10" s="108">
        <f>N9</f>
        <v>32.378300000000003</v>
      </c>
      <c r="J10" s="98">
        <f>T9</f>
        <v>35.116900000000001</v>
      </c>
      <c r="K10" s="92">
        <f>P9</f>
        <v>5.8103499999999997</v>
      </c>
      <c r="L10" s="6"/>
      <c r="M10" s="27" t="str">
        <f>lang!B16</f>
        <v>焦虑</v>
      </c>
      <c r="N10" s="59">
        <f>M!B7*1</f>
        <v>32.845500000000001</v>
      </c>
      <c r="O10" s="59">
        <f>M!C7*1</f>
        <v>8.4008699999999994</v>
      </c>
      <c r="P10" s="59">
        <f>M!D7*1</f>
        <v>25.576899999999998</v>
      </c>
      <c r="Q10" s="59">
        <f>M!E7*1</f>
        <v>15</v>
      </c>
      <c r="R10" s="59">
        <f>M!F7*1</f>
        <v>12.2454</v>
      </c>
      <c r="S10" s="59">
        <f>M!G7*1</f>
        <v>40</v>
      </c>
      <c r="T10" s="59">
        <f>M!H7*1</f>
        <v>52.4024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12.2454</v>
      </c>
      <c r="D11" s="102">
        <f>N10</f>
        <v>32.845500000000001</v>
      </c>
      <c r="E11" s="103">
        <f>T10</f>
        <v>52.4024</v>
      </c>
      <c r="F11" s="94">
        <f>P10</f>
        <v>25.576899999999998</v>
      </c>
      <c r="G11" s="52" t="str">
        <f>CONCATENATE(M11,"
(20 ~ 50)")</f>
        <v>可疑
(20 ~ 50)</v>
      </c>
      <c r="H11" s="101">
        <f>R11</f>
        <v>21.6342</v>
      </c>
      <c r="I11" s="104">
        <f>N11</f>
        <v>34.284500000000001</v>
      </c>
      <c r="J11" s="101">
        <f>T11</f>
        <v>39.545000000000002</v>
      </c>
      <c r="K11" s="95">
        <f>P11</f>
        <v>9.5739999999999998</v>
      </c>
      <c r="L11" s="4"/>
      <c r="M11" s="27" t="str">
        <f>lang!B17</f>
        <v>可疑</v>
      </c>
      <c r="N11" s="59">
        <f>M!B8*1</f>
        <v>34.284500000000001</v>
      </c>
      <c r="O11" s="59">
        <f>M!C8*1</f>
        <v>3.2824</v>
      </c>
      <c r="P11" s="59">
        <f>M!D8*1</f>
        <v>9.5739999999999998</v>
      </c>
      <c r="Q11" s="59">
        <f>M!E8*1</f>
        <v>20</v>
      </c>
      <c r="R11" s="59">
        <f>M!F8*1</f>
        <v>21.6342</v>
      </c>
      <c r="S11" s="59">
        <f>M!G8*1</f>
        <v>50</v>
      </c>
      <c r="T11" s="59">
        <f>M!H8*1</f>
        <v>39.545000000000002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55.169899999999998</v>
      </c>
      <c r="D12" s="104">
        <f>N12</f>
        <v>70.919499999999999</v>
      </c>
      <c r="E12" s="101">
        <f>T12</f>
        <v>82.540800000000004</v>
      </c>
      <c r="F12" s="93">
        <f>P12</f>
        <v>7.8686999999999996</v>
      </c>
      <c r="G12" s="52" t="str">
        <f>CONCATENATE(M13,"
(40 ~ 100)")</f>
        <v>自信
(40 ~ 100)</v>
      </c>
      <c r="H12" s="101">
        <f>R13</f>
        <v>64.449100000000001</v>
      </c>
      <c r="I12" s="104">
        <f>N13</f>
        <v>70.389899999999997</v>
      </c>
      <c r="J12" s="101">
        <f>T13</f>
        <v>81.046300000000002</v>
      </c>
      <c r="K12" s="95">
        <f>P13</f>
        <v>6.6358600000000001</v>
      </c>
      <c r="L12" s="4"/>
      <c r="M12" s="27" t="str">
        <f>lang!B18</f>
        <v>平衡</v>
      </c>
      <c r="N12" s="59">
        <f>M!B9*1</f>
        <v>70.919499999999999</v>
      </c>
      <c r="O12" s="59">
        <f>M!C9*1</f>
        <v>5.5804400000000003</v>
      </c>
      <c r="P12" s="59">
        <f>M!D9*1</f>
        <v>7.8686999999999996</v>
      </c>
      <c r="Q12" s="59">
        <f>M!E9*1</f>
        <v>50</v>
      </c>
      <c r="R12" s="59">
        <f>M!F9*1</f>
        <v>55.169899999999998</v>
      </c>
      <c r="S12" s="59">
        <f>M!G9*1</f>
        <v>100</v>
      </c>
      <c r="T12" s="59">
        <f>M!H9*1</f>
        <v>82.540800000000004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16.632899999999999</v>
      </c>
      <c r="D13" s="102">
        <f>N14</f>
        <v>24.7759</v>
      </c>
      <c r="E13" s="103">
        <f>T14</f>
        <v>30.4041</v>
      </c>
      <c r="F13" s="94">
        <f>P14</f>
        <v>15.748900000000001</v>
      </c>
      <c r="G13" s="52" t="str">
        <f>CONCATENATE(M15,"
(50 ~ 100)")</f>
        <v>自我调节
(50 ~ 100)</v>
      </c>
      <c r="H13" s="101">
        <f>R15</f>
        <v>62.403399999999998</v>
      </c>
      <c r="I13" s="104">
        <f>N15</f>
        <v>70.944599999999994</v>
      </c>
      <c r="J13" s="101">
        <f>T15</f>
        <v>81.793599999999998</v>
      </c>
      <c r="K13" s="95">
        <f>P15</f>
        <v>5.7183000000000002</v>
      </c>
      <c r="L13" s="4"/>
      <c r="M13" s="27" t="str">
        <f>lang!B19</f>
        <v>自信</v>
      </c>
      <c r="N13" s="59">
        <f>M!B10*1</f>
        <v>70.389899999999997</v>
      </c>
      <c r="O13" s="59">
        <f>M!C10*1</f>
        <v>4.6709699999999996</v>
      </c>
      <c r="P13" s="59">
        <f>M!D10*1</f>
        <v>6.6358600000000001</v>
      </c>
      <c r="Q13" s="59">
        <f>M!E10*1</f>
        <v>40</v>
      </c>
      <c r="R13" s="59">
        <f>M!F10*1</f>
        <v>64.449100000000001</v>
      </c>
      <c r="S13" s="59">
        <f>M!G10*1</f>
        <v>100</v>
      </c>
      <c r="T13" s="59">
        <f>M!H10*1</f>
        <v>81.046300000000002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12.1547</v>
      </c>
      <c r="D14" s="106">
        <f>N16</f>
        <v>15.2393</v>
      </c>
      <c r="E14" s="107">
        <f>T16</f>
        <v>31.271699999999999</v>
      </c>
      <c r="F14" s="96">
        <f>P16</f>
        <v>21.294599999999999</v>
      </c>
      <c r="G14" s="112" t="str">
        <f>CONCATENATE(M17,"
(10 ~ 50)")</f>
        <v>神经质
(10 ~ 50)</v>
      </c>
      <c r="H14" s="105">
        <f>R17</f>
        <v>1.22818</v>
      </c>
      <c r="I14" s="106">
        <f>N17</f>
        <v>32.451500000000003</v>
      </c>
      <c r="J14" s="107">
        <f>T17</f>
        <v>60.322099999999999</v>
      </c>
      <c r="K14" s="97">
        <f>P17</f>
        <v>38.214599999999997</v>
      </c>
      <c r="M14" s="27" t="str">
        <f>lang!B20</f>
        <v>活力</v>
      </c>
      <c r="N14" s="59">
        <f>M!B11*1</f>
        <v>24.7759</v>
      </c>
      <c r="O14" s="59">
        <f>M!C11*1</f>
        <v>3.9019300000000001</v>
      </c>
      <c r="P14" s="59">
        <f>M!D11*1</f>
        <v>15.748900000000001</v>
      </c>
      <c r="Q14" s="59">
        <f>M!E11*1</f>
        <v>10</v>
      </c>
      <c r="R14" s="59">
        <f>M!F11*1</f>
        <v>16.632899999999999</v>
      </c>
      <c r="S14" s="59">
        <f>M!G11*1</f>
        <v>50</v>
      </c>
      <c r="T14" s="59">
        <f>M!H11*1</f>
        <v>30.4041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70.944599999999994</v>
      </c>
      <c r="O15" s="59">
        <f>M!C12*1</f>
        <v>4.0568200000000001</v>
      </c>
      <c r="P15" s="59">
        <f>M!D12*1</f>
        <v>5.7183000000000002</v>
      </c>
      <c r="Q15" s="59">
        <f>M!E12*1</f>
        <v>50</v>
      </c>
      <c r="R15" s="59">
        <f>M!F12*1</f>
        <v>62.403399999999998</v>
      </c>
      <c r="S15" s="59">
        <f>M!G12*1</f>
        <v>100</v>
      </c>
      <c r="T15" s="59">
        <f>M!H12*1</f>
        <v>81.793599999999998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15.2393</v>
      </c>
      <c r="O16" s="59">
        <f>M!C13*1</f>
        <v>3.2451500000000002</v>
      </c>
      <c r="P16" s="59">
        <f>M!D13*1</f>
        <v>21.294599999999999</v>
      </c>
      <c r="Q16" s="59">
        <f>M!E13*1</f>
        <v>10</v>
      </c>
      <c r="R16" s="59">
        <f>M!F13*1</f>
        <v>12.1547</v>
      </c>
      <c r="S16" s="59">
        <f>M!G13*1</f>
        <v>25</v>
      </c>
      <c r="T16" s="59">
        <f>M!H13*1</f>
        <v>31.271699999999999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32.451500000000003</v>
      </c>
      <c r="O17" s="59">
        <f>M!C14*1</f>
        <v>12.401199999999999</v>
      </c>
      <c r="P17" s="59">
        <f>M!D14*1</f>
        <v>38.214599999999997</v>
      </c>
      <c r="Q17" s="59">
        <f>M!E14*1</f>
        <v>10</v>
      </c>
      <c r="R17" s="59">
        <f>M!F14*1</f>
        <v>1.22818</v>
      </c>
      <c r="S17" s="59">
        <f>M!G14*1</f>
        <v>50</v>
      </c>
      <c r="T17" s="59">
        <f>M!H14*1</f>
        <v>60.322099999999999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59.257474999999999</v>
      </c>
      <c r="O18" s="22">
        <f>N18/(N18+N19+N20)</f>
        <v>0.50422377734244628</v>
      </c>
      <c r="P18" s="65">
        <f>SUM(P12:P15)/4</f>
        <v>8.9929400000000008</v>
      </c>
      <c r="Q18" s="22">
        <f>P18/(P18+P19+P20)</f>
        <v>0.171537425159909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34.4193</v>
      </c>
      <c r="O19" s="22">
        <f>N19/(N18+N19+N20)</f>
        <v>0.29287494041018219</v>
      </c>
      <c r="P19" s="18">
        <f>SUM(P8:P11)/4</f>
        <v>13.6779875</v>
      </c>
      <c r="Q19" s="22">
        <f>P19/(P18+P19+P20)</f>
        <v>0.26090319262882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23.845400000000001</v>
      </c>
      <c r="O20" s="22">
        <f>N20/(N18+N19+N20)</f>
        <v>0.20290128224737164</v>
      </c>
      <c r="P20" s="18">
        <f>(P16+P17)/2</f>
        <v>29.754599999999996</v>
      </c>
      <c r="Q20" s="22">
        <f>P20/(P18+P19+P20)</f>
        <v>0.56755938221127089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-5.2295797297297275E-2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1.7340315134590385</v>
      </c>
      <c r="D25" s="44" t="str">
        <f>lang!B11</f>
        <v>频率方差</v>
      </c>
      <c r="E25" s="182">
        <f ca="1">FH!L3</f>
        <v>0.57353052497917012</v>
      </c>
      <c r="F25" s="183"/>
      <c r="G25" s="174" t="str">
        <f>lang!B12</f>
        <v>生理变化率</v>
      </c>
      <c r="H25" s="175"/>
      <c r="I25" s="62" t="str">
        <f ca="1">CONCATENATE(info!M7,"-",info!M8)</f>
        <v>39.8-51.3</v>
      </c>
      <c r="J25" s="42" t="str">
        <f>lang!B13</f>
        <v>千卡l/分钟</v>
      </c>
      <c r="K25" s="41" t="str">
        <f ca="1">CONCATENATE(info!M5,"-",info!M6)</f>
        <v>3-4.2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54.532599999999995</v>
      </c>
      <c r="F28" s="121"/>
      <c r="G28" s="135" t="str">
        <f>lang!B33</f>
        <v>稳定性</v>
      </c>
      <c r="H28" s="136"/>
      <c r="I28" s="137"/>
      <c r="J28" s="138">
        <f>M!B19*100</f>
        <v>57.545500000000004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43612.710821759261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1.7674000000000021</v>
      </c>
      <c r="O7" s="59">
        <f t="shared" ref="O7:T7" si="2">AG7-X7</f>
        <v>-2.5977500000000004</v>
      </c>
      <c r="P7" s="59">
        <f t="shared" si="2"/>
        <v>-7.4325700000000001</v>
      </c>
      <c r="Q7" s="59">
        <f t="shared" si="2"/>
        <v>0</v>
      </c>
      <c r="R7" s="59">
        <f t="shared" si="2"/>
        <v>12.501200000000001</v>
      </c>
      <c r="S7" s="59">
        <f t="shared" si="2"/>
        <v>0</v>
      </c>
      <c r="T7" s="59">
        <f t="shared" si="2"/>
        <v>-0.67729999999999535</v>
      </c>
      <c r="U7" s="14"/>
      <c r="V7" s="27" t="str">
        <f>M7</f>
        <v>攻击性</v>
      </c>
      <c r="W7" s="59">
        <f>'M1'!B5*1</f>
        <v>37.048200000000001</v>
      </c>
      <c r="X7" s="59">
        <f>'M1'!C5*1</f>
        <v>6.0208000000000004</v>
      </c>
      <c r="Y7" s="59">
        <f>'M1'!D5*1</f>
        <v>16.251300000000001</v>
      </c>
      <c r="Z7" s="59">
        <f>'M1'!E5*1</f>
        <v>20</v>
      </c>
      <c r="AA7" s="59">
        <f>'M1'!F5*1</f>
        <v>19.228300000000001</v>
      </c>
      <c r="AB7" s="59">
        <f>'M1'!G5*1</f>
        <v>50</v>
      </c>
      <c r="AC7" s="59">
        <f>'M1'!H5*1</f>
        <v>46.726599999999998</v>
      </c>
      <c r="AE7" s="27" t="str">
        <f>V7</f>
        <v>攻击性</v>
      </c>
      <c r="AF7" s="59">
        <f>'M2'!B5*1</f>
        <v>38.815600000000003</v>
      </c>
      <c r="AG7" s="59">
        <f>'M2'!C5*1</f>
        <v>3.4230499999999999</v>
      </c>
      <c r="AH7" s="59">
        <f>'M2'!D5*1</f>
        <v>8.8187300000000004</v>
      </c>
      <c r="AI7" s="59">
        <f>'M2'!E5*1</f>
        <v>20</v>
      </c>
      <c r="AJ7" s="59">
        <f>'M2'!F5*1</f>
        <v>31.729500000000002</v>
      </c>
      <c r="AK7" s="59">
        <f>'M2'!G5*1</f>
        <v>50</v>
      </c>
      <c r="AL7" s="59">
        <f>'M2'!H5*1</f>
        <v>46.049300000000002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2.0993000000000031</v>
      </c>
      <c r="O8" s="59">
        <f t="shared" ref="O8:O16" si="5">AG8-X8</f>
        <v>-0.95291199999999998</v>
      </c>
      <c r="P8" s="59">
        <f t="shared" ref="P8:P16" si="6">AH8-Y8</f>
        <v>-3.2234299999999996</v>
      </c>
      <c r="Q8" s="59">
        <f t="shared" ref="Q8:Q16" si="7">AI8-Z8</f>
        <v>0</v>
      </c>
      <c r="R8" s="59">
        <f t="shared" ref="R8:R16" si="8">AJ8-AA8</f>
        <v>6.8566999999999965</v>
      </c>
      <c r="S8" s="59">
        <f t="shared" ref="S8:S16" si="9">AK8-AB8</f>
        <v>0</v>
      </c>
      <c r="T8" s="59">
        <f t="shared" ref="T8:T16" si="10">AL8-AC8</f>
        <v>1.529200000000003</v>
      </c>
      <c r="U8" s="15"/>
      <c r="V8" s="27" t="str">
        <f t="shared" ref="V8:V16" si="11">M8</f>
        <v>压力</v>
      </c>
      <c r="W8" s="59">
        <f>'M1'!B6*1</f>
        <v>31.1159</v>
      </c>
      <c r="X8" s="59">
        <f>'M1'!C6*1</f>
        <v>1.7454499999999999</v>
      </c>
      <c r="Y8" s="59">
        <f>'M1'!D6*1</f>
        <v>5.6094999999999997</v>
      </c>
      <c r="Z8" s="59">
        <f>'M1'!E6*1</f>
        <v>20</v>
      </c>
      <c r="AA8" s="59">
        <f>'M1'!F6*1</f>
        <v>25.284300000000002</v>
      </c>
      <c r="AB8" s="59">
        <f>'M1'!G6*1</f>
        <v>40</v>
      </c>
      <c r="AC8" s="59">
        <f>'M1'!H6*1</f>
        <v>33.587699999999998</v>
      </c>
      <c r="AE8" s="27" t="str">
        <f t="shared" ref="AE8:AE16" si="12">V8</f>
        <v>压力</v>
      </c>
      <c r="AF8" s="59">
        <f>'M2'!B6*1</f>
        <v>33.215200000000003</v>
      </c>
      <c r="AG8" s="59">
        <f>'M2'!C6*1</f>
        <v>0.79253799999999996</v>
      </c>
      <c r="AH8" s="59">
        <f>'M2'!D6*1</f>
        <v>2.3860700000000001</v>
      </c>
      <c r="AI8" s="59">
        <f>'M2'!E6*1</f>
        <v>20</v>
      </c>
      <c r="AJ8" s="59">
        <f>'M2'!F6*1</f>
        <v>32.140999999999998</v>
      </c>
      <c r="AK8" s="59">
        <f>'M2'!G6*1</f>
        <v>40</v>
      </c>
      <c r="AL8" s="59">
        <f>'M2'!H6*1</f>
        <v>35.116900000000001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12.501200000000001</v>
      </c>
      <c r="D9" s="78">
        <f>N7</f>
        <v>1.7674000000000021</v>
      </c>
      <c r="E9" s="79">
        <f>T7</f>
        <v>-0.67729999999999535</v>
      </c>
      <c r="F9" s="79">
        <f>P7</f>
        <v>-7.4325700000000001</v>
      </c>
      <c r="G9" s="80" t="str">
        <f>CONCATENATE(M8,"
(20 ~ 40)")</f>
        <v>压力
(20 ~ 40)</v>
      </c>
      <c r="H9" s="77">
        <f>R8</f>
        <v>6.8566999999999965</v>
      </c>
      <c r="I9" s="81">
        <f>N8</f>
        <v>2.0993000000000031</v>
      </c>
      <c r="J9" s="77">
        <f>T8</f>
        <v>1.529200000000003</v>
      </c>
      <c r="K9" s="82">
        <f>P8</f>
        <v>-3.2234299999999996</v>
      </c>
      <c r="L9" s="6"/>
      <c r="M9" s="27" t="str">
        <f>lang!B16</f>
        <v>焦虑</v>
      </c>
      <c r="N9" s="59">
        <f t="shared" si="4"/>
        <v>4.6884000000000015</v>
      </c>
      <c r="O9" s="59">
        <f t="shared" si="5"/>
        <v>-7.5673699999999995</v>
      </c>
      <c r="P9" s="59">
        <f t="shared" si="6"/>
        <v>-27.460499999999996</v>
      </c>
      <c r="Q9" s="59">
        <f t="shared" si="7"/>
        <v>0</v>
      </c>
      <c r="R9" s="59">
        <f t="shared" si="8"/>
        <v>10.247299999999999</v>
      </c>
      <c r="S9" s="59">
        <f t="shared" si="9"/>
        <v>0</v>
      </c>
      <c r="T9" s="59">
        <f t="shared" si="10"/>
        <v>-7.5080000000000027</v>
      </c>
      <c r="U9" s="14"/>
      <c r="V9" s="27" t="str">
        <f t="shared" si="11"/>
        <v>焦虑</v>
      </c>
      <c r="W9" s="59">
        <f>'M1'!B7*1</f>
        <v>29.369700000000002</v>
      </c>
      <c r="X9" s="59">
        <f>'M1'!C7*1</f>
        <v>11.183199999999999</v>
      </c>
      <c r="Y9" s="59">
        <f>'M1'!D7*1</f>
        <v>38.077199999999998</v>
      </c>
      <c r="Z9" s="59">
        <f>'M1'!E7*1</f>
        <v>15</v>
      </c>
      <c r="AA9" s="59">
        <f>'M1'!F7*1</f>
        <v>12.2454</v>
      </c>
      <c r="AB9" s="59">
        <f>'M1'!G7*1</f>
        <v>40</v>
      </c>
      <c r="AC9" s="59">
        <f>'M1'!H7*1</f>
        <v>52.4024</v>
      </c>
      <c r="AE9" s="27" t="str">
        <f t="shared" si="12"/>
        <v>焦虑</v>
      </c>
      <c r="AF9" s="59">
        <f>'M2'!B7*1</f>
        <v>34.058100000000003</v>
      </c>
      <c r="AG9" s="59">
        <f>'M2'!C7*1</f>
        <v>3.6158299999999999</v>
      </c>
      <c r="AH9" s="59">
        <f>'M2'!D7*1</f>
        <v>10.6167</v>
      </c>
      <c r="AI9" s="59">
        <f>'M2'!E7*1</f>
        <v>15</v>
      </c>
      <c r="AJ9" s="59">
        <f>'M2'!F7*1</f>
        <v>22.492699999999999</v>
      </c>
      <c r="AK9" s="59">
        <f>'M2'!G7*1</f>
        <v>40</v>
      </c>
      <c r="AL9" s="59">
        <f>'M2'!H7*1</f>
        <v>44.894399999999997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10.247299999999999</v>
      </c>
      <c r="D10" s="51">
        <f>N9</f>
        <v>4.6884000000000015</v>
      </c>
      <c r="E10" s="53">
        <f>T9</f>
        <v>-7.5080000000000027</v>
      </c>
      <c r="F10" s="53">
        <f>P9</f>
        <v>-27.460499999999996</v>
      </c>
      <c r="G10" s="73" t="str">
        <f>CONCATENATE(M10,"
(20 ~ 50)")</f>
        <v>可疑
(20 ~ 50)</v>
      </c>
      <c r="H10" s="24">
        <f>R10</f>
        <v>9.9294000000000011</v>
      </c>
      <c r="I10" s="52">
        <f>N10</f>
        <v>2.757399999999997</v>
      </c>
      <c r="J10" s="24">
        <f>T10</f>
        <v>-0.55330000000000013</v>
      </c>
      <c r="K10" s="25">
        <f>P10</f>
        <v>-6.9176699999999993</v>
      </c>
      <c r="L10" s="4"/>
      <c r="M10" s="27" t="str">
        <f>lang!B17</f>
        <v>可疑</v>
      </c>
      <c r="N10" s="59">
        <f t="shared" si="4"/>
        <v>2.757399999999997</v>
      </c>
      <c r="O10" s="59">
        <f t="shared" si="5"/>
        <v>-2.1321399999999997</v>
      </c>
      <c r="P10" s="59">
        <f t="shared" si="6"/>
        <v>-6.9176699999999993</v>
      </c>
      <c r="Q10" s="59">
        <f t="shared" si="7"/>
        <v>0</v>
      </c>
      <c r="R10" s="59">
        <f t="shared" si="8"/>
        <v>9.9294000000000011</v>
      </c>
      <c r="S10" s="59">
        <f t="shared" si="9"/>
        <v>0</v>
      </c>
      <c r="T10" s="59">
        <f t="shared" si="10"/>
        <v>-0.55330000000000013</v>
      </c>
      <c r="U10" s="14"/>
      <c r="V10" s="27" t="str">
        <f t="shared" si="11"/>
        <v>可疑</v>
      </c>
      <c r="W10" s="59">
        <f>'M1'!B8*1</f>
        <v>32.693800000000003</v>
      </c>
      <c r="X10" s="59">
        <f>'M1'!C8*1</f>
        <v>3.7972199999999998</v>
      </c>
      <c r="Y10" s="59">
        <f>'M1'!D8*1</f>
        <v>11.6145</v>
      </c>
      <c r="Z10" s="59">
        <f>'M1'!E8*1</f>
        <v>20</v>
      </c>
      <c r="AA10" s="59">
        <f>'M1'!F8*1</f>
        <v>21.6342</v>
      </c>
      <c r="AB10" s="59">
        <f>'M1'!G8*1</f>
        <v>50</v>
      </c>
      <c r="AC10" s="59">
        <f>'M1'!H8*1</f>
        <v>39.545000000000002</v>
      </c>
      <c r="AE10" s="27" t="str">
        <f t="shared" si="12"/>
        <v>可疑</v>
      </c>
      <c r="AF10" s="59">
        <f>'M2'!B8*1</f>
        <v>35.4512</v>
      </c>
      <c r="AG10" s="59">
        <f>'M2'!C8*1</f>
        <v>1.6650799999999999</v>
      </c>
      <c r="AH10" s="59">
        <f>'M2'!D8*1</f>
        <v>4.6968300000000003</v>
      </c>
      <c r="AI10" s="59">
        <f>'M2'!E8*1</f>
        <v>20</v>
      </c>
      <c r="AJ10" s="59">
        <f>'M2'!F8*1</f>
        <v>31.563600000000001</v>
      </c>
      <c r="AK10" s="59">
        <f>'M2'!G8*1</f>
        <v>50</v>
      </c>
      <c r="AL10" s="59">
        <f>'M2'!H8*1</f>
        <v>38.991700000000002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-0.51000000000000512</v>
      </c>
      <c r="D11" s="52">
        <f>N11</f>
        <v>-4.1085000000000065</v>
      </c>
      <c r="E11" s="24">
        <f>T11</f>
        <v>-5.4078000000000088</v>
      </c>
      <c r="F11" s="24">
        <f>P11</f>
        <v>-1.0480400000000012</v>
      </c>
      <c r="G11" s="73" t="str">
        <f>CONCATENATE(M12,"
(40 ~ 100)")</f>
        <v>自信
(40 ~ 100)</v>
      </c>
      <c r="H11" s="24">
        <f>R12</f>
        <v>-5.4483999999999924</v>
      </c>
      <c r="I11" s="52">
        <f>N12</f>
        <v>-8.8950000000000102</v>
      </c>
      <c r="J11" s="24">
        <f>T12</f>
        <v>-10.638000000000005</v>
      </c>
      <c r="K11" s="25">
        <f>P12</f>
        <v>-0.76784000000000008</v>
      </c>
      <c r="L11" s="4"/>
      <c r="M11" s="27" t="str">
        <f>lang!B18</f>
        <v>平衡</v>
      </c>
      <c r="N11" s="59">
        <f t="shared" si="4"/>
        <v>-4.1085000000000065</v>
      </c>
      <c r="O11" s="59">
        <f t="shared" si="5"/>
        <v>-1.0533799999999998</v>
      </c>
      <c r="P11" s="59">
        <f t="shared" si="6"/>
        <v>-1.0480400000000012</v>
      </c>
      <c r="Q11" s="59">
        <f t="shared" si="7"/>
        <v>0</v>
      </c>
      <c r="R11" s="59">
        <f t="shared" si="8"/>
        <v>-0.51000000000000512</v>
      </c>
      <c r="S11" s="59">
        <f t="shared" si="9"/>
        <v>0</v>
      </c>
      <c r="T11" s="59">
        <f t="shared" si="10"/>
        <v>-5.4078000000000088</v>
      </c>
      <c r="U11" s="14"/>
      <c r="V11" s="27" t="str">
        <f t="shared" si="11"/>
        <v>平衡</v>
      </c>
      <c r="W11" s="59">
        <f>'M1'!B9*1</f>
        <v>72.3125</v>
      </c>
      <c r="X11" s="59">
        <f>'M1'!C9*1</f>
        <v>5.9591500000000002</v>
      </c>
      <c r="Y11" s="59">
        <f>'M1'!D9*1</f>
        <v>8.2408300000000008</v>
      </c>
      <c r="Z11" s="59">
        <f>'M1'!E9*1</f>
        <v>50</v>
      </c>
      <c r="AA11" s="59">
        <f>'M1'!F9*1</f>
        <v>55.679900000000004</v>
      </c>
      <c r="AB11" s="59">
        <f>'M1'!G9*1</f>
        <v>100</v>
      </c>
      <c r="AC11" s="59">
        <f>'M1'!H9*1</f>
        <v>82.540800000000004</v>
      </c>
      <c r="AE11" s="27" t="str">
        <f t="shared" si="12"/>
        <v>平衡</v>
      </c>
      <c r="AF11" s="59">
        <f>'M2'!B9*1</f>
        <v>68.203999999999994</v>
      </c>
      <c r="AG11" s="59">
        <f>'M2'!C9*1</f>
        <v>4.9057700000000004</v>
      </c>
      <c r="AH11" s="59">
        <f>'M2'!D9*1</f>
        <v>7.1927899999999996</v>
      </c>
      <c r="AI11" s="59">
        <f>'M2'!E9*1</f>
        <v>50</v>
      </c>
      <c r="AJ11" s="59">
        <f>'M2'!F9*1</f>
        <v>55.169899999999998</v>
      </c>
      <c r="AK11" s="59">
        <f>'M2'!G9*1</f>
        <v>100</v>
      </c>
      <c r="AL11" s="59">
        <f>'M2'!H9*1</f>
        <v>77.132999999999996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1.5695000000000014</v>
      </c>
      <c r="D12" s="51">
        <f>N13</f>
        <v>0.21589999999999776</v>
      </c>
      <c r="E12" s="53">
        <f>T13</f>
        <v>-2.6299999999999102E-2</v>
      </c>
      <c r="F12" s="53">
        <f>P13</f>
        <v>-5.7564000000000011</v>
      </c>
      <c r="G12" s="73" t="str">
        <f>CONCATENATE(M14,"
(50 ~ 100)")</f>
        <v>自我调节
(50 ~ 100)</v>
      </c>
      <c r="H12" s="24">
        <f>R14</f>
        <v>-1.4271999999999991</v>
      </c>
      <c r="I12" s="52">
        <f>N14</f>
        <v>-6.7441000000000031</v>
      </c>
      <c r="J12" s="24">
        <f>T14</f>
        <v>-8.8421000000000021</v>
      </c>
      <c r="K12" s="25">
        <f>P14</f>
        <v>-1.5169800000000002</v>
      </c>
      <c r="L12" s="4"/>
      <c r="M12" s="27" t="str">
        <f>lang!B19</f>
        <v>自信</v>
      </c>
      <c r="N12" s="59">
        <f t="shared" si="4"/>
        <v>-8.8950000000000102</v>
      </c>
      <c r="O12" s="59">
        <f t="shared" si="5"/>
        <v>-0.78448000000000007</v>
      </c>
      <c r="P12" s="59">
        <f t="shared" si="6"/>
        <v>-0.76784000000000008</v>
      </c>
      <c r="Q12" s="59">
        <f t="shared" si="7"/>
        <v>0</v>
      </c>
      <c r="R12" s="59">
        <f t="shared" si="8"/>
        <v>-5.4483999999999924</v>
      </c>
      <c r="S12" s="59">
        <f t="shared" si="9"/>
        <v>0</v>
      </c>
      <c r="T12" s="59">
        <f t="shared" si="10"/>
        <v>-10.638000000000005</v>
      </c>
      <c r="U12" s="15"/>
      <c r="V12" s="27" t="str">
        <f t="shared" si="11"/>
        <v>自信</v>
      </c>
      <c r="W12" s="59">
        <f>'M1'!B10*1</f>
        <v>77.045500000000004</v>
      </c>
      <c r="X12" s="59">
        <f>'M1'!C10*1</f>
        <v>2.26234</v>
      </c>
      <c r="Y12" s="59">
        <f>'M1'!D10*1</f>
        <v>2.9363700000000001</v>
      </c>
      <c r="Z12" s="59">
        <f>'M1'!E10*1</f>
        <v>40</v>
      </c>
      <c r="AA12" s="59">
        <f>'M1'!F10*1</f>
        <v>69.897499999999994</v>
      </c>
      <c r="AB12" s="59">
        <f>'M1'!G10*1</f>
        <v>100</v>
      </c>
      <c r="AC12" s="59">
        <f>'M1'!H10*1</f>
        <v>81.046300000000002</v>
      </c>
      <c r="AE12" s="27" t="str">
        <f t="shared" si="12"/>
        <v>自信</v>
      </c>
      <c r="AF12" s="59">
        <f>'M2'!B10*1</f>
        <v>68.150499999999994</v>
      </c>
      <c r="AG12" s="59">
        <f>'M2'!C10*1</f>
        <v>1.47786</v>
      </c>
      <c r="AH12" s="59">
        <f>'M2'!D10*1</f>
        <v>2.1685300000000001</v>
      </c>
      <c r="AI12" s="59">
        <f>'M2'!E10*1</f>
        <v>40</v>
      </c>
      <c r="AJ12" s="59">
        <f>'M2'!F10*1</f>
        <v>64.449100000000001</v>
      </c>
      <c r="AK12" s="59">
        <f>'M2'!G10*1</f>
        <v>100</v>
      </c>
      <c r="AL12" s="59">
        <f>'M2'!H10*1</f>
        <v>70.408299999999997</v>
      </c>
    </row>
    <row r="13" spans="2:38" ht="25.5" customHeight="1" thickBot="1">
      <c r="B13" s="72" t="str">
        <f>CONCATENATE(M15,"
(10 ~ 25)")</f>
        <v>抑郁
(10 ~ 25)</v>
      </c>
      <c r="C13" s="54">
        <f>R15</f>
        <v>-0.57169999999999987</v>
      </c>
      <c r="D13" s="55">
        <f>N15</f>
        <v>-3.5202000000000009</v>
      </c>
      <c r="E13" s="56">
        <f>T15</f>
        <v>6.0279999999999987</v>
      </c>
      <c r="F13" s="56">
        <f>P15</f>
        <v>6.9893999999999998</v>
      </c>
      <c r="G13" s="74" t="str">
        <f>CONCATENATE(M16,"
(10 ~ 50)")</f>
        <v>神经质
(10 ~ 50)</v>
      </c>
      <c r="H13" s="54">
        <f>R16</f>
        <v>-1.11416</v>
      </c>
      <c r="I13" s="55">
        <f>N16</f>
        <v>4.6523000000000039</v>
      </c>
      <c r="J13" s="56">
        <f>T16</f>
        <v>29.036799999999999</v>
      </c>
      <c r="K13" s="57">
        <f>P16</f>
        <v>8.116100000000003</v>
      </c>
      <c r="M13" s="27" t="str">
        <f>lang!B20</f>
        <v>活力</v>
      </c>
      <c r="N13" s="59">
        <f t="shared" si="4"/>
        <v>0.21589999999999776</v>
      </c>
      <c r="O13" s="59">
        <f t="shared" si="5"/>
        <v>-1.3895100000000005</v>
      </c>
      <c r="P13" s="59">
        <f t="shared" si="6"/>
        <v>-5.7564000000000011</v>
      </c>
      <c r="Q13" s="59">
        <f t="shared" si="7"/>
        <v>0</v>
      </c>
      <c r="R13" s="59">
        <f t="shared" si="8"/>
        <v>1.5695000000000014</v>
      </c>
      <c r="S13" s="59">
        <f t="shared" si="9"/>
        <v>0</v>
      </c>
      <c r="T13" s="59">
        <f t="shared" si="10"/>
        <v>-2.6299999999999102E-2</v>
      </c>
      <c r="U13" s="14"/>
      <c r="V13" s="27" t="str">
        <f t="shared" si="11"/>
        <v>活力</v>
      </c>
      <c r="W13" s="59">
        <f>'M1'!B11*1</f>
        <v>24.610600000000002</v>
      </c>
      <c r="X13" s="59">
        <f>'M1'!C11*1</f>
        <v>4.5150300000000003</v>
      </c>
      <c r="Y13" s="59">
        <f>'M1'!D11*1</f>
        <v>18.3459</v>
      </c>
      <c r="Z13" s="59">
        <f>'M1'!E11*1</f>
        <v>10</v>
      </c>
      <c r="AA13" s="59">
        <f>'M1'!F11*1</f>
        <v>16.632899999999999</v>
      </c>
      <c r="AB13" s="59">
        <f>'M1'!G11*1</f>
        <v>50</v>
      </c>
      <c r="AC13" s="59">
        <f>'M1'!H11*1</f>
        <v>30.4041</v>
      </c>
      <c r="AE13" s="27" t="str">
        <f t="shared" si="12"/>
        <v>活力</v>
      </c>
      <c r="AF13" s="59">
        <f>'M2'!B11*1</f>
        <v>24.826499999999999</v>
      </c>
      <c r="AG13" s="59">
        <f>'M2'!C11*1</f>
        <v>3.1255199999999999</v>
      </c>
      <c r="AH13" s="59">
        <f>'M2'!D11*1</f>
        <v>12.589499999999999</v>
      </c>
      <c r="AI13" s="59">
        <f>'M2'!E11*1</f>
        <v>10</v>
      </c>
      <c r="AJ13" s="59">
        <f>'M2'!F11*1</f>
        <v>18.202400000000001</v>
      </c>
      <c r="AK13" s="59">
        <f>'M2'!G11*1</f>
        <v>50</v>
      </c>
      <c r="AL13" s="59">
        <f>'M2'!H11*1</f>
        <v>30.377800000000001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-6.7441000000000031</v>
      </c>
      <c r="O14" s="59">
        <f t="shared" si="5"/>
        <v>-1.35893</v>
      </c>
      <c r="P14" s="59">
        <f t="shared" si="6"/>
        <v>-1.5169800000000002</v>
      </c>
      <c r="Q14" s="59">
        <f t="shared" si="7"/>
        <v>0</v>
      </c>
      <c r="R14" s="59">
        <f t="shared" si="8"/>
        <v>-1.4271999999999991</v>
      </c>
      <c r="S14" s="59">
        <f t="shared" si="9"/>
        <v>0</v>
      </c>
      <c r="T14" s="59">
        <f t="shared" si="10"/>
        <v>-8.8421000000000021</v>
      </c>
      <c r="U14" s="14"/>
      <c r="V14" s="27" t="str">
        <f t="shared" si="11"/>
        <v>自我调节</v>
      </c>
      <c r="W14" s="59">
        <f>'M1'!B12*1</f>
        <v>74.925600000000003</v>
      </c>
      <c r="X14" s="59">
        <f>'M1'!C12*1</f>
        <v>3.6065800000000001</v>
      </c>
      <c r="Y14" s="59">
        <f>'M1'!D12*1</f>
        <v>4.8135500000000002</v>
      </c>
      <c r="Z14" s="59">
        <f>'M1'!E12*1</f>
        <v>50</v>
      </c>
      <c r="AA14" s="59">
        <f>'M1'!F12*1</f>
        <v>63.830599999999997</v>
      </c>
      <c r="AB14" s="59">
        <f>'M1'!G12*1</f>
        <v>100</v>
      </c>
      <c r="AC14" s="59">
        <f>'M1'!H12*1</f>
        <v>81.793599999999998</v>
      </c>
      <c r="AE14" s="27" t="str">
        <f t="shared" si="12"/>
        <v>自我调节</v>
      </c>
      <c r="AF14" s="59">
        <f>'M2'!B12*1</f>
        <v>68.1815</v>
      </c>
      <c r="AG14" s="59">
        <f>'M2'!C12*1</f>
        <v>2.2476500000000001</v>
      </c>
      <c r="AH14" s="59">
        <f>'M2'!D12*1</f>
        <v>3.29657</v>
      </c>
      <c r="AI14" s="59">
        <f>'M2'!E12*1</f>
        <v>50</v>
      </c>
      <c r="AJ14" s="59">
        <f>'M2'!F12*1</f>
        <v>62.403399999999998</v>
      </c>
      <c r="AK14" s="59">
        <f>'M2'!G12*1</f>
        <v>100</v>
      </c>
      <c r="AL14" s="59">
        <f>'M2'!H12*1</f>
        <v>72.951499999999996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-3.5202000000000009</v>
      </c>
      <c r="O15" s="59">
        <f t="shared" si="5"/>
        <v>0.46523000000000003</v>
      </c>
      <c r="P15" s="59">
        <f t="shared" si="6"/>
        <v>6.9893999999999998</v>
      </c>
      <c r="Q15" s="59">
        <f t="shared" si="7"/>
        <v>0</v>
      </c>
      <c r="R15" s="59">
        <f t="shared" si="8"/>
        <v>-0.57169999999999987</v>
      </c>
      <c r="S15" s="59">
        <f t="shared" si="9"/>
        <v>0</v>
      </c>
      <c r="T15" s="59">
        <f t="shared" si="10"/>
        <v>6.0279999999999987</v>
      </c>
      <c r="U15" s="14"/>
      <c r="V15" s="27" t="str">
        <f t="shared" si="11"/>
        <v>抑郁</v>
      </c>
      <c r="W15" s="59">
        <f>'M1'!B13*1</f>
        <v>17.9831</v>
      </c>
      <c r="X15" s="59">
        <f>'M1'!C13*1</f>
        <v>2.7874099999999999</v>
      </c>
      <c r="Y15" s="59">
        <f>'M1'!D13*1</f>
        <v>15.5002</v>
      </c>
      <c r="Z15" s="59">
        <f>'M1'!E13*1</f>
        <v>10</v>
      </c>
      <c r="AA15" s="59">
        <f>'M1'!F13*1</f>
        <v>12.7264</v>
      </c>
      <c r="AB15" s="59">
        <f>'M1'!G13*1</f>
        <v>25</v>
      </c>
      <c r="AC15" s="59">
        <f>'M1'!H13*1</f>
        <v>25.2437</v>
      </c>
      <c r="AE15" s="27" t="str">
        <f t="shared" si="12"/>
        <v>抑郁</v>
      </c>
      <c r="AF15" s="59">
        <f>'M2'!B13*1</f>
        <v>14.462899999999999</v>
      </c>
      <c r="AG15" s="59">
        <f>'M2'!C13*1</f>
        <v>3.25264</v>
      </c>
      <c r="AH15" s="59">
        <f>'M2'!D13*1</f>
        <v>22.489599999999999</v>
      </c>
      <c r="AI15" s="59">
        <f>'M2'!E13*1</f>
        <v>10</v>
      </c>
      <c r="AJ15" s="59">
        <f>'M2'!F13*1</f>
        <v>12.1547</v>
      </c>
      <c r="AK15" s="59">
        <f>'M2'!G13*1</f>
        <v>25</v>
      </c>
      <c r="AL15" s="59">
        <f>'M2'!H13*1</f>
        <v>31.271699999999999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4.6523000000000039</v>
      </c>
      <c r="O16" s="59">
        <f t="shared" si="5"/>
        <v>4.2710999999999988</v>
      </c>
      <c r="P16" s="59">
        <f t="shared" si="6"/>
        <v>8.116100000000003</v>
      </c>
      <c r="Q16" s="59">
        <f t="shared" si="7"/>
        <v>0</v>
      </c>
      <c r="R16" s="59">
        <f t="shared" si="8"/>
        <v>-1.11416</v>
      </c>
      <c r="S16" s="59">
        <f t="shared" si="9"/>
        <v>0</v>
      </c>
      <c r="T16" s="59">
        <f t="shared" si="10"/>
        <v>29.036799999999999</v>
      </c>
      <c r="U16" s="15"/>
      <c r="V16" s="27" t="str">
        <f t="shared" si="11"/>
        <v>神经质</v>
      </c>
      <c r="W16" s="59">
        <f>'M1'!B14*1</f>
        <v>27.874099999999999</v>
      </c>
      <c r="X16" s="59">
        <f>'M1'!C14*1</f>
        <v>9.7733000000000008</v>
      </c>
      <c r="Y16" s="59">
        <f>'M1'!D14*1</f>
        <v>35.0623</v>
      </c>
      <c r="Z16" s="59">
        <f>'M1'!E14*1</f>
        <v>10</v>
      </c>
      <c r="AA16" s="59">
        <f>'M1'!F14*1</f>
        <v>2.3423400000000001</v>
      </c>
      <c r="AB16" s="59">
        <f>'M1'!G14*1</f>
        <v>50</v>
      </c>
      <c r="AC16" s="59">
        <f>'M1'!H14*1</f>
        <v>31.285299999999999</v>
      </c>
      <c r="AE16" s="27" t="str">
        <f t="shared" si="12"/>
        <v>神经质</v>
      </c>
      <c r="AF16" s="59">
        <f>'M2'!B14*1</f>
        <v>32.526400000000002</v>
      </c>
      <c r="AG16" s="59">
        <f>'M2'!C14*1</f>
        <v>14.0444</v>
      </c>
      <c r="AH16" s="59">
        <f>'M2'!D14*1</f>
        <v>43.178400000000003</v>
      </c>
      <c r="AI16" s="59">
        <f>'M2'!E14*1</f>
        <v>10</v>
      </c>
      <c r="AJ16" s="59">
        <f>'M2'!F14*1</f>
        <v>1.22818</v>
      </c>
      <c r="AK16" s="59">
        <f>'M2'!G14*1</f>
        <v>50</v>
      </c>
      <c r="AL16" s="59">
        <f>'M2'!H14*1</f>
        <v>60.322099999999999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-4.8829250000000055</v>
      </c>
      <c r="O17" s="22">
        <f>N17/(N17+N18+N19)</f>
        <v>3.2798824517212393</v>
      </c>
      <c r="P17" s="65">
        <f>SUM(P11:P14)/4</f>
        <v>-2.2723150000000008</v>
      </c>
      <c r="Q17" s="22">
        <f>P17/(P17+P18+P19)</f>
        <v>0.38010607872140162</v>
      </c>
      <c r="R17" s="14"/>
      <c r="S17" s="14"/>
      <c r="T17" s="14"/>
      <c r="U17" s="14"/>
      <c r="V17" s="21" t="str">
        <f>M17</f>
        <v>Positive</v>
      </c>
      <c r="W17" s="65">
        <f>SUM(W11:W14)/4</f>
        <v>62.223550000000003</v>
      </c>
      <c r="X17" s="22">
        <f>W17/(W17+W18+W19)</f>
        <v>0.5286216310470605</v>
      </c>
      <c r="Y17" s="65">
        <f>SUM(Y11:Y14)/4</f>
        <v>8.5841624999999997</v>
      </c>
      <c r="Z17" s="22">
        <f>Y17/(Y17+Y18+Y19)</f>
        <v>0.16586619803525507</v>
      </c>
      <c r="AA17" s="14"/>
      <c r="AB17" s="14"/>
      <c r="AC17" s="14"/>
      <c r="AE17" s="21" t="str">
        <f>V17</f>
        <v>Positive</v>
      </c>
      <c r="AF17" s="65">
        <f>SUM(AF11:AF14)/4</f>
        <v>57.340624999999996</v>
      </c>
      <c r="AG17" s="22">
        <f>AF17/(AF17+AF18+AF19)</f>
        <v>0.49337873848200348</v>
      </c>
      <c r="AH17" s="65">
        <f>SUM(AH11:AH14)/4</f>
        <v>6.3118474999999998</v>
      </c>
      <c r="AI17" s="22">
        <f>AH17/(AH17+AH18+AH19)</f>
        <v>0.13788723557594107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2.8281250000000009</v>
      </c>
      <c r="O18" s="22">
        <f>N18/(N17+N18+N19)</f>
        <v>-1.8996641477749756</v>
      </c>
      <c r="P18" s="18">
        <f>SUM(P7:P10)/4</f>
        <v>-11.258542499999999</v>
      </c>
      <c r="Q18" s="22">
        <f>P18/(P17+P18+P19)</f>
        <v>1.8832954241789734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32.556900000000006</v>
      </c>
      <c r="X18" s="22">
        <f>W18/(W17+W18+W19)</f>
        <v>0.27658790891609442</v>
      </c>
      <c r="Y18" s="18">
        <f>SUM(Y7:Y10)/4</f>
        <v>17.888125000000002</v>
      </c>
      <c r="Z18" s="22">
        <f>Y18/(Y17+Y18+Y19)</f>
        <v>0.34564062408294316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35.385024999999999</v>
      </c>
      <c r="AG18" s="22">
        <f>AF18/(AF17+AF18+AF19)</f>
        <v>0.30446509774970465</v>
      </c>
      <c r="AH18" s="18">
        <f>SUM(AH7:AH10)/4</f>
        <v>6.6295824999999997</v>
      </c>
      <c r="AI18" s="22">
        <f>AH18/(AH17+AH18+AH19)</f>
        <v>0.14482840467036573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0.5660500000000015</v>
      </c>
      <c r="O19" s="22">
        <f>N19/(N17+N18+N19)</f>
        <v>-0.38021830394626382</v>
      </c>
      <c r="P19" s="18">
        <f>(P15+P16)/2</f>
        <v>7.5527500000000014</v>
      </c>
      <c r="Q19" s="22">
        <f>P19/(P17+P18+P19)</f>
        <v>-1.2634015029003749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22.928599999999999</v>
      </c>
      <c r="X19" s="22">
        <f>W19/(W17+W18+W19)</f>
        <v>0.19479046003684508</v>
      </c>
      <c r="Y19" s="18">
        <f>(Y15+Y16)/2</f>
        <v>25.28125</v>
      </c>
      <c r="Z19" s="22">
        <f>Y19/(Y17+Y18+Y19)</f>
        <v>0.4884931778818018</v>
      </c>
      <c r="AA19" s="14"/>
      <c r="AB19" s="14"/>
      <c r="AC19" s="14"/>
      <c r="AE19" s="21" t="str">
        <f t="shared" si="14"/>
        <v>Physiological</v>
      </c>
      <c r="AF19" s="18">
        <f>(AF15+AF16)/2</f>
        <v>23.49465</v>
      </c>
      <c r="AG19" s="22">
        <f>AF19/(AF17+AF18+AF19)</f>
        <v>0.20215616376829176</v>
      </c>
      <c r="AH19" s="18">
        <f>(AH15+AH16)/2</f>
        <v>32.834000000000003</v>
      </c>
      <c r="AI19" s="22">
        <f>AH19/(AH17+AH18+AH19)</f>
        <v>0.71728435975369331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1.69/1.76</v>
      </c>
      <c r="D24" s="44" t="str">
        <f>lang!B11</f>
        <v>频率方差</v>
      </c>
      <c r="E24" s="182" t="str">
        <f ca="1">CONCATENATE(ROUND('FH1'!L3,2),"/",ROUND('FH2'!L3,2))</f>
        <v>0.57/0.58</v>
      </c>
      <c r="F24" s="183"/>
      <c r="G24" s="174" t="str">
        <f>lang!B12</f>
        <v>生理变化率</v>
      </c>
      <c r="H24" s="175"/>
      <c r="I24" s="62" t="str">
        <f ca="1">CONCATENATE(info!M7,"-",info!M8)</f>
        <v>39.8-51.3</v>
      </c>
      <c r="J24" s="42" t="str">
        <f>lang!B13</f>
        <v>千卡l/分钟</v>
      </c>
      <c r="K24" s="41" t="str">
        <f ca="1">CONCATENATE(info!M5,"-",info!M6)</f>
        <v>3-4.2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1.689699999999994</v>
      </c>
      <c r="F27" s="121"/>
      <c r="G27" s="135" t="str">
        <f>lang!B33</f>
        <v>稳定性</v>
      </c>
      <c r="H27" s="136"/>
      <c r="I27" s="137"/>
      <c r="J27" s="138">
        <f>dM!B19*100</f>
        <v>3.9028000000000063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-0.31680919604902907</v>
      </c>
      <c r="C2">
        <f t="array" aca="1" ref="C2" ca="1">CORREL(FT_E02,FT_PH02)</f>
        <v>-0.59748042582038974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3.06514</v>
      </c>
      <c r="G2" s="61">
        <f>IF(FT!B2&lt;&gt;"",FT!B2*100,"")</f>
        <v>51.270299999999999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3.1372599999999999</v>
      </c>
      <c r="G3" s="61">
        <f>IF(FT!B3&lt;&gt;"",FT!B3*100,"")</f>
        <v>50.322000000000003</v>
      </c>
      <c r="H3" s="61">
        <f t="shared" ref="H3:H66" si="1">(IF(F3&lt;&gt;"",1,""))</f>
        <v>1</v>
      </c>
      <c r="I3" t="str">
        <f>IF(FT!B3&lt;&gt;"",FT!E3,"")</f>
        <v>1 [0.394750]</v>
      </c>
      <c r="J3">
        <f>IF(FT!B3&lt;&gt;"",FT!C3,"")</f>
        <v>0.39474999999999999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0.45106151351351342</v>
      </c>
      <c r="V3">
        <f ca="1">AVERAGE(OFFSET(FT!B2,info!$L$3/2,0,info!$L$3/2,1))</f>
        <v>0.4219651486486487</v>
      </c>
      <c r="W3">
        <f ca="1">AVERAGE(OFFSET(FT!A2,0,0,info!$L$3/2,1))</f>
        <v>0.34867170270270265</v>
      </c>
      <c r="X3">
        <f ca="1">AVERAGE(OFFSET(FT!A2,info!$L$3/2,0,info!$L$3/2,1))</f>
        <v>0.3718711351351352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3.20831</v>
      </c>
      <c r="G4" s="61">
        <f>IF(FT!B4&lt;&gt;"",FT!B4*100,"")</f>
        <v>49.445699999999995</v>
      </c>
      <c r="H4" s="61">
        <f t="shared" si="1"/>
        <v>1</v>
      </c>
      <c r="I4" t="str">
        <f>IF(FT!B4&lt;&gt;"",FT!E4,"")</f>
        <v>1 [0.802401]</v>
      </c>
      <c r="J4">
        <f>IF(FT!B4&lt;&gt;"",FT!C4,"")</f>
        <v>0.80240100000000003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14.935225000000001</v>
      </c>
      <c r="V4">
        <f>U4*3</f>
        <v>44.805675000000001</v>
      </c>
      <c r="W4">
        <f>U4</f>
        <v>14.935225000000001</v>
      </c>
      <c r="X4">
        <f>V4</f>
        <v>44.805675000000001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3.28165</v>
      </c>
      <c r="G5" s="61">
        <f>IF(FT!B5&lt;&gt;"",FT!B5*100,"")</f>
        <v>48.5518</v>
      </c>
      <c r="H5" s="61">
        <f t="shared" si="1"/>
        <v>1</v>
      </c>
      <c r="I5" t="str">
        <f>IF(FT!B5&lt;&gt;"",FT!E5,"")</f>
        <v>1 [1.206488]</v>
      </c>
      <c r="J5">
        <f>IF(FT!B5&lt;&gt;"",FT!C5,"")</f>
        <v>1.2064900000000001</v>
      </c>
      <c r="K5" t="s">
        <v>53</v>
      </c>
      <c r="L5" s="63">
        <f ca="1">MIN(FT_E)</f>
        <v>2.9968899999999996</v>
      </c>
      <c r="M5" s="63">
        <f ca="1">ROUND(L5,1)</f>
        <v>3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45.106151351351343</v>
      </c>
      <c r="V5">
        <f ca="1">V3*100</f>
        <v>42.196514864864874</v>
      </c>
      <c r="W5">
        <f ca="1">W3*10</f>
        <v>3.4867170270270265</v>
      </c>
      <c r="X5">
        <f ca="1">X3*10</f>
        <v>3.7187113513513519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3.3533200000000001</v>
      </c>
      <c r="G6" s="61">
        <f>IF(FT!B6&lt;&gt;"",FT!B6*100,"")</f>
        <v>47.739800000000002</v>
      </c>
      <c r="H6" s="61">
        <f t="shared" si="1"/>
        <v>1</v>
      </c>
      <c r="I6" t="str">
        <f>IF(FT!B6&lt;&gt;"",FT!E6,"")</f>
        <v>1 [1.613432]</v>
      </c>
      <c r="J6">
        <f>IF(FT!B6&lt;&gt;"",FT!C6,"")</f>
        <v>1.6134299999999999</v>
      </c>
      <c r="K6" t="s">
        <v>54</v>
      </c>
      <c r="L6" s="63">
        <f ca="1">MAX(FT_E)</f>
        <v>4.2389000000000001</v>
      </c>
      <c r="M6" s="63">
        <f ca="1">ROUND(L6,1)</f>
        <v>4.2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3.4230100000000001</v>
      </c>
      <c r="G7" s="61">
        <f>IF(FT!B7&lt;&gt;"",FT!B7*100,"")</f>
        <v>47.058100000000003</v>
      </c>
      <c r="H7" s="61">
        <f t="shared" si="1"/>
        <v>1</v>
      </c>
      <c r="I7" t="str">
        <f>IF(FT!B7&lt;&gt;"",FT!E7,"")</f>
        <v>1 [2.023467]</v>
      </c>
      <c r="J7">
        <f>IF(FT!B7&lt;&gt;"",FT!C7,"")</f>
        <v>2.0234700000000001</v>
      </c>
      <c r="K7" t="s">
        <v>55</v>
      </c>
      <c r="L7" s="63">
        <f ca="1">MIN(FT_PH)</f>
        <v>39.763199999999998</v>
      </c>
      <c r="M7" s="63">
        <f ca="1">ROUND(L7,1)</f>
        <v>39.799999999999997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2240</v>
      </c>
      <c r="D8" s="61">
        <f>FH!B8*1</f>
        <v>2240</v>
      </c>
      <c r="E8">
        <f t="shared" si="3"/>
        <v>6</v>
      </c>
      <c r="F8" s="61">
        <f>IF(FT!A8&lt;&gt;"",FT!A8*10,"")</f>
        <v>3.4900599999999997</v>
      </c>
      <c r="G8" s="61">
        <f>IF(FT!B8&lt;&gt;"",FT!B8*100,"")</f>
        <v>46.528199999999998</v>
      </c>
      <c r="H8" s="61">
        <f t="shared" si="1"/>
        <v>1</v>
      </c>
      <c r="I8" t="str">
        <f>IF(FT!B8&lt;&gt;"",FT!E8,"")</f>
        <v>1 [2.428100]</v>
      </c>
      <c r="J8">
        <f>IF(FT!B8&lt;&gt;"",FT!C8,"")</f>
        <v>2.4281000000000001</v>
      </c>
      <c r="K8" t="s">
        <v>56</v>
      </c>
      <c r="L8" s="63">
        <f ca="1">MAX(FT_PH)</f>
        <v>51.270299999999999</v>
      </c>
      <c r="M8" s="63">
        <f ca="1">ROUND(L8,1)</f>
        <v>51.3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3.5526200000000001</v>
      </c>
      <c r="G9" s="61">
        <f>IF(FT!B9&lt;&gt;"",FT!B9*100,"")</f>
        <v>46.186799999999998</v>
      </c>
      <c r="H9" s="61">
        <f t="shared" si="1"/>
        <v>1</v>
      </c>
      <c r="I9" t="str">
        <f>IF(FT!B9&lt;&gt;"",FT!E9,"")</f>
        <v>1 [2.833126]</v>
      </c>
      <c r="J9">
        <f>IF(FT!B9&lt;&gt;"",FT!C9,"")</f>
        <v>2.8331300000000001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3872</v>
      </c>
      <c r="D10" s="61">
        <f>FH!B10*1</f>
        <v>3872</v>
      </c>
      <c r="E10">
        <f t="shared" si="3"/>
        <v>8</v>
      </c>
      <c r="F10" s="61">
        <f>IF(FT!A10&lt;&gt;"",FT!A10*10,"")</f>
        <v>3.6086900000000002</v>
      </c>
      <c r="G10" s="61">
        <f>IF(FT!B10&lt;&gt;"",FT!B10*100,"")</f>
        <v>46.057700000000004</v>
      </c>
      <c r="H10" s="61">
        <f t="shared" si="1"/>
        <v>1</v>
      </c>
      <c r="I10" t="str">
        <f>IF(FT!B10&lt;&gt;"",FT!E10,"")</f>
        <v>1 [3.237463]</v>
      </c>
      <c r="J10">
        <f>IF(FT!B10&lt;&gt;"",FT!C10,"")</f>
        <v>3.23746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3.6608000000000001</v>
      </c>
      <c r="G11" s="61">
        <f>IF(FT!B11&lt;&gt;"",FT!B11*100,"")</f>
        <v>45.9953</v>
      </c>
      <c r="H11" s="61">
        <f t="shared" si="1"/>
        <v>1</v>
      </c>
      <c r="I11" t="str">
        <f>IF(FT!B11&lt;&gt;"",FT!E11,"")</f>
        <v>1 [3.644382]</v>
      </c>
      <c r="J11">
        <f>IF(FT!B11&lt;&gt;"",FT!C11,"")</f>
        <v>3.64438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3.7092999999999998</v>
      </c>
      <c r="G12" s="61">
        <f>IF(FT!B12&lt;&gt;"",FT!B12*100,"")</f>
        <v>45.933700000000002</v>
      </c>
      <c r="H12" s="61">
        <f t="shared" si="1"/>
        <v>1</v>
      </c>
      <c r="I12" t="str">
        <f>IF(FT!B12&lt;&gt;"",FT!E12,"")</f>
        <v>1 [4.053022]</v>
      </c>
      <c r="J12">
        <f>IF(FT!B12&lt;&gt;"",FT!C12,"")</f>
        <v>4.0530200000000001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6734</v>
      </c>
      <c r="D13" s="61">
        <f>FH!B13*1</f>
        <v>6734</v>
      </c>
      <c r="E13">
        <f t="shared" si="3"/>
        <v>11</v>
      </c>
      <c r="F13" s="61">
        <f>IF(FT!A13&lt;&gt;"",FT!A13*10,"")</f>
        <v>3.7554700000000003</v>
      </c>
      <c r="G13" s="61">
        <f>IF(FT!B13&lt;&gt;"",FT!B13*100,"")</f>
        <v>45.931600000000003</v>
      </c>
      <c r="H13" s="61">
        <f t="shared" si="1"/>
        <v>1</v>
      </c>
      <c r="I13" t="str">
        <f>IF(FT!B13&lt;&gt;"",FT!E13,"")</f>
        <v>1 [4.458761]</v>
      </c>
      <c r="J13">
        <f>IF(FT!B13&lt;&gt;"",FT!C13,"")</f>
        <v>4.4587599999999998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3.7976999999999999</v>
      </c>
      <c r="G14" s="61">
        <f>IF(FT!B14&lt;&gt;"",FT!B14*100,"")</f>
        <v>45.977499999999999</v>
      </c>
      <c r="H14" s="61">
        <f t="shared" si="1"/>
        <v>1</v>
      </c>
      <c r="I14" t="str">
        <f>IF(FT!B14&lt;&gt;"",FT!E14,"")</f>
        <v>1 [4.864924]</v>
      </c>
      <c r="J14">
        <f>IF(FT!B14&lt;&gt;"",FT!C14,"")</f>
        <v>4.8649199999999997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9503</v>
      </c>
      <c r="D15" s="61">
        <f>FH!B15*1</f>
        <v>9503</v>
      </c>
      <c r="E15">
        <f t="shared" si="3"/>
        <v>13</v>
      </c>
      <c r="F15" s="61">
        <f>IF(FT!A15&lt;&gt;"",FT!A15*10,"")</f>
        <v>3.8368600000000002</v>
      </c>
      <c r="G15" s="61">
        <f>IF(FT!B15&lt;&gt;"",FT!B15*100,"")</f>
        <v>46.015699999999995</v>
      </c>
      <c r="H15" s="61">
        <f t="shared" si="1"/>
        <v>1</v>
      </c>
      <c r="I15" t="str">
        <f>IF(FT!B15&lt;&gt;"",FT!E15,"")</f>
        <v>1 [5.270869]</v>
      </c>
      <c r="J15">
        <f>IF(FT!B15&lt;&gt;"",FT!C15,"")</f>
        <v>5.2708700000000004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3.8715000000000002</v>
      </c>
      <c r="G16" s="61">
        <f>IF(FT!B16&lt;&gt;"",FT!B16*100,"")</f>
        <v>45.992899999999999</v>
      </c>
      <c r="H16" s="61">
        <f t="shared" si="1"/>
        <v>1</v>
      </c>
      <c r="I16" t="str">
        <f>IF(FT!B16&lt;&gt;"",FT!E16,"")</f>
        <v>1 [5.675511]</v>
      </c>
      <c r="J16">
        <f>IF(FT!B16&lt;&gt;"",FT!C16,"")</f>
        <v>5.6755100000000001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3.9031500000000001</v>
      </c>
      <c r="G17" s="61">
        <f>IF(FT!B17&lt;&gt;"",FT!B17*100,"")</f>
        <v>45.932499999999997</v>
      </c>
      <c r="H17" s="61">
        <f t="shared" si="1"/>
        <v>1</v>
      </c>
      <c r="I17" t="str">
        <f>IF(FT!B17&lt;&gt;"",FT!E17,"")</f>
        <v>1 [6.084901]</v>
      </c>
      <c r="J17">
        <f>IF(FT!B17&lt;&gt;"",FT!C17,"")</f>
        <v>6.0849000000000002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11011</v>
      </c>
      <c r="D18" s="61">
        <f>FH!B18*1</f>
        <v>11011</v>
      </c>
      <c r="E18">
        <f t="shared" si="3"/>
        <v>16</v>
      </c>
      <c r="F18" s="61">
        <f>IF(FT!A18&lt;&gt;"",FT!A18*10,"")</f>
        <v>3.9314100000000001</v>
      </c>
      <c r="G18" s="61">
        <f>IF(FT!B18&lt;&gt;"",FT!B18*100,"")</f>
        <v>45.875999999999998</v>
      </c>
      <c r="H18" s="61">
        <f t="shared" si="1"/>
        <v>1</v>
      </c>
      <c r="I18" t="str">
        <f>IF(FT!B18&lt;&gt;"",FT!E18,"")</f>
        <v>1 [6.491083]</v>
      </c>
      <c r="J18">
        <f>IF(FT!B18&lt;&gt;"",FT!C18,"")</f>
        <v>6.4910800000000002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3.95208</v>
      </c>
      <c r="G19" s="61">
        <f>IF(FT!B19&lt;&gt;"",FT!B19*100,"")</f>
        <v>45.767499999999998</v>
      </c>
      <c r="H19" s="61">
        <f t="shared" si="1"/>
        <v>1</v>
      </c>
      <c r="I19" t="str">
        <f>IF(FT!B19&lt;&gt;"",FT!E19,"")</f>
        <v>1 [6.896443]</v>
      </c>
      <c r="J19">
        <f>IF(FT!B19&lt;&gt;"",FT!C19,"")</f>
        <v>6.8964400000000001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3.9667000000000003</v>
      </c>
      <c r="G20" s="61">
        <f>IF(FT!B20&lt;&gt;"",FT!B20*100,"")</f>
        <v>45.611400000000003</v>
      </c>
      <c r="H20" s="61">
        <f t="shared" si="1"/>
        <v>1</v>
      </c>
      <c r="I20" t="str">
        <f>IF(FT!B20&lt;&gt;"",FT!E20,"")</f>
        <v>1 [7.301990]</v>
      </c>
      <c r="J20">
        <f>IF(FT!B20&lt;&gt;"",FT!C20,"")</f>
        <v>7.30199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15918</v>
      </c>
      <c r="D21" s="61">
        <f>FH!B21*1</f>
        <v>15918</v>
      </c>
      <c r="E21">
        <f t="shared" si="3"/>
        <v>19</v>
      </c>
      <c r="F21" s="61">
        <f>IF(FT!A21&lt;&gt;"",FT!A21*10,"")</f>
        <v>3.9754</v>
      </c>
      <c r="G21" s="61">
        <f>IF(FT!B21&lt;&gt;"",FT!B21*100,"")</f>
        <v>45.406999999999996</v>
      </c>
      <c r="H21" s="61">
        <f t="shared" si="1"/>
        <v>1</v>
      </c>
      <c r="I21" t="str">
        <f>IF(FT!B21&lt;&gt;"",FT!E21,"")</f>
        <v>1 [7.706672]</v>
      </c>
      <c r="J21">
        <f>IF(FT!B21&lt;&gt;"",FT!C21,"")</f>
        <v>7.7066699999999999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3.9793499999999997</v>
      </c>
      <c r="G22" s="61">
        <f>IF(FT!B22&lt;&gt;"",FT!B22*100,"")</f>
        <v>45.1751</v>
      </c>
      <c r="H22" s="61">
        <f t="shared" si="1"/>
        <v>1</v>
      </c>
      <c r="I22" t="str">
        <f>IF(FT!B22&lt;&gt;"",FT!E22,"")</f>
        <v>1 [8.112655]</v>
      </c>
      <c r="J22">
        <f>IF(FT!B22&lt;&gt;"",FT!C22,"")</f>
        <v>8.1126500000000004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19779</v>
      </c>
      <c r="D23" s="61">
        <f>FH!B23*1</f>
        <v>19779</v>
      </c>
      <c r="E23">
        <f t="shared" si="3"/>
        <v>21</v>
      </c>
      <c r="F23" s="61">
        <f>IF(FT!A23&lt;&gt;"",FT!A23*10,"")</f>
        <v>3.98353</v>
      </c>
      <c r="G23" s="61">
        <f>IF(FT!B23&lt;&gt;"",FT!B23*100,"")</f>
        <v>44.947700000000005</v>
      </c>
      <c r="H23" s="61">
        <f t="shared" si="1"/>
        <v>1</v>
      </c>
      <c r="I23" t="str">
        <f>IF(FT!B23&lt;&gt;"",FT!E23,"")</f>
        <v>1 [8.518990]</v>
      </c>
      <c r="J23">
        <f>IF(FT!B23&lt;&gt;"",FT!C23,"")</f>
        <v>8.5189900000000005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3.9867599999999999</v>
      </c>
      <c r="G24" s="61">
        <f>IF(FT!B24&lt;&gt;"",FT!B24*100,"")</f>
        <v>44.715899999999998</v>
      </c>
      <c r="H24" s="61">
        <f t="shared" si="1"/>
        <v>1</v>
      </c>
      <c r="I24" t="str">
        <f>IF(FT!B24&lt;&gt;"",FT!E24,"")</f>
        <v>1 [8.929385]</v>
      </c>
      <c r="J24">
        <f>IF(FT!B24&lt;&gt;"",FT!C24,"")</f>
        <v>8.9293800000000001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3.9856599999999998</v>
      </c>
      <c r="G25" s="61">
        <f>IF(FT!B25&lt;&gt;"",FT!B25*100,"")</f>
        <v>44.500399999999999</v>
      </c>
      <c r="H25" s="61">
        <f t="shared" si="1"/>
        <v>1</v>
      </c>
      <c r="I25" t="str">
        <f>IF(FT!B25&lt;&gt;"",FT!E25,"")</f>
        <v>1 [9.332865]</v>
      </c>
      <c r="J25">
        <f>IF(FT!B25&lt;&gt;"",FT!C25,"")</f>
        <v>9.3328600000000002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21046</v>
      </c>
      <c r="D26" s="61">
        <f>FH!B26*1</f>
        <v>21046</v>
      </c>
      <c r="E26">
        <f t="shared" si="3"/>
        <v>24</v>
      </c>
      <c r="F26" s="61">
        <f>IF(FT!A26&lt;&gt;"",FT!A26*10,"")</f>
        <v>3.9813199999999997</v>
      </c>
      <c r="G26" s="61">
        <f>IF(FT!B26&lt;&gt;"",FT!B26*100,"")</f>
        <v>44.2849</v>
      </c>
      <c r="H26" s="61">
        <f t="shared" si="1"/>
        <v>1</v>
      </c>
      <c r="I26" t="str">
        <f>IF(FT!B26&lt;&gt;"",FT!E26,"")</f>
        <v>1 [9.737468]</v>
      </c>
      <c r="J26">
        <f>IF(FT!B26&lt;&gt;"",FT!C26,"")</f>
        <v>9.7374700000000001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3.9751799999999999</v>
      </c>
      <c r="G27" s="61">
        <f>IF(FT!B27&lt;&gt;"",FT!B27*100,"")</f>
        <v>44.0794</v>
      </c>
      <c r="H27" s="61">
        <f t="shared" si="1"/>
        <v>1</v>
      </c>
      <c r="I27" t="str">
        <f>IF(FT!B27&lt;&gt;"",FT!E27,"")</f>
        <v>1 [10.145585]</v>
      </c>
      <c r="J27">
        <f>IF(FT!B27&lt;&gt;"",FT!C27,"")</f>
        <v>10.1456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26909</v>
      </c>
      <c r="D28" s="61">
        <f>FH!B28*1</f>
        <v>26909</v>
      </c>
      <c r="E28">
        <f t="shared" si="3"/>
        <v>26</v>
      </c>
      <c r="F28" s="61">
        <f>IF(FT!A28&lt;&gt;"",FT!A28*10,"")</f>
        <v>3.9652399999999997</v>
      </c>
      <c r="G28" s="61">
        <f>IF(FT!B28&lt;&gt;"",FT!B28*100,"")</f>
        <v>43.870199999999997</v>
      </c>
      <c r="H28" s="61">
        <f t="shared" si="1"/>
        <v>1</v>
      </c>
      <c r="I28" t="str">
        <f>IF(FT!B28&lt;&gt;"",FT!E28,"")</f>
        <v>1 [10.554881]</v>
      </c>
      <c r="J28">
        <f>IF(FT!B28&lt;&gt;"",FT!C28,"")</f>
        <v>10.5549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3.95486</v>
      </c>
      <c r="G29" s="61">
        <f>IF(FT!B29&lt;&gt;"",FT!B29*100,"")</f>
        <v>43.716899999999995</v>
      </c>
      <c r="H29" s="61">
        <f t="shared" si="1"/>
        <v>1</v>
      </c>
      <c r="I29" t="str">
        <f>IF(FT!B29&lt;&gt;"",FT!E29,"")</f>
        <v>1 [10.958469]</v>
      </c>
      <c r="J29">
        <f>IF(FT!B29&lt;&gt;"",FT!C29,"")</f>
        <v>10.958500000000001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3.93919</v>
      </c>
      <c r="G30" s="61">
        <f>IF(FT!B30&lt;&gt;"",FT!B30*100,"")</f>
        <v>43.650800000000004</v>
      </c>
      <c r="H30" s="61">
        <f t="shared" si="1"/>
        <v>1</v>
      </c>
      <c r="I30" t="str">
        <f>IF(FT!B30&lt;&gt;"",FT!E30,"")</f>
        <v>1 [11.364344]</v>
      </c>
      <c r="J30">
        <f>IF(FT!B30&lt;&gt;"",FT!C30,"")</f>
        <v>11.3643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31414</v>
      </c>
      <c r="D31" s="61">
        <f>FH!B31*1</f>
        <v>31414</v>
      </c>
      <c r="E31">
        <f t="shared" si="3"/>
        <v>29</v>
      </c>
      <c r="F31" s="61">
        <f>IF(FT!A31&lt;&gt;"",FT!A31*10,"")</f>
        <v>3.91777</v>
      </c>
      <c r="G31" s="61">
        <f>IF(FT!B31&lt;&gt;"",FT!B31*100,"")</f>
        <v>43.616</v>
      </c>
      <c r="H31" s="61">
        <f t="shared" si="1"/>
        <v>1</v>
      </c>
      <c r="I31" t="str">
        <f>IF(FT!B31&lt;&gt;"",FT!E31,"")</f>
        <v>1 [11.770033]</v>
      </c>
      <c r="J31">
        <f>IF(FT!B31&lt;&gt;"",FT!C31,"")</f>
        <v>11.77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3.8944000000000001</v>
      </c>
      <c r="G32" s="61">
        <f>IF(FT!B32&lt;&gt;"",FT!B32*100,"")</f>
        <v>43.624200000000002</v>
      </c>
      <c r="H32" s="61">
        <f t="shared" si="1"/>
        <v>1</v>
      </c>
      <c r="I32" t="str">
        <f>IF(FT!B32&lt;&gt;"",FT!E32,"")</f>
        <v>1 [12.174769]</v>
      </c>
      <c r="J32">
        <f>IF(FT!B32&lt;&gt;"",FT!C32,"")</f>
        <v>12.174799999999999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38076</v>
      </c>
      <c r="D33" s="61">
        <f>FH!B33*1</f>
        <v>38076</v>
      </c>
      <c r="E33">
        <f t="shared" si="3"/>
        <v>31</v>
      </c>
      <c r="F33" s="61">
        <f>IF(FT!A33&lt;&gt;"",FT!A33*10,"")</f>
        <v>3.8690699999999998</v>
      </c>
      <c r="G33" s="61">
        <f>IF(FT!B33&lt;&gt;"",FT!B33*100,"")</f>
        <v>43.680999999999997</v>
      </c>
      <c r="H33" s="61">
        <f t="shared" si="1"/>
        <v>1</v>
      </c>
      <c r="I33" t="str">
        <f>IF(FT!B33&lt;&gt;"",FT!E33,"")</f>
        <v>1 [12.581242]</v>
      </c>
      <c r="J33">
        <f>IF(FT!B33&lt;&gt;"",FT!C33,"")</f>
        <v>12.581200000000001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3.8428400000000003</v>
      </c>
      <c r="G34" s="61">
        <f>IF(FT!B34&lt;&gt;"",FT!B34*100,"")</f>
        <v>43.735700000000001</v>
      </c>
      <c r="H34" s="61">
        <f t="shared" si="1"/>
        <v>1</v>
      </c>
      <c r="I34" t="str">
        <f>IF(FT!B34&lt;&gt;"",FT!E34,"")</f>
        <v>1 [12.986890]</v>
      </c>
      <c r="J34">
        <f>IF(FT!B34&lt;&gt;"",FT!C34,"")</f>
        <v>12.9869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3.81698</v>
      </c>
      <c r="G35" s="61">
        <f>IF(FT!B35&lt;&gt;"",FT!B35*100,"")</f>
        <v>43.732700000000001</v>
      </c>
      <c r="H35" s="61">
        <f t="shared" si="1"/>
        <v>1</v>
      </c>
      <c r="I35" t="str">
        <f>IF(FT!B35&lt;&gt;"",FT!E35,"")</f>
        <v>1 [13.395180]</v>
      </c>
      <c r="J35">
        <f>IF(FT!B35&lt;&gt;"",FT!C35,"")</f>
        <v>13.395200000000001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46737</v>
      </c>
      <c r="D36" s="61">
        <f>FH!B36*1</f>
        <v>46737</v>
      </c>
      <c r="E36">
        <f t="shared" si="3"/>
        <v>34</v>
      </c>
      <c r="F36" s="61">
        <f>IF(FT!A36&lt;&gt;"",FT!A36*10,"")</f>
        <v>3.7901199999999999</v>
      </c>
      <c r="G36" s="61">
        <f>IF(FT!B36&lt;&gt;"",FT!B36*100,"")</f>
        <v>43.725500000000004</v>
      </c>
      <c r="H36" s="61">
        <f t="shared" si="1"/>
        <v>1</v>
      </c>
      <c r="I36" t="str">
        <f>IF(FT!B36&lt;&gt;"",FT!E36,"")</f>
        <v>1 [13.803748]</v>
      </c>
      <c r="J36">
        <f>IF(FT!B36&lt;&gt;"",FT!C36,"")</f>
        <v>13.803699999999999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3.7589299999999999</v>
      </c>
      <c r="G37" s="61">
        <f>IF(FT!B37&lt;&gt;"",FT!B37*100,"")</f>
        <v>43.645400000000002</v>
      </c>
      <c r="H37" s="61">
        <f t="shared" si="1"/>
        <v>1</v>
      </c>
      <c r="I37" t="str">
        <f>IF(FT!B37&lt;&gt;"",FT!E37,"")</f>
        <v>1 [14.212489]</v>
      </c>
      <c r="J37">
        <f>IF(FT!B37&lt;&gt;"",FT!C37,"")</f>
        <v>14.2125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3.7260599999999999</v>
      </c>
      <c r="G38" s="61">
        <f>IF(FT!B38&lt;&gt;"",FT!B38*100,"")</f>
        <v>43.563600000000001</v>
      </c>
      <c r="H38" s="61">
        <f t="shared" si="1"/>
        <v>1</v>
      </c>
      <c r="I38" t="str">
        <f>IF(FT!B38&lt;&gt;"",FT!E38,"")</f>
        <v>1 [14.615039]</v>
      </c>
      <c r="J38">
        <f>IF(FT!B38&lt;&gt;"",FT!C38,"")</f>
        <v>14.615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45609</v>
      </c>
      <c r="D39" s="61">
        <f>FH!B39*1</f>
        <v>45609</v>
      </c>
      <c r="E39">
        <f t="shared" si="3"/>
        <v>37</v>
      </c>
      <c r="F39" s="61">
        <f>IF(FT!A39&lt;&gt;"",FT!A39*10,"")</f>
        <v>3.6907399999999999</v>
      </c>
      <c r="G39" s="61">
        <f>IF(FT!B39&lt;&gt;"",FT!B39*100,"")</f>
        <v>43.432200000000002</v>
      </c>
      <c r="H39" s="61">
        <f t="shared" si="1"/>
        <v>1</v>
      </c>
      <c r="I39" t="str">
        <f>IF(FT!B39&lt;&gt;"",FT!E39,"")</f>
        <v>1 [15.019851]</v>
      </c>
      <c r="J39">
        <f>IF(FT!B39&lt;&gt;"",FT!C39,"")</f>
        <v>15.0199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3.65205</v>
      </c>
      <c r="G40" s="61">
        <f>IF(FT!B40&lt;&gt;"",FT!B40*100,"")</f>
        <v>43.258600000000001</v>
      </c>
      <c r="H40" s="61">
        <f t="shared" si="1"/>
        <v>1</v>
      </c>
      <c r="I40" t="str">
        <f>IF(FT!B40&lt;&gt;"",FT!E40,"")</f>
        <v>1 [15.426539]</v>
      </c>
      <c r="J40">
        <f>IF(FT!B40&lt;&gt;"",FT!C40,"")</f>
        <v>15.426500000000001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56032</v>
      </c>
      <c r="D41" s="61">
        <f>FH!B41*1</f>
        <v>56032</v>
      </c>
      <c r="E41">
        <f t="shared" si="3"/>
        <v>39</v>
      </c>
      <c r="F41" s="61">
        <f>IF(FT!A41&lt;&gt;"",FT!A41*10,"")</f>
        <v>3.6112100000000003</v>
      </c>
      <c r="G41" s="61">
        <f>IF(FT!B41&lt;&gt;"",FT!B41*100,"")</f>
        <v>43.1111</v>
      </c>
      <c r="H41" s="61">
        <f t="shared" si="1"/>
        <v>1</v>
      </c>
      <c r="I41" t="str">
        <f>IF(FT!B41&lt;&gt;"",FT!E41,"")</f>
        <v>1 [15.835255]</v>
      </c>
      <c r="J41">
        <f>IF(FT!B41&lt;&gt;"",FT!C41,"")</f>
        <v>15.8353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3.56853</v>
      </c>
      <c r="G42" s="61">
        <f>IF(FT!B42&lt;&gt;"",FT!B42*100,"")</f>
        <v>43.072099999999999</v>
      </c>
      <c r="H42" s="61">
        <f t="shared" si="1"/>
        <v>1</v>
      </c>
      <c r="I42" t="str">
        <f>IF(FT!B42&lt;&gt;"",FT!E42,"")</f>
        <v>1 [16.240277]</v>
      </c>
      <c r="J42">
        <f>IF(FT!B42&lt;&gt;"",FT!C42,"")</f>
        <v>16.240300000000001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3.5233599999999998</v>
      </c>
      <c r="G43" s="61">
        <f>IF(FT!B43&lt;&gt;"",FT!B43*100,"")</f>
        <v>43.028499999999994</v>
      </c>
      <c r="H43" s="61">
        <f t="shared" si="1"/>
        <v>1</v>
      </c>
      <c r="I43" t="str">
        <f>IF(FT!B43&lt;&gt;"",FT!E43,"")</f>
        <v>1 [16.647719]</v>
      </c>
      <c r="J43">
        <f>IF(FT!B43&lt;&gt;"",FT!C43,"")</f>
        <v>16.6477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66557</v>
      </c>
      <c r="D44" s="61">
        <f>FH!B44*1</f>
        <v>66557</v>
      </c>
      <c r="E44">
        <f t="shared" si="3"/>
        <v>42</v>
      </c>
      <c r="F44" s="61">
        <f>IF(FT!A44&lt;&gt;"",FT!A44*10,"")</f>
        <v>3.4803099999999998</v>
      </c>
      <c r="G44" s="61">
        <f>IF(FT!B44&lt;&gt;"",FT!B44*100,"")</f>
        <v>42.91</v>
      </c>
      <c r="H44" s="61">
        <f t="shared" si="1"/>
        <v>1</v>
      </c>
      <c r="I44" t="str">
        <f>IF(FT!B44&lt;&gt;"",FT!E44,"")</f>
        <v>1 [17.050579]</v>
      </c>
      <c r="J44">
        <f>IF(FT!B44&lt;&gt;"",FT!C44,"")</f>
        <v>17.050599999999999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3.43797</v>
      </c>
      <c r="G45" s="61">
        <f>IF(FT!B45&lt;&gt;"",FT!B45*100,"")</f>
        <v>42.7545</v>
      </c>
      <c r="H45" s="61">
        <f t="shared" si="1"/>
        <v>1</v>
      </c>
      <c r="I45" t="str">
        <f>IF(FT!B45&lt;&gt;"",FT!E45,"")</f>
        <v>1 [17.458290]</v>
      </c>
      <c r="J45">
        <f>IF(FT!B45&lt;&gt;"",FT!C45,"")</f>
        <v>17.458300000000001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62566</v>
      </c>
      <c r="D46" s="61">
        <f>FH!B46*1</f>
        <v>62566</v>
      </c>
      <c r="E46">
        <f t="shared" si="3"/>
        <v>44</v>
      </c>
      <c r="F46" s="61">
        <f>IF(FT!A46&lt;&gt;"",FT!A46*10,"")</f>
        <v>3.39636</v>
      </c>
      <c r="G46" s="61">
        <f>IF(FT!B46&lt;&gt;"",FT!B46*100,"")</f>
        <v>42.598599999999998</v>
      </c>
      <c r="H46" s="61">
        <f t="shared" si="1"/>
        <v>1</v>
      </c>
      <c r="I46" t="str">
        <f>IF(FT!B46&lt;&gt;"",FT!E46,"")</f>
        <v>1 [17.863927]</v>
      </c>
      <c r="J46">
        <f>IF(FT!B46&lt;&gt;"",FT!C46,"")</f>
        <v>17.863900000000001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3.3569599999999999</v>
      </c>
      <c r="G47" s="61">
        <f>IF(FT!B47&lt;&gt;"",FT!B47*100,"")</f>
        <v>42.484400000000001</v>
      </c>
      <c r="H47" s="61">
        <f t="shared" si="1"/>
        <v>1</v>
      </c>
      <c r="I47" t="str">
        <f>IF(FT!B47&lt;&gt;"",FT!E47,"")</f>
        <v>1 [18.273094]</v>
      </c>
      <c r="J47">
        <f>IF(FT!B47&lt;&gt;"",FT!C47,"")</f>
        <v>18.273099999999999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3.3164400000000001</v>
      </c>
      <c r="G48" s="61">
        <f>IF(FT!B48&lt;&gt;"",FT!B48*100,"")</f>
        <v>42.464400000000005</v>
      </c>
      <c r="H48" s="61">
        <f t="shared" si="1"/>
        <v>1</v>
      </c>
      <c r="I48" t="str">
        <f>IF(FT!B48&lt;&gt;"",FT!E48,"")</f>
        <v>1 [18.677972]</v>
      </c>
      <c r="J48">
        <f>IF(FT!B48&lt;&gt;"",FT!C48,"")</f>
        <v>18.678000000000001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79374</v>
      </c>
      <c r="D49" s="61">
        <f>FH!B49*1</f>
        <v>79374</v>
      </c>
      <c r="E49">
        <f t="shared" si="3"/>
        <v>47</v>
      </c>
      <c r="F49" s="61">
        <f>IF(FT!A49&lt;&gt;"",FT!A49*10,"")</f>
        <v>3.2735399999999997</v>
      </c>
      <c r="G49" s="61">
        <f>IF(FT!B49&lt;&gt;"",FT!B49*100,"")</f>
        <v>42.5321</v>
      </c>
      <c r="H49" s="61">
        <f t="shared" si="1"/>
        <v>1</v>
      </c>
      <c r="I49" t="str">
        <f>IF(FT!B49&lt;&gt;"",FT!E49,"")</f>
        <v>1 [19.081078]</v>
      </c>
      <c r="J49">
        <f>IF(FT!B49&lt;&gt;"",FT!C49,"")</f>
        <v>19.081099999999999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3.23169</v>
      </c>
      <c r="G50" s="61">
        <f>IF(FT!B50&lt;&gt;"",FT!B50*100,"")</f>
        <v>42.662199999999999</v>
      </c>
      <c r="H50" s="61">
        <f t="shared" si="1"/>
        <v>1</v>
      </c>
      <c r="I50" t="str">
        <f>IF(FT!B50&lt;&gt;"",FT!E50,"")</f>
        <v>1 [19.492371]</v>
      </c>
      <c r="J50">
        <f>IF(FT!B50&lt;&gt;"",FT!C50,"")</f>
        <v>19.4924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96527</v>
      </c>
      <c r="D51" s="61">
        <f>FH!B51*1</f>
        <v>96527</v>
      </c>
      <c r="E51">
        <f t="shared" si="3"/>
        <v>49</v>
      </c>
      <c r="F51" s="61">
        <f>IF(FT!A51&lt;&gt;"",FT!A51*10,"")</f>
        <v>3.1946300000000001</v>
      </c>
      <c r="G51" s="61">
        <f>IF(FT!B51&lt;&gt;"",FT!B51*100,"")</f>
        <v>42.8735</v>
      </c>
      <c r="H51" s="61">
        <f t="shared" si="1"/>
        <v>1</v>
      </c>
      <c r="I51" t="str">
        <f>IF(FT!B51&lt;&gt;"",FT!E51,"")</f>
        <v>1 [19.895672]</v>
      </c>
      <c r="J51">
        <f>IF(FT!B51&lt;&gt;"",FT!C51,"")</f>
        <v>19.895700000000001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3.1603500000000002</v>
      </c>
      <c r="G52" s="61">
        <f>IF(FT!B52&lt;&gt;"",FT!B52*100,"")</f>
        <v>43.229199999999999</v>
      </c>
      <c r="H52" s="61">
        <f t="shared" si="1"/>
        <v>1</v>
      </c>
      <c r="I52" t="str">
        <f>IF(FT!B52&lt;&gt;"",FT!E52,"")</f>
        <v>1 [20.302419]</v>
      </c>
      <c r="J52">
        <f>IF(FT!B52&lt;&gt;"",FT!C52,"")</f>
        <v>20.302399999999999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3.12975</v>
      </c>
      <c r="G53" s="61">
        <f>IF(FT!B53&lt;&gt;"",FT!B53*100,"")</f>
        <v>43.626300000000001</v>
      </c>
      <c r="H53" s="61">
        <f t="shared" si="1"/>
        <v>1</v>
      </c>
      <c r="I53" t="str">
        <f>IF(FT!B53&lt;&gt;"",FT!E53,"")</f>
        <v>1 [20.709546]</v>
      </c>
      <c r="J53">
        <f>IF(FT!B53&lt;&gt;"",FT!C53,"")</f>
        <v>20.709499999999998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105560</v>
      </c>
      <c r="D54" s="61">
        <f>FH!B54*1</f>
        <v>105560</v>
      </c>
      <c r="E54">
        <f t="shared" si="3"/>
        <v>52</v>
      </c>
      <c r="F54" s="61">
        <f>IF(FT!A54&lt;&gt;"",FT!A54*10,"")</f>
        <v>3.0957800000000004</v>
      </c>
      <c r="G54" s="61">
        <f>IF(FT!B54&lt;&gt;"",FT!B54*100,"")</f>
        <v>44.124899999999997</v>
      </c>
      <c r="H54" s="61">
        <f t="shared" si="1"/>
        <v>1</v>
      </c>
      <c r="I54" t="str">
        <f>IF(FT!B54&lt;&gt;"",FT!E54,"")</f>
        <v>1 [21.113969]</v>
      </c>
      <c r="J54">
        <f>IF(FT!B54&lt;&gt;"",FT!C54,"")</f>
        <v>21.114000000000001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3.06311</v>
      </c>
      <c r="G55" s="61">
        <f>IF(FT!B55&lt;&gt;"",FT!B55*100,"")</f>
        <v>44.632800000000003</v>
      </c>
      <c r="H55" s="61">
        <f t="shared" si="1"/>
        <v>1</v>
      </c>
      <c r="I55" t="str">
        <f>IF(FT!B55&lt;&gt;"",FT!E55,"")</f>
        <v>1 [21.520839]</v>
      </c>
      <c r="J55">
        <f>IF(FT!B55&lt;&gt;"",FT!C55,"")</f>
        <v>21.520800000000001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3.0411100000000002</v>
      </c>
      <c r="G56" s="61">
        <f>IF(FT!B56&lt;&gt;"",FT!B56*100,"")</f>
        <v>45.0565</v>
      </c>
      <c r="H56" s="61">
        <f t="shared" si="1"/>
        <v>1</v>
      </c>
      <c r="I56" t="str">
        <f>IF(FT!B56&lt;&gt;"",FT!E56,"")</f>
        <v>1 [21.927517]</v>
      </c>
      <c r="J56">
        <f>IF(FT!B56&lt;&gt;"",FT!C56,"")</f>
        <v>21.927499999999998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125188</v>
      </c>
      <c r="D57" s="61">
        <f>FH!B57*1</f>
        <v>125188</v>
      </c>
      <c r="E57">
        <f t="shared" si="3"/>
        <v>55</v>
      </c>
      <c r="F57" s="61">
        <f>IF(FT!A57&lt;&gt;"",FT!A57*10,"")</f>
        <v>3.0219299999999998</v>
      </c>
      <c r="G57" s="61">
        <f>IF(FT!B57&lt;&gt;"",FT!B57*100,"")</f>
        <v>45.473300000000002</v>
      </c>
      <c r="H57" s="61">
        <f t="shared" si="1"/>
        <v>1</v>
      </c>
      <c r="I57" t="str">
        <f>IF(FT!B57&lt;&gt;"",FT!E57,"")</f>
        <v>1 [22.333910]</v>
      </c>
      <c r="J57">
        <f>IF(FT!B57&lt;&gt;"",FT!C57,"")</f>
        <v>22.3339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3.0076299999999998</v>
      </c>
      <c r="G58" s="61">
        <f>IF(FT!B58&lt;&gt;"",FT!B58*100,"")</f>
        <v>45.7973</v>
      </c>
      <c r="H58" s="61">
        <f t="shared" si="1"/>
        <v>1</v>
      </c>
      <c r="I58" t="str">
        <f>IF(FT!B58&lt;&gt;"",FT!E58,"")</f>
        <v>1 [22.740707]</v>
      </c>
      <c r="J58">
        <f>IF(FT!B58&lt;&gt;"",FT!C58,"")</f>
        <v>22.7407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145423</v>
      </c>
      <c r="D59" s="61">
        <f>FH!B59*1</f>
        <v>145423</v>
      </c>
      <c r="E59">
        <f t="shared" si="3"/>
        <v>57</v>
      </c>
      <c r="F59" s="61">
        <f>IF(FT!A59&lt;&gt;"",FT!A59*10,"")</f>
        <v>3.0006500000000003</v>
      </c>
      <c r="G59" s="61">
        <f>IF(FT!B59&lt;&gt;"",FT!B59*100,"")</f>
        <v>46.02</v>
      </c>
      <c r="H59" s="61">
        <f t="shared" si="1"/>
        <v>1</v>
      </c>
      <c r="I59" t="str">
        <f>IF(FT!B59&lt;&gt;"",FT!E59,"")</f>
        <v>1 [23.144904]</v>
      </c>
      <c r="J59">
        <f>IF(FT!B59&lt;&gt;"",FT!C59,"")</f>
        <v>23.1449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2.9984100000000002</v>
      </c>
      <c r="G60" s="61">
        <f>IF(FT!B60&lt;&gt;"",FT!B60*100,"")</f>
        <v>46.150600000000004</v>
      </c>
      <c r="H60" s="61">
        <f t="shared" si="1"/>
        <v>1</v>
      </c>
      <c r="I60" t="str">
        <f>IF(FT!B60&lt;&gt;"",FT!E60,"")</f>
        <v>1 [23.549153]</v>
      </c>
      <c r="J60">
        <f>IF(FT!B60&lt;&gt;"",FT!C60,"")</f>
        <v>23.549199999999999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2.9968899999999996</v>
      </c>
      <c r="G61" s="61">
        <f>IF(FT!B61&lt;&gt;"",FT!B61*100,"")</f>
        <v>46.296799999999998</v>
      </c>
      <c r="H61" s="61">
        <f t="shared" si="1"/>
        <v>1</v>
      </c>
      <c r="I61" t="str">
        <f>IF(FT!B61&lt;&gt;"",FT!E61,"")</f>
        <v>1 [23.958907]</v>
      </c>
      <c r="J61">
        <f>IF(FT!B61&lt;&gt;"",FT!C61,"")</f>
        <v>23.9589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155069</v>
      </c>
      <c r="D62" s="61">
        <f>FH!B62*1</f>
        <v>155069</v>
      </c>
      <c r="E62">
        <f t="shared" si="3"/>
        <v>60</v>
      </c>
      <c r="F62" s="61">
        <f>IF(FT!A62&lt;&gt;"",FT!A62*10,"")</f>
        <v>2.9998999999999998</v>
      </c>
      <c r="G62" s="61">
        <f>IF(FT!B62&lt;&gt;"",FT!B62*100,"")</f>
        <v>46.388600000000004</v>
      </c>
      <c r="H62" s="61">
        <f t="shared" si="1"/>
        <v>1</v>
      </c>
      <c r="I62" t="str">
        <f>IF(FT!B62&lt;&gt;"",FT!E62,"")</f>
        <v>1 [24.365212]</v>
      </c>
      <c r="J62">
        <f>IF(FT!B62&lt;&gt;"",FT!C62,"")</f>
        <v>24.365200000000002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3.0062600000000002</v>
      </c>
      <c r="G63" s="61">
        <f>IF(FT!B63&lt;&gt;"",FT!B63*100,"")</f>
        <v>46.508500000000005</v>
      </c>
      <c r="H63" s="61">
        <f t="shared" si="1"/>
        <v>1</v>
      </c>
      <c r="I63" t="str">
        <f>IF(FT!B63&lt;&gt;"",FT!E63,"")</f>
        <v>1 [24.770810]</v>
      </c>
      <c r="J63">
        <f>IF(FT!B63&lt;&gt;"",FT!C63,"")</f>
        <v>24.770800000000001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169818</v>
      </c>
      <c r="D64" s="61">
        <f>FH!B64*1</f>
        <v>169818</v>
      </c>
      <c r="E64">
        <f t="shared" si="3"/>
        <v>62</v>
      </c>
      <c r="F64" s="61">
        <f>IF(FT!A64&lt;&gt;"",FT!A64*10,"")</f>
        <v>3.0145200000000001</v>
      </c>
      <c r="G64" s="61">
        <f>IF(FT!B64&lt;&gt;"",FT!B64*100,"")</f>
        <v>46.581200000000003</v>
      </c>
      <c r="H64" s="61">
        <f t="shared" si="1"/>
        <v>1</v>
      </c>
      <c r="I64" t="str">
        <f>IF(FT!B64&lt;&gt;"",FT!E64,"")</f>
        <v>1 [25.176279]</v>
      </c>
      <c r="J64">
        <f>IF(FT!B64&lt;&gt;"",FT!C64,"")</f>
        <v>25.176300000000001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3.03023</v>
      </c>
      <c r="G65" s="61">
        <f>IF(FT!B65&lt;&gt;"",FT!B65*100,"")</f>
        <v>46.571200000000005</v>
      </c>
      <c r="H65" s="61">
        <f t="shared" si="1"/>
        <v>1</v>
      </c>
      <c r="I65" t="str">
        <f>IF(FT!B65&lt;&gt;"",FT!E65,"")</f>
        <v>1 [25.583016]</v>
      </c>
      <c r="J65">
        <f>IF(FT!B65&lt;&gt;"",FT!C65,"")</f>
        <v>25.582999999999998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3.0487299999999999</v>
      </c>
      <c r="G66" s="61">
        <f>IF(FT!B66&lt;&gt;"",FT!B66*100,"")</f>
        <v>46.526299999999999</v>
      </c>
      <c r="H66" s="61">
        <f t="shared" si="1"/>
        <v>1</v>
      </c>
      <c r="I66" t="str">
        <f>IF(FT!B66&lt;&gt;"",FT!E66,"")</f>
        <v>1 [25.991347]</v>
      </c>
      <c r="J66">
        <f>IF(FT!B66&lt;&gt;"",FT!C66,"")</f>
        <v>25.991299999999999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179602</v>
      </c>
      <c r="D67" s="61">
        <f>FH!B67*1</f>
        <v>179602</v>
      </c>
      <c r="E67">
        <f t="shared" si="3"/>
        <v>65</v>
      </c>
      <c r="F67" s="61">
        <f>IF(FT!A67&lt;&gt;"",FT!A67*10,"")</f>
        <v>3.0704199999999999</v>
      </c>
      <c r="G67" s="61">
        <f>IF(FT!B67&lt;&gt;"",FT!B67*100,"")</f>
        <v>46.406399999999998</v>
      </c>
      <c r="H67" s="61">
        <f t="shared" ref="H67:H130" si="9">(IF(F67&lt;&gt;"",1,""))</f>
        <v>1</v>
      </c>
      <c r="I67" t="str">
        <f>IF(FT!B67&lt;&gt;"",FT!E67,"")</f>
        <v>1 [26.396791]</v>
      </c>
      <c r="J67">
        <f>IF(FT!B67&lt;&gt;"",FT!C67,"")</f>
        <v>26.396799999999999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3.0959399999999997</v>
      </c>
      <c r="G68" s="61">
        <f>IF(FT!B68&lt;&gt;"",FT!B68*100,"")</f>
        <v>46.2761</v>
      </c>
      <c r="H68" s="61">
        <f t="shared" si="9"/>
        <v>1</v>
      </c>
      <c r="I68" t="str">
        <f>IF(FT!B68&lt;&gt;"",FT!E68,"")</f>
        <v>1 [26.804999]</v>
      </c>
      <c r="J68">
        <f>IF(FT!B68&lt;&gt;"",FT!C68,"")</f>
        <v>26.805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175270</v>
      </c>
      <c r="D69" s="61">
        <f>FH!B69*1</f>
        <v>175270</v>
      </c>
      <c r="E69">
        <f t="shared" si="11"/>
        <v>67</v>
      </c>
      <c r="F69" s="61">
        <f>IF(FT!A69&lt;&gt;"",FT!A69*10,"")</f>
        <v>3.1268899999999999</v>
      </c>
      <c r="G69" s="61">
        <f>IF(FT!B69&lt;&gt;"",FT!B69*100,"")</f>
        <v>46.082499999999996</v>
      </c>
      <c r="H69" s="61">
        <f t="shared" si="9"/>
        <v>1</v>
      </c>
      <c r="I69" t="str">
        <f>IF(FT!B69&lt;&gt;"",FT!E69,"")</f>
        <v>1 [27.209270]</v>
      </c>
      <c r="J69">
        <f>IF(FT!B69&lt;&gt;"",FT!C69,"")</f>
        <v>27.209299999999999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3.1591499999999999</v>
      </c>
      <c r="G70" s="61">
        <f>IF(FT!B70&lt;&gt;"",FT!B70*100,"")</f>
        <v>45.964100000000002</v>
      </c>
      <c r="H70" s="61">
        <f t="shared" si="9"/>
        <v>1</v>
      </c>
      <c r="I70" t="str">
        <f>IF(FT!B70&lt;&gt;"",FT!E70,"")</f>
        <v>1 [27.613562]</v>
      </c>
      <c r="J70">
        <f>IF(FT!B70&lt;&gt;"",FT!C70,"")</f>
        <v>27.613600000000002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3.1943899999999998</v>
      </c>
      <c r="G71" s="61">
        <f>IF(FT!B71&lt;&gt;"",FT!B71*100,"")</f>
        <v>45.830199999999998</v>
      </c>
      <c r="H71" s="61">
        <f t="shared" si="9"/>
        <v>1</v>
      </c>
      <c r="I71" t="str">
        <f>IF(FT!B71&lt;&gt;"",FT!E71,"")</f>
        <v>1 [28.023821]</v>
      </c>
      <c r="J71">
        <f>IF(FT!B71&lt;&gt;"",FT!C71,"")</f>
        <v>28.023800000000001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189008</v>
      </c>
      <c r="D72" s="61">
        <f>FH!B72*1</f>
        <v>189008</v>
      </c>
      <c r="E72">
        <f t="shared" si="11"/>
        <v>70</v>
      </c>
      <c r="F72" s="61">
        <f>IF(FT!A72&lt;&gt;"",FT!A72*10,"")</f>
        <v>3.2328099999999997</v>
      </c>
      <c r="G72" s="61">
        <f>IF(FT!B72&lt;&gt;"",FT!B72*100,"")</f>
        <v>45.598199999999999</v>
      </c>
      <c r="H72" s="61">
        <f t="shared" si="9"/>
        <v>1</v>
      </c>
      <c r="I72" t="str">
        <f>IF(FT!B72&lt;&gt;"",FT!E72,"")</f>
        <v>1 [28.429399]</v>
      </c>
      <c r="J72">
        <f>IF(FT!B72&lt;&gt;"",FT!C72,"")</f>
        <v>28.429400000000001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3.2728800000000002</v>
      </c>
      <c r="G73" s="61">
        <f>IF(FT!B73&lt;&gt;"",FT!B73*100,"")</f>
        <v>45.360900000000001</v>
      </c>
      <c r="H73" s="61">
        <f t="shared" si="9"/>
        <v>1</v>
      </c>
      <c r="I73" t="str">
        <f>IF(FT!B73&lt;&gt;"",FT!E73,"")</f>
        <v>1 [28.835390]</v>
      </c>
      <c r="J73">
        <f>IF(FT!B73&lt;&gt;"",FT!C73,"")</f>
        <v>28.8354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3.3138899999999998</v>
      </c>
      <c r="G74" s="61">
        <f>IF(FT!B74&lt;&gt;"",FT!B74*100,"")</f>
        <v>45.204699999999995</v>
      </c>
      <c r="H74" s="61">
        <f t="shared" si="9"/>
        <v>1</v>
      </c>
      <c r="I74" t="str">
        <f>IF(FT!B74&lt;&gt;"",FT!E74,"")</f>
        <v>1 [29.237916]</v>
      </c>
      <c r="J74">
        <f>IF(FT!B74&lt;&gt;"",FT!C74,"")</f>
        <v>29.2379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198916</v>
      </c>
      <c r="D75" s="61">
        <f>FH!B75*1</f>
        <v>198916</v>
      </c>
      <c r="E75">
        <f t="shared" si="11"/>
        <v>73</v>
      </c>
      <c r="F75" s="61">
        <f>IF(FT!A75&lt;&gt;"",FT!A75*10,"")</f>
        <v>3.3539600000000003</v>
      </c>
      <c r="G75" s="61">
        <f>IF(FT!B75&lt;&gt;"",FT!B75*100,"")</f>
        <v>45.099499999999999</v>
      </c>
      <c r="H75" s="61">
        <f t="shared" si="9"/>
        <v>1</v>
      </c>
      <c r="I75" t="str">
        <f>IF(FT!B75&lt;&gt;"",FT!E75,"")</f>
        <v>1 [29.644311]</v>
      </c>
      <c r="J75">
        <f>IF(FT!B75&lt;&gt;"",FT!C75,"")</f>
        <v>29.644300000000001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3.3927800000000001</v>
      </c>
      <c r="G76" s="61">
        <f>IF(FT!B76&lt;&gt;"",FT!B76*100,"")</f>
        <v>44.942599999999999</v>
      </c>
      <c r="H76" s="61">
        <f t="shared" si="9"/>
        <v>1</v>
      </c>
      <c r="I76" t="str">
        <f>IF(FT!B76&lt;&gt;"",FT!E76,"")</f>
        <v>2 [30.055999]</v>
      </c>
      <c r="J76">
        <f>IF(FT!B76&lt;&gt;"",FT!C76,"")</f>
        <v>30.056000000000001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212601</v>
      </c>
      <c r="D77" s="61">
        <f>FH!B77*1</f>
        <v>212601</v>
      </c>
      <c r="E77">
        <f t="shared" si="11"/>
        <v>75</v>
      </c>
      <c r="F77" s="61">
        <f>IF(FT!A77&lt;&gt;"",FT!A77*10,"")</f>
        <v>3.4309400000000001</v>
      </c>
      <c r="G77" s="61">
        <f>IF(FT!B77&lt;&gt;"",FT!B77*100,"")</f>
        <v>44.698700000000002</v>
      </c>
      <c r="H77" s="61">
        <f t="shared" si="9"/>
        <v>1</v>
      </c>
      <c r="I77" t="str">
        <f>IF(FT!B77&lt;&gt;"",FT!E77,"")</f>
        <v>2 [30.490052]</v>
      </c>
      <c r="J77">
        <f>IF(FT!B77&lt;&gt;"",FT!C77,"")</f>
        <v>30.490100000000002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3.4700899999999999</v>
      </c>
      <c r="G78" s="61">
        <f>IF(FT!B78&lt;&gt;"",FT!B78*100,"")</f>
        <v>44.428400000000003</v>
      </c>
      <c r="H78" s="61">
        <f t="shared" si="9"/>
        <v>1</v>
      </c>
      <c r="I78" t="str">
        <f>IF(FT!B78&lt;&gt;"",FT!E78,"")</f>
        <v>2 [30.895082]</v>
      </c>
      <c r="J78">
        <f>IF(FT!B78&lt;&gt;"",FT!C78,"")</f>
        <v>30.895099999999999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3.5090399999999997</v>
      </c>
      <c r="G79" s="61">
        <f>IF(FT!B79&lt;&gt;"",FT!B79*100,"")</f>
        <v>44.270900000000005</v>
      </c>
      <c r="H79" s="61">
        <f t="shared" si="9"/>
        <v>1</v>
      </c>
      <c r="I79" t="str">
        <f>IF(FT!B79&lt;&gt;"",FT!E79,"")</f>
        <v>2 [31.301127]</v>
      </c>
      <c r="J79">
        <f>IF(FT!B79&lt;&gt;"",FT!C79,"")</f>
        <v>31.301100000000002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221627</v>
      </c>
      <c r="D80" s="61">
        <f>FH!B80*1</f>
        <v>221627</v>
      </c>
      <c r="E80">
        <f t="shared" si="11"/>
        <v>78</v>
      </c>
      <c r="F80" s="61">
        <f>IF(FT!A80&lt;&gt;"",FT!A80*10,"")</f>
        <v>3.54657</v>
      </c>
      <c r="G80" s="61">
        <f>IF(FT!B80&lt;&gt;"",FT!B80*100,"")</f>
        <v>44.195099999999996</v>
      </c>
      <c r="H80" s="61">
        <f t="shared" si="9"/>
        <v>1</v>
      </c>
      <c r="I80" t="str">
        <f>IF(FT!B80&lt;&gt;"",FT!E80,"")</f>
        <v>2 [31.711288]</v>
      </c>
      <c r="J80">
        <f>IF(FT!B80&lt;&gt;"",FT!C80,"")</f>
        <v>31.711300000000001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3.5781900000000002</v>
      </c>
      <c r="G81" s="61">
        <f>IF(FT!B81&lt;&gt;"",FT!B81*100,"")</f>
        <v>44.115700000000004</v>
      </c>
      <c r="H81" s="61">
        <f t="shared" si="9"/>
        <v>1</v>
      </c>
      <c r="I81" t="str">
        <f>IF(FT!B81&lt;&gt;"",FT!E81,"")</f>
        <v>2 [32.116058]</v>
      </c>
      <c r="J81">
        <f>IF(FT!B81&lt;&gt;"",FT!C81,"")</f>
        <v>32.116100000000003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233831</v>
      </c>
      <c r="D82" s="61">
        <f>FH!B82*1</f>
        <v>233831</v>
      </c>
      <c r="E82">
        <f t="shared" si="11"/>
        <v>80</v>
      </c>
      <c r="F82" s="61">
        <f>IF(FT!A82&lt;&gt;"",FT!A82*10,"")</f>
        <v>3.60853</v>
      </c>
      <c r="G82" s="61">
        <f>IF(FT!B82&lt;&gt;"",FT!B82*100,"")</f>
        <v>44.036200000000001</v>
      </c>
      <c r="H82" s="61">
        <f t="shared" si="9"/>
        <v>1</v>
      </c>
      <c r="I82" t="str">
        <f>IF(FT!B82&lt;&gt;"",FT!E82,"")</f>
        <v>2 [32.520232]</v>
      </c>
      <c r="J82">
        <f>IF(FT!B82&lt;&gt;"",FT!C82,"")</f>
        <v>32.520200000000003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3.63801</v>
      </c>
      <c r="G83" s="61">
        <f>IF(FT!B83&lt;&gt;"",FT!B83*100,"")</f>
        <v>43.9026</v>
      </c>
      <c r="H83" s="61">
        <f t="shared" si="9"/>
        <v>1</v>
      </c>
      <c r="I83" t="str">
        <f>IF(FT!B83&lt;&gt;"",FT!E83,"")</f>
        <v>2 [32.925269]</v>
      </c>
      <c r="J83">
        <f>IF(FT!B83&lt;&gt;"",FT!C83,"")</f>
        <v>32.9253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3.6657899999999999</v>
      </c>
      <c r="G84" s="61">
        <f>IF(FT!B84&lt;&gt;"",FT!B84*100,"")</f>
        <v>43.646700000000003</v>
      </c>
      <c r="H84" s="61">
        <f t="shared" si="9"/>
        <v>1</v>
      </c>
      <c r="I84" t="str">
        <f>IF(FT!B84&lt;&gt;"",FT!E84,"")</f>
        <v>2 [33.334211]</v>
      </c>
      <c r="J84">
        <f>IF(FT!B84&lt;&gt;"",FT!C84,"")</f>
        <v>33.334200000000003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245439</v>
      </c>
      <c r="D85" s="61">
        <f>FH!B85*1</f>
        <v>245439</v>
      </c>
      <c r="E85">
        <f t="shared" si="11"/>
        <v>83</v>
      </c>
      <c r="F85" s="61">
        <f>IF(FT!A85&lt;&gt;"",FT!A85*10,"")</f>
        <v>3.6889799999999999</v>
      </c>
      <c r="G85" s="61">
        <f>IF(FT!B85&lt;&gt;"",FT!B85*100,"")</f>
        <v>43.5045</v>
      </c>
      <c r="H85" s="61">
        <f t="shared" si="9"/>
        <v>1</v>
      </c>
      <c r="I85" t="str">
        <f>IF(FT!B85&lt;&gt;"",FT!E85,"")</f>
        <v>2 [33.744973]</v>
      </c>
      <c r="J85">
        <f>IF(FT!B85&lt;&gt;"",FT!C85,"")</f>
        <v>33.744999999999997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3.7081399999999998</v>
      </c>
      <c r="G86" s="61">
        <f>IF(FT!B86&lt;&gt;"",FT!B86*100,"")</f>
        <v>43.420299999999997</v>
      </c>
      <c r="H86" s="61">
        <f t="shared" si="9"/>
        <v>1</v>
      </c>
      <c r="I86" t="str">
        <f>IF(FT!B86&lt;&gt;"",FT!E86,"")</f>
        <v>2 [34.147282]</v>
      </c>
      <c r="J86">
        <f>IF(FT!B86&lt;&gt;"",FT!C86,"")</f>
        <v>34.147300000000001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3.7225599999999996</v>
      </c>
      <c r="G87" s="61">
        <f>IF(FT!B87&lt;&gt;"",FT!B87*100,"")</f>
        <v>43.377300000000005</v>
      </c>
      <c r="H87" s="61">
        <f t="shared" si="9"/>
        <v>1</v>
      </c>
      <c r="I87" t="str">
        <f>IF(FT!B87&lt;&gt;"",FT!E87,"")</f>
        <v>2 [34.551609]</v>
      </c>
      <c r="J87">
        <f>IF(FT!B87&lt;&gt;"",FT!C87,"")</f>
        <v>34.551600000000001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250117</v>
      </c>
      <c r="D88" s="61">
        <f>FH!B88*1</f>
        <v>250117</v>
      </c>
      <c r="E88">
        <f t="shared" si="11"/>
        <v>86</v>
      </c>
      <c r="F88" s="61">
        <f>IF(FT!A88&lt;&gt;"",FT!A88*10,"")</f>
        <v>3.7351000000000001</v>
      </c>
      <c r="G88" s="61">
        <f>IF(FT!B88&lt;&gt;"",FT!B88*100,"")</f>
        <v>43.270099999999999</v>
      </c>
      <c r="H88" s="61">
        <f t="shared" si="9"/>
        <v>1</v>
      </c>
      <c r="I88" t="str">
        <f>IF(FT!B88&lt;&gt;"",FT!E88,"")</f>
        <v>2 [34.957872]</v>
      </c>
      <c r="J88">
        <f>IF(FT!B88&lt;&gt;"",FT!C88,"")</f>
        <v>34.957900000000002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3.7487599999999999</v>
      </c>
      <c r="G89" s="61">
        <f>IF(FT!B89&lt;&gt;"",FT!B89*100,"")</f>
        <v>43.188099999999999</v>
      </c>
      <c r="H89" s="61">
        <f t="shared" si="9"/>
        <v>1</v>
      </c>
      <c r="I89" t="str">
        <f>IF(FT!B89&lt;&gt;"",FT!E89,"")</f>
        <v>2 [35.365997]</v>
      </c>
      <c r="J89">
        <f>IF(FT!B89&lt;&gt;"",FT!C89,"")</f>
        <v>35.366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236538</v>
      </c>
      <c r="D90" s="61">
        <f>FH!B90*1</f>
        <v>236538</v>
      </c>
      <c r="E90">
        <f t="shared" si="11"/>
        <v>88</v>
      </c>
      <c r="F90" s="61">
        <f>IF(FT!A90&lt;&gt;"",FT!A90*10,"")</f>
        <v>3.7583100000000003</v>
      </c>
      <c r="G90" s="61">
        <f>IF(FT!B90&lt;&gt;"",FT!B90*100,"")</f>
        <v>43.0685</v>
      </c>
      <c r="H90" s="61">
        <f t="shared" si="9"/>
        <v>1</v>
      </c>
      <c r="I90" t="str">
        <f>IF(FT!B90&lt;&gt;"",FT!E90,"")</f>
        <v>2 [35.770892]</v>
      </c>
      <c r="J90">
        <f>IF(FT!B90&lt;&gt;"",FT!C90,"")</f>
        <v>35.770899999999997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3.7656899999999998</v>
      </c>
      <c r="G91" s="61">
        <f>IF(FT!B91&lt;&gt;"",FT!B91*100,"")</f>
        <v>42.924900000000001</v>
      </c>
      <c r="H91" s="61">
        <f t="shared" si="9"/>
        <v>1</v>
      </c>
      <c r="I91" t="str">
        <f>IF(FT!B91&lt;&gt;"",FT!E91,"")</f>
        <v>2 [36.178888]</v>
      </c>
      <c r="J91">
        <f>IF(FT!B91&lt;&gt;"",FT!C91,"")</f>
        <v>36.178899999999999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3.7673699999999997</v>
      </c>
      <c r="G92" s="61">
        <f>IF(FT!B92&lt;&gt;"",FT!B92*100,"")</f>
        <v>42.767500000000005</v>
      </c>
      <c r="H92" s="61">
        <f t="shared" si="9"/>
        <v>1</v>
      </c>
      <c r="I92" t="str">
        <f>IF(FT!B92&lt;&gt;"",FT!E92,"")</f>
        <v>2 [36.582582]</v>
      </c>
      <c r="J92">
        <f>IF(FT!B92&lt;&gt;"",FT!C92,"")</f>
        <v>36.582599999999999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236862</v>
      </c>
      <c r="D93" s="61">
        <f>FH!B93*1</f>
        <v>236862</v>
      </c>
      <c r="E93">
        <f t="shared" si="11"/>
        <v>91</v>
      </c>
      <c r="F93" s="61">
        <f>IF(FT!A93&lt;&gt;"",FT!A93*10,"")</f>
        <v>3.7647599999999999</v>
      </c>
      <c r="G93" s="61">
        <f>IF(FT!B93&lt;&gt;"",FT!B93*100,"")</f>
        <v>42.6462</v>
      </c>
      <c r="H93" s="61">
        <f t="shared" si="9"/>
        <v>1</v>
      </c>
      <c r="I93" t="str">
        <f>IF(FT!B93&lt;&gt;"",FT!E93,"")</f>
        <v>2 [36.989893]</v>
      </c>
      <c r="J93">
        <f>IF(FT!B93&lt;&gt;"",FT!C93,"")</f>
        <v>36.989899999999999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3.75475</v>
      </c>
      <c r="G94" s="61">
        <f>IF(FT!B94&lt;&gt;"",FT!B94*100,"")</f>
        <v>42.479900000000001</v>
      </c>
      <c r="H94" s="61">
        <f t="shared" si="9"/>
        <v>1</v>
      </c>
      <c r="I94" t="str">
        <f>IF(FT!B94&lt;&gt;"",FT!E94,"")</f>
        <v>2 [37.394010]</v>
      </c>
      <c r="J94">
        <f>IF(FT!B94&lt;&gt;"",FT!C94,"")</f>
        <v>37.393999999999998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236726</v>
      </c>
      <c r="D95" s="61">
        <f>FH!B95*1</f>
        <v>236726</v>
      </c>
      <c r="E95">
        <f t="shared" si="11"/>
        <v>93</v>
      </c>
      <c r="F95" s="61">
        <f>IF(FT!A95&lt;&gt;"",FT!A95*10,"")</f>
        <v>3.7445400000000002</v>
      </c>
      <c r="G95" s="61">
        <f>IF(FT!B95&lt;&gt;"",FT!B95*100,"")</f>
        <v>42.3001</v>
      </c>
      <c r="H95" s="61">
        <f t="shared" si="9"/>
        <v>1</v>
      </c>
      <c r="I95" t="str">
        <f>IF(FT!B95&lt;&gt;"",FT!E95,"")</f>
        <v>2 [37.801967]</v>
      </c>
      <c r="J95">
        <f>IF(FT!B95&lt;&gt;"",FT!C95,"")</f>
        <v>37.802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3.73027</v>
      </c>
      <c r="G96" s="61">
        <f>IF(FT!B96&lt;&gt;"",FT!B96*100,"")</f>
        <v>42.103699999999996</v>
      </c>
      <c r="H96" s="61">
        <f t="shared" si="9"/>
        <v>1</v>
      </c>
      <c r="I96" t="str">
        <f>IF(FT!B96&lt;&gt;"",FT!E96,"")</f>
        <v>2 [38.209754]</v>
      </c>
      <c r="J96">
        <f>IF(FT!B96&lt;&gt;"",FT!C96,"")</f>
        <v>38.209800000000001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3.7105300000000003</v>
      </c>
      <c r="G97" s="61">
        <f>IF(FT!B97&lt;&gt;"",FT!B97*100,"")</f>
        <v>41.905099999999997</v>
      </c>
      <c r="H97" s="61">
        <f t="shared" si="9"/>
        <v>1</v>
      </c>
      <c r="I97" t="str">
        <f>IF(FT!B97&lt;&gt;"",FT!E97,"")</f>
        <v>2 [38.614032]</v>
      </c>
      <c r="J97">
        <f>IF(FT!B97&lt;&gt;"",FT!C97,"")</f>
        <v>38.613999999999997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215328</v>
      </c>
      <c r="D98" s="61">
        <f>FH!B98*1</f>
        <v>215328</v>
      </c>
      <c r="E98">
        <f t="shared" si="11"/>
        <v>96</v>
      </c>
      <c r="F98" s="61">
        <f>IF(FT!A98&lt;&gt;"",FT!A98*10,"")</f>
        <v>3.6882100000000002</v>
      </c>
      <c r="G98" s="61">
        <f>IF(FT!B98&lt;&gt;"",FT!B98*100,"")</f>
        <v>41.756999999999998</v>
      </c>
      <c r="H98" s="61">
        <f t="shared" si="9"/>
        <v>1</v>
      </c>
      <c r="I98" t="str">
        <f>IF(FT!B98&lt;&gt;"",FT!E98,"")</f>
        <v>2 [39.021445]</v>
      </c>
      <c r="J98">
        <f>IF(FT!B98&lt;&gt;"",FT!C98,"")</f>
        <v>39.0214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3.66377</v>
      </c>
      <c r="G99" s="61">
        <f>IF(FT!B99&lt;&gt;"",FT!B99*100,"")</f>
        <v>41.603699999999996</v>
      </c>
      <c r="H99" s="61">
        <f t="shared" si="9"/>
        <v>1</v>
      </c>
      <c r="I99" t="str">
        <f>IF(FT!B99&lt;&gt;"",FT!E99,"")</f>
        <v>2 [39.425462]</v>
      </c>
      <c r="J99">
        <f>IF(FT!B99&lt;&gt;"",FT!C99,"")</f>
        <v>39.4255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194892</v>
      </c>
      <c r="D100" s="61">
        <f>FH!B100*1</f>
        <v>194892</v>
      </c>
      <c r="E100">
        <f t="shared" si="11"/>
        <v>98</v>
      </c>
      <c r="F100" s="61">
        <f>IF(FT!A100&lt;&gt;"",FT!A100*10,"")</f>
        <v>3.63639</v>
      </c>
      <c r="G100" s="61">
        <f>IF(FT!B100&lt;&gt;"",FT!B100*100,"")</f>
        <v>41.3842</v>
      </c>
      <c r="H100" s="61">
        <f t="shared" si="9"/>
        <v>1</v>
      </c>
      <c r="I100" t="str">
        <f>IF(FT!B100&lt;&gt;"",FT!E100,"")</f>
        <v>2 [39.834623]</v>
      </c>
      <c r="J100">
        <f>IF(FT!B100&lt;&gt;"",FT!C100,"")</f>
        <v>39.834600000000002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3.6078000000000001</v>
      </c>
      <c r="G101" s="61">
        <f>IF(FT!B101&lt;&gt;"",FT!B101*100,"")</f>
        <v>41.213200000000001</v>
      </c>
      <c r="H101" s="61">
        <f t="shared" si="9"/>
        <v>1</v>
      </c>
      <c r="I101" t="str">
        <f>IF(FT!B101&lt;&gt;"",FT!E101,"")</f>
        <v>2 [40.241665]</v>
      </c>
      <c r="J101">
        <f>IF(FT!B101&lt;&gt;"",FT!C101,"")</f>
        <v>40.241700000000002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3.5768499999999999</v>
      </c>
      <c r="G102" s="61">
        <f>IF(FT!B102&lt;&gt;"",FT!B102*100,"")</f>
        <v>41.133399999999995</v>
      </c>
      <c r="H102" s="61">
        <f t="shared" si="9"/>
        <v>1</v>
      </c>
      <c r="I102" t="str">
        <f>IF(FT!B102&lt;&gt;"",FT!E102,"")</f>
        <v>2 [40.644929]</v>
      </c>
      <c r="J102">
        <f>IF(FT!B102&lt;&gt;"",FT!C102,"")</f>
        <v>40.6449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188180</v>
      </c>
      <c r="D103" s="61">
        <f>FH!B103*1</f>
        <v>188180</v>
      </c>
      <c r="E103">
        <f t="shared" si="11"/>
        <v>101</v>
      </c>
      <c r="F103" s="61">
        <f>IF(FT!A103&lt;&gt;"",FT!A103*10,"")</f>
        <v>3.5452699999999999</v>
      </c>
      <c r="G103" s="61">
        <f>IF(FT!B103&lt;&gt;"",FT!B103*100,"")</f>
        <v>41.165600000000005</v>
      </c>
      <c r="H103" s="61">
        <f t="shared" si="9"/>
        <v>1</v>
      </c>
      <c r="I103" t="str">
        <f>IF(FT!B103&lt;&gt;"",FT!E103,"")</f>
        <v>2 [41.051440]</v>
      </c>
      <c r="J103">
        <f>IF(FT!B103&lt;&gt;"",FT!C103,"")</f>
        <v>41.051400000000001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3.5166900000000001</v>
      </c>
      <c r="G104" s="61">
        <f>IF(FT!B104&lt;&gt;"",FT!B104*100,"")</f>
        <v>41.277799999999999</v>
      </c>
      <c r="H104" s="61">
        <f t="shared" si="9"/>
        <v>1</v>
      </c>
      <c r="I104" t="str">
        <f>IF(FT!B104&lt;&gt;"",FT!E104,"")</f>
        <v>2 [41.456508]</v>
      </c>
      <c r="J104">
        <f>IF(FT!B104&lt;&gt;"",FT!C104,"")</f>
        <v>41.456499999999998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3.4910999999999999</v>
      </c>
      <c r="G105" s="61">
        <f>IF(FT!B105&lt;&gt;"",FT!B105*100,"")</f>
        <v>41.4756</v>
      </c>
      <c r="H105" s="61">
        <f t="shared" si="9"/>
        <v>1</v>
      </c>
      <c r="I105" t="str">
        <f>IF(FT!B105&lt;&gt;"",FT!E105,"")</f>
        <v>2 [41.865013]</v>
      </c>
      <c r="J105">
        <f>IF(FT!B105&lt;&gt;"",FT!C105,"")</f>
        <v>41.865000000000002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178914</v>
      </c>
      <c r="D106" s="61">
        <f>FH!B106*1</f>
        <v>178914</v>
      </c>
      <c r="E106">
        <f t="shared" si="11"/>
        <v>104</v>
      </c>
      <c r="F106" s="61">
        <f>IF(FT!A106&lt;&gt;"",FT!A106*10,"")</f>
        <v>3.4674300000000002</v>
      </c>
      <c r="G106" s="61">
        <f>IF(FT!B106&lt;&gt;"",FT!B106*100,"")</f>
        <v>41.670499999999997</v>
      </c>
      <c r="H106" s="61">
        <f t="shared" si="9"/>
        <v>1</v>
      </c>
      <c r="I106" t="str">
        <f>IF(FT!B106&lt;&gt;"",FT!E106,"")</f>
        <v>2 [42.270213]</v>
      </c>
      <c r="J106">
        <f>IF(FT!B106&lt;&gt;"",FT!C106,"")</f>
        <v>42.270200000000003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3.4456599999999997</v>
      </c>
      <c r="G107" s="61">
        <f>IF(FT!B107&lt;&gt;"",FT!B107*100,"")</f>
        <v>41.8949</v>
      </c>
      <c r="H107" s="61">
        <f t="shared" si="9"/>
        <v>1</v>
      </c>
      <c r="I107" t="str">
        <f>IF(FT!B107&lt;&gt;"",FT!E107,"")</f>
        <v>2 [42.677963]</v>
      </c>
      <c r="J107">
        <f>IF(FT!B107&lt;&gt;"",FT!C107,"")</f>
        <v>42.677999999999997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163887</v>
      </c>
      <c r="D108" s="61">
        <f>FH!B108*1</f>
        <v>163887</v>
      </c>
      <c r="E108">
        <f t="shared" si="11"/>
        <v>106</v>
      </c>
      <c r="F108" s="61">
        <f>IF(FT!A108&lt;&gt;"",FT!A108*10,"")</f>
        <v>3.4249700000000001</v>
      </c>
      <c r="G108" s="61">
        <f>IF(FT!B108&lt;&gt;"",FT!B108*100,"")</f>
        <v>42.2682</v>
      </c>
      <c r="H108" s="61">
        <f t="shared" si="9"/>
        <v>1</v>
      </c>
      <c r="I108" t="str">
        <f>IF(FT!B108&lt;&gt;"",FT!E108,"")</f>
        <v>2 [43.079478]</v>
      </c>
      <c r="J108">
        <f>IF(FT!B108&lt;&gt;"",FT!C108,"")</f>
        <v>43.079500000000003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3.4050500000000001</v>
      </c>
      <c r="G109" s="61">
        <f>IF(FT!B109&lt;&gt;"",FT!B109*100,"")</f>
        <v>42.778199999999998</v>
      </c>
      <c r="H109" s="61">
        <f t="shared" si="9"/>
        <v>1</v>
      </c>
      <c r="I109" t="str">
        <f>IF(FT!B109&lt;&gt;"",FT!E109,"")</f>
        <v>2 [43.492871]</v>
      </c>
      <c r="J109">
        <f>IF(FT!B109&lt;&gt;"",FT!C109,"")</f>
        <v>43.492899999999999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3.3922099999999999</v>
      </c>
      <c r="G110" s="61">
        <f>IF(FT!B110&lt;&gt;"",FT!B110*100,"")</f>
        <v>43.131100000000004</v>
      </c>
      <c r="H110" s="61">
        <f t="shared" si="9"/>
        <v>1</v>
      </c>
      <c r="I110" t="str">
        <f>IF(FT!B110&lt;&gt;"",FT!E110,"")</f>
        <v>2 [43.896802]</v>
      </c>
      <c r="J110">
        <f>IF(FT!B110&lt;&gt;"",FT!C110,"")</f>
        <v>43.896799999999999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160821</v>
      </c>
      <c r="D111" s="61">
        <f>FH!B111*1</f>
        <v>160821</v>
      </c>
      <c r="E111">
        <f t="shared" si="11"/>
        <v>109</v>
      </c>
      <c r="F111" s="61">
        <f>IF(FT!A111&lt;&gt;"",FT!A111*10,"")</f>
        <v>3.3884799999999999</v>
      </c>
      <c r="G111" s="61">
        <f>IF(FT!B111&lt;&gt;"",FT!B111*100,"")</f>
        <v>43.360900000000001</v>
      </c>
      <c r="H111" s="61">
        <f t="shared" si="9"/>
        <v>1</v>
      </c>
      <c r="I111" t="str">
        <f>IF(FT!B111&lt;&gt;"",FT!E111,"")</f>
        <v>2 [44.304954]</v>
      </c>
      <c r="J111">
        <f>IF(FT!B111&lt;&gt;"",FT!C111,"")</f>
        <v>44.305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3.3916600000000003</v>
      </c>
      <c r="G112" s="61">
        <f>IF(FT!B112&lt;&gt;"",FT!B112*100,"")</f>
        <v>43.442399999999999</v>
      </c>
      <c r="H112" s="61">
        <f t="shared" si="9"/>
        <v>1</v>
      </c>
      <c r="I112" t="str">
        <f>IF(FT!B112&lt;&gt;"",FT!E112,"")</f>
        <v>2 [44.708967]</v>
      </c>
      <c r="J112">
        <f>IF(FT!B112&lt;&gt;"",FT!C112,"")</f>
        <v>44.709000000000003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157660</v>
      </c>
      <c r="D113" s="61">
        <f>FH!B113*1</f>
        <v>157660</v>
      </c>
      <c r="E113">
        <f t="shared" si="11"/>
        <v>111</v>
      </c>
      <c r="F113" s="61">
        <f>IF(FT!A113&lt;&gt;"",FT!A113*10,"")</f>
        <v>3.39655</v>
      </c>
      <c r="G113" s="61">
        <f>IF(FT!B113&lt;&gt;"",FT!B113*100,"")</f>
        <v>43.447400000000002</v>
      </c>
      <c r="H113" s="61">
        <f t="shared" si="9"/>
        <v>1</v>
      </c>
      <c r="I113" t="str">
        <f>IF(FT!B113&lt;&gt;"",FT!E113,"")</f>
        <v>2 [45.113242]</v>
      </c>
      <c r="J113">
        <f>IF(FT!B113&lt;&gt;"",FT!C113,"")</f>
        <v>45.113199999999999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3.4030300000000002</v>
      </c>
      <c r="G114" s="61">
        <f>IF(FT!B114&lt;&gt;"",FT!B114*100,"")</f>
        <v>43.408900000000003</v>
      </c>
      <c r="H114" s="61">
        <f t="shared" si="9"/>
        <v>1</v>
      </c>
      <c r="I114" t="str">
        <f>IF(FT!B114&lt;&gt;"",FT!E114,"")</f>
        <v>2 [45.519818]</v>
      </c>
      <c r="J114">
        <f>IF(FT!B114&lt;&gt;"",FT!C114,"")</f>
        <v>45.519799999999996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3.4146199999999998</v>
      </c>
      <c r="G115" s="61">
        <f>IF(FT!B115&lt;&gt;"",FT!B115*100,"")</f>
        <v>43.264299999999999</v>
      </c>
      <c r="H115" s="61">
        <f t="shared" si="9"/>
        <v>1</v>
      </c>
      <c r="I115" t="str">
        <f>IF(FT!B115&lt;&gt;"",FT!E115,"")</f>
        <v>2 [45.927344]</v>
      </c>
      <c r="J115">
        <f>IF(FT!B115&lt;&gt;"",FT!C115,"")</f>
        <v>45.927300000000002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160044</v>
      </c>
      <c r="D116" s="61">
        <f>FH!B116*1</f>
        <v>160044</v>
      </c>
      <c r="E116">
        <f t="shared" si="11"/>
        <v>114</v>
      </c>
      <c r="F116" s="61">
        <f>IF(FT!A116&lt;&gt;"",FT!A116*10,"")</f>
        <v>3.4310299999999998</v>
      </c>
      <c r="G116" s="61">
        <f>IF(FT!B116&lt;&gt;"",FT!B116*100,"")</f>
        <v>43.007400000000004</v>
      </c>
      <c r="H116" s="61">
        <f t="shared" si="9"/>
        <v>1</v>
      </c>
      <c r="I116" t="str">
        <f>IF(FT!B116&lt;&gt;"",FT!E116,"")</f>
        <v>2 [46.333932]</v>
      </c>
      <c r="J116">
        <f>IF(FT!B116&lt;&gt;"",FT!C116,"")</f>
        <v>46.3339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3.4504400000000004</v>
      </c>
      <c r="G117" s="61">
        <f>IF(FT!B117&lt;&gt;"",FT!B117*100,"")</f>
        <v>42.711799999999997</v>
      </c>
      <c r="H117" s="61">
        <f t="shared" si="9"/>
        <v>1</v>
      </c>
      <c r="I117" t="str">
        <f>IF(FT!B117&lt;&gt;"",FT!E117,"")</f>
        <v>2 [46.741064]</v>
      </c>
      <c r="J117">
        <f>IF(FT!B117&lt;&gt;"",FT!C117,"")</f>
        <v>46.741100000000003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152624</v>
      </c>
      <c r="D118" s="61">
        <f>FH!B118*1</f>
        <v>152624</v>
      </c>
      <c r="E118">
        <f t="shared" si="11"/>
        <v>116</v>
      </c>
      <c r="F118" s="61">
        <f>IF(FT!A118&lt;&gt;"",FT!A118*10,"")</f>
        <v>3.4710600000000005</v>
      </c>
      <c r="G118" s="61">
        <f>IF(FT!B118&lt;&gt;"",FT!B118*100,"")</f>
        <v>42.4193</v>
      </c>
      <c r="H118" s="61">
        <f t="shared" si="9"/>
        <v>1</v>
      </c>
      <c r="I118" t="str">
        <f>IF(FT!B118&lt;&gt;"",FT!E118,"")</f>
        <v>2 [47.144011]</v>
      </c>
      <c r="J118">
        <f>IF(FT!B118&lt;&gt;"",FT!C118,"")</f>
        <v>47.143999999999998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3.4957799999999999</v>
      </c>
      <c r="G119" s="61">
        <f>IF(FT!B119&lt;&gt;"",FT!B119*100,"")</f>
        <v>42.156199999999998</v>
      </c>
      <c r="H119" s="61">
        <f t="shared" si="9"/>
        <v>1</v>
      </c>
      <c r="I119" t="str">
        <f>IF(FT!B119&lt;&gt;"",FT!E119,"")</f>
        <v>2 [47.550560]</v>
      </c>
      <c r="J119">
        <f>IF(FT!B119&lt;&gt;"",FT!C119,"")</f>
        <v>47.550600000000003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3.5207600000000001</v>
      </c>
      <c r="G120" s="61">
        <f>IF(FT!B120&lt;&gt;"",FT!B120*100,"")</f>
        <v>41.920099999999998</v>
      </c>
      <c r="H120" s="61">
        <f t="shared" si="9"/>
        <v>1</v>
      </c>
      <c r="I120" t="str">
        <f>IF(FT!B120&lt;&gt;"",FT!E120,"")</f>
        <v>2 [47.961381]</v>
      </c>
      <c r="J120">
        <f>IF(FT!B120&lt;&gt;"",FT!C120,"")</f>
        <v>47.961399999999998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153577</v>
      </c>
      <c r="D121" s="61">
        <f>FH!B121*1</f>
        <v>153577</v>
      </c>
      <c r="E121">
        <f t="shared" si="11"/>
        <v>119</v>
      </c>
      <c r="F121" s="61">
        <f>IF(FT!A121&lt;&gt;"",FT!A121*10,"")</f>
        <v>3.5530400000000002</v>
      </c>
      <c r="G121" s="61">
        <f>IF(FT!B121&lt;&gt;"",FT!B121*100,"")</f>
        <v>41.576099999999997</v>
      </c>
      <c r="H121" s="61">
        <f t="shared" si="9"/>
        <v>1</v>
      </c>
      <c r="I121" t="str">
        <f>IF(FT!B121&lt;&gt;"",FT!E121,"")</f>
        <v>2 [48.366362]</v>
      </c>
      <c r="J121">
        <f>IF(FT!B121&lt;&gt;"",FT!C121,"")</f>
        <v>48.366399999999999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3.5906199999999999</v>
      </c>
      <c r="G122" s="61">
        <f>IF(FT!B122&lt;&gt;"",FT!B122*100,"")</f>
        <v>41.256100000000004</v>
      </c>
      <c r="H122" s="61">
        <f t="shared" si="9"/>
        <v>1</v>
      </c>
      <c r="I122" t="str">
        <f>IF(FT!B122&lt;&gt;"",FT!E122,"")</f>
        <v>2 [48.772531]</v>
      </c>
      <c r="J122">
        <f>IF(FT!B122&lt;&gt;"",FT!C122,"")</f>
        <v>48.772500000000001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3.63151</v>
      </c>
      <c r="G123" s="61">
        <f>IF(FT!B123&lt;&gt;"",FT!B123*100,"")</f>
        <v>40.903700000000001</v>
      </c>
      <c r="H123" s="61">
        <f t="shared" si="9"/>
        <v>1</v>
      </c>
      <c r="I123" t="str">
        <f>IF(FT!B123&lt;&gt;"",FT!E123,"")</f>
        <v>2 [49.174915]</v>
      </c>
      <c r="J123">
        <f>IF(FT!B123&lt;&gt;"",FT!C123,"")</f>
        <v>49.174900000000001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153231</v>
      </c>
      <c r="D124" s="61">
        <f>FH!B124*1</f>
        <v>153231</v>
      </c>
      <c r="E124">
        <f t="shared" si="11"/>
        <v>122</v>
      </c>
      <c r="F124" s="61">
        <f>IF(FT!A124&lt;&gt;"",FT!A124*10,"")</f>
        <v>3.6760199999999998</v>
      </c>
      <c r="G124" s="61">
        <f>IF(FT!B124&lt;&gt;"",FT!B124*100,"")</f>
        <v>40.616999999999997</v>
      </c>
      <c r="H124" s="61">
        <f t="shared" si="9"/>
        <v>1</v>
      </c>
      <c r="I124" t="str">
        <f>IF(FT!B124&lt;&gt;"",FT!E124,"")</f>
        <v>2 [49.584619]</v>
      </c>
      <c r="J124">
        <f>IF(FT!B124&lt;&gt;"",FT!C124,"")</f>
        <v>49.584600000000002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3.7230400000000001</v>
      </c>
      <c r="G125" s="61">
        <f>IF(FT!B125&lt;&gt;"",FT!B125*100,"")</f>
        <v>40.4604</v>
      </c>
      <c r="H125" s="61">
        <f t="shared" si="9"/>
        <v>1</v>
      </c>
      <c r="I125" t="str">
        <f>IF(FT!B125&lt;&gt;"",FT!E125,"")</f>
        <v>2 [49.988864]</v>
      </c>
      <c r="J125">
        <f>IF(FT!B125&lt;&gt;"",FT!C125,"")</f>
        <v>49.988900000000001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150056</v>
      </c>
      <c r="D126" s="61">
        <f>FH!B126*1</f>
        <v>150056</v>
      </c>
      <c r="E126">
        <f t="shared" si="11"/>
        <v>124</v>
      </c>
      <c r="F126" s="61">
        <f>IF(FT!A126&lt;&gt;"",FT!A126*10,"")</f>
        <v>3.7471399999999999</v>
      </c>
      <c r="G126" s="61">
        <f>IF(FT!B126&lt;&gt;"",FT!B126*100,"")</f>
        <v>40.677</v>
      </c>
      <c r="H126" s="61">
        <f t="shared" si="9"/>
        <v>1</v>
      </c>
      <c r="I126" t="str">
        <f>IF(FT!B126&lt;&gt;"",FT!E126,"")</f>
        <v>2 [50.392296]</v>
      </c>
      <c r="J126">
        <f>IF(FT!B126&lt;&gt;"",FT!C126,"")</f>
        <v>50.392299999999999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3.7735500000000002</v>
      </c>
      <c r="G127" s="61">
        <f>IF(FT!B127&lt;&gt;"",FT!B127*100,"")</f>
        <v>40.9542</v>
      </c>
      <c r="H127" s="61">
        <f t="shared" si="9"/>
        <v>1</v>
      </c>
      <c r="I127" t="str">
        <f>IF(FT!B127&lt;&gt;"",FT!E127,"")</f>
        <v>2 [50.800470]</v>
      </c>
      <c r="J127">
        <f>IF(FT!B127&lt;&gt;"",FT!C127,"")</f>
        <v>50.8005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3.8001</v>
      </c>
      <c r="G128" s="61">
        <f>IF(FT!B128&lt;&gt;"",FT!B128*100,"")</f>
        <v>41.228400000000001</v>
      </c>
      <c r="H128" s="61">
        <f t="shared" si="9"/>
        <v>1</v>
      </c>
      <c r="I128" t="str">
        <f>IF(FT!B128&lt;&gt;"",FT!E128,"")</f>
        <v>2 [51.208259]</v>
      </c>
      <c r="J128">
        <f>IF(FT!B128&lt;&gt;"",FT!C128,"")</f>
        <v>51.208300000000001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136102</v>
      </c>
      <c r="D129" s="61">
        <f>FH!B129*1</f>
        <v>136102</v>
      </c>
      <c r="E129">
        <f t="shared" si="11"/>
        <v>127</v>
      </c>
      <c r="F129" s="61">
        <f>IF(FT!A129&lt;&gt;"",FT!A129*10,"")</f>
        <v>3.8262099999999997</v>
      </c>
      <c r="G129" s="61">
        <f>IF(FT!B129&lt;&gt;"",FT!B129*100,"")</f>
        <v>41.452399999999997</v>
      </c>
      <c r="H129" s="61">
        <f t="shared" si="9"/>
        <v>1</v>
      </c>
      <c r="I129" t="str">
        <f>IF(FT!B129&lt;&gt;"",FT!E129,"")</f>
        <v>2 [51.615943]</v>
      </c>
      <c r="J129">
        <f>IF(FT!B129&lt;&gt;"",FT!C129,"")</f>
        <v>51.615900000000003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3.8516499999999998</v>
      </c>
      <c r="G130" s="61">
        <f>IF(FT!B130&lt;&gt;"",FT!B130*100,"")</f>
        <v>41.595300000000002</v>
      </c>
      <c r="H130" s="61">
        <f t="shared" si="9"/>
        <v>1</v>
      </c>
      <c r="I130" t="str">
        <f>IF(FT!B130&lt;&gt;"",FT!E130,"")</f>
        <v>2 [52.021286]</v>
      </c>
      <c r="J130">
        <f>IF(FT!B130&lt;&gt;"",FT!C130,"")</f>
        <v>52.021299999999997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125988</v>
      </c>
      <c r="D131" s="61">
        <f>FH!B131*1</f>
        <v>125988</v>
      </c>
      <c r="E131">
        <f t="shared" si="11"/>
        <v>129</v>
      </c>
      <c r="F131" s="61">
        <f>IF(FT!A131&lt;&gt;"",FT!A131*10,"")</f>
        <v>3.8780199999999998</v>
      </c>
      <c r="G131" s="61">
        <f>IF(FT!B131&lt;&gt;"",FT!B131*100,"")</f>
        <v>41.743200000000002</v>
      </c>
      <c r="H131" s="61">
        <f t="shared" ref="H131:H194" si="13">(IF(F131&lt;&gt;"",1,""))</f>
        <v>1</v>
      </c>
      <c r="I131" t="str">
        <f>IF(FT!B131&lt;&gt;"",FT!E131,"")</f>
        <v>2 [52.426520]</v>
      </c>
      <c r="J131">
        <f>IF(FT!B131&lt;&gt;"",FT!C131,"")</f>
        <v>52.426499999999997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3.9039700000000002</v>
      </c>
      <c r="G132" s="61">
        <f>IF(FT!B132&lt;&gt;"",FT!B132*100,"")</f>
        <v>41.904200000000003</v>
      </c>
      <c r="H132" s="61">
        <f t="shared" si="13"/>
        <v>1</v>
      </c>
      <c r="I132" t="str">
        <f>IF(FT!B132&lt;&gt;"",FT!E132,"")</f>
        <v>2 [52.831997]</v>
      </c>
      <c r="J132">
        <f>IF(FT!B132&lt;&gt;"",FT!C132,"")</f>
        <v>52.832000000000001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3.9296199999999999</v>
      </c>
      <c r="G133" s="61">
        <f>IF(FT!B133&lt;&gt;"",FT!B133*100,"")</f>
        <v>41.986899999999999</v>
      </c>
      <c r="H133" s="61">
        <f t="shared" si="13"/>
        <v>1</v>
      </c>
      <c r="I133" t="str">
        <f>IF(FT!B133&lt;&gt;"",FT!E133,"")</f>
        <v>2 [53.241825]</v>
      </c>
      <c r="J133">
        <f>IF(FT!B133&lt;&gt;"",FT!C133,"")</f>
        <v>53.241799999999998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102988</v>
      </c>
      <c r="D134" s="61">
        <f>FH!B134*1</f>
        <v>102988</v>
      </c>
      <c r="E134">
        <f t="shared" si="15"/>
        <v>132</v>
      </c>
      <c r="F134" s="61">
        <f>IF(FT!A134&lt;&gt;"",FT!A134*10,"")</f>
        <v>3.9540500000000001</v>
      </c>
      <c r="G134" s="61">
        <f>IF(FT!B134&lt;&gt;"",FT!B134*100,"")</f>
        <v>41.997099999999996</v>
      </c>
      <c r="H134" s="61">
        <f t="shared" si="13"/>
        <v>1</v>
      </c>
      <c r="I134" t="str">
        <f>IF(FT!B134&lt;&gt;"",FT!E134,"")</f>
        <v>2 [53.647419]</v>
      </c>
      <c r="J134">
        <f>IF(FT!B134&lt;&gt;"",FT!C134,"")</f>
        <v>53.647399999999998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3.9765800000000002</v>
      </c>
      <c r="G135" s="61">
        <f>IF(FT!B135&lt;&gt;"",FT!B135*100,"")</f>
        <v>41.966500000000003</v>
      </c>
      <c r="H135" s="61">
        <f t="shared" si="13"/>
        <v>1</v>
      </c>
      <c r="I135" t="str">
        <f>IF(FT!B135&lt;&gt;"",FT!E135,"")</f>
        <v>2 [54.053510]</v>
      </c>
      <c r="J135">
        <f>IF(FT!B135&lt;&gt;"",FT!C135,"")</f>
        <v>54.0535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92533</v>
      </c>
      <c r="D136" s="61">
        <f>FH!B136*1</f>
        <v>92533</v>
      </c>
      <c r="E136">
        <f t="shared" si="15"/>
        <v>134</v>
      </c>
      <c r="F136" s="61">
        <f>IF(FT!A136&lt;&gt;"",FT!A136*10,"")</f>
        <v>3.9982199999999999</v>
      </c>
      <c r="G136" s="61">
        <f>IF(FT!B136&lt;&gt;"",FT!B136*100,"")</f>
        <v>41.860399999999998</v>
      </c>
      <c r="H136" s="61">
        <f t="shared" si="13"/>
        <v>1</v>
      </c>
      <c r="I136" t="str">
        <f>IF(FT!B136&lt;&gt;"",FT!E136,"")</f>
        <v>2 [54.455971]</v>
      </c>
      <c r="J136">
        <f>IF(FT!B136&lt;&gt;"",FT!C136,"")</f>
        <v>54.456000000000003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4.0191699999999999</v>
      </c>
      <c r="G137" s="61">
        <f>IF(FT!B137&lt;&gt;"",FT!B137*100,"")</f>
        <v>41.737299999999998</v>
      </c>
      <c r="H137" s="61">
        <f t="shared" si="13"/>
        <v>1</v>
      </c>
      <c r="I137" t="str">
        <f>IF(FT!B137&lt;&gt;"",FT!E137,"")</f>
        <v>2 [54.864975]</v>
      </c>
      <c r="J137">
        <f>IF(FT!B137&lt;&gt;"",FT!C137,"")</f>
        <v>54.865000000000002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4.0414599999999998</v>
      </c>
      <c r="G138" s="61">
        <f>IF(FT!B138&lt;&gt;"",FT!B138*100,"")</f>
        <v>41.671900000000001</v>
      </c>
      <c r="H138" s="61">
        <f t="shared" si="13"/>
        <v>1</v>
      </c>
      <c r="I138" t="str">
        <f>IF(FT!B138&lt;&gt;"",FT!E138,"")</f>
        <v>2 [55.272768]</v>
      </c>
      <c r="J138">
        <f>IF(FT!B138&lt;&gt;"",FT!C138,"")</f>
        <v>55.272799999999997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80486</v>
      </c>
      <c r="D139" s="61">
        <f>FH!B139*1</f>
        <v>80486</v>
      </c>
      <c r="E139">
        <f t="shared" si="15"/>
        <v>137</v>
      </c>
      <c r="F139" s="61">
        <f>IF(FT!A139&lt;&gt;"",FT!A139*10,"")</f>
        <v>4.0631500000000003</v>
      </c>
      <c r="G139" s="61">
        <f>IF(FT!B139&lt;&gt;"",FT!B139*100,"")</f>
        <v>41.625499999999995</v>
      </c>
      <c r="H139" s="61">
        <f t="shared" si="13"/>
        <v>1</v>
      </c>
      <c r="I139" t="str">
        <f>IF(FT!B139&lt;&gt;"",FT!E139,"")</f>
        <v>2 [55.674353]</v>
      </c>
      <c r="J139">
        <f>IF(FT!B139&lt;&gt;"",FT!C139,"")</f>
        <v>55.674399999999999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4.0797400000000001</v>
      </c>
      <c r="G140" s="61">
        <f>IF(FT!B140&lt;&gt;"",FT!B140*100,"")</f>
        <v>41.547600000000003</v>
      </c>
      <c r="H140" s="61">
        <f t="shared" si="13"/>
        <v>1</v>
      </c>
      <c r="I140" t="str">
        <f>IF(FT!B140&lt;&gt;"",FT!E140,"")</f>
        <v>2 [56.084106]</v>
      </c>
      <c r="J140">
        <f>IF(FT!B140&lt;&gt;"",FT!C140,"")</f>
        <v>56.084099999999999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4.0884900000000002</v>
      </c>
      <c r="G141" s="61">
        <f>IF(FT!B141&lt;&gt;"",FT!B141*100,"")</f>
        <v>41.436599999999999</v>
      </c>
      <c r="H141" s="61">
        <f t="shared" si="13"/>
        <v>1</v>
      </c>
      <c r="I141" t="str">
        <f>IF(FT!B141&lt;&gt;"",FT!E141,"")</f>
        <v>2 [56.488915]</v>
      </c>
      <c r="J141">
        <f>IF(FT!B141&lt;&gt;"",FT!C141,"")</f>
        <v>56.488900000000001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68323</v>
      </c>
      <c r="D142" s="61">
        <f>FH!B142*1</f>
        <v>68323</v>
      </c>
      <c r="E142">
        <f t="shared" si="15"/>
        <v>140</v>
      </c>
      <c r="F142" s="61">
        <f>IF(FT!A142&lt;&gt;"",FT!A142*10,"")</f>
        <v>4.0988199999999999</v>
      </c>
      <c r="G142" s="61">
        <f>IF(FT!B142&lt;&gt;"",FT!B142*100,"")</f>
        <v>41.298099999999998</v>
      </c>
      <c r="H142" s="61">
        <f t="shared" si="13"/>
        <v>1</v>
      </c>
      <c r="I142" t="str">
        <f>IF(FT!B142&lt;&gt;"",FT!E142,"")</f>
        <v>2 [56.893189]</v>
      </c>
      <c r="J142">
        <f>IF(FT!B142&lt;&gt;"",FT!C142,"")</f>
        <v>56.8932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4.1165500000000002</v>
      </c>
      <c r="G143" s="61">
        <f>IF(FT!B143&lt;&gt;"",FT!B143*100,"")</f>
        <v>41.105000000000004</v>
      </c>
      <c r="H143" s="61">
        <f t="shared" si="13"/>
        <v>1</v>
      </c>
      <c r="I143" t="str">
        <f>IF(FT!B143&lt;&gt;"",FT!E143,"")</f>
        <v>2 [57.300882]</v>
      </c>
      <c r="J143">
        <f>IF(FT!B143&lt;&gt;"",FT!C143,"")</f>
        <v>57.300899999999999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54317</v>
      </c>
      <c r="D144" s="61">
        <f>FH!B144*1</f>
        <v>54317</v>
      </c>
      <c r="E144">
        <f t="shared" si="15"/>
        <v>142</v>
      </c>
      <c r="F144" s="61">
        <f>IF(FT!A144&lt;&gt;"",FT!A144*10,"")</f>
        <v>4.1407400000000001</v>
      </c>
      <c r="G144" s="61">
        <f>IF(FT!B144&lt;&gt;"",FT!B144*100,"")</f>
        <v>40.892800000000001</v>
      </c>
      <c r="H144" s="61">
        <f t="shared" si="13"/>
        <v>1</v>
      </c>
      <c r="I144" t="str">
        <f>IF(FT!B144&lt;&gt;"",FT!E144,"")</f>
        <v>2 [57.707152]</v>
      </c>
      <c r="J144">
        <f>IF(FT!B144&lt;&gt;"",FT!C144,"")</f>
        <v>57.7072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4.1727799999999995</v>
      </c>
      <c r="G145" s="61">
        <f>IF(FT!B145&lt;&gt;"",FT!B145*100,"")</f>
        <v>40.709400000000002</v>
      </c>
      <c r="H145" s="61">
        <f t="shared" si="13"/>
        <v>1</v>
      </c>
      <c r="I145" t="str">
        <f>IF(FT!B145&lt;&gt;"",FT!E145,"")</f>
        <v>2 [58.117315]</v>
      </c>
      <c r="J145">
        <f>IF(FT!B145&lt;&gt;"",FT!C145,"")</f>
        <v>58.1173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4.1958099999999998</v>
      </c>
      <c r="G146" s="61">
        <f>IF(FT!B146&lt;&gt;"",FT!B146*100,"")</f>
        <v>40.659199999999998</v>
      </c>
      <c r="H146" s="61">
        <f t="shared" si="13"/>
        <v>1</v>
      </c>
      <c r="I146" t="str">
        <f>IF(FT!B146&lt;&gt;"",FT!E146,"")</f>
        <v>2 [58.520989]</v>
      </c>
      <c r="J146">
        <f>IF(FT!B146&lt;&gt;"",FT!C146,"")</f>
        <v>58.521000000000001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51688</v>
      </c>
      <c r="D147" s="61">
        <f>FH!B147*1</f>
        <v>51688</v>
      </c>
      <c r="E147">
        <f t="shared" si="15"/>
        <v>145</v>
      </c>
      <c r="F147" s="61">
        <f>IF(FT!A147&lt;&gt;"",FT!A147*10,"")</f>
        <v>4.2181999999999995</v>
      </c>
      <c r="G147" s="61">
        <f>IF(FT!B147&lt;&gt;"",FT!B147*100,"")</f>
        <v>40.495399999999997</v>
      </c>
      <c r="H147" s="61">
        <f t="shared" si="13"/>
        <v>1</v>
      </c>
      <c r="I147" t="str">
        <f>IF(FT!B147&lt;&gt;"",FT!E147,"")</f>
        <v>2 [58.928288]</v>
      </c>
      <c r="J147">
        <f>IF(FT!B147&lt;&gt;"",FT!C147,"")</f>
        <v>58.9283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4.2329800000000004</v>
      </c>
      <c r="G148" s="61">
        <f>IF(FT!B148&lt;&gt;"",FT!B148*100,"")</f>
        <v>40.335999999999999</v>
      </c>
      <c r="H148" s="61">
        <f t="shared" si="13"/>
        <v>1</v>
      </c>
      <c r="I148" t="str">
        <f>IF(FT!B148&lt;&gt;"",FT!E148,"")</f>
        <v>2 [59.333424]</v>
      </c>
      <c r="J148">
        <f>IF(FT!B148&lt;&gt;"",FT!C148,"")</f>
        <v>59.333399999999997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41944</v>
      </c>
      <c r="D149" s="61">
        <f>FH!B149*1</f>
        <v>41944</v>
      </c>
      <c r="E149">
        <f t="shared" si="15"/>
        <v>147</v>
      </c>
      <c r="F149" s="61">
        <f>IF(FT!A149&lt;&gt;"",FT!A149*10,"")</f>
        <v>4.2389000000000001</v>
      </c>
      <c r="G149" s="61">
        <f>IF(FT!B149&lt;&gt;"",FT!B149*100,"")</f>
        <v>39.763199999999998</v>
      </c>
      <c r="H149" s="61">
        <f t="shared" si="13"/>
        <v>1</v>
      </c>
      <c r="I149" t="str">
        <f>IF(FT!B149&lt;&gt;"",FT!E149,"")</f>
        <v>2 [59.740856]</v>
      </c>
      <c r="J149">
        <f>IF(FT!B149&lt;&gt;"",FT!C149,"")</f>
        <v>59.740900000000003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33313</v>
      </c>
      <c r="D152" s="61">
        <f>FH!B152*1</f>
        <v>33313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27292</v>
      </c>
      <c r="D154" s="61">
        <f>FH!B154*1</f>
        <v>27292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19374</v>
      </c>
      <c r="D157" s="61">
        <f>FH!B157*1</f>
        <v>19374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13856</v>
      </c>
      <c r="D160" s="61">
        <f>FH!B160*1</f>
        <v>13856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12111</v>
      </c>
      <c r="D162" s="61">
        <f>FH!B162*1</f>
        <v>12111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7365</v>
      </c>
      <c r="D165" s="61">
        <f>FH!B165*1</f>
        <v>7365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4385</v>
      </c>
      <c r="D167" s="61">
        <f>FH!B167*1</f>
        <v>4385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3927</v>
      </c>
      <c r="D170" s="61">
        <f>FH!B170*1</f>
        <v>3927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2928</v>
      </c>
      <c r="D173" s="61">
        <f>FH!B173*1</f>
        <v>2928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1848</v>
      </c>
      <c r="D175" s="61">
        <f>FH!B175*1</f>
        <v>1848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1415</v>
      </c>
      <c r="D178" s="61">
        <f>FH!B178*1</f>
        <v>1415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1547</v>
      </c>
      <c r="D180" s="61">
        <f>FH!B180*1</f>
        <v>1547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747</v>
      </c>
      <c r="D183" s="61">
        <f>FH!B183*1</f>
        <v>747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567</v>
      </c>
      <c r="D185" s="61">
        <f>FH!B185*1</f>
        <v>567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650</v>
      </c>
      <c r="D188" s="61">
        <f>FH!B188*1</f>
        <v>650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370</v>
      </c>
      <c r="D191" s="61">
        <f>FH!B191*1</f>
        <v>370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232</v>
      </c>
      <c r="D193" s="61">
        <f>FH!B193*1</f>
        <v>232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139</v>
      </c>
      <c r="D196" s="61">
        <f>FH!B196*1</f>
        <v>139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38.168900000000001</v>
      </c>
      <c r="C5" s="66">
        <v>5.2484799999999998</v>
      </c>
      <c r="D5" s="66">
        <v>13.7507</v>
      </c>
      <c r="E5" s="66">
        <v>20</v>
      </c>
      <c r="F5" s="66">
        <v>19.228300000000001</v>
      </c>
      <c r="G5" s="66">
        <v>50</v>
      </c>
      <c r="H5" s="66">
        <v>46.726599999999998</v>
      </c>
    </row>
    <row r="6" spans="1:8">
      <c r="A6" s="58" t="s">
        <v>303</v>
      </c>
      <c r="B6" s="66">
        <v>32.378300000000003</v>
      </c>
      <c r="C6" s="66">
        <v>1.8812899999999999</v>
      </c>
      <c r="D6" s="66">
        <v>5.8103499999999997</v>
      </c>
      <c r="E6" s="66">
        <v>20</v>
      </c>
      <c r="F6" s="66">
        <v>25.284300000000002</v>
      </c>
      <c r="G6" s="66">
        <v>40</v>
      </c>
      <c r="H6" s="66">
        <v>35.116900000000001</v>
      </c>
    </row>
    <row r="7" spans="1:8">
      <c r="A7" s="58" t="s">
        <v>304</v>
      </c>
      <c r="B7" s="66">
        <v>32.845500000000001</v>
      </c>
      <c r="C7" s="66">
        <v>8.4008699999999994</v>
      </c>
      <c r="D7" s="66">
        <v>25.576899999999998</v>
      </c>
      <c r="E7" s="66">
        <v>15</v>
      </c>
      <c r="F7" s="66">
        <v>12.2454</v>
      </c>
      <c r="G7" s="66">
        <v>40</v>
      </c>
      <c r="H7" s="66">
        <v>52.4024</v>
      </c>
    </row>
    <row r="8" spans="1:8">
      <c r="A8" s="58" t="s">
        <v>305</v>
      </c>
      <c r="B8" s="66">
        <v>34.284500000000001</v>
      </c>
      <c r="C8" s="66">
        <v>3.2824</v>
      </c>
      <c r="D8" s="66">
        <v>9.5739999999999998</v>
      </c>
      <c r="E8" s="66">
        <v>20</v>
      </c>
      <c r="F8" s="66">
        <v>21.6342</v>
      </c>
      <c r="G8" s="66">
        <v>50</v>
      </c>
      <c r="H8" s="66">
        <v>39.545000000000002</v>
      </c>
    </row>
    <row r="9" spans="1:8">
      <c r="A9" s="58" t="s">
        <v>306</v>
      </c>
      <c r="B9" s="66">
        <v>70.919499999999999</v>
      </c>
      <c r="C9" s="66">
        <v>5.5804400000000003</v>
      </c>
      <c r="D9" s="66">
        <v>7.8686999999999996</v>
      </c>
      <c r="E9" s="66">
        <v>50</v>
      </c>
      <c r="F9" s="66">
        <v>55.169899999999998</v>
      </c>
      <c r="G9" s="66">
        <v>100</v>
      </c>
      <c r="H9" s="66">
        <v>82.540800000000004</v>
      </c>
    </row>
    <row r="10" spans="1:8">
      <c r="A10" s="58" t="s">
        <v>307</v>
      </c>
      <c r="B10" s="66">
        <v>70.389899999999997</v>
      </c>
      <c r="C10" s="66">
        <v>4.6709699999999996</v>
      </c>
      <c r="D10" s="66">
        <v>6.6358600000000001</v>
      </c>
      <c r="E10" s="66">
        <v>40</v>
      </c>
      <c r="F10" s="66">
        <v>64.449100000000001</v>
      </c>
      <c r="G10" s="66">
        <v>100</v>
      </c>
      <c r="H10" s="66">
        <v>81.046300000000002</v>
      </c>
    </row>
    <row r="11" spans="1:8">
      <c r="A11" s="58" t="s">
        <v>308</v>
      </c>
      <c r="B11" s="66">
        <v>24.7759</v>
      </c>
      <c r="C11" s="66">
        <v>3.9019300000000001</v>
      </c>
      <c r="D11" s="66">
        <v>15.748900000000001</v>
      </c>
      <c r="E11" s="66">
        <v>10</v>
      </c>
      <c r="F11" s="66">
        <v>16.632899999999999</v>
      </c>
      <c r="G11" s="66">
        <v>50</v>
      </c>
      <c r="H11" s="66">
        <v>30.4041</v>
      </c>
    </row>
    <row r="12" spans="1:8">
      <c r="A12" s="58" t="s">
        <v>309</v>
      </c>
      <c r="B12" s="66">
        <v>70.944599999999994</v>
      </c>
      <c r="C12" s="66">
        <v>4.0568200000000001</v>
      </c>
      <c r="D12" s="66">
        <v>5.7183000000000002</v>
      </c>
      <c r="E12" s="66">
        <v>50</v>
      </c>
      <c r="F12" s="66">
        <v>62.403399999999998</v>
      </c>
      <c r="G12" s="66">
        <v>100</v>
      </c>
      <c r="H12" s="66">
        <v>81.793599999999998</v>
      </c>
    </row>
    <row r="13" spans="1:8">
      <c r="A13" s="58" t="s">
        <v>310</v>
      </c>
      <c r="B13" s="66">
        <v>15.2393</v>
      </c>
      <c r="C13" s="66">
        <v>3.2451500000000002</v>
      </c>
      <c r="D13" s="66">
        <v>21.294599999999999</v>
      </c>
      <c r="E13" s="66">
        <v>10</v>
      </c>
      <c r="F13" s="66">
        <v>12.1547</v>
      </c>
      <c r="G13" s="66">
        <v>25</v>
      </c>
      <c r="H13" s="66">
        <v>31.271699999999999</v>
      </c>
    </row>
    <row r="14" spans="1:8">
      <c r="A14" s="58" t="s">
        <v>311</v>
      </c>
      <c r="B14" s="66">
        <v>32.451500000000003</v>
      </c>
      <c r="C14" s="66">
        <v>12.401199999999999</v>
      </c>
      <c r="D14" s="66">
        <v>38.214599999999997</v>
      </c>
      <c r="E14" s="66">
        <v>10</v>
      </c>
      <c r="F14" s="66">
        <v>1.22818</v>
      </c>
      <c r="G14" s="66">
        <v>50</v>
      </c>
      <c r="H14" s="66">
        <v>60.322099999999999</v>
      </c>
    </row>
    <row r="15" spans="1:8">
      <c r="A15" s="58" t="s">
        <v>312</v>
      </c>
      <c r="B15" s="66">
        <v>-4.8080499999999998E-2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-6.5476999999999994E-2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15.019299999999999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0.54532599999999998</v>
      </c>
      <c r="C18" s="66">
        <v>2.04079E-2</v>
      </c>
      <c r="D18" s="66">
        <v>3.74233E-2</v>
      </c>
      <c r="E18" s="66">
        <v>0</v>
      </c>
      <c r="F18" s="66">
        <v>0.524918</v>
      </c>
      <c r="G18" s="66">
        <v>0</v>
      </c>
      <c r="H18" s="66">
        <v>0.56573399999999996</v>
      </c>
    </row>
    <row r="19" spans="1:8">
      <c r="A19" s="58" t="s">
        <v>316</v>
      </c>
      <c r="B19" s="66">
        <v>0.57545500000000005</v>
      </c>
      <c r="C19" s="66">
        <v>2.97642E-3</v>
      </c>
      <c r="D19" s="66">
        <v>5.1722900000000004E-3</v>
      </c>
      <c r="E19" s="66">
        <v>0</v>
      </c>
      <c r="F19" s="66">
        <v>0.57247899999999996</v>
      </c>
      <c r="G19" s="66">
        <v>0</v>
      </c>
      <c r="H19" s="66">
        <v>0.57843100000000003</v>
      </c>
    </row>
    <row r="20" spans="1:8">
      <c r="A20" s="58" t="s">
        <v>317</v>
      </c>
      <c r="B20" s="66">
        <v>9.3966299999999998E-4</v>
      </c>
      <c r="C20" s="66">
        <v>4.4812999999999999E-2</v>
      </c>
      <c r="D20" s="66">
        <v>47.6905</v>
      </c>
      <c r="E20" s="66">
        <v>0</v>
      </c>
      <c r="F20" s="66">
        <v>0</v>
      </c>
      <c r="G20" s="66">
        <v>0</v>
      </c>
      <c r="H20" s="66">
        <v>1.60168</v>
      </c>
    </row>
    <row r="21" spans="1:8">
      <c r="A21" s="58" t="s">
        <v>318</v>
      </c>
      <c r="B21" s="66">
        <v>9.8388500000000004E-2</v>
      </c>
      <c r="C21" s="66">
        <v>0.22620199999999999</v>
      </c>
      <c r="D21" s="66">
        <v>2.2990699999999999</v>
      </c>
      <c r="E21" s="66">
        <v>0</v>
      </c>
      <c r="F21" s="66">
        <v>4.3752599999999998E-4</v>
      </c>
      <c r="G21" s="66">
        <v>0</v>
      </c>
      <c r="H21" s="66">
        <v>1.9982500000000001</v>
      </c>
    </row>
    <row r="22" spans="1:8">
      <c r="A22" s="58" t="s">
        <v>319</v>
      </c>
      <c r="B22" s="66">
        <v>38.834000000000003</v>
      </c>
      <c r="C22" s="66">
        <v>6.93154</v>
      </c>
      <c r="D22" s="66">
        <v>0.17849100000000001</v>
      </c>
      <c r="E22" s="66">
        <v>0</v>
      </c>
      <c r="F22" s="66">
        <v>24.7989</v>
      </c>
      <c r="G22" s="66">
        <v>0</v>
      </c>
      <c r="H22" s="66">
        <v>57.765099999999997</v>
      </c>
    </row>
    <row r="23" spans="1:8">
      <c r="A23" s="58" t="s">
        <v>320</v>
      </c>
      <c r="B23" s="66">
        <v>18.791899999999998</v>
      </c>
      <c r="C23" s="66">
        <v>1.5718099999999999</v>
      </c>
      <c r="D23" s="66">
        <v>8.3642800000000003E-2</v>
      </c>
      <c r="E23" s="66">
        <v>0</v>
      </c>
      <c r="F23" s="66">
        <v>15.0495</v>
      </c>
      <c r="G23" s="66">
        <v>0</v>
      </c>
      <c r="H23" s="66">
        <v>22.222100000000001</v>
      </c>
    </row>
    <row r="24" spans="1:8">
      <c r="A24" s="58" t="s">
        <v>321</v>
      </c>
      <c r="B24" s="66">
        <v>1.6961700000000001E-3</v>
      </c>
      <c r="C24" s="66">
        <v>1.48729E-2</v>
      </c>
      <c r="D24" s="66">
        <v>8.7685200000000005</v>
      </c>
      <c r="E24" s="66">
        <v>0</v>
      </c>
      <c r="F24" s="196">
        <v>5.53855E-5</v>
      </c>
      <c r="G24" s="66">
        <v>0</v>
      </c>
      <c r="H24" s="66">
        <v>0.16159699999999999</v>
      </c>
    </row>
    <row r="25" spans="1:8">
      <c r="A25" s="58" t="s">
        <v>322</v>
      </c>
      <c r="B25" s="66">
        <v>0.15595500000000001</v>
      </c>
      <c r="C25" s="66">
        <v>0.106101</v>
      </c>
      <c r="D25" s="66">
        <v>0.68033100000000002</v>
      </c>
      <c r="E25" s="66">
        <v>0</v>
      </c>
      <c r="F25" s="66">
        <v>3.3295900000000003E-2</v>
      </c>
      <c r="G25" s="66">
        <v>0</v>
      </c>
      <c r="H25" s="66">
        <v>0.53144599999999997</v>
      </c>
    </row>
    <row r="26" spans="1:8">
      <c r="A26" s="58" t="s">
        <v>323</v>
      </c>
      <c r="B26" s="66">
        <v>2.5604000000000002E-4</v>
      </c>
      <c r="C26" s="66">
        <v>5.6271400000000001E-3</v>
      </c>
      <c r="D26" s="66">
        <v>21.977599999999999</v>
      </c>
      <c r="E26" s="66">
        <v>0</v>
      </c>
      <c r="F26" s="66">
        <v>0</v>
      </c>
      <c r="G26" s="66">
        <v>0</v>
      </c>
      <c r="H26" s="66">
        <v>0.19773499999999999</v>
      </c>
    </row>
    <row r="27" spans="1:8">
      <c r="A27" s="58" t="s">
        <v>324</v>
      </c>
      <c r="B27" s="196">
        <v>-3.2825599999999999E-6</v>
      </c>
      <c r="C27" s="66">
        <v>7.8869700000000001E-3</v>
      </c>
      <c r="D27" s="66">
        <v>-2402.69</v>
      </c>
      <c r="E27" s="66">
        <v>0</v>
      </c>
      <c r="F27" s="66">
        <v>-0.19753799999999999</v>
      </c>
      <c r="G27" s="66">
        <v>0</v>
      </c>
      <c r="H27" s="66">
        <v>0.19753499999999999</v>
      </c>
    </row>
    <row r="28" spans="1:8">
      <c r="A28" s="58" t="s">
        <v>325</v>
      </c>
      <c r="B28" s="66">
        <v>1.41064E-2</v>
      </c>
      <c r="C28" s="66">
        <v>2.36127E-2</v>
      </c>
      <c r="D28" s="66">
        <v>1.6738900000000001</v>
      </c>
      <c r="E28" s="66">
        <v>0</v>
      </c>
      <c r="F28" s="196">
        <v>9.7656299999999995E-5</v>
      </c>
      <c r="G28" s="66">
        <v>0</v>
      </c>
      <c r="H28" s="66">
        <v>0.241699</v>
      </c>
    </row>
    <row r="29" spans="1:8">
      <c r="A29" s="58" t="s">
        <v>326</v>
      </c>
      <c r="B29" s="66">
        <v>72.141599999999997</v>
      </c>
      <c r="C29" s="66">
        <v>10.313499999999999</v>
      </c>
      <c r="D29" s="66">
        <v>0.142961</v>
      </c>
      <c r="E29" s="66">
        <v>0</v>
      </c>
      <c r="F29" s="66">
        <v>48.441499999999998</v>
      </c>
      <c r="G29" s="66">
        <v>0</v>
      </c>
      <c r="H29" s="66">
        <v>110.339</v>
      </c>
    </row>
    <row r="30" spans="1:8">
      <c r="A30" s="58" t="s">
        <v>327</v>
      </c>
      <c r="B30" s="66">
        <v>27.51</v>
      </c>
      <c r="C30" s="66">
        <v>3.60466</v>
      </c>
      <c r="D30" s="66">
        <v>0.13103100000000001</v>
      </c>
      <c r="E30" s="66">
        <v>0</v>
      </c>
      <c r="F30" s="66">
        <v>17.674299999999999</v>
      </c>
      <c r="G30" s="66">
        <v>0</v>
      </c>
      <c r="H30" s="66">
        <v>35.2423</v>
      </c>
    </row>
    <row r="31" spans="1:8">
      <c r="A31" s="58" t="s">
        <v>328</v>
      </c>
      <c r="B31" s="66">
        <v>107.95699999999999</v>
      </c>
      <c r="C31" s="66">
        <v>12.7196</v>
      </c>
      <c r="D31" s="66">
        <v>0.117821</v>
      </c>
      <c r="E31" s="66">
        <v>0</v>
      </c>
      <c r="F31" s="66">
        <v>86.198999999999998</v>
      </c>
      <c r="G31" s="66">
        <v>0</v>
      </c>
      <c r="H31" s="66">
        <v>140.30199999999999</v>
      </c>
    </row>
    <row r="32" spans="1:8">
      <c r="A32" s="58" t="s">
        <v>329</v>
      </c>
      <c r="B32" s="66">
        <v>0.328455</v>
      </c>
      <c r="C32" s="66">
        <v>8.4008700000000006E-2</v>
      </c>
      <c r="D32" s="66">
        <v>0.25576900000000002</v>
      </c>
      <c r="E32" s="66">
        <v>0.15</v>
      </c>
      <c r="F32" s="66">
        <v>0.12245399999999999</v>
      </c>
      <c r="G32" s="66">
        <v>0.4</v>
      </c>
      <c r="H32" s="66">
        <v>0.52402400000000005</v>
      </c>
    </row>
    <row r="33" spans="1:8">
      <c r="A33" s="58" t="s">
        <v>330</v>
      </c>
      <c r="B33" s="66">
        <v>0.42960500000000001</v>
      </c>
      <c r="C33" s="66">
        <v>3.59972E-2</v>
      </c>
      <c r="D33" s="66">
        <v>8.3791400000000002E-2</v>
      </c>
      <c r="E33" s="66">
        <v>0</v>
      </c>
      <c r="F33" s="66">
        <v>0.35444999999999999</v>
      </c>
      <c r="G33" s="66">
        <v>0</v>
      </c>
      <c r="H33" s="66">
        <v>0.49591400000000002</v>
      </c>
    </row>
    <row r="34" spans="1:8">
      <c r="A34" s="58" t="s">
        <v>331</v>
      </c>
      <c r="B34" s="66">
        <v>0.152393</v>
      </c>
      <c r="C34" s="66">
        <v>3.2451500000000001E-2</v>
      </c>
      <c r="D34" s="66">
        <v>0.212946</v>
      </c>
      <c r="E34" s="66">
        <v>0.1</v>
      </c>
      <c r="F34" s="66">
        <v>0.121547</v>
      </c>
      <c r="G34" s="66">
        <v>0.25</v>
      </c>
      <c r="H34" s="66">
        <v>0.31271700000000002</v>
      </c>
    </row>
    <row r="35" spans="1:8">
      <c r="A35" s="58" t="s">
        <v>332</v>
      </c>
      <c r="B35" s="66">
        <v>6.6850400000000004E-2</v>
      </c>
      <c r="C35" s="66">
        <v>2.8712100000000001E-2</v>
      </c>
      <c r="D35" s="66">
        <v>0.42949799999999999</v>
      </c>
      <c r="E35" s="66">
        <v>0</v>
      </c>
      <c r="F35" s="66">
        <v>2.4906000000000001E-2</v>
      </c>
      <c r="G35" s="66">
        <v>0</v>
      </c>
      <c r="H35" s="66">
        <v>0.18590599999999999</v>
      </c>
    </row>
    <row r="36" spans="1:8">
      <c r="A36" s="58" t="s">
        <v>333</v>
      </c>
      <c r="B36" s="66">
        <v>0.13807800000000001</v>
      </c>
      <c r="C36" s="66">
        <v>8.5474300000000003E-2</v>
      </c>
      <c r="D36" s="66">
        <v>0.61902999999999997</v>
      </c>
      <c r="E36" s="66">
        <v>0</v>
      </c>
      <c r="F36" s="66">
        <v>3.9118899999999998E-2</v>
      </c>
      <c r="G36" s="66">
        <v>0</v>
      </c>
      <c r="H36" s="66">
        <v>0.64966500000000005</v>
      </c>
    </row>
    <row r="37" spans="1:8">
      <c r="A37" s="58" t="s">
        <v>334</v>
      </c>
      <c r="B37" s="66">
        <v>0.324515</v>
      </c>
      <c r="C37" s="66">
        <v>0.124012</v>
      </c>
      <c r="D37" s="66">
        <v>0.38214599999999999</v>
      </c>
      <c r="E37" s="66">
        <v>0.1</v>
      </c>
      <c r="F37" s="66">
        <v>1.2281800000000001E-2</v>
      </c>
      <c r="G37" s="66">
        <v>0.5</v>
      </c>
      <c r="H37" s="66">
        <v>0.60322100000000001</v>
      </c>
    </row>
    <row r="38" spans="1:8">
      <c r="A38" s="58" t="s">
        <v>335</v>
      </c>
      <c r="B38" s="66">
        <v>-22.7438</v>
      </c>
      <c r="C38" s="66">
        <v>33.676499999999997</v>
      </c>
      <c r="D38" s="66">
        <v>-1.4806900000000001</v>
      </c>
      <c r="E38" s="66">
        <v>0</v>
      </c>
      <c r="F38" s="66">
        <v>-89.797399999999996</v>
      </c>
      <c r="G38" s="66">
        <v>0</v>
      </c>
      <c r="H38" s="66">
        <v>109.17400000000001</v>
      </c>
    </row>
    <row r="39" spans="1:8">
      <c r="A39" s="58" t="s">
        <v>336</v>
      </c>
      <c r="B39" s="66">
        <v>-9.2026400000000006</v>
      </c>
      <c r="C39" s="66">
        <v>2.4838499999999999</v>
      </c>
      <c r="D39" s="66">
        <v>-0.26990700000000001</v>
      </c>
      <c r="E39" s="66">
        <v>0</v>
      </c>
      <c r="F39" s="66">
        <v>-16.340900000000001</v>
      </c>
      <c r="G39" s="66">
        <v>0</v>
      </c>
      <c r="H39" s="66">
        <v>-2.3337400000000001</v>
      </c>
    </row>
    <row r="40" spans="1:8">
      <c r="A40" s="58" t="s">
        <v>337</v>
      </c>
      <c r="B40" s="66">
        <v>-4.75915</v>
      </c>
      <c r="C40" s="66">
        <v>1.40892</v>
      </c>
      <c r="D40" s="66">
        <v>-0.29604399999999997</v>
      </c>
      <c r="E40" s="66">
        <v>0</v>
      </c>
      <c r="F40" s="66">
        <v>-8.6833299999999998</v>
      </c>
      <c r="G40" s="66">
        <v>0</v>
      </c>
      <c r="H40" s="66">
        <v>-3.5970800000000001</v>
      </c>
    </row>
    <row r="41" spans="1:8">
      <c r="A41" s="58" t="s">
        <v>338</v>
      </c>
      <c r="B41" s="66">
        <v>-0.240034</v>
      </c>
      <c r="C41" s="66">
        <v>0.318106</v>
      </c>
      <c r="D41" s="66">
        <v>-1.3252600000000001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-0.22770799999999999</v>
      </c>
      <c r="C42" s="66">
        <v>6.14431E-2</v>
      </c>
      <c r="D42" s="66">
        <v>-0.26983299999999999</v>
      </c>
      <c r="E42" s="66">
        <v>0</v>
      </c>
      <c r="F42" s="66">
        <v>-0.50860000000000005</v>
      </c>
      <c r="G42" s="66">
        <v>0</v>
      </c>
      <c r="H42" s="66">
        <v>-8.23744E-2</v>
      </c>
    </row>
    <row r="43" spans="1:8">
      <c r="A43" s="58" t="s">
        <v>340</v>
      </c>
      <c r="B43" s="66">
        <v>-0.22816700000000001</v>
      </c>
      <c r="C43" s="66">
        <v>3.9578000000000002E-2</v>
      </c>
      <c r="D43" s="66">
        <v>-0.17346</v>
      </c>
      <c r="E43" s="66">
        <v>0</v>
      </c>
      <c r="F43" s="66">
        <v>-0.32016800000000001</v>
      </c>
      <c r="G43" s="66">
        <v>0</v>
      </c>
      <c r="H43" s="66">
        <v>-0.17679900000000001</v>
      </c>
    </row>
    <row r="44" spans="1:8">
      <c r="A44" s="58" t="s">
        <v>341</v>
      </c>
      <c r="B44" s="66">
        <v>-0.39612999999999998</v>
      </c>
      <c r="C44" s="66">
        <v>12.655900000000001</v>
      </c>
      <c r="D44" s="66">
        <v>-31.948799999999999</v>
      </c>
      <c r="E44" s="66">
        <v>0</v>
      </c>
      <c r="F44" s="66">
        <v>-34.076900000000002</v>
      </c>
      <c r="G44" s="66">
        <v>0</v>
      </c>
      <c r="H44" s="66">
        <v>16.9589</v>
      </c>
    </row>
    <row r="45" spans="1:8">
      <c r="A45" s="58" t="s">
        <v>342</v>
      </c>
      <c r="B45" s="66">
        <v>51.5124</v>
      </c>
      <c r="C45" s="66">
        <v>6.9881700000000002</v>
      </c>
      <c r="D45" s="66">
        <v>0.13566</v>
      </c>
      <c r="E45" s="66">
        <v>0</v>
      </c>
      <c r="F45" s="66">
        <v>36.576999999999998</v>
      </c>
      <c r="G45" s="66">
        <v>0</v>
      </c>
      <c r="H45" s="66">
        <v>71.688900000000004</v>
      </c>
    </row>
    <row r="46" spans="1:8">
      <c r="A46" s="58" t="s">
        <v>343</v>
      </c>
      <c r="B46" s="66">
        <v>30.315799999999999</v>
      </c>
      <c r="C46" s="66">
        <v>5.0890300000000002</v>
      </c>
      <c r="D46" s="66">
        <v>0.16786699999999999</v>
      </c>
      <c r="E46" s="66">
        <v>0</v>
      </c>
      <c r="F46" s="66">
        <v>12.4946</v>
      </c>
      <c r="G46" s="66">
        <v>0</v>
      </c>
      <c r="H46" s="66">
        <v>37.890799999999999</v>
      </c>
    </row>
    <row r="47" spans="1:8">
      <c r="A47" s="58" t="s">
        <v>344</v>
      </c>
      <c r="B47" s="66">
        <v>1.0065299999999999</v>
      </c>
      <c r="C47" s="66">
        <v>0.370869</v>
      </c>
      <c r="D47" s="66">
        <v>0.36846299999999998</v>
      </c>
      <c r="E47" s="66">
        <v>0</v>
      </c>
      <c r="F47" s="66">
        <v>0.37749700000000003</v>
      </c>
      <c r="G47" s="66">
        <v>0</v>
      </c>
      <c r="H47" s="66">
        <v>2.7521599999999999</v>
      </c>
    </row>
    <row r="48" spans="1:8">
      <c r="A48" s="58" t="s">
        <v>345</v>
      </c>
      <c r="B48" s="66">
        <v>0.87049100000000001</v>
      </c>
      <c r="C48" s="66">
        <v>0.27966999999999997</v>
      </c>
      <c r="D48" s="66">
        <v>0.32127899999999998</v>
      </c>
      <c r="E48" s="66">
        <v>0</v>
      </c>
      <c r="F48" s="66">
        <v>0.59628899999999996</v>
      </c>
      <c r="G48" s="66">
        <v>0</v>
      </c>
      <c r="H48" s="66">
        <v>1.60408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1.7674000000000021</v>
      </c>
      <c r="C5" s="66">
        <f>'M2'!C5-'M1'!C5</f>
        <v>-2.5977500000000004</v>
      </c>
      <c r="D5" s="66">
        <f>'M2'!D5-'M1'!D5</f>
        <v>-7.4325700000000001</v>
      </c>
      <c r="E5" s="66">
        <f>'M2'!E5-'M1'!E5</f>
        <v>0</v>
      </c>
      <c r="F5" s="66">
        <f>'M2'!F5-'M1'!F5</f>
        <v>12.501200000000001</v>
      </c>
      <c r="G5" s="66">
        <f>'M2'!G5-'M1'!G5</f>
        <v>0</v>
      </c>
      <c r="H5" s="66">
        <f>'M2'!H5-'M1'!H5</f>
        <v>-0.67729999999999535</v>
      </c>
    </row>
    <row r="6" spans="1:8">
      <c r="A6" s="66" t="s">
        <v>244</v>
      </c>
      <c r="B6" s="66">
        <f>'M2'!B6-'M1'!B6</f>
        <v>2.0993000000000031</v>
      </c>
      <c r="C6" s="66">
        <f>'M2'!C6-'M1'!C6</f>
        <v>-0.95291199999999998</v>
      </c>
      <c r="D6" s="66">
        <f>'M2'!D6-'M1'!D6</f>
        <v>-3.2234299999999996</v>
      </c>
      <c r="E6" s="66">
        <f>'M2'!E6-'M1'!E6</f>
        <v>0</v>
      </c>
      <c r="F6" s="66">
        <f>'M2'!F6-'M1'!F6</f>
        <v>6.8566999999999965</v>
      </c>
      <c r="G6" s="66">
        <f>'M2'!G6-'M1'!G6</f>
        <v>0</v>
      </c>
      <c r="H6" s="66">
        <f>'M2'!H6-'M1'!H6</f>
        <v>1.529200000000003</v>
      </c>
    </row>
    <row r="7" spans="1:8">
      <c r="A7" s="66" t="s">
        <v>245</v>
      </c>
      <c r="B7" s="66">
        <f>'M2'!B7-'M1'!B7</f>
        <v>4.6884000000000015</v>
      </c>
      <c r="C7" s="66">
        <f>'M2'!C7-'M1'!C7</f>
        <v>-7.5673699999999995</v>
      </c>
      <c r="D7" s="66">
        <f>'M2'!D7-'M1'!D7</f>
        <v>-27.460499999999996</v>
      </c>
      <c r="E7" s="66">
        <f>'M2'!E7-'M1'!E7</f>
        <v>0</v>
      </c>
      <c r="F7" s="66">
        <f>'M2'!F7-'M1'!F7</f>
        <v>10.247299999999999</v>
      </c>
      <c r="G7" s="66">
        <f>'M2'!G7-'M1'!G7</f>
        <v>0</v>
      </c>
      <c r="H7" s="66">
        <f>'M2'!H7-'M1'!H7</f>
        <v>-7.5080000000000027</v>
      </c>
    </row>
    <row r="8" spans="1:8">
      <c r="A8" s="66" t="s">
        <v>246</v>
      </c>
      <c r="B8" s="66">
        <f>'M2'!B8-'M1'!B8</f>
        <v>2.757399999999997</v>
      </c>
      <c r="C8" s="66">
        <f>'M2'!C8-'M1'!C8</f>
        <v>-2.1321399999999997</v>
      </c>
      <c r="D8" s="66">
        <f>'M2'!D8-'M1'!D8</f>
        <v>-6.9176699999999993</v>
      </c>
      <c r="E8" s="66">
        <f>'M2'!E8-'M1'!E8</f>
        <v>0</v>
      </c>
      <c r="F8" s="66">
        <f>'M2'!F8-'M1'!F8</f>
        <v>9.9294000000000011</v>
      </c>
      <c r="G8" s="66">
        <f>'M2'!G8-'M1'!G8</f>
        <v>0</v>
      </c>
      <c r="H8" s="66">
        <f>'M2'!H8-'M1'!H8</f>
        <v>-0.55330000000000013</v>
      </c>
    </row>
    <row r="9" spans="1:8">
      <c r="A9" s="66" t="s">
        <v>247</v>
      </c>
      <c r="B9" s="66">
        <f>'M2'!B9-'M1'!B9</f>
        <v>-4.1085000000000065</v>
      </c>
      <c r="C9" s="66">
        <f>'M2'!C9-'M1'!C9</f>
        <v>-1.0533799999999998</v>
      </c>
      <c r="D9" s="66">
        <f>'M2'!D9-'M1'!D9</f>
        <v>-1.0480400000000012</v>
      </c>
      <c r="E9" s="66">
        <f>'M2'!E9-'M1'!E9</f>
        <v>0</v>
      </c>
      <c r="F9" s="66">
        <f>'M2'!F9-'M1'!F9</f>
        <v>-0.51000000000000512</v>
      </c>
      <c r="G9" s="66">
        <f>'M2'!G9-'M1'!G9</f>
        <v>0</v>
      </c>
      <c r="H9" s="66">
        <f>'M2'!H9-'M1'!H9</f>
        <v>-5.4078000000000088</v>
      </c>
    </row>
    <row r="10" spans="1:8">
      <c r="A10" s="66" t="s">
        <v>248</v>
      </c>
      <c r="B10" s="66">
        <f>'M2'!B10-'M1'!B10</f>
        <v>-8.8950000000000102</v>
      </c>
      <c r="C10" s="66">
        <f>'M2'!C10-'M1'!C10</f>
        <v>-0.78448000000000007</v>
      </c>
      <c r="D10" s="66">
        <f>'M2'!D10-'M1'!D10</f>
        <v>-0.76784000000000008</v>
      </c>
      <c r="E10" s="66">
        <f>'M2'!E10-'M1'!E10</f>
        <v>0</v>
      </c>
      <c r="F10" s="66">
        <f>'M2'!F10-'M1'!F10</f>
        <v>-5.4483999999999924</v>
      </c>
      <c r="G10" s="66">
        <f>'M2'!G10-'M1'!G10</f>
        <v>0</v>
      </c>
      <c r="H10" s="66">
        <f>'M2'!H10-'M1'!H10</f>
        <v>-10.638000000000005</v>
      </c>
    </row>
    <row r="11" spans="1:8">
      <c r="A11" s="66" t="s">
        <v>249</v>
      </c>
      <c r="B11" s="66">
        <f>'M2'!B11-'M1'!B11</f>
        <v>0.21589999999999776</v>
      </c>
      <c r="C11" s="66">
        <f>'M2'!C11-'M1'!C11</f>
        <v>-1.3895100000000005</v>
      </c>
      <c r="D11" s="66">
        <f>'M2'!D11-'M1'!D11</f>
        <v>-5.7564000000000011</v>
      </c>
      <c r="E11" s="66">
        <f>'M2'!E11-'M1'!E11</f>
        <v>0</v>
      </c>
      <c r="F11" s="66">
        <f>'M2'!F11-'M1'!F11</f>
        <v>1.5695000000000014</v>
      </c>
      <c r="G11" s="66">
        <f>'M2'!G11-'M1'!G11</f>
        <v>0</v>
      </c>
      <c r="H11" s="66">
        <f>'M2'!H11-'M1'!H11</f>
        <v>-2.6299999999999102E-2</v>
      </c>
    </row>
    <row r="12" spans="1:8">
      <c r="A12" s="66" t="s">
        <v>250</v>
      </c>
      <c r="B12" s="66">
        <f>'M2'!B12-'M1'!B12</f>
        <v>-6.7441000000000031</v>
      </c>
      <c r="C12" s="66">
        <f>'M2'!C12-'M1'!C12</f>
        <v>-1.35893</v>
      </c>
      <c r="D12" s="66">
        <f>'M2'!D12-'M1'!D12</f>
        <v>-1.5169800000000002</v>
      </c>
      <c r="E12" s="66">
        <f>'M2'!E12-'M1'!E12</f>
        <v>0</v>
      </c>
      <c r="F12" s="66">
        <f>'M2'!F12-'M1'!F12</f>
        <v>-1.4271999999999991</v>
      </c>
      <c r="G12" s="66">
        <f>'M2'!G12-'M1'!G12</f>
        <v>0</v>
      </c>
      <c r="H12" s="66">
        <f>'M2'!H12-'M1'!H12</f>
        <v>-8.8421000000000021</v>
      </c>
    </row>
    <row r="13" spans="1:8">
      <c r="A13" s="66" t="s">
        <v>251</v>
      </c>
      <c r="B13" s="66">
        <f>'M2'!B13-'M1'!B13</f>
        <v>-3.5202000000000009</v>
      </c>
      <c r="C13" s="66">
        <f>'M2'!C13-'M1'!C13</f>
        <v>0.46523000000000003</v>
      </c>
      <c r="D13" s="66">
        <f>'M2'!D13-'M1'!D13</f>
        <v>6.9893999999999998</v>
      </c>
      <c r="E13" s="66">
        <f>'M2'!E13-'M1'!E13</f>
        <v>0</v>
      </c>
      <c r="F13" s="66">
        <f>'M2'!F13-'M1'!F13</f>
        <v>-0.57169999999999987</v>
      </c>
      <c r="G13" s="66">
        <f>'M2'!G13-'M1'!G13</f>
        <v>0</v>
      </c>
      <c r="H13" s="66">
        <f>'M2'!H13-'M1'!H13</f>
        <v>6.0279999999999987</v>
      </c>
    </row>
    <row r="14" spans="1:8">
      <c r="A14" s="66" t="s">
        <v>252</v>
      </c>
      <c r="B14" s="66">
        <f>'M2'!B14-'M1'!B14</f>
        <v>4.6523000000000039</v>
      </c>
      <c r="C14" s="66">
        <f>'M2'!C14-'M1'!C14</f>
        <v>4.2710999999999988</v>
      </c>
      <c r="D14" s="66">
        <f>'M2'!D14-'M1'!D14</f>
        <v>8.116100000000003</v>
      </c>
      <c r="E14" s="66">
        <f>'M2'!E14-'M1'!E14</f>
        <v>0</v>
      </c>
      <c r="F14" s="66">
        <f>'M2'!F14-'M1'!F14</f>
        <v>-1.11416</v>
      </c>
      <c r="G14" s="66">
        <f>'M2'!G14-'M1'!G14</f>
        <v>0</v>
      </c>
      <c r="H14" s="66">
        <f>'M2'!H14-'M1'!H14</f>
        <v>29.036799999999999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1.689699999999994E-2</v>
      </c>
      <c r="C18" s="66">
        <f>'M2'!C18-'M1'!C18</f>
        <v>2.04079E-2</v>
      </c>
      <c r="D18" s="66">
        <f>'M2'!D18-'M1'!D18</f>
        <v>3.74233E-2</v>
      </c>
      <c r="E18" s="66">
        <f>'M2'!E18-'M1'!E18</f>
        <v>0</v>
      </c>
      <c r="F18" s="66">
        <f>'M2'!F18-'M1'!F18</f>
        <v>0.524918</v>
      </c>
      <c r="G18" s="66">
        <f>'M2'!G18-'M1'!G18</f>
        <v>0</v>
      </c>
      <c r="H18" s="66">
        <f>'M2'!H18-'M1'!H18</f>
        <v>0.56573399999999996</v>
      </c>
    </row>
    <row r="19" spans="1:8">
      <c r="A19" s="66" t="s">
        <v>256</v>
      </c>
      <c r="B19" s="66">
        <f>'M2'!B19-'M1'!B19</f>
        <v>3.9028000000000063E-2</v>
      </c>
      <c r="C19" s="66">
        <f>'M2'!C19-'M1'!C19</f>
        <v>2.97642E-3</v>
      </c>
      <c r="D19" s="66">
        <f>'M2'!D19-'M1'!D19</f>
        <v>5.1722900000000004E-3</v>
      </c>
      <c r="E19" s="66">
        <f>'M2'!E19-'M1'!E19</f>
        <v>0</v>
      </c>
      <c r="F19" s="66">
        <f>'M2'!F19-'M1'!F19</f>
        <v>0.57247899999999996</v>
      </c>
      <c r="G19" s="66">
        <f>'M2'!G19-'M1'!G19</f>
        <v>0</v>
      </c>
      <c r="H19" s="66">
        <f>'M2'!H19-'M1'!H19</f>
        <v>0.57843100000000003</v>
      </c>
    </row>
    <row r="20" spans="1:8">
      <c r="A20" s="66" t="s">
        <v>63</v>
      </c>
      <c r="B20" s="66">
        <f>'M2'!B20-'M1'!B20</f>
        <v>1.7064200000000004E-4</v>
      </c>
      <c r="C20" s="66">
        <f>'M2'!C20-'M1'!C20</f>
        <v>-5.7149619999999998E-2</v>
      </c>
      <c r="D20" s="66">
        <f>'M2'!D20-'M1'!D20</f>
        <v>-68.755279999999999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-1.5401305999999999</v>
      </c>
    </row>
    <row r="21" spans="1:8">
      <c r="A21" s="66" t="s">
        <v>64</v>
      </c>
      <c r="B21" s="66">
        <f>'M2'!B21-'M1'!B21</f>
        <v>-1.8091900000000008E-2</v>
      </c>
      <c r="C21" s="66">
        <f>'M2'!C21-'M1'!C21</f>
        <v>-0.12240199999999998</v>
      </c>
      <c r="D21" s="66">
        <f>'M2'!D21-'M1'!D21</f>
        <v>-0.83986000000000027</v>
      </c>
      <c r="E21" s="66">
        <f>'M2'!E21-'M1'!E21</f>
        <v>0</v>
      </c>
      <c r="F21" s="66">
        <f>'M2'!F21-'M1'!F21</f>
        <v>1.4421200000000006E-4</v>
      </c>
      <c r="G21" s="66">
        <f>'M2'!G21-'M1'!G21</f>
        <v>0</v>
      </c>
      <c r="H21" s="66">
        <f>'M2'!H21-'M1'!H21</f>
        <v>-1.293687</v>
      </c>
    </row>
    <row r="22" spans="1:8">
      <c r="A22" s="66" t="s">
        <v>65</v>
      </c>
      <c r="B22" s="66">
        <f>'M2'!B22-'M1'!B22</f>
        <v>-0.90879999999999939</v>
      </c>
      <c r="C22" s="66">
        <f>'M2'!C22-'M1'!C22</f>
        <v>0.18184999999999985</v>
      </c>
      <c r="D22" s="66">
        <f>'M2'!D22-'M1'!D22</f>
        <v>8.8000000000000023E-3</v>
      </c>
      <c r="E22" s="66">
        <f>'M2'!E22-'M1'!E22</f>
        <v>0</v>
      </c>
      <c r="F22" s="66">
        <f>'M2'!F22-'M1'!F22</f>
        <v>-2.1297999999999995</v>
      </c>
      <c r="G22" s="66">
        <f>'M2'!G22-'M1'!G22</f>
        <v>0</v>
      </c>
      <c r="H22" s="66">
        <f>'M2'!H22-'M1'!H22</f>
        <v>0.72339999999999804</v>
      </c>
    </row>
    <row r="23" spans="1:8">
      <c r="A23" s="66" t="s">
        <v>66</v>
      </c>
      <c r="B23" s="66">
        <f>'M2'!B23-'M1'!B23</f>
        <v>0.92760000000000176</v>
      </c>
      <c r="C23" s="66">
        <f>'M2'!C23-'M1'!C23</f>
        <v>-0.61930999999999981</v>
      </c>
      <c r="D23" s="66">
        <f>'M2'!D23-'M1'!D23</f>
        <v>-3.7487400000000004E-2</v>
      </c>
      <c r="E23" s="66">
        <f>'M2'!E23-'M1'!E23</f>
        <v>0</v>
      </c>
      <c r="F23" s="66">
        <f>'M2'!F23-'M1'!F23</f>
        <v>1.4127999999999989</v>
      </c>
      <c r="G23" s="66">
        <f>'M2'!G23-'M1'!G23</f>
        <v>0</v>
      </c>
      <c r="H23" s="66">
        <f>'M2'!H23-'M1'!H23</f>
        <v>0.5143000000000022</v>
      </c>
    </row>
    <row r="24" spans="1:8">
      <c r="A24" s="66" t="s">
        <v>67</v>
      </c>
      <c r="B24" s="66">
        <f>'M2'!B24-'M1'!B24</f>
        <v>5.8579999999999917E-5</v>
      </c>
      <c r="C24" s="66">
        <f>'M2'!C24-'M1'!C24</f>
        <v>-1.6544980000000001E-2</v>
      </c>
      <c r="D24" s="66">
        <f>'M2'!D24-'M1'!D24</f>
        <v>-10.049810000000001</v>
      </c>
      <c r="E24" s="66">
        <f>'M2'!E24-'M1'!E24</f>
        <v>0</v>
      </c>
      <c r="F24" s="66">
        <f>'M2'!F24-'M1'!F24</f>
        <v>2.3494900000000004E-5</v>
      </c>
      <c r="G24" s="66">
        <f>'M2'!G24-'M1'!G24</f>
        <v>0</v>
      </c>
      <c r="H24" s="66">
        <f>'M2'!H24-'M1'!H24</f>
        <v>-0.1376473</v>
      </c>
    </row>
    <row r="25" spans="1:8">
      <c r="A25" s="66" t="s">
        <v>68</v>
      </c>
      <c r="B25" s="66">
        <f>'M2'!B25-'M1'!B25</f>
        <v>-4.2335000000000012E-2</v>
      </c>
      <c r="C25" s="66">
        <f>'M2'!C25-'M1'!C25</f>
        <v>-9.2888999999999999E-2</v>
      </c>
      <c r="D25" s="66">
        <f>'M2'!D25-'M1'!D25</f>
        <v>-0.44362399999999996</v>
      </c>
      <c r="E25" s="66">
        <f>'M2'!E25-'M1'!E25</f>
        <v>0</v>
      </c>
      <c r="F25" s="66">
        <f>'M2'!F25-'M1'!F25</f>
        <v>-1.2675499999999999E-2</v>
      </c>
      <c r="G25" s="66">
        <f>'M2'!G25-'M1'!G25</f>
        <v>0</v>
      </c>
      <c r="H25" s="66">
        <f>'M2'!H25-'M1'!H25</f>
        <v>-0.30900499999999997</v>
      </c>
    </row>
    <row r="26" spans="1:8">
      <c r="A26" s="66" t="s">
        <v>69</v>
      </c>
      <c r="B26" s="66">
        <f>'M2'!B26-'M1'!B26</f>
        <v>6.8932999999999972E-5</v>
      </c>
      <c r="C26" s="66">
        <f>'M2'!C26-'M1'!C26</f>
        <v>-6.8211200000000008E-3</v>
      </c>
      <c r="D26" s="66">
        <f>'M2'!D26-'M1'!D26</f>
        <v>-33.176349999999999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-0.18841252</v>
      </c>
    </row>
    <row r="27" spans="1:8">
      <c r="A27" s="66" t="s">
        <v>70</v>
      </c>
      <c r="B27" s="66">
        <f>'M2'!B27-'M1'!B27</f>
        <v>-3.2825599999999999E-6</v>
      </c>
      <c r="C27" s="66">
        <f>'M2'!C27-'M1'!C27</f>
        <v>-1.0109438E-2</v>
      </c>
      <c r="D27" s="66">
        <f>'M2'!D27-'M1'!D27</f>
        <v>-301.94799999999998</v>
      </c>
      <c r="E27" s="66">
        <f>'M2'!E27-'M1'!E27</f>
        <v>0</v>
      </c>
      <c r="F27" s="66">
        <f>'M2'!F27-'M1'!F27</f>
        <v>0.19229574999999999</v>
      </c>
      <c r="G27" s="66">
        <f>'M2'!G27-'M1'!G27</f>
        <v>0</v>
      </c>
      <c r="H27" s="66">
        <f>'M2'!H27-'M1'!H27</f>
        <v>-0.19069413999999998</v>
      </c>
    </row>
    <row r="28" spans="1:8">
      <c r="A28" s="66" t="s">
        <v>71</v>
      </c>
      <c r="B28" s="66">
        <f>'M2'!B28-'M1'!B28</f>
        <v>-2.0964E-3</v>
      </c>
      <c r="C28" s="66">
        <f>'M2'!C28-'M1'!C28</f>
        <v>-1.2850500000000001E-2</v>
      </c>
      <c r="D28" s="66">
        <f>'M2'!D28-'M1'!D28</f>
        <v>-0.67110000000000003</v>
      </c>
      <c r="E28" s="66">
        <f>'M2'!E28-'M1'!E28</f>
        <v>0</v>
      </c>
      <c r="F28" s="66">
        <f>'M2'!F28-'M1'!F28</f>
        <v>1.1393270000000001E-4</v>
      </c>
      <c r="G28" s="66">
        <f>'M2'!G28-'M1'!G28</f>
        <v>0</v>
      </c>
      <c r="H28" s="66">
        <f>'M2'!H28-'M1'!H28</f>
        <v>-0.1737628</v>
      </c>
    </row>
    <row r="29" spans="1:8">
      <c r="A29" s="66" t="s">
        <v>72</v>
      </c>
      <c r="B29" s="66">
        <f>'M2'!B29-'M1'!B29</f>
        <v>-1.055800000000005</v>
      </c>
      <c r="C29" s="66">
        <f>'M2'!C29-'M1'!C29</f>
        <v>4.019400000000001</v>
      </c>
      <c r="D29" s="66">
        <f>'M2'!D29-'M1'!D29</f>
        <v>5.8091000000000004E-2</v>
      </c>
      <c r="E29" s="66">
        <f>'M2'!E29-'M1'!E29</f>
        <v>0</v>
      </c>
      <c r="F29" s="66">
        <f>'M2'!F29-'M1'!F29</f>
        <v>-3.7102000000000004</v>
      </c>
      <c r="G29" s="66">
        <f>'M2'!G29-'M1'!G29</f>
        <v>0</v>
      </c>
      <c r="H29" s="66">
        <f>'M2'!H29-'M1'!H29</f>
        <v>24.846599999999995</v>
      </c>
    </row>
    <row r="30" spans="1:8">
      <c r="A30" s="66" t="s">
        <v>73</v>
      </c>
      <c r="B30" s="66">
        <f>'M2'!B30-'M1'!B30</f>
        <v>4.9529999999999994</v>
      </c>
      <c r="C30" s="66">
        <f>'M2'!C30-'M1'!C30</f>
        <v>-0.29095999999999966</v>
      </c>
      <c r="D30" s="66">
        <f>'M2'!D30-'M1'!D30</f>
        <v>-2.7685000000000001E-2</v>
      </c>
      <c r="E30" s="66">
        <f>'M2'!E30-'M1'!E30</f>
        <v>0</v>
      </c>
      <c r="F30" s="66">
        <f>'M2'!F30-'M1'!F30</f>
        <v>6.7576999999999998</v>
      </c>
      <c r="G30" s="66">
        <f>'M2'!G30-'M1'!G30</f>
        <v>0</v>
      </c>
      <c r="H30" s="66">
        <f>'M2'!H30-'M1'!H30</f>
        <v>7.1620999999999988</v>
      </c>
    </row>
    <row r="31" spans="1:8">
      <c r="A31" s="66" t="s">
        <v>74</v>
      </c>
      <c r="B31" s="66">
        <f>'M2'!B31-'M1'!B31</f>
        <v>-2.2710000000000008</v>
      </c>
      <c r="C31" s="66">
        <f>'M2'!C31-'M1'!C31</f>
        <v>-6.0462199999999999</v>
      </c>
      <c r="D31" s="66">
        <f>'M2'!D31-'M1'!D31</f>
        <v>-5.4081899999999988E-2</v>
      </c>
      <c r="E31" s="66">
        <f>'M2'!E31-'M1'!E31</f>
        <v>0</v>
      </c>
      <c r="F31" s="66">
        <f>'M2'!F31-'M1'!F31</f>
        <v>7.7879999999999967</v>
      </c>
      <c r="G31" s="66">
        <f>'M2'!G31-'M1'!G31</f>
        <v>0</v>
      </c>
      <c r="H31" s="66">
        <f>'M2'!H31-'M1'!H31</f>
        <v>-14.019999999999996</v>
      </c>
    </row>
    <row r="32" spans="1:8">
      <c r="A32" s="66" t="s">
        <v>75</v>
      </c>
      <c r="B32" s="66">
        <f>'M2'!B32-'M1'!B32</f>
        <v>4.6884000000000037E-2</v>
      </c>
      <c r="C32" s="66">
        <f>'M2'!C32-'M1'!C32</f>
        <v>-7.567370000000001E-2</v>
      </c>
      <c r="D32" s="66">
        <f>'M2'!D32-'M1'!D32</f>
        <v>-0.27460499999999999</v>
      </c>
      <c r="E32" s="66">
        <f>'M2'!E32-'M1'!E32</f>
        <v>0</v>
      </c>
      <c r="F32" s="66">
        <f>'M2'!F32-'M1'!F32</f>
        <v>0.10247299999999999</v>
      </c>
      <c r="G32" s="66">
        <f>'M2'!G32-'M1'!G32</f>
        <v>0</v>
      </c>
      <c r="H32" s="66">
        <f>'M2'!H32-'M1'!H32</f>
        <v>-7.5080000000000036E-2</v>
      </c>
    </row>
    <row r="33" spans="1:8">
      <c r="A33" s="66" t="s">
        <v>76</v>
      </c>
      <c r="B33" s="66">
        <f>'M2'!B33-'M1'!B33</f>
        <v>-1.7850000000000033E-2</v>
      </c>
      <c r="C33" s="66">
        <f>'M2'!C33-'M1'!C33</f>
        <v>-1.4470100000000003E-2</v>
      </c>
      <c r="D33" s="66">
        <f>'M2'!D33-'M1'!D33</f>
        <v>-3.0269100000000007E-2</v>
      </c>
      <c r="E33" s="66">
        <f>'M2'!E33-'M1'!E33</f>
        <v>0</v>
      </c>
      <c r="F33" s="66">
        <f>'M2'!F33-'M1'!F33</f>
        <v>6.2130000000000241E-3</v>
      </c>
      <c r="G33" s="66">
        <f>'M2'!G33-'M1'!G33</f>
        <v>0</v>
      </c>
      <c r="H33" s="66">
        <f>'M2'!H33-'M1'!H33</f>
        <v>-2.6140000000000052E-3</v>
      </c>
    </row>
    <row r="34" spans="1:8">
      <c r="A34" s="66" t="s">
        <v>77</v>
      </c>
      <c r="B34" s="66">
        <f>'M2'!B34-'M1'!B34</f>
        <v>-3.5201999999999983E-2</v>
      </c>
      <c r="C34" s="66">
        <f>'M2'!C34-'M1'!C34</f>
        <v>4.6522999999999981E-3</v>
      </c>
      <c r="D34" s="66">
        <f>'M2'!D34-'M1'!D34</f>
        <v>6.9894000000000012E-2</v>
      </c>
      <c r="E34" s="66">
        <f>'M2'!E34-'M1'!E34</f>
        <v>0</v>
      </c>
      <c r="F34" s="66">
        <f>'M2'!F34-'M1'!F34</f>
        <v>-5.716999999999986E-3</v>
      </c>
      <c r="G34" s="66">
        <f>'M2'!G34-'M1'!G34</f>
        <v>0</v>
      </c>
      <c r="H34" s="66">
        <f>'M2'!H34-'M1'!H34</f>
        <v>6.028E-2</v>
      </c>
    </row>
    <row r="35" spans="1:8">
      <c r="A35" s="66" t="s">
        <v>78</v>
      </c>
      <c r="B35" s="66">
        <f>'M2'!B35-'M1'!B35</f>
        <v>-2.0886800000000004E-2</v>
      </c>
      <c r="C35" s="66">
        <f>'M2'!C35-'M1'!C35</f>
        <v>3.669699999999998E-3</v>
      </c>
      <c r="D35" s="66">
        <f>'M2'!D35-'M1'!D35</f>
        <v>0.16645700000000002</v>
      </c>
      <c r="E35" s="66">
        <f>'M2'!E35-'M1'!E35</f>
        <v>0</v>
      </c>
      <c r="F35" s="66">
        <f>'M2'!F35-'M1'!F35</f>
        <v>-1.2641499999999996E-2</v>
      </c>
      <c r="G35" s="66">
        <f>'M2'!G35-'M1'!G35</f>
        <v>0</v>
      </c>
      <c r="H35" s="66">
        <f>'M2'!H35-'M1'!H35</f>
        <v>4.6542E-2</v>
      </c>
    </row>
    <row r="36" spans="1:8">
      <c r="A36" s="66" t="s">
        <v>79</v>
      </c>
      <c r="B36" s="66">
        <f>'M2'!B36-'M1'!B36</f>
        <v>-2.0696999999999993E-2</v>
      </c>
      <c r="C36" s="66">
        <f>'M2'!C36-'M1'!C36</f>
        <v>-1.2391700000000005E-2</v>
      </c>
      <c r="D36" s="66">
        <f>'M2'!D36-'M1'!D36</f>
        <v>2.1290000000000475E-3</v>
      </c>
      <c r="E36" s="66">
        <f>'M2'!E36-'M1'!E36</f>
        <v>0</v>
      </c>
      <c r="F36" s="66">
        <f>'M2'!F36-'M1'!F36</f>
        <v>3.5309999999999994E-3</v>
      </c>
      <c r="G36" s="66">
        <f>'M2'!G36-'M1'!G36</f>
        <v>0</v>
      </c>
      <c r="H36" s="66">
        <f>'M2'!H36-'M1'!H36</f>
        <v>0.19389700000000004</v>
      </c>
    </row>
    <row r="37" spans="1:8">
      <c r="A37" s="66" t="s">
        <v>80</v>
      </c>
      <c r="B37" s="66">
        <f>'M2'!B37-'M1'!B37</f>
        <v>4.6522999999999981E-2</v>
      </c>
      <c r="C37" s="66">
        <f>'M2'!C37-'M1'!C37</f>
        <v>4.2711000000000013E-2</v>
      </c>
      <c r="D37" s="66">
        <f>'M2'!D37-'M1'!D37</f>
        <v>8.1160999999999983E-2</v>
      </c>
      <c r="E37" s="66">
        <f>'M2'!E37-'M1'!E37</f>
        <v>0</v>
      </c>
      <c r="F37" s="66">
        <f>'M2'!F37-'M1'!F37</f>
        <v>-1.11416E-2</v>
      </c>
      <c r="G37" s="66">
        <f>'M2'!G37-'M1'!G37</f>
        <v>0</v>
      </c>
      <c r="H37" s="66">
        <f>'M2'!H37-'M1'!H37</f>
        <v>0.29036800000000001</v>
      </c>
    </row>
    <row r="38" spans="1:8">
      <c r="A38" s="66" t="s">
        <v>81</v>
      </c>
      <c r="B38" s="66">
        <f>'M2'!B38-'M1'!B38</f>
        <v>6.4539000000000009</v>
      </c>
      <c r="C38" s="66">
        <f>'M2'!C38-'M1'!C38</f>
        <v>0.28640000000000043</v>
      </c>
      <c r="D38" s="66">
        <f>'M2'!D38-'M1'!D38</f>
        <v>-0.47377999999999987</v>
      </c>
      <c r="E38" s="66">
        <f>'M2'!E38-'M1'!E38</f>
        <v>0</v>
      </c>
      <c r="F38" s="66">
        <f>'M2'!F38-'M1'!F38</f>
        <v>0.58859999999999957</v>
      </c>
      <c r="G38" s="66">
        <f>'M2'!G38-'M1'!G38</f>
        <v>0</v>
      </c>
      <c r="H38" s="66">
        <f>'M2'!H38-'M1'!H38</f>
        <v>-21.395600000000002</v>
      </c>
    </row>
    <row r="39" spans="1:8">
      <c r="A39" s="66" t="s">
        <v>82</v>
      </c>
      <c r="B39" s="66">
        <f>'M2'!B39-'M1'!B39</f>
        <v>-0.22422000000000075</v>
      </c>
      <c r="C39" s="66">
        <f>'M2'!C39-'M1'!C39</f>
        <v>-0.49595000000000011</v>
      </c>
      <c r="D39" s="66">
        <f>'M2'!D39-'M1'!D39</f>
        <v>5.9666000000000025E-2</v>
      </c>
      <c r="E39" s="66">
        <f>'M2'!E39-'M1'!E39</f>
        <v>0</v>
      </c>
      <c r="F39" s="66">
        <f>'M2'!F39-'M1'!F39</f>
        <v>3.5042000000000009</v>
      </c>
      <c r="G39" s="66">
        <f>'M2'!G39-'M1'!G39</f>
        <v>0</v>
      </c>
      <c r="H39" s="66">
        <f>'M2'!H39-'M1'!H39</f>
        <v>-0.18018000000000001</v>
      </c>
    </row>
    <row r="40" spans="1:8">
      <c r="A40" s="66" t="s">
        <v>83</v>
      </c>
      <c r="B40" s="66">
        <f>'M2'!B40-'M1'!B40</f>
        <v>1.8087</v>
      </c>
      <c r="C40" s="66">
        <f>'M2'!C40-'M1'!C40</f>
        <v>-1.1995979999999999</v>
      </c>
      <c r="D40" s="66">
        <f>'M2'!D40-'M1'!D40</f>
        <v>0.16464959999999998</v>
      </c>
      <c r="E40" s="66">
        <f>'M2'!E40-'M1'!E40</f>
        <v>0</v>
      </c>
      <c r="F40" s="66">
        <f>'M2'!F40-'M1'!F40</f>
        <v>3.42821</v>
      </c>
      <c r="G40" s="66">
        <f>'M2'!G40-'M1'!G40</f>
        <v>0</v>
      </c>
      <c r="H40" s="66">
        <f>'M2'!H40-'M1'!H40</f>
        <v>9.1679999999999762E-2</v>
      </c>
    </row>
    <row r="41" spans="1:8">
      <c r="A41" s="66" t="s">
        <v>84</v>
      </c>
      <c r="B41" s="66">
        <f>'M2'!B41-'M1'!B41</f>
        <v>-9.5810000000000062E-3</v>
      </c>
      <c r="C41" s="66">
        <f>'M2'!C41-'M1'!C41</f>
        <v>9.8920000000000119E-3</v>
      </c>
      <c r="D41" s="66">
        <f>'M2'!D41-'M1'!D41</f>
        <v>1.1560000000000015E-2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-1.4049999999999896E-3</v>
      </c>
      <c r="C42" s="66">
        <f>'M2'!C42-'M1'!C42</f>
        <v>-3.9293200000000007E-2</v>
      </c>
      <c r="D42" s="66">
        <f>'M2'!D42-'M1'!D42</f>
        <v>0.17473600000000003</v>
      </c>
      <c r="E42" s="66">
        <f>'M2'!E42-'M1'!E42</f>
        <v>0</v>
      </c>
      <c r="F42" s="66">
        <f>'M2'!F42-'M1'!F42</f>
        <v>0.18783400000000006</v>
      </c>
      <c r="G42" s="66">
        <f>'M2'!G42-'M1'!G42</f>
        <v>0</v>
      </c>
      <c r="H42" s="66">
        <f>'M2'!H42-'M1'!H42</f>
        <v>3.64926E-2</v>
      </c>
    </row>
    <row r="43" spans="1:8">
      <c r="A43" s="66" t="s">
        <v>86</v>
      </c>
      <c r="B43" s="66">
        <f>'M2'!B43-'M1'!B43</f>
        <v>6.3844000000000012E-2</v>
      </c>
      <c r="C43" s="66">
        <f>'M2'!C43-'M1'!C43</f>
        <v>-2.1231300000000002E-2</v>
      </c>
      <c r="D43" s="66">
        <f>'M2'!D43-'M1'!D43</f>
        <v>5.7595300000000002E-2</v>
      </c>
      <c r="E43" s="66">
        <f>'M2'!E43-'M1'!E43</f>
        <v>0</v>
      </c>
      <c r="F43" s="66">
        <f>'M2'!F43-'M1'!F43</f>
        <v>7.5727000000000017E-2</v>
      </c>
      <c r="G43" s="66">
        <f>'M2'!G43-'M1'!G43</f>
        <v>0</v>
      </c>
      <c r="H43" s="66">
        <f>'M2'!H43-'M1'!H43</f>
        <v>2.3269999999999957E-3</v>
      </c>
    </row>
    <row r="44" spans="1:8">
      <c r="A44" s="66" t="s">
        <v>87</v>
      </c>
      <c r="B44" s="66">
        <f>'M2'!B44-'M1'!B44</f>
        <v>-20.072690000000001</v>
      </c>
      <c r="C44" s="66">
        <f>'M2'!C44-'M1'!C44</f>
        <v>6.3384800000000006</v>
      </c>
      <c r="D44" s="66">
        <f>'M2'!D44-'M1'!D44</f>
        <v>-1.837442</v>
      </c>
      <c r="E44" s="66">
        <f>'M2'!E44-'M1'!E44</f>
        <v>0</v>
      </c>
      <c r="F44" s="66">
        <f>'M2'!F44-'M1'!F44</f>
        <v>-28.915970000000002</v>
      </c>
      <c r="G44" s="66">
        <f>'M2'!G44-'M1'!G44</f>
        <v>0</v>
      </c>
      <c r="H44" s="66">
        <f>'M2'!H44-'M1'!H44</f>
        <v>-12.529350000000001</v>
      </c>
    </row>
    <row r="45" spans="1:8">
      <c r="A45" s="66" t="s">
        <v>88</v>
      </c>
      <c r="B45" s="66">
        <f>'M2'!B45-'M1'!B45</f>
        <v>0.51769999999999783</v>
      </c>
      <c r="C45" s="66">
        <f>'M2'!C45-'M1'!C45</f>
        <v>0.81240000000000023</v>
      </c>
      <c r="D45" s="66">
        <f>'M2'!D45-'M1'!D45</f>
        <v>1.4425999999999994E-2</v>
      </c>
      <c r="E45" s="66">
        <f>'M2'!E45-'M1'!E45</f>
        <v>0</v>
      </c>
      <c r="F45" s="66">
        <f>'M2'!F45-'M1'!F45</f>
        <v>1.0343000000000018</v>
      </c>
      <c r="G45" s="66">
        <f>'M2'!G45-'M1'!G45</f>
        <v>0</v>
      </c>
      <c r="H45" s="66">
        <f>'M2'!H45-'M1'!H45</f>
        <v>1.5705000000000098</v>
      </c>
    </row>
    <row r="46" spans="1:8">
      <c r="A46" s="66" t="s">
        <v>89</v>
      </c>
      <c r="B46" s="66">
        <f>'M2'!B46-'M1'!B46</f>
        <v>3.672699999999999</v>
      </c>
      <c r="C46" s="66">
        <f>'M2'!C46-'M1'!C46</f>
        <v>-2.5660799999999999</v>
      </c>
      <c r="D46" s="66">
        <f>'M2'!D46-'M1'!D46</f>
        <v>-9.9985400000000002E-2</v>
      </c>
      <c r="E46" s="66">
        <f>'M2'!E46-'M1'!E46</f>
        <v>0</v>
      </c>
      <c r="F46" s="66">
        <f>'M2'!F46-'M1'!F46</f>
        <v>14.406799999999999</v>
      </c>
      <c r="G46" s="66">
        <f>'M2'!G46-'M1'!G46</f>
        <v>0</v>
      </c>
      <c r="H46" s="66">
        <f>'M2'!H46-'M1'!H46</f>
        <v>6.1946000000000012</v>
      </c>
    </row>
    <row r="47" spans="1:8">
      <c r="A47" s="66" t="s">
        <v>90</v>
      </c>
      <c r="B47" s="66">
        <f>'M2'!B47-'M1'!B47</f>
        <v>-0.19167999999999996</v>
      </c>
      <c r="C47" s="66">
        <f>'M2'!C47-'M1'!C47</f>
        <v>-1.5170000000000017E-2</v>
      </c>
      <c r="D47" s="66">
        <f>'M2'!D47-'M1'!D47</f>
        <v>5.2420000000000022E-2</v>
      </c>
      <c r="E47" s="66">
        <f>'M2'!E47-'M1'!E47</f>
        <v>0</v>
      </c>
      <c r="F47" s="66">
        <f>'M2'!F47-'M1'!F47</f>
        <v>6.0125999999999957E-2</v>
      </c>
      <c r="G47" s="66">
        <f>'M2'!G47-'M1'!G47</f>
        <v>0</v>
      </c>
      <c r="H47" s="66">
        <f>'M2'!H47-'M1'!H47</f>
        <v>0.50626000000000015</v>
      </c>
    </row>
    <row r="48" spans="1:8">
      <c r="A48" s="66" t="s">
        <v>91</v>
      </c>
      <c r="B48" s="66">
        <f>'M2'!B48-'M1'!B48</f>
        <v>-0.4215040000000001</v>
      </c>
      <c r="C48" s="66">
        <f>'M2'!C48-'M1'!C48</f>
        <v>-0.14515300000000003</v>
      </c>
      <c r="D48" s="66">
        <f>'M2'!D48-'M1'!D48</f>
        <v>-6.0207999999999984E-2</v>
      </c>
      <c r="E48" s="66">
        <f>'M2'!E48-'M1'!E48</f>
        <v>0</v>
      </c>
      <c r="F48" s="66">
        <f>'M2'!F48-'M1'!F48</f>
        <v>-5.0520000000000009E-2</v>
      </c>
      <c r="G48" s="66">
        <f>'M2'!G48-'M1'!G48</f>
        <v>0</v>
      </c>
      <c r="H48" s="66">
        <f>'M2'!H48-'M1'!H48</f>
        <v>-0.39959999999999996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37.048200000000001</v>
      </c>
      <c r="C5" s="66">
        <v>6.0208000000000004</v>
      </c>
      <c r="D5" s="66">
        <v>16.251300000000001</v>
      </c>
      <c r="E5" s="66">
        <v>20</v>
      </c>
      <c r="F5" s="66">
        <v>19.228300000000001</v>
      </c>
      <c r="G5" s="66">
        <v>50</v>
      </c>
      <c r="H5" s="66">
        <v>46.726599999999998</v>
      </c>
    </row>
    <row r="6" spans="1:8">
      <c r="A6" s="66" t="s">
        <v>358</v>
      </c>
      <c r="B6" s="66">
        <v>31.1159</v>
      </c>
      <c r="C6" s="66">
        <v>1.7454499999999999</v>
      </c>
      <c r="D6" s="66">
        <v>5.6094999999999997</v>
      </c>
      <c r="E6" s="66">
        <v>20</v>
      </c>
      <c r="F6" s="66">
        <v>25.284300000000002</v>
      </c>
      <c r="G6" s="66">
        <v>40</v>
      </c>
      <c r="H6" s="66">
        <v>33.587699999999998</v>
      </c>
    </row>
    <row r="7" spans="1:8">
      <c r="A7" s="66" t="s">
        <v>359</v>
      </c>
      <c r="B7" s="66">
        <v>29.369700000000002</v>
      </c>
      <c r="C7" s="66">
        <v>11.183199999999999</v>
      </c>
      <c r="D7" s="66">
        <v>38.077199999999998</v>
      </c>
      <c r="E7" s="66">
        <v>15</v>
      </c>
      <c r="F7" s="66">
        <v>12.2454</v>
      </c>
      <c r="G7" s="66">
        <v>40</v>
      </c>
      <c r="H7" s="66">
        <v>52.4024</v>
      </c>
    </row>
    <row r="8" spans="1:8">
      <c r="A8" s="66" t="s">
        <v>360</v>
      </c>
      <c r="B8" s="66">
        <v>32.693800000000003</v>
      </c>
      <c r="C8" s="66">
        <v>3.7972199999999998</v>
      </c>
      <c r="D8" s="66">
        <v>11.6145</v>
      </c>
      <c r="E8" s="66">
        <v>20</v>
      </c>
      <c r="F8" s="66">
        <v>21.6342</v>
      </c>
      <c r="G8" s="66">
        <v>50</v>
      </c>
      <c r="H8" s="66">
        <v>39.545000000000002</v>
      </c>
    </row>
    <row r="9" spans="1:8">
      <c r="A9" s="66" t="s">
        <v>361</v>
      </c>
      <c r="B9" s="66">
        <v>72.3125</v>
      </c>
      <c r="C9" s="66">
        <v>5.9591500000000002</v>
      </c>
      <c r="D9" s="66">
        <v>8.2408300000000008</v>
      </c>
      <c r="E9" s="66">
        <v>50</v>
      </c>
      <c r="F9" s="66">
        <v>55.679900000000004</v>
      </c>
      <c r="G9" s="66">
        <v>100</v>
      </c>
      <c r="H9" s="66">
        <v>82.540800000000004</v>
      </c>
    </row>
    <row r="10" spans="1:8">
      <c r="A10" s="66" t="s">
        <v>362</v>
      </c>
      <c r="B10" s="66">
        <v>77.045500000000004</v>
      </c>
      <c r="C10" s="66">
        <v>2.26234</v>
      </c>
      <c r="D10" s="66">
        <v>2.9363700000000001</v>
      </c>
      <c r="E10" s="66">
        <v>40</v>
      </c>
      <c r="F10" s="66">
        <v>69.897499999999994</v>
      </c>
      <c r="G10" s="66">
        <v>100</v>
      </c>
      <c r="H10" s="66">
        <v>81.046300000000002</v>
      </c>
    </row>
    <row r="11" spans="1:8">
      <c r="A11" s="66" t="s">
        <v>363</v>
      </c>
      <c r="B11" s="66">
        <v>24.610600000000002</v>
      </c>
      <c r="C11" s="66">
        <v>4.5150300000000003</v>
      </c>
      <c r="D11" s="66">
        <v>18.3459</v>
      </c>
      <c r="E11" s="66">
        <v>10</v>
      </c>
      <c r="F11" s="66">
        <v>16.632899999999999</v>
      </c>
      <c r="G11" s="66">
        <v>50</v>
      </c>
      <c r="H11" s="66">
        <v>30.4041</v>
      </c>
    </row>
    <row r="12" spans="1:8">
      <c r="A12" s="66" t="s">
        <v>364</v>
      </c>
      <c r="B12" s="66">
        <v>74.925600000000003</v>
      </c>
      <c r="C12" s="66">
        <v>3.6065800000000001</v>
      </c>
      <c r="D12" s="66">
        <v>4.8135500000000002</v>
      </c>
      <c r="E12" s="66">
        <v>50</v>
      </c>
      <c r="F12" s="66">
        <v>63.830599999999997</v>
      </c>
      <c r="G12" s="66">
        <v>100</v>
      </c>
      <c r="H12" s="66">
        <v>81.793599999999998</v>
      </c>
    </row>
    <row r="13" spans="1:8">
      <c r="A13" s="66" t="s">
        <v>365</v>
      </c>
      <c r="B13" s="66">
        <v>17.9831</v>
      </c>
      <c r="C13" s="66">
        <v>2.7874099999999999</v>
      </c>
      <c r="D13" s="66">
        <v>15.5002</v>
      </c>
      <c r="E13" s="66">
        <v>10</v>
      </c>
      <c r="F13" s="66">
        <v>12.7264</v>
      </c>
      <c r="G13" s="66">
        <v>25</v>
      </c>
      <c r="H13" s="66">
        <v>25.2437</v>
      </c>
    </row>
    <row r="14" spans="1:8">
      <c r="A14" s="66" t="s">
        <v>366</v>
      </c>
      <c r="B14" s="66">
        <v>27.874099999999999</v>
      </c>
      <c r="C14" s="66">
        <v>9.7733000000000008</v>
      </c>
      <c r="D14" s="66">
        <v>35.0623</v>
      </c>
      <c r="E14" s="66">
        <v>10</v>
      </c>
      <c r="F14" s="66">
        <v>2.3423400000000001</v>
      </c>
      <c r="G14" s="66">
        <v>50</v>
      </c>
      <c r="H14" s="66">
        <v>31.285299999999999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0.52842900000000004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0.53642699999999999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8.4549799999999997E-4</v>
      </c>
      <c r="C20" s="66">
        <v>6.30024E-2</v>
      </c>
      <c r="D20" s="66">
        <v>74.515100000000004</v>
      </c>
      <c r="E20" s="66">
        <v>0</v>
      </c>
      <c r="F20" s="66">
        <v>0</v>
      </c>
      <c r="G20" s="66">
        <v>0</v>
      </c>
      <c r="H20" s="66">
        <v>1.60168</v>
      </c>
    </row>
    <row r="21" spans="1:8">
      <c r="A21" s="66" t="s">
        <v>373</v>
      </c>
      <c r="B21" s="66">
        <v>0.109378</v>
      </c>
      <c r="C21" s="66">
        <v>0.27648899999999998</v>
      </c>
      <c r="D21" s="66">
        <v>2.5278200000000002</v>
      </c>
      <c r="E21" s="66">
        <v>0</v>
      </c>
      <c r="F21" s="66">
        <v>4.3752599999999998E-4</v>
      </c>
      <c r="G21" s="66">
        <v>0</v>
      </c>
      <c r="H21" s="66">
        <v>1.9982500000000001</v>
      </c>
    </row>
    <row r="22" spans="1:8">
      <c r="A22" s="66" t="s">
        <v>374</v>
      </c>
      <c r="B22" s="66">
        <v>39.482100000000003</v>
      </c>
      <c r="C22" s="66">
        <v>6.8461600000000002</v>
      </c>
      <c r="D22" s="66">
        <v>0.173399</v>
      </c>
      <c r="E22" s="66">
        <v>0</v>
      </c>
      <c r="F22" s="66">
        <v>26.928699999999999</v>
      </c>
      <c r="G22" s="66">
        <v>0</v>
      </c>
      <c r="H22" s="66">
        <v>57.041699999999999</v>
      </c>
    </row>
    <row r="23" spans="1:8">
      <c r="A23" s="66" t="s">
        <v>375</v>
      </c>
      <c r="B23" s="66">
        <v>18.082699999999999</v>
      </c>
      <c r="C23" s="66">
        <v>1.8195699999999999</v>
      </c>
      <c r="D23" s="66">
        <v>0.10062500000000001</v>
      </c>
      <c r="E23" s="66">
        <v>0</v>
      </c>
      <c r="F23" s="66">
        <v>15.0495</v>
      </c>
      <c r="G23" s="66">
        <v>0</v>
      </c>
      <c r="H23" s="66">
        <v>21.707799999999999</v>
      </c>
    </row>
    <row r="24" spans="1:8">
      <c r="A24" s="66" t="s">
        <v>376</v>
      </c>
      <c r="B24" s="66">
        <v>1.6597000000000001E-3</v>
      </c>
      <c r="C24" s="66">
        <v>2.0495800000000002E-2</v>
      </c>
      <c r="D24" s="66">
        <v>12.3491</v>
      </c>
      <c r="E24" s="66">
        <v>0</v>
      </c>
      <c r="F24" s="196">
        <v>5.53855E-5</v>
      </c>
      <c r="G24" s="66">
        <v>0</v>
      </c>
      <c r="H24" s="66">
        <v>0.16159699999999999</v>
      </c>
    </row>
    <row r="25" spans="1:8">
      <c r="A25" s="66" t="s">
        <v>377</v>
      </c>
      <c r="B25" s="66">
        <v>0.18162200000000001</v>
      </c>
      <c r="C25" s="66">
        <v>0.133413</v>
      </c>
      <c r="D25" s="66">
        <v>0.73456299999999997</v>
      </c>
      <c r="E25" s="66">
        <v>0</v>
      </c>
      <c r="F25" s="66">
        <v>4.5971400000000003E-2</v>
      </c>
      <c r="G25" s="66">
        <v>0</v>
      </c>
      <c r="H25" s="66">
        <v>0.53144599999999997</v>
      </c>
    </row>
    <row r="26" spans="1:8">
      <c r="A26" s="66" t="s">
        <v>378</v>
      </c>
      <c r="B26" s="66">
        <v>2.1336700000000001E-4</v>
      </c>
      <c r="C26" s="66">
        <v>7.8760600000000007E-3</v>
      </c>
      <c r="D26" s="66">
        <v>36.9133</v>
      </c>
      <c r="E26" s="66">
        <v>0</v>
      </c>
      <c r="F26" s="66">
        <v>0</v>
      </c>
      <c r="G26" s="66">
        <v>0</v>
      </c>
      <c r="H26" s="66">
        <v>0.19773499999999999</v>
      </c>
    </row>
    <row r="27" spans="1:8">
      <c r="A27" s="66" t="s">
        <v>379</v>
      </c>
      <c r="B27" s="66">
        <v>0</v>
      </c>
      <c r="C27" s="66">
        <v>1.11006E-2</v>
      </c>
      <c r="D27" s="66">
        <v>0</v>
      </c>
      <c r="E27" s="66">
        <v>0</v>
      </c>
      <c r="F27" s="66">
        <v>-0.19753799999999999</v>
      </c>
      <c r="G27" s="66">
        <v>0</v>
      </c>
      <c r="H27" s="66">
        <v>0.19753499999999999</v>
      </c>
    </row>
    <row r="28" spans="1:8">
      <c r="A28" s="66" t="s">
        <v>380</v>
      </c>
      <c r="B28" s="66">
        <v>1.53711E-2</v>
      </c>
      <c r="C28" s="66">
        <v>2.89027E-2</v>
      </c>
      <c r="D28" s="66">
        <v>1.8803300000000001</v>
      </c>
      <c r="E28" s="66">
        <v>0</v>
      </c>
      <c r="F28" s="196">
        <v>9.7656299999999995E-5</v>
      </c>
      <c r="G28" s="66">
        <v>0</v>
      </c>
      <c r="H28" s="66">
        <v>0.241699</v>
      </c>
    </row>
    <row r="29" spans="1:8">
      <c r="A29" s="66" t="s">
        <v>381</v>
      </c>
      <c r="B29" s="66">
        <v>72.287400000000005</v>
      </c>
      <c r="C29" s="66">
        <v>8.1129999999999995</v>
      </c>
      <c r="D29" s="66">
        <v>0.112232</v>
      </c>
      <c r="E29" s="66">
        <v>0</v>
      </c>
      <c r="F29" s="66">
        <v>52.151699999999998</v>
      </c>
      <c r="G29" s="66">
        <v>0</v>
      </c>
      <c r="H29" s="66">
        <v>85.492400000000004</v>
      </c>
    </row>
    <row r="30" spans="1:8">
      <c r="A30" s="66" t="s">
        <v>382</v>
      </c>
      <c r="B30" s="66">
        <v>24.536799999999999</v>
      </c>
      <c r="C30" s="66">
        <v>2.6030799999999998</v>
      </c>
      <c r="D30" s="66">
        <v>0.106089</v>
      </c>
      <c r="E30" s="66">
        <v>0</v>
      </c>
      <c r="F30" s="66">
        <v>17.674299999999999</v>
      </c>
      <c r="G30" s="66">
        <v>0</v>
      </c>
      <c r="H30" s="66">
        <v>28.080200000000001</v>
      </c>
    </row>
    <row r="31" spans="1:8">
      <c r="A31" s="66" t="s">
        <v>383</v>
      </c>
      <c r="B31" s="66">
        <v>108.217</v>
      </c>
      <c r="C31" s="66">
        <v>15.0848</v>
      </c>
      <c r="D31" s="66">
        <v>0.13939499999999999</v>
      </c>
      <c r="E31" s="66">
        <v>0</v>
      </c>
      <c r="F31" s="66">
        <v>86.198999999999998</v>
      </c>
      <c r="G31" s="66">
        <v>0</v>
      </c>
      <c r="H31" s="66">
        <v>140.30199999999999</v>
      </c>
    </row>
    <row r="32" spans="1:8">
      <c r="A32" s="66" t="s">
        <v>384</v>
      </c>
      <c r="B32" s="66">
        <v>0.29369699999999999</v>
      </c>
      <c r="C32" s="66">
        <v>0.111832</v>
      </c>
      <c r="D32" s="66">
        <v>0.380772</v>
      </c>
      <c r="E32" s="66">
        <v>0.15</v>
      </c>
      <c r="F32" s="66">
        <v>0.12245399999999999</v>
      </c>
      <c r="G32" s="66">
        <v>0.4</v>
      </c>
      <c r="H32" s="66">
        <v>0.52402400000000005</v>
      </c>
    </row>
    <row r="33" spans="1:8">
      <c r="A33" s="66" t="s">
        <v>385</v>
      </c>
      <c r="B33" s="66">
        <v>0.44079400000000002</v>
      </c>
      <c r="C33" s="66">
        <v>4.1190200000000003E-2</v>
      </c>
      <c r="D33" s="66">
        <v>9.3445500000000001E-2</v>
      </c>
      <c r="E33" s="66">
        <v>0</v>
      </c>
      <c r="F33" s="66">
        <v>0.35444999999999999</v>
      </c>
      <c r="G33" s="66">
        <v>0</v>
      </c>
      <c r="H33" s="66">
        <v>0.49591400000000002</v>
      </c>
    </row>
    <row r="34" spans="1:8">
      <c r="A34" s="66" t="s">
        <v>386</v>
      </c>
      <c r="B34" s="66">
        <v>0.17983099999999999</v>
      </c>
      <c r="C34" s="66">
        <v>2.7874099999999999E-2</v>
      </c>
      <c r="D34" s="66">
        <v>0.155002</v>
      </c>
      <c r="E34" s="66">
        <v>0.1</v>
      </c>
      <c r="F34" s="66">
        <v>0.12726399999999999</v>
      </c>
      <c r="G34" s="66">
        <v>0.25</v>
      </c>
      <c r="H34" s="66">
        <v>0.25243700000000002</v>
      </c>
    </row>
    <row r="35" spans="1:8">
      <c r="A35" s="66" t="s">
        <v>387</v>
      </c>
      <c r="B35" s="66">
        <v>8.2135100000000003E-2</v>
      </c>
      <c r="C35" s="66">
        <v>2.5660800000000001E-2</v>
      </c>
      <c r="D35" s="66">
        <v>0.31242199999999998</v>
      </c>
      <c r="E35" s="66">
        <v>0</v>
      </c>
      <c r="F35" s="66">
        <v>3.7547499999999998E-2</v>
      </c>
      <c r="G35" s="66">
        <v>0</v>
      </c>
      <c r="H35" s="66">
        <v>0.13936399999999999</v>
      </c>
    </row>
    <row r="36" spans="1:8">
      <c r="A36" s="66" t="s">
        <v>388</v>
      </c>
      <c r="B36" s="66">
        <v>0.14891199999999999</v>
      </c>
      <c r="C36" s="66">
        <v>9.1120699999999999E-2</v>
      </c>
      <c r="D36" s="66">
        <v>0.61191099999999998</v>
      </c>
      <c r="E36" s="66">
        <v>0</v>
      </c>
      <c r="F36" s="66">
        <v>3.9118899999999998E-2</v>
      </c>
      <c r="G36" s="66">
        <v>0</v>
      </c>
      <c r="H36" s="66">
        <v>0.45576800000000001</v>
      </c>
    </row>
    <row r="37" spans="1:8">
      <c r="A37" s="66" t="s">
        <v>389</v>
      </c>
      <c r="B37" s="66">
        <v>0.27874100000000002</v>
      </c>
      <c r="C37" s="66">
        <v>9.7733E-2</v>
      </c>
      <c r="D37" s="66">
        <v>0.35062300000000002</v>
      </c>
      <c r="E37" s="66">
        <v>0.1</v>
      </c>
      <c r="F37" s="66">
        <v>2.34234E-2</v>
      </c>
      <c r="G37" s="66">
        <v>0.5</v>
      </c>
      <c r="H37" s="66">
        <v>0.31285299999999999</v>
      </c>
    </row>
    <row r="38" spans="1:8">
      <c r="A38" s="66" t="s">
        <v>390</v>
      </c>
      <c r="B38" s="66">
        <v>-25.1812</v>
      </c>
      <c r="C38" s="66">
        <v>33.500399999999999</v>
      </c>
      <c r="D38" s="66">
        <v>-1.3303700000000001</v>
      </c>
      <c r="E38" s="66">
        <v>0</v>
      </c>
      <c r="F38" s="66">
        <v>-89.797399999999996</v>
      </c>
      <c r="G38" s="66">
        <v>0</v>
      </c>
      <c r="H38" s="66">
        <v>109.17400000000001</v>
      </c>
    </row>
    <row r="39" spans="1:8">
      <c r="A39" s="66" t="s">
        <v>391</v>
      </c>
      <c r="B39" s="66">
        <v>-9.1999399999999998</v>
      </c>
      <c r="C39" s="66">
        <v>2.72241</v>
      </c>
      <c r="D39" s="66">
        <v>-0.29591600000000001</v>
      </c>
      <c r="E39" s="66">
        <v>0</v>
      </c>
      <c r="F39" s="66">
        <v>-16.340900000000001</v>
      </c>
      <c r="G39" s="66">
        <v>0</v>
      </c>
      <c r="H39" s="66">
        <v>-2.3337400000000001</v>
      </c>
    </row>
    <row r="40" spans="1:8">
      <c r="A40" s="66" t="s">
        <v>392</v>
      </c>
      <c r="B40" s="66">
        <v>-6.34145</v>
      </c>
      <c r="C40" s="66">
        <v>1.58924</v>
      </c>
      <c r="D40" s="66">
        <v>-0.25061099999999997</v>
      </c>
      <c r="E40" s="66">
        <v>0</v>
      </c>
      <c r="F40" s="66">
        <v>-8.6833299999999998</v>
      </c>
      <c r="G40" s="66">
        <v>0</v>
      </c>
      <c r="H40" s="66">
        <v>-3.6887599999999998</v>
      </c>
    </row>
    <row r="41" spans="1:8">
      <c r="A41" s="66" t="s">
        <v>393</v>
      </c>
      <c r="B41" s="66">
        <v>-0.23600299999999999</v>
      </c>
      <c r="C41" s="66">
        <v>0.31362200000000001</v>
      </c>
      <c r="D41" s="66">
        <v>-1.3288899999999999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-0.226217</v>
      </c>
      <c r="C42" s="66">
        <v>7.7415300000000006E-2</v>
      </c>
      <c r="D42" s="66">
        <v>-0.34221600000000002</v>
      </c>
      <c r="E42" s="66">
        <v>0</v>
      </c>
      <c r="F42" s="66">
        <v>-0.50860000000000005</v>
      </c>
      <c r="G42" s="66">
        <v>0</v>
      </c>
      <c r="H42" s="66">
        <v>-0.118867</v>
      </c>
    </row>
    <row r="43" spans="1:8">
      <c r="A43" s="66" t="s">
        <v>395</v>
      </c>
      <c r="B43" s="66">
        <v>-0.27633400000000002</v>
      </c>
      <c r="C43" s="66">
        <v>3.8923100000000002E-2</v>
      </c>
      <c r="D43" s="66">
        <v>-0.14085500000000001</v>
      </c>
      <c r="E43" s="66">
        <v>0</v>
      </c>
      <c r="F43" s="66">
        <v>-0.32016800000000001</v>
      </c>
      <c r="G43" s="66">
        <v>0</v>
      </c>
      <c r="H43" s="66">
        <v>-0.17912600000000001</v>
      </c>
    </row>
    <row r="44" spans="1:8">
      <c r="A44" s="66" t="s">
        <v>396</v>
      </c>
      <c r="B44" s="66">
        <v>4.0118900000000002</v>
      </c>
      <c r="C44" s="66">
        <v>4.6314200000000003</v>
      </c>
      <c r="D44" s="66">
        <v>1.15442</v>
      </c>
      <c r="E44" s="66">
        <v>0</v>
      </c>
      <c r="F44" s="66">
        <v>-5.1609299999999996</v>
      </c>
      <c r="G44" s="66">
        <v>0</v>
      </c>
      <c r="H44" s="66">
        <v>16.9589</v>
      </c>
    </row>
    <row r="45" spans="1:8">
      <c r="A45" s="66" t="s">
        <v>397</v>
      </c>
      <c r="B45" s="66">
        <v>51.237000000000002</v>
      </c>
      <c r="C45" s="66">
        <v>6.5126799999999996</v>
      </c>
      <c r="D45" s="66">
        <v>0.127109</v>
      </c>
      <c r="E45" s="66">
        <v>0</v>
      </c>
      <c r="F45" s="66">
        <v>36.576999999999998</v>
      </c>
      <c r="G45" s="66">
        <v>0</v>
      </c>
      <c r="H45" s="66">
        <v>70.118399999999994</v>
      </c>
    </row>
    <row r="46" spans="1:8">
      <c r="A46" s="66" t="s">
        <v>398</v>
      </c>
      <c r="B46" s="66">
        <v>28.685600000000001</v>
      </c>
      <c r="C46" s="66">
        <v>5.2274099999999999</v>
      </c>
      <c r="D46" s="66">
        <v>0.182231</v>
      </c>
      <c r="E46" s="66">
        <v>0</v>
      </c>
      <c r="F46" s="66">
        <v>12.4946</v>
      </c>
      <c r="G46" s="66">
        <v>0</v>
      </c>
      <c r="H46" s="66">
        <v>31.693899999999999</v>
      </c>
    </row>
    <row r="47" spans="1:8">
      <c r="A47" s="66" t="s">
        <v>399</v>
      </c>
      <c r="B47" s="66">
        <v>1.1173</v>
      </c>
      <c r="C47" s="66">
        <v>0.37125900000000001</v>
      </c>
      <c r="D47" s="66">
        <v>0.332283</v>
      </c>
      <c r="E47" s="66">
        <v>0</v>
      </c>
      <c r="F47" s="66">
        <v>0.37749700000000003</v>
      </c>
      <c r="G47" s="66">
        <v>0</v>
      </c>
      <c r="H47" s="66">
        <v>2.2458999999999998</v>
      </c>
    </row>
    <row r="48" spans="1:8">
      <c r="A48" s="66" t="s">
        <v>400</v>
      </c>
      <c r="B48" s="66">
        <v>1.2110700000000001</v>
      </c>
      <c r="C48" s="66">
        <v>0.28046700000000002</v>
      </c>
      <c r="D48" s="66">
        <v>0.23158599999999999</v>
      </c>
      <c r="E48" s="66">
        <v>0</v>
      </c>
      <c r="F48" s="66">
        <v>0.64680899999999997</v>
      </c>
      <c r="G48" s="66">
        <v>0</v>
      </c>
      <c r="H48" s="66">
        <v>1.60408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401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38.815600000000003</v>
      </c>
      <c r="C5" s="66">
        <v>3.4230499999999999</v>
      </c>
      <c r="D5" s="66">
        <v>8.8187300000000004</v>
      </c>
      <c r="E5" s="66">
        <v>20</v>
      </c>
      <c r="F5" s="66">
        <v>31.729500000000002</v>
      </c>
      <c r="G5" s="66">
        <v>50</v>
      </c>
      <c r="H5" s="66">
        <v>46.049300000000002</v>
      </c>
    </row>
    <row r="6" spans="1:8">
      <c r="A6" s="66" t="s">
        <v>358</v>
      </c>
      <c r="B6" s="66">
        <v>33.215200000000003</v>
      </c>
      <c r="C6" s="66">
        <v>0.79253799999999996</v>
      </c>
      <c r="D6" s="66">
        <v>2.3860700000000001</v>
      </c>
      <c r="E6" s="66">
        <v>20</v>
      </c>
      <c r="F6" s="66">
        <v>32.140999999999998</v>
      </c>
      <c r="G6" s="66">
        <v>40</v>
      </c>
      <c r="H6" s="66">
        <v>35.116900000000001</v>
      </c>
    </row>
    <row r="7" spans="1:8">
      <c r="A7" s="66" t="s">
        <v>359</v>
      </c>
      <c r="B7" s="66">
        <v>34.058100000000003</v>
      </c>
      <c r="C7" s="66">
        <v>3.6158299999999999</v>
      </c>
      <c r="D7" s="66">
        <v>10.6167</v>
      </c>
      <c r="E7" s="66">
        <v>15</v>
      </c>
      <c r="F7" s="66">
        <v>22.492699999999999</v>
      </c>
      <c r="G7" s="66">
        <v>40</v>
      </c>
      <c r="H7" s="66">
        <v>44.894399999999997</v>
      </c>
    </row>
    <row r="8" spans="1:8">
      <c r="A8" s="66" t="s">
        <v>360</v>
      </c>
      <c r="B8" s="66">
        <v>35.4512</v>
      </c>
      <c r="C8" s="66">
        <v>1.6650799999999999</v>
      </c>
      <c r="D8" s="66">
        <v>4.6968300000000003</v>
      </c>
      <c r="E8" s="66">
        <v>20</v>
      </c>
      <c r="F8" s="66">
        <v>31.563600000000001</v>
      </c>
      <c r="G8" s="66">
        <v>50</v>
      </c>
      <c r="H8" s="66">
        <v>38.991700000000002</v>
      </c>
    </row>
    <row r="9" spans="1:8">
      <c r="A9" s="66" t="s">
        <v>361</v>
      </c>
      <c r="B9" s="66">
        <v>68.203999999999994</v>
      </c>
      <c r="C9" s="66">
        <v>4.9057700000000004</v>
      </c>
      <c r="D9" s="66">
        <v>7.1927899999999996</v>
      </c>
      <c r="E9" s="66">
        <v>50</v>
      </c>
      <c r="F9" s="66">
        <v>55.169899999999998</v>
      </c>
      <c r="G9" s="66">
        <v>100</v>
      </c>
      <c r="H9" s="66">
        <v>77.132999999999996</v>
      </c>
    </row>
    <row r="10" spans="1:8">
      <c r="A10" s="66" t="s">
        <v>362</v>
      </c>
      <c r="B10" s="66">
        <v>68.150499999999994</v>
      </c>
      <c r="C10" s="66">
        <v>1.47786</v>
      </c>
      <c r="D10" s="66">
        <v>2.1685300000000001</v>
      </c>
      <c r="E10" s="66">
        <v>40</v>
      </c>
      <c r="F10" s="66">
        <v>64.449100000000001</v>
      </c>
      <c r="G10" s="66">
        <v>100</v>
      </c>
      <c r="H10" s="66">
        <v>70.408299999999997</v>
      </c>
    </row>
    <row r="11" spans="1:8">
      <c r="A11" s="66" t="s">
        <v>363</v>
      </c>
      <c r="B11" s="66">
        <v>24.826499999999999</v>
      </c>
      <c r="C11" s="66">
        <v>3.1255199999999999</v>
      </c>
      <c r="D11" s="66">
        <v>12.589499999999999</v>
      </c>
      <c r="E11" s="66">
        <v>10</v>
      </c>
      <c r="F11" s="66">
        <v>18.202400000000001</v>
      </c>
      <c r="G11" s="66">
        <v>50</v>
      </c>
      <c r="H11" s="66">
        <v>30.377800000000001</v>
      </c>
    </row>
    <row r="12" spans="1:8">
      <c r="A12" s="66" t="s">
        <v>364</v>
      </c>
      <c r="B12" s="66">
        <v>68.1815</v>
      </c>
      <c r="C12" s="66">
        <v>2.2476500000000001</v>
      </c>
      <c r="D12" s="66">
        <v>3.29657</v>
      </c>
      <c r="E12" s="66">
        <v>50</v>
      </c>
      <c r="F12" s="66">
        <v>62.403399999999998</v>
      </c>
      <c r="G12" s="66">
        <v>100</v>
      </c>
      <c r="H12" s="66">
        <v>72.951499999999996</v>
      </c>
    </row>
    <row r="13" spans="1:8">
      <c r="A13" s="66" t="s">
        <v>365</v>
      </c>
      <c r="B13" s="66">
        <v>14.462899999999999</v>
      </c>
      <c r="C13" s="66">
        <v>3.25264</v>
      </c>
      <c r="D13" s="66">
        <v>22.489599999999999</v>
      </c>
      <c r="E13" s="66">
        <v>10</v>
      </c>
      <c r="F13" s="66">
        <v>12.1547</v>
      </c>
      <c r="G13" s="66">
        <v>25</v>
      </c>
      <c r="H13" s="66">
        <v>31.271699999999999</v>
      </c>
    </row>
    <row r="14" spans="1:8">
      <c r="A14" s="66" t="s">
        <v>366</v>
      </c>
      <c r="B14" s="66">
        <v>32.526400000000002</v>
      </c>
      <c r="C14" s="66">
        <v>14.0444</v>
      </c>
      <c r="D14" s="66">
        <v>43.178400000000003</v>
      </c>
      <c r="E14" s="66">
        <v>10</v>
      </c>
      <c r="F14" s="66">
        <v>1.22818</v>
      </c>
      <c r="G14" s="66">
        <v>50</v>
      </c>
      <c r="H14" s="66">
        <v>60.322099999999999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0.54532599999999998</v>
      </c>
      <c r="C18" s="66">
        <v>2.04079E-2</v>
      </c>
      <c r="D18" s="66">
        <v>3.74233E-2</v>
      </c>
      <c r="E18" s="66">
        <v>0</v>
      </c>
      <c r="F18" s="66">
        <v>0.524918</v>
      </c>
      <c r="G18" s="66">
        <v>0</v>
      </c>
      <c r="H18" s="66">
        <v>0.56573399999999996</v>
      </c>
    </row>
    <row r="19" spans="1:8">
      <c r="A19" s="66" t="s">
        <v>371</v>
      </c>
      <c r="B19" s="66">
        <v>0.57545500000000005</v>
      </c>
      <c r="C19" s="66">
        <v>2.97642E-3</v>
      </c>
      <c r="D19" s="66">
        <v>5.1722900000000004E-3</v>
      </c>
      <c r="E19" s="66">
        <v>0</v>
      </c>
      <c r="F19" s="66">
        <v>0.57247899999999996</v>
      </c>
      <c r="G19" s="66">
        <v>0</v>
      </c>
      <c r="H19" s="66">
        <v>0.57843100000000003</v>
      </c>
    </row>
    <row r="20" spans="1:8">
      <c r="A20" s="66" t="s">
        <v>372</v>
      </c>
      <c r="B20" s="66">
        <v>1.01614E-3</v>
      </c>
      <c r="C20" s="66">
        <v>5.8527800000000001E-3</v>
      </c>
      <c r="D20" s="66">
        <v>5.7598200000000004</v>
      </c>
      <c r="E20" s="66">
        <v>0</v>
      </c>
      <c r="F20" s="66">
        <v>0</v>
      </c>
      <c r="G20" s="66">
        <v>0</v>
      </c>
      <c r="H20" s="66">
        <v>6.1549399999999997E-2</v>
      </c>
    </row>
    <row r="21" spans="1:8">
      <c r="A21" s="66" t="s">
        <v>373</v>
      </c>
      <c r="B21" s="66">
        <v>9.1286099999999995E-2</v>
      </c>
      <c r="C21" s="66">
        <v>0.154087</v>
      </c>
      <c r="D21" s="66">
        <v>1.6879599999999999</v>
      </c>
      <c r="E21" s="66">
        <v>0</v>
      </c>
      <c r="F21" s="66">
        <v>5.8173800000000005E-4</v>
      </c>
      <c r="G21" s="66">
        <v>0</v>
      </c>
      <c r="H21" s="66">
        <v>0.70456300000000005</v>
      </c>
    </row>
    <row r="22" spans="1:8">
      <c r="A22" s="66" t="s">
        <v>374</v>
      </c>
      <c r="B22" s="66">
        <v>38.573300000000003</v>
      </c>
      <c r="C22" s="66">
        <v>7.0280100000000001</v>
      </c>
      <c r="D22" s="66">
        <v>0.182199</v>
      </c>
      <c r="E22" s="66">
        <v>0</v>
      </c>
      <c r="F22" s="66">
        <v>24.7989</v>
      </c>
      <c r="G22" s="66">
        <v>0</v>
      </c>
      <c r="H22" s="66">
        <v>57.765099999999997</v>
      </c>
    </row>
    <row r="23" spans="1:8">
      <c r="A23" s="66" t="s">
        <v>375</v>
      </c>
      <c r="B23" s="66">
        <v>19.010300000000001</v>
      </c>
      <c r="C23" s="66">
        <v>1.2002600000000001</v>
      </c>
      <c r="D23" s="66">
        <v>6.3137600000000002E-2</v>
      </c>
      <c r="E23" s="66">
        <v>0</v>
      </c>
      <c r="F23" s="66">
        <v>16.462299999999999</v>
      </c>
      <c r="G23" s="66">
        <v>0</v>
      </c>
      <c r="H23" s="66">
        <v>22.222100000000001</v>
      </c>
    </row>
    <row r="24" spans="1:8">
      <c r="A24" s="66" t="s">
        <v>402</v>
      </c>
      <c r="B24" s="66">
        <v>1.71828E-3</v>
      </c>
      <c r="C24" s="66">
        <v>3.9508199999999999E-3</v>
      </c>
      <c r="D24" s="66">
        <v>2.2992900000000001</v>
      </c>
      <c r="E24" s="66">
        <v>0</v>
      </c>
      <c r="F24" s="196">
        <v>7.8880400000000005E-5</v>
      </c>
      <c r="G24" s="66">
        <v>0</v>
      </c>
      <c r="H24" s="66">
        <v>2.3949700000000001E-2</v>
      </c>
    </row>
    <row r="25" spans="1:8">
      <c r="A25" s="66" t="s">
        <v>377</v>
      </c>
      <c r="B25" s="66">
        <v>0.13928699999999999</v>
      </c>
      <c r="C25" s="66">
        <v>4.0523999999999998E-2</v>
      </c>
      <c r="D25" s="66">
        <v>0.290939</v>
      </c>
      <c r="E25" s="66">
        <v>0</v>
      </c>
      <c r="F25" s="66">
        <v>3.3295900000000003E-2</v>
      </c>
      <c r="G25" s="66">
        <v>0</v>
      </c>
      <c r="H25" s="66">
        <v>0.222441</v>
      </c>
    </row>
    <row r="26" spans="1:8">
      <c r="A26" s="66" t="s">
        <v>378</v>
      </c>
      <c r="B26" s="66">
        <v>2.8229999999999998E-4</v>
      </c>
      <c r="C26" s="66">
        <v>1.0549400000000001E-3</v>
      </c>
      <c r="D26" s="66">
        <v>3.7369500000000002</v>
      </c>
      <c r="E26" s="66">
        <v>0</v>
      </c>
      <c r="F26" s="66">
        <v>0</v>
      </c>
      <c r="G26" s="66">
        <v>0</v>
      </c>
      <c r="H26" s="66">
        <v>9.3224799999999993E-3</v>
      </c>
    </row>
    <row r="27" spans="1:8">
      <c r="A27" s="66" t="s">
        <v>379</v>
      </c>
      <c r="B27" s="196">
        <v>-3.2825599999999999E-6</v>
      </c>
      <c r="C27" s="66">
        <v>9.9116200000000008E-4</v>
      </c>
      <c r="D27" s="66">
        <v>-301.94799999999998</v>
      </c>
      <c r="E27" s="66">
        <v>0</v>
      </c>
      <c r="F27" s="66">
        <v>-5.2422500000000004E-3</v>
      </c>
      <c r="G27" s="66">
        <v>0</v>
      </c>
      <c r="H27" s="66">
        <v>6.8408599999999998E-3</v>
      </c>
    </row>
    <row r="28" spans="1:8">
      <c r="A28" s="66" t="s">
        <v>380</v>
      </c>
      <c r="B28" s="66">
        <v>1.32747E-2</v>
      </c>
      <c r="C28" s="66">
        <v>1.6052199999999999E-2</v>
      </c>
      <c r="D28" s="66">
        <v>1.20923</v>
      </c>
      <c r="E28" s="66">
        <v>0</v>
      </c>
      <c r="F28" s="66">
        <v>2.1158900000000001E-4</v>
      </c>
      <c r="G28" s="66">
        <v>0</v>
      </c>
      <c r="H28" s="66">
        <v>6.7936200000000002E-2</v>
      </c>
    </row>
    <row r="29" spans="1:8">
      <c r="A29" s="66" t="s">
        <v>381</v>
      </c>
      <c r="B29" s="66">
        <v>71.2316</v>
      </c>
      <c r="C29" s="66">
        <v>12.132400000000001</v>
      </c>
      <c r="D29" s="66">
        <v>0.170323</v>
      </c>
      <c r="E29" s="66">
        <v>0</v>
      </c>
      <c r="F29" s="66">
        <v>48.441499999999998</v>
      </c>
      <c r="G29" s="66">
        <v>0</v>
      </c>
      <c r="H29" s="66">
        <v>110.339</v>
      </c>
    </row>
    <row r="30" spans="1:8">
      <c r="A30" s="66" t="s">
        <v>382</v>
      </c>
      <c r="B30" s="66">
        <v>29.489799999999999</v>
      </c>
      <c r="C30" s="66">
        <v>2.3121200000000002</v>
      </c>
      <c r="D30" s="66">
        <v>7.8404000000000001E-2</v>
      </c>
      <c r="E30" s="66">
        <v>0</v>
      </c>
      <c r="F30" s="66">
        <v>24.431999999999999</v>
      </c>
      <c r="G30" s="66">
        <v>0</v>
      </c>
      <c r="H30" s="66">
        <v>35.2423</v>
      </c>
    </row>
    <row r="31" spans="1:8">
      <c r="A31" s="66" t="s">
        <v>383</v>
      </c>
      <c r="B31" s="66">
        <v>105.946</v>
      </c>
      <c r="C31" s="66">
        <v>9.0385799999999996</v>
      </c>
      <c r="D31" s="66">
        <v>8.5313100000000003E-2</v>
      </c>
      <c r="E31" s="66">
        <v>0</v>
      </c>
      <c r="F31" s="66">
        <v>93.986999999999995</v>
      </c>
      <c r="G31" s="66">
        <v>0</v>
      </c>
      <c r="H31" s="66">
        <v>126.282</v>
      </c>
    </row>
    <row r="32" spans="1:8">
      <c r="A32" s="66" t="s">
        <v>384</v>
      </c>
      <c r="B32" s="66">
        <v>0.34058100000000002</v>
      </c>
      <c r="C32" s="66">
        <v>3.6158299999999997E-2</v>
      </c>
      <c r="D32" s="66">
        <v>0.106167</v>
      </c>
      <c r="E32" s="66">
        <v>0.15</v>
      </c>
      <c r="F32" s="66">
        <v>0.22492699999999999</v>
      </c>
      <c r="G32" s="66">
        <v>0.4</v>
      </c>
      <c r="H32" s="66">
        <v>0.44894400000000001</v>
      </c>
    </row>
    <row r="33" spans="1:8">
      <c r="A33" s="66" t="s">
        <v>385</v>
      </c>
      <c r="B33" s="66">
        <v>0.42294399999999999</v>
      </c>
      <c r="C33" s="66">
        <v>2.67201E-2</v>
      </c>
      <c r="D33" s="66">
        <v>6.3176399999999994E-2</v>
      </c>
      <c r="E33" s="66">
        <v>0</v>
      </c>
      <c r="F33" s="66">
        <v>0.36066300000000001</v>
      </c>
      <c r="G33" s="66">
        <v>0</v>
      </c>
      <c r="H33" s="66">
        <v>0.49330000000000002</v>
      </c>
    </row>
    <row r="34" spans="1:8">
      <c r="A34" s="66" t="s">
        <v>386</v>
      </c>
      <c r="B34" s="66">
        <v>0.14462900000000001</v>
      </c>
      <c r="C34" s="66">
        <v>3.2526399999999997E-2</v>
      </c>
      <c r="D34" s="66">
        <v>0.22489600000000001</v>
      </c>
      <c r="E34" s="66">
        <v>0.1</v>
      </c>
      <c r="F34" s="66">
        <v>0.121547</v>
      </c>
      <c r="G34" s="66">
        <v>0.25</v>
      </c>
      <c r="H34" s="66">
        <v>0.31271700000000002</v>
      </c>
    </row>
    <row r="35" spans="1:8">
      <c r="A35" s="66" t="s">
        <v>387</v>
      </c>
      <c r="B35" s="66">
        <v>6.1248299999999999E-2</v>
      </c>
      <c r="C35" s="66">
        <v>2.9330499999999999E-2</v>
      </c>
      <c r="D35" s="66">
        <v>0.478879</v>
      </c>
      <c r="E35" s="66">
        <v>0</v>
      </c>
      <c r="F35" s="66">
        <v>2.4906000000000001E-2</v>
      </c>
      <c r="G35" s="66">
        <v>0</v>
      </c>
      <c r="H35" s="66">
        <v>0.18590599999999999</v>
      </c>
    </row>
    <row r="36" spans="1:8">
      <c r="A36" s="66" t="s">
        <v>388</v>
      </c>
      <c r="B36" s="66">
        <v>0.128215</v>
      </c>
      <c r="C36" s="66">
        <v>7.8728999999999993E-2</v>
      </c>
      <c r="D36" s="66">
        <v>0.61404000000000003</v>
      </c>
      <c r="E36" s="66">
        <v>0</v>
      </c>
      <c r="F36" s="66">
        <v>4.2649899999999998E-2</v>
      </c>
      <c r="G36" s="66">
        <v>0</v>
      </c>
      <c r="H36" s="66">
        <v>0.64966500000000005</v>
      </c>
    </row>
    <row r="37" spans="1:8">
      <c r="A37" s="66" t="s">
        <v>389</v>
      </c>
      <c r="B37" s="66">
        <v>0.325264</v>
      </c>
      <c r="C37" s="66">
        <v>0.14044400000000001</v>
      </c>
      <c r="D37" s="66">
        <v>0.431784</v>
      </c>
      <c r="E37" s="66">
        <v>0.1</v>
      </c>
      <c r="F37" s="66">
        <v>1.2281800000000001E-2</v>
      </c>
      <c r="G37" s="66">
        <v>0.5</v>
      </c>
      <c r="H37" s="66">
        <v>0.60322100000000001</v>
      </c>
    </row>
    <row r="38" spans="1:8">
      <c r="A38" s="66" t="s">
        <v>390</v>
      </c>
      <c r="B38" s="66">
        <v>-18.7273</v>
      </c>
      <c r="C38" s="66">
        <v>33.786799999999999</v>
      </c>
      <c r="D38" s="66">
        <v>-1.8041499999999999</v>
      </c>
      <c r="E38" s="66">
        <v>0</v>
      </c>
      <c r="F38" s="66">
        <v>-89.208799999999997</v>
      </c>
      <c r="G38" s="66">
        <v>0</v>
      </c>
      <c r="H38" s="66">
        <v>87.778400000000005</v>
      </c>
    </row>
    <row r="39" spans="1:8">
      <c r="A39" s="66" t="s">
        <v>391</v>
      </c>
      <c r="B39" s="66">
        <v>-9.4241600000000005</v>
      </c>
      <c r="C39" s="66">
        <v>2.2264599999999999</v>
      </c>
      <c r="D39" s="66">
        <v>-0.23624999999999999</v>
      </c>
      <c r="E39" s="66">
        <v>0</v>
      </c>
      <c r="F39" s="66">
        <v>-12.8367</v>
      </c>
      <c r="G39" s="66">
        <v>0</v>
      </c>
      <c r="H39" s="66">
        <v>-2.5139200000000002</v>
      </c>
    </row>
    <row r="40" spans="1:8">
      <c r="A40" s="66" t="s">
        <v>392</v>
      </c>
      <c r="B40" s="66">
        <v>-4.5327500000000001</v>
      </c>
      <c r="C40" s="66">
        <v>0.38964199999999999</v>
      </c>
      <c r="D40" s="66">
        <v>-8.5961399999999993E-2</v>
      </c>
      <c r="E40" s="66">
        <v>0</v>
      </c>
      <c r="F40" s="66">
        <v>-5.2551199999999998</v>
      </c>
      <c r="G40" s="66">
        <v>0</v>
      </c>
      <c r="H40" s="66">
        <v>-3.5970800000000001</v>
      </c>
    </row>
    <row r="41" spans="1:8">
      <c r="A41" s="66" t="s">
        <v>393</v>
      </c>
      <c r="B41" s="66">
        <v>-0.245584</v>
      </c>
      <c r="C41" s="66">
        <v>0.32351400000000002</v>
      </c>
      <c r="D41" s="66">
        <v>-1.3173299999999999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-0.22762199999999999</v>
      </c>
      <c r="C42" s="66">
        <v>3.8122099999999999E-2</v>
      </c>
      <c r="D42" s="66">
        <v>-0.16747999999999999</v>
      </c>
      <c r="E42" s="66">
        <v>0</v>
      </c>
      <c r="F42" s="66">
        <v>-0.320766</v>
      </c>
      <c r="G42" s="66">
        <v>0</v>
      </c>
      <c r="H42" s="66">
        <v>-8.23744E-2</v>
      </c>
    </row>
    <row r="43" spans="1:8">
      <c r="A43" s="66" t="s">
        <v>395</v>
      </c>
      <c r="B43" s="66">
        <v>-0.21249000000000001</v>
      </c>
      <c r="C43" s="66">
        <v>1.7691800000000001E-2</v>
      </c>
      <c r="D43" s="66">
        <v>-8.3259700000000006E-2</v>
      </c>
      <c r="E43" s="66">
        <v>0</v>
      </c>
      <c r="F43" s="66">
        <v>-0.24444099999999999</v>
      </c>
      <c r="G43" s="66">
        <v>0</v>
      </c>
      <c r="H43" s="66">
        <v>-0.17679900000000001</v>
      </c>
    </row>
    <row r="44" spans="1:8">
      <c r="A44" s="66" t="s">
        <v>396</v>
      </c>
      <c r="B44" s="66">
        <v>-16.0608</v>
      </c>
      <c r="C44" s="66">
        <v>10.969900000000001</v>
      </c>
      <c r="D44" s="66">
        <v>-0.68302200000000002</v>
      </c>
      <c r="E44" s="66">
        <v>0</v>
      </c>
      <c r="F44" s="66">
        <v>-34.076900000000002</v>
      </c>
      <c r="G44" s="66">
        <v>0</v>
      </c>
      <c r="H44" s="66">
        <v>4.4295499999999999</v>
      </c>
    </row>
    <row r="45" spans="1:8">
      <c r="A45" s="66" t="s">
        <v>397</v>
      </c>
      <c r="B45" s="66">
        <v>51.7547</v>
      </c>
      <c r="C45" s="66">
        <v>7.3250799999999998</v>
      </c>
      <c r="D45" s="66">
        <v>0.14153499999999999</v>
      </c>
      <c r="E45" s="66">
        <v>0</v>
      </c>
      <c r="F45" s="66">
        <v>37.6113</v>
      </c>
      <c r="G45" s="66">
        <v>0</v>
      </c>
      <c r="H45" s="66">
        <v>71.688900000000004</v>
      </c>
    </row>
    <row r="46" spans="1:8">
      <c r="A46" s="66" t="s">
        <v>398</v>
      </c>
      <c r="B46" s="66">
        <v>32.3583</v>
      </c>
      <c r="C46" s="66">
        <v>2.66133</v>
      </c>
      <c r="D46" s="66">
        <v>8.2245600000000002E-2</v>
      </c>
      <c r="E46" s="66">
        <v>0</v>
      </c>
      <c r="F46" s="66">
        <v>26.901399999999999</v>
      </c>
      <c r="G46" s="66">
        <v>0</v>
      </c>
      <c r="H46" s="66">
        <v>37.888500000000001</v>
      </c>
    </row>
    <row r="47" spans="1:8">
      <c r="A47" s="66" t="s">
        <v>399</v>
      </c>
      <c r="B47" s="66">
        <v>0.92562</v>
      </c>
      <c r="C47" s="66">
        <v>0.35608899999999999</v>
      </c>
      <c r="D47" s="66">
        <v>0.38470300000000002</v>
      </c>
      <c r="E47" s="66">
        <v>0</v>
      </c>
      <c r="F47" s="66">
        <v>0.43762299999999998</v>
      </c>
      <c r="G47" s="66">
        <v>0</v>
      </c>
      <c r="H47" s="66">
        <v>2.7521599999999999</v>
      </c>
    </row>
    <row r="48" spans="1:8">
      <c r="A48" s="66" t="s">
        <v>400</v>
      </c>
      <c r="B48" s="66">
        <v>0.78956599999999999</v>
      </c>
      <c r="C48" s="66">
        <v>0.13531399999999999</v>
      </c>
      <c r="D48" s="66">
        <v>0.171378</v>
      </c>
      <c r="E48" s="66">
        <v>0</v>
      </c>
      <c r="F48" s="66">
        <v>0.59628899999999996</v>
      </c>
      <c r="G48" s="66">
        <v>0</v>
      </c>
      <c r="H48" s="66">
        <v>1.20448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89.811337250412791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1.7340315134590385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0.57353052497917012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2240</v>
      </c>
      <c r="B8" s="66">
        <v>2240</v>
      </c>
      <c r="D8">
        <f t="shared" si="0"/>
        <v>8.9558086815370412E-3</v>
      </c>
      <c r="E8">
        <f t="shared" si="0"/>
        <v>8.9558086815370412E-3</v>
      </c>
      <c r="G8">
        <f t="shared" ca="1" si="1"/>
        <v>6</v>
      </c>
      <c r="H8">
        <f t="shared" ca="1" si="2"/>
        <v>5.3734852089222247E-2</v>
      </c>
      <c r="I8">
        <f t="shared" ca="1" si="3"/>
        <v>62.90864740826671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3872</v>
      </c>
      <c r="B10" s="66">
        <v>3872</v>
      </c>
      <c r="D10">
        <f t="shared" si="0"/>
        <v>1.5480755006656884E-2</v>
      </c>
      <c r="E10">
        <f t="shared" si="0"/>
        <v>1.5480755006656884E-2</v>
      </c>
      <c r="G10">
        <f t="shared" ca="1" si="1"/>
        <v>8</v>
      </c>
      <c r="H10">
        <f t="shared" ca="1" si="2"/>
        <v>0.12384604005325507</v>
      </c>
      <c r="I10">
        <f t="shared" ca="1" si="3"/>
        <v>103.61416242501475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6734</v>
      </c>
      <c r="B13" s="66">
        <v>6734</v>
      </c>
      <c r="D13">
        <f t="shared" si="0"/>
        <v>2.6923399848870728E-2</v>
      </c>
      <c r="E13">
        <f t="shared" si="0"/>
        <v>2.6923399848870728E-2</v>
      </c>
      <c r="G13">
        <f t="shared" ca="1" si="1"/>
        <v>11</v>
      </c>
      <c r="H13">
        <f t="shared" ca="1" si="2"/>
        <v>0.29615739833757798</v>
      </c>
      <c r="I13">
        <f t="shared" ca="1" si="3"/>
        <v>167.22734482070939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9503</v>
      </c>
      <c r="B15" s="66">
        <v>9503</v>
      </c>
      <c r="D15">
        <f t="shared" si="0"/>
        <v>3.799421870564576E-2</v>
      </c>
      <c r="E15">
        <f t="shared" si="0"/>
        <v>3.799421870564576E-2</v>
      </c>
      <c r="G15">
        <f t="shared" ca="1" si="1"/>
        <v>13</v>
      </c>
      <c r="H15">
        <f t="shared" ca="1" si="2"/>
        <v>0.49392484317339491</v>
      </c>
      <c r="I15">
        <f t="shared" ca="1" si="3"/>
        <v>224.16518861756214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11011</v>
      </c>
      <c r="B18" s="66">
        <v>11011</v>
      </c>
      <c r="D18">
        <f t="shared" si="0"/>
        <v>4.4023397050180518E-2</v>
      </c>
      <c r="E18">
        <f t="shared" si="0"/>
        <v>4.4023397050180518E-2</v>
      </c>
      <c r="G18">
        <f t="shared" ca="1" si="1"/>
        <v>16</v>
      </c>
      <c r="H18">
        <f t="shared" ca="1" si="2"/>
        <v>0.70437435280288829</v>
      </c>
      <c r="I18">
        <f t="shared" ca="1" si="3"/>
        <v>239.84446407964899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15918</v>
      </c>
      <c r="B21" s="66">
        <v>15918</v>
      </c>
      <c r="D21">
        <f t="shared" si="0"/>
        <v>6.3642215443172598E-2</v>
      </c>
      <c r="E21">
        <f t="shared" si="0"/>
        <v>6.3642215443172598E-2</v>
      </c>
      <c r="G21">
        <f t="shared" ca="1" si="1"/>
        <v>19</v>
      </c>
      <c r="H21">
        <f t="shared" ca="1" si="2"/>
        <v>1.2092020934202794</v>
      </c>
      <c r="I21">
        <f t="shared" ca="1" si="3"/>
        <v>319.11769132624113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19779</v>
      </c>
      <c r="B23" s="66">
        <v>19779</v>
      </c>
      <c r="D23">
        <f t="shared" si="0"/>
        <v>7.9078991032196927E-2</v>
      </c>
      <c r="E23">
        <f t="shared" si="0"/>
        <v>7.9078991032196927E-2</v>
      </c>
      <c r="G23">
        <f t="shared" ca="1" si="1"/>
        <v>21</v>
      </c>
      <c r="H23">
        <f t="shared" ca="1" si="2"/>
        <v>1.6606588116761354</v>
      </c>
      <c r="I23">
        <f t="shared" ca="1" si="3"/>
        <v>374.43903314906595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21046</v>
      </c>
      <c r="B26" s="66">
        <v>21046</v>
      </c>
      <c r="D26">
        <f t="shared" si="0"/>
        <v>8.4144620317691321E-2</v>
      </c>
      <c r="E26">
        <f t="shared" si="0"/>
        <v>8.4144620317691321E-2</v>
      </c>
      <c r="G26">
        <f t="shared" ca="1" si="1"/>
        <v>24</v>
      </c>
      <c r="H26">
        <f t="shared" ca="1" si="2"/>
        <v>2.0194708876245917</v>
      </c>
      <c r="I26">
        <f t="shared" ca="1" si="3"/>
        <v>364.44146699956661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26909</v>
      </c>
      <c r="B28" s="66">
        <v>26909</v>
      </c>
      <c r="D28">
        <f t="shared" si="0"/>
        <v>0.10758564991583938</v>
      </c>
      <c r="E28">
        <f t="shared" si="0"/>
        <v>0.10758564991583938</v>
      </c>
      <c r="G28">
        <f t="shared" ca="1" si="1"/>
        <v>26</v>
      </c>
      <c r="H28">
        <f t="shared" ca="1" si="2"/>
        <v>2.7972268978118238</v>
      </c>
      <c r="I28">
        <f t="shared" ca="1" si="3"/>
        <v>438.07658363968216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31414</v>
      </c>
      <c r="B31" s="66">
        <v>31414</v>
      </c>
      <c r="D31">
        <f t="shared" si="0"/>
        <v>0.12559722050080563</v>
      </c>
      <c r="E31">
        <f t="shared" si="0"/>
        <v>0.12559722050080563</v>
      </c>
      <c r="G31">
        <f t="shared" ca="1" si="1"/>
        <v>29</v>
      </c>
      <c r="H31">
        <f t="shared" ca="1" si="2"/>
        <v>3.6423193945233634</v>
      </c>
      <c r="I31">
        <f t="shared" ca="1" si="3"/>
        <v>464.46087487573681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38076</v>
      </c>
      <c r="B33" s="66">
        <v>38076</v>
      </c>
      <c r="D33">
        <f t="shared" si="0"/>
        <v>0.15223275507062695</v>
      </c>
      <c r="E33">
        <f t="shared" si="0"/>
        <v>0.15223275507062695</v>
      </c>
      <c r="G33">
        <f t="shared" ca="1" si="1"/>
        <v>31</v>
      </c>
      <c r="H33">
        <f t="shared" ca="1" si="2"/>
        <v>4.7192154071894352</v>
      </c>
      <c r="I33">
        <f t="shared" ca="1" si="3"/>
        <v>526.53860220011381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46737</v>
      </c>
      <c r="B36" s="66">
        <v>46737</v>
      </c>
      <c r="D36">
        <f t="shared" si="0"/>
        <v>0.18686054926294493</v>
      </c>
      <c r="E36">
        <f t="shared" si="0"/>
        <v>0.18686054926294493</v>
      </c>
      <c r="G36">
        <f t="shared" ca="1" si="1"/>
        <v>34</v>
      </c>
      <c r="H36">
        <f t="shared" ca="1" si="2"/>
        <v>6.3532586749401272</v>
      </c>
      <c r="I36">
        <f t="shared" ca="1" si="3"/>
        <v>582.05292753293099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45609</v>
      </c>
      <c r="B39" s="66">
        <v>45609</v>
      </c>
      <c r="D39">
        <f t="shared" si="0"/>
        <v>0.18235065989117094</v>
      </c>
      <c r="E39">
        <f t="shared" si="0"/>
        <v>0.18235065989117094</v>
      </c>
      <c r="G39">
        <f t="shared" ca="1" si="1"/>
        <v>37</v>
      </c>
      <c r="H39">
        <f t="shared" ca="1" si="2"/>
        <v>6.7469744159733249</v>
      </c>
      <c r="I39">
        <f t="shared" ca="1" si="3"/>
        <v>508.58279980706385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56032</v>
      </c>
      <c r="B41" s="66">
        <v>56032</v>
      </c>
      <c r="D41">
        <f t="shared" si="0"/>
        <v>0.22402315716244797</v>
      </c>
      <c r="E41">
        <f t="shared" si="0"/>
        <v>0.22402315716244797</v>
      </c>
      <c r="G41">
        <f t="shared" ca="1" si="1"/>
        <v>39</v>
      </c>
      <c r="H41">
        <f t="shared" ca="1" si="2"/>
        <v>8.7369031293354702</v>
      </c>
      <c r="I41">
        <f t="shared" ca="1" si="3"/>
        <v>578.38119344783468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66557</v>
      </c>
      <c r="B44" s="66">
        <v>66557</v>
      </c>
      <c r="D44">
        <f t="shared" si="0"/>
        <v>0.26610346357904502</v>
      </c>
      <c r="E44">
        <f t="shared" si="0"/>
        <v>0.26610346357904502</v>
      </c>
      <c r="G44">
        <f t="shared" ca="1" si="1"/>
        <v>42</v>
      </c>
      <c r="H44">
        <f t="shared" ca="1" si="2"/>
        <v>11.176345470319891</v>
      </c>
      <c r="I44">
        <f t="shared" ca="1" si="3"/>
        <v>608.29228580826782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62566</v>
      </c>
      <c r="B46" s="66">
        <v>62566</v>
      </c>
      <c r="D46">
        <f t="shared" si="0"/>
        <v>0.25014693123618148</v>
      </c>
      <c r="E46">
        <f t="shared" si="0"/>
        <v>0.25014693123618148</v>
      </c>
      <c r="G46">
        <f t="shared" ca="1" si="1"/>
        <v>44</v>
      </c>
      <c r="H46">
        <f t="shared" ca="1" si="2"/>
        <v>11.006464974391985</v>
      </c>
      <c r="I46">
        <f t="shared" ca="1" si="3"/>
        <v>524.97801661184747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79374</v>
      </c>
      <c r="B49" s="66">
        <v>79374</v>
      </c>
      <c r="D49">
        <f t="shared" si="0"/>
        <v>0.31734748137871477</v>
      </c>
      <c r="E49">
        <f t="shared" si="0"/>
        <v>0.31734748137871477</v>
      </c>
      <c r="G49">
        <f t="shared" ca="1" si="1"/>
        <v>47</v>
      </c>
      <c r="H49">
        <f t="shared" ca="1" si="2"/>
        <v>14.915331624799594</v>
      </c>
      <c r="I49">
        <f t="shared" ca="1" si="3"/>
        <v>581.63782685566764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96527</v>
      </c>
      <c r="B51" s="66">
        <v>96527</v>
      </c>
      <c r="D51">
        <f t="shared" si="0"/>
        <v>0.38592738598335979</v>
      </c>
      <c r="E51">
        <f t="shared" si="0"/>
        <v>0.38592738598335979</v>
      </c>
      <c r="G51">
        <f t="shared" ca="1" si="1"/>
        <v>49</v>
      </c>
      <c r="H51">
        <f t="shared" ca="1" si="2"/>
        <v>18.910441913184631</v>
      </c>
      <c r="I51">
        <f t="shared" ca="1" si="3"/>
        <v>642.78724240978943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105560</v>
      </c>
      <c r="B54" s="66">
        <v>105560</v>
      </c>
      <c r="D54">
        <f t="shared" si="0"/>
        <v>0.42204248411743306</v>
      </c>
      <c r="E54">
        <f t="shared" si="0"/>
        <v>0.42204248411743306</v>
      </c>
      <c r="G54">
        <f t="shared" ca="1" si="1"/>
        <v>52</v>
      </c>
      <c r="H54">
        <f t="shared" ca="1" si="2"/>
        <v>21.946209174106521</v>
      </c>
      <c r="I54">
        <f t="shared" ca="1" si="3"/>
        <v>603.39296823318591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125188</v>
      </c>
      <c r="B57" s="66">
        <v>125188</v>
      </c>
      <c r="D57">
        <f t="shared" si="0"/>
        <v>0.50051775768940132</v>
      </c>
      <c r="E57">
        <f t="shared" si="0"/>
        <v>0.50051775768940132</v>
      </c>
      <c r="G57">
        <f t="shared" ca="1" si="1"/>
        <v>55</v>
      </c>
      <c r="H57">
        <f t="shared" ca="1" si="2"/>
        <v>27.528476672917073</v>
      </c>
      <c r="I57">
        <f t="shared" ca="1" si="3"/>
        <v>606.54203446813131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145423</v>
      </c>
      <c r="B59" s="66">
        <v>145423</v>
      </c>
      <c r="D59">
        <f t="shared" si="0"/>
        <v>0.58141989548891115</v>
      </c>
      <c r="E59">
        <f t="shared" si="0"/>
        <v>0.58141989548891115</v>
      </c>
      <c r="G59">
        <f t="shared" ca="1" si="1"/>
        <v>57</v>
      </c>
      <c r="H59">
        <f t="shared" ca="1" si="2"/>
        <v>33.140934042867933</v>
      </c>
      <c r="I59">
        <f t="shared" ca="1" si="3"/>
        <v>625.94727080810605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155069</v>
      </c>
      <c r="B62" s="66">
        <v>155069</v>
      </c>
      <c r="D62">
        <f t="shared" si="0"/>
        <v>0.61998584662378009</v>
      </c>
      <c r="E62">
        <f t="shared" si="0"/>
        <v>0.61998584662378009</v>
      </c>
      <c r="G62">
        <f t="shared" ca="1" si="1"/>
        <v>60</v>
      </c>
      <c r="H62">
        <f t="shared" ca="1" si="2"/>
        <v>37.199150797426803</v>
      </c>
      <c r="I62">
        <f t="shared" ca="1" si="3"/>
        <v>550.99123543839096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169818</v>
      </c>
      <c r="B64" s="66">
        <v>169818</v>
      </c>
      <c r="D64">
        <f t="shared" si="0"/>
        <v>0.67895424941127547</v>
      </c>
      <c r="E64">
        <f t="shared" si="0"/>
        <v>0.67895424941127547</v>
      </c>
      <c r="G64">
        <f t="shared" ca="1" si="1"/>
        <v>62</v>
      </c>
      <c r="H64">
        <f t="shared" ca="1" si="2"/>
        <v>42.095163463499077</v>
      </c>
      <c r="I64">
        <f t="shared" ca="1" si="3"/>
        <v>525.15106895675319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179602</v>
      </c>
      <c r="B67" s="66">
        <v>179602</v>
      </c>
      <c r="D67">
        <f t="shared" ref="D67:E130" si="4">IFERROR( A67/MAX(A$2:A$257), 0 )</f>
        <v>0.71807194233098914</v>
      </c>
      <c r="E67">
        <f t="shared" si="4"/>
        <v>0.71807194233098914</v>
      </c>
      <c r="G67">
        <f t="shared" ref="G67:G130" ca="1" si="5">CELL("row",D67)-2</f>
        <v>65</v>
      </c>
      <c r="H67">
        <f t="shared" ref="H67:H130" ca="1" si="6">D67*G67</f>
        <v>46.674676251514292</v>
      </c>
      <c r="I67">
        <f t="shared" ref="I67:I130" ca="1" si="7">D67*((G67-$L$1)^2)</f>
        <v>442.04685139403028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175270</v>
      </c>
      <c r="B69" s="66">
        <v>175270</v>
      </c>
      <c r="D69">
        <f t="shared" si="4"/>
        <v>0.70075204804151658</v>
      </c>
      <c r="E69">
        <f t="shared" si="4"/>
        <v>0.70075204804151658</v>
      </c>
      <c r="G69">
        <f t="shared" ca="1" si="5"/>
        <v>67</v>
      </c>
      <c r="H69">
        <f t="shared" ca="1" si="6"/>
        <v>46.950387218781614</v>
      </c>
      <c r="I69">
        <f t="shared" ca="1" si="7"/>
        <v>364.64130854977208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189008</v>
      </c>
      <c r="B72" s="66">
        <v>189008</v>
      </c>
      <c r="D72">
        <f t="shared" si="4"/>
        <v>0.75567834253569333</v>
      </c>
      <c r="E72">
        <f t="shared" si="4"/>
        <v>0.75567834253569333</v>
      </c>
      <c r="G72">
        <f t="shared" ca="1" si="5"/>
        <v>70</v>
      </c>
      <c r="H72">
        <f t="shared" ca="1" si="6"/>
        <v>52.897483977498531</v>
      </c>
      <c r="I72">
        <f t="shared" ca="1" si="7"/>
        <v>296.59550019567786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198916</v>
      </c>
      <c r="B75" s="66">
        <v>198916</v>
      </c>
      <c r="D75">
        <f t="shared" si="4"/>
        <v>0.79529180343599193</v>
      </c>
      <c r="E75">
        <f t="shared" si="4"/>
        <v>0.79529180343599193</v>
      </c>
      <c r="G75">
        <f t="shared" ca="1" si="5"/>
        <v>73</v>
      </c>
      <c r="H75">
        <f t="shared" ca="1" si="6"/>
        <v>58.056301650827407</v>
      </c>
      <c r="I75">
        <f t="shared" ca="1" si="7"/>
        <v>224.76621261339238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212601</v>
      </c>
      <c r="B77" s="66">
        <v>212601</v>
      </c>
      <c r="D77">
        <f t="shared" si="4"/>
        <v>0.85000619709975733</v>
      </c>
      <c r="E77">
        <f t="shared" si="4"/>
        <v>0.85000619709975733</v>
      </c>
      <c r="G77">
        <f t="shared" ca="1" si="5"/>
        <v>75</v>
      </c>
      <c r="H77">
        <f t="shared" ca="1" si="6"/>
        <v>63.750464782481799</v>
      </c>
      <c r="I77">
        <f t="shared" ca="1" si="7"/>
        <v>186.47071396681201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221627</v>
      </c>
      <c r="B80" s="66">
        <v>221627</v>
      </c>
      <c r="D80">
        <f t="shared" si="4"/>
        <v>0.88609330833170075</v>
      </c>
      <c r="E80">
        <f t="shared" si="4"/>
        <v>0.88609330833170075</v>
      </c>
      <c r="G80">
        <f t="shared" ca="1" si="5"/>
        <v>78</v>
      </c>
      <c r="H80">
        <f t="shared" ca="1" si="6"/>
        <v>69.115278049872657</v>
      </c>
      <c r="I80">
        <f t="shared" ca="1" si="7"/>
        <v>123.61682848128147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233831</v>
      </c>
      <c r="B82" s="66">
        <v>233831</v>
      </c>
      <c r="D82">
        <f t="shared" si="4"/>
        <v>0.93488647313057494</v>
      </c>
      <c r="E82">
        <f t="shared" si="4"/>
        <v>0.93488647313057494</v>
      </c>
      <c r="G82">
        <f t="shared" ca="1" si="5"/>
        <v>80</v>
      </c>
      <c r="H82">
        <f t="shared" ca="1" si="6"/>
        <v>74.790917850445993</v>
      </c>
      <c r="I82">
        <f t="shared" ca="1" si="7"/>
        <v>89.994358267701188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245439</v>
      </c>
      <c r="B85" s="66">
        <v>245439</v>
      </c>
      <c r="D85">
        <f t="shared" si="4"/>
        <v>0.98129675311954001</v>
      </c>
      <c r="E85">
        <f t="shared" si="4"/>
        <v>0.98129675311954001</v>
      </c>
      <c r="G85">
        <f t="shared" ca="1" si="5"/>
        <v>83</v>
      </c>
      <c r="H85">
        <f t="shared" ca="1" si="6"/>
        <v>81.447630508921819</v>
      </c>
      <c r="I85">
        <f t="shared" ca="1" si="7"/>
        <v>45.526590808968898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250117</v>
      </c>
      <c r="B88" s="66">
        <v>250117</v>
      </c>
      <c r="D88">
        <f t="shared" si="4"/>
        <v>1</v>
      </c>
      <c r="E88">
        <f t="shared" si="4"/>
        <v>1</v>
      </c>
      <c r="G88">
        <f t="shared" ca="1" si="5"/>
        <v>86</v>
      </c>
      <c r="H88">
        <f t="shared" ca="1" si="6"/>
        <v>86</v>
      </c>
      <c r="I88">
        <f t="shared" ca="1" si="7"/>
        <v>14.526291636384133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236538</v>
      </c>
      <c r="B90" s="66">
        <v>236538</v>
      </c>
      <c r="D90">
        <f t="shared" si="4"/>
        <v>0.94570940799705738</v>
      </c>
      <c r="E90">
        <f t="shared" si="4"/>
        <v>0.94570940799705738</v>
      </c>
      <c r="G90">
        <f t="shared" ca="1" si="5"/>
        <v>88</v>
      </c>
      <c r="H90">
        <f t="shared" ca="1" si="6"/>
        <v>83.22242790374105</v>
      </c>
      <c r="I90">
        <f t="shared" ca="1" si="7"/>
        <v>3.1028183167656227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236862</v>
      </c>
      <c r="B93" s="66">
        <v>236862</v>
      </c>
      <c r="D93">
        <f t="shared" si="4"/>
        <v>0.94700480175277968</v>
      </c>
      <c r="E93">
        <f t="shared" si="4"/>
        <v>0.94700480175277968</v>
      </c>
      <c r="G93">
        <f t="shared" ca="1" si="5"/>
        <v>91</v>
      </c>
      <c r="H93">
        <f t="shared" ca="1" si="6"/>
        <v>86.177436959502955</v>
      </c>
      <c r="I93">
        <f t="shared" ca="1" si="7"/>
        <v>1.3380412027350148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236726</v>
      </c>
      <c r="B95" s="66">
        <v>236726</v>
      </c>
      <c r="D95">
        <f t="shared" si="4"/>
        <v>0.94646105622568633</v>
      </c>
      <c r="E95">
        <f t="shared" si="4"/>
        <v>0.94646105622568633</v>
      </c>
      <c r="G95">
        <f t="shared" ca="1" si="5"/>
        <v>93</v>
      </c>
      <c r="H95">
        <f t="shared" ca="1" si="6"/>
        <v>88.020878228988835</v>
      </c>
      <c r="I95">
        <f t="shared" ca="1" si="7"/>
        <v>9.6232091650612048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215328</v>
      </c>
      <c r="B98" s="66">
        <v>215328</v>
      </c>
      <c r="D98">
        <f t="shared" si="4"/>
        <v>0.86090909454375353</v>
      </c>
      <c r="E98">
        <f t="shared" si="4"/>
        <v>0.86090909454375353</v>
      </c>
      <c r="G98">
        <f t="shared" ca="1" si="5"/>
        <v>96</v>
      </c>
      <c r="H98">
        <f t="shared" ca="1" si="6"/>
        <v>82.647273076200335</v>
      </c>
      <c r="I98">
        <f t="shared" ca="1" si="7"/>
        <v>32.972428009058213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194892</v>
      </c>
      <c r="B100" s="66">
        <v>194892</v>
      </c>
      <c r="D100">
        <f t="shared" si="4"/>
        <v>0.7792033328402308</v>
      </c>
      <c r="E100">
        <f t="shared" si="4"/>
        <v>0.7792033328402308</v>
      </c>
      <c r="G100">
        <f t="shared" ca="1" si="5"/>
        <v>98</v>
      </c>
      <c r="H100">
        <f t="shared" ca="1" si="6"/>
        <v>76.361926618342622</v>
      </c>
      <c r="I100">
        <f t="shared" ca="1" si="7"/>
        <v>52.248854271478486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188180</v>
      </c>
      <c r="B103" s="66">
        <v>188180</v>
      </c>
      <c r="D103">
        <f t="shared" si="4"/>
        <v>0.75236789182662511</v>
      </c>
      <c r="E103">
        <f t="shared" si="4"/>
        <v>0.75236789182662511</v>
      </c>
      <c r="G103">
        <f t="shared" ca="1" si="5"/>
        <v>101</v>
      </c>
      <c r="H103">
        <f t="shared" ca="1" si="6"/>
        <v>75.989157074489142</v>
      </c>
      <c r="I103">
        <f t="shared" ca="1" si="7"/>
        <v>94.186057911514993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178914</v>
      </c>
      <c r="B106" s="66">
        <v>178914</v>
      </c>
      <c r="D106">
        <f t="shared" si="4"/>
        <v>0.71532122966451706</v>
      </c>
      <c r="E106">
        <f t="shared" si="4"/>
        <v>0.71532122966451706</v>
      </c>
      <c r="G106">
        <f t="shared" ca="1" si="5"/>
        <v>104</v>
      </c>
      <c r="H106">
        <f t="shared" ca="1" si="6"/>
        <v>74.393407885109781</v>
      </c>
      <c r="I106">
        <f t="shared" ca="1" si="7"/>
        <v>144.00714705637478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163887</v>
      </c>
      <c r="B108" s="66">
        <v>163887</v>
      </c>
      <c r="D108">
        <f t="shared" si="4"/>
        <v>0.65524134704958081</v>
      </c>
      <c r="E108">
        <f t="shared" si="4"/>
        <v>0.65524134704958081</v>
      </c>
      <c r="G108">
        <f t="shared" ca="1" si="5"/>
        <v>106</v>
      </c>
      <c r="H108">
        <f t="shared" ca="1" si="6"/>
        <v>69.455582787255565</v>
      </c>
      <c r="I108">
        <f t="shared" ca="1" si="7"/>
        <v>171.72093555846283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160821</v>
      </c>
      <c r="B111" s="66">
        <v>160821</v>
      </c>
      <c r="D111">
        <f t="shared" si="4"/>
        <v>0.64298308391672698</v>
      </c>
      <c r="E111">
        <f t="shared" si="4"/>
        <v>0.64298308391672698</v>
      </c>
      <c r="G111">
        <f t="shared" ca="1" si="5"/>
        <v>109</v>
      </c>
      <c r="H111">
        <f t="shared" ca="1" si="6"/>
        <v>70.085156146923239</v>
      </c>
      <c r="I111">
        <f t="shared" ca="1" si="7"/>
        <v>236.74944374679731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157660</v>
      </c>
      <c r="B113" s="66">
        <v>157660</v>
      </c>
      <c r="D113">
        <f t="shared" si="4"/>
        <v>0.63034499854068293</v>
      </c>
      <c r="E113">
        <f t="shared" si="4"/>
        <v>0.63034499854068293</v>
      </c>
      <c r="G113">
        <f t="shared" ca="1" si="5"/>
        <v>111</v>
      </c>
      <c r="H113">
        <f t="shared" ca="1" si="6"/>
        <v>69.968294838015808</v>
      </c>
      <c r="I113">
        <f t="shared" ca="1" si="7"/>
        <v>282.99933069078986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160044</v>
      </c>
      <c r="B116" s="66">
        <v>160044</v>
      </c>
      <c r="D116">
        <f t="shared" si="4"/>
        <v>0.63987653778031883</v>
      </c>
      <c r="E116">
        <f t="shared" si="4"/>
        <v>0.63987653778031883</v>
      </c>
      <c r="G116">
        <f t="shared" ca="1" si="5"/>
        <v>114</v>
      </c>
      <c r="H116">
        <f t="shared" ca="1" si="6"/>
        <v>72.94592530695634</v>
      </c>
      <c r="I116">
        <f t="shared" ca="1" si="7"/>
        <v>374.38626290883803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152624</v>
      </c>
      <c r="B118" s="66">
        <v>152624</v>
      </c>
      <c r="D118">
        <f t="shared" si="4"/>
        <v>0.61021042152272731</v>
      </c>
      <c r="E118">
        <f t="shared" si="4"/>
        <v>0.61021042152272731</v>
      </c>
      <c r="G118">
        <f t="shared" ca="1" si="5"/>
        <v>116</v>
      </c>
      <c r="H118">
        <f t="shared" ca="1" si="6"/>
        <v>70.784408896636364</v>
      </c>
      <c r="I118">
        <f t="shared" ca="1" si="7"/>
        <v>418.5104113046749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153577</v>
      </c>
      <c r="B121" s="66">
        <v>153577</v>
      </c>
      <c r="D121">
        <f t="shared" si="4"/>
        <v>0.61402063834125631</v>
      </c>
      <c r="E121">
        <f t="shared" si="4"/>
        <v>0.61402063834125631</v>
      </c>
      <c r="G121">
        <f t="shared" ca="1" si="5"/>
        <v>119</v>
      </c>
      <c r="H121">
        <f t="shared" ca="1" si="6"/>
        <v>73.068455962609505</v>
      </c>
      <c r="I121">
        <f t="shared" ca="1" si="7"/>
        <v>523.13209574240204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153231</v>
      </c>
      <c r="B124" s="66">
        <v>153231</v>
      </c>
      <c r="D124">
        <f t="shared" si="4"/>
        <v>0.61263728575026888</v>
      </c>
      <c r="E124">
        <f t="shared" si="4"/>
        <v>0.61263728575026888</v>
      </c>
      <c r="G124">
        <f t="shared" ca="1" si="5"/>
        <v>122</v>
      </c>
      <c r="H124">
        <f t="shared" ca="1" si="6"/>
        <v>74.741748861532798</v>
      </c>
      <c r="I124">
        <f t="shared" ca="1" si="7"/>
        <v>634.75962402411119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150056</v>
      </c>
      <c r="B126" s="66">
        <v>150056</v>
      </c>
      <c r="D126">
        <f t="shared" si="4"/>
        <v>0.59994322656996524</v>
      </c>
      <c r="E126">
        <f t="shared" si="4"/>
        <v>0.59994322656996524</v>
      </c>
      <c r="G126">
        <f t="shared" ca="1" si="5"/>
        <v>124</v>
      </c>
      <c r="H126">
        <f t="shared" ca="1" si="6"/>
        <v>74.392960094675686</v>
      </c>
      <c r="I126">
        <f t="shared" ca="1" si="7"/>
        <v>701.25243590697823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136102</v>
      </c>
      <c r="B129" s="66">
        <v>136102</v>
      </c>
      <c r="D129">
        <f t="shared" si="4"/>
        <v>0.54415333623864026</v>
      </c>
      <c r="E129">
        <f t="shared" si="4"/>
        <v>0.54415333623864026</v>
      </c>
      <c r="G129">
        <f t="shared" ca="1" si="5"/>
        <v>127</v>
      </c>
      <c r="H129">
        <f t="shared" ca="1" si="6"/>
        <v>69.107473702307317</v>
      </c>
      <c r="I129">
        <f t="shared" ca="1" si="7"/>
        <v>752.56223408616461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125988</v>
      </c>
      <c r="B131" s="66">
        <v>125988</v>
      </c>
      <c r="D131">
        <f t="shared" ref="D131:E194" si="8">IFERROR( A131/MAX(A$2:A$257), 0 )</f>
        <v>0.50371626078995035</v>
      </c>
      <c r="E131">
        <f t="shared" si="8"/>
        <v>0.50371626078995035</v>
      </c>
      <c r="G131">
        <f t="shared" ref="G131:G194" ca="1" si="9">CELL("row",D131)-2</f>
        <v>129</v>
      </c>
      <c r="H131">
        <f t="shared" ref="H131:H194" ca="1" si="10">D131*G131</f>
        <v>64.979397641903603</v>
      </c>
      <c r="I131">
        <f t="shared" ref="I131:I194" ca="1" si="11">D131*((G131-$L$1)^2)</f>
        <v>773.58289634552705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102988</v>
      </c>
      <c r="B134" s="66">
        <v>102988</v>
      </c>
      <c r="D134">
        <f t="shared" si="8"/>
        <v>0.41175929664916822</v>
      </c>
      <c r="E134">
        <f t="shared" si="8"/>
        <v>0.41175929664916822</v>
      </c>
      <c r="G134">
        <f t="shared" ca="1" si="9"/>
        <v>132</v>
      </c>
      <c r="H134">
        <f t="shared" ca="1" si="10"/>
        <v>54.352227157690201</v>
      </c>
      <c r="I134">
        <f t="shared" ca="1" si="11"/>
        <v>732.88348114866551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92533</v>
      </c>
      <c r="B136" s="66">
        <v>92533</v>
      </c>
      <c r="D136">
        <f t="shared" si="8"/>
        <v>0.36995885925386918</v>
      </c>
      <c r="E136">
        <f t="shared" si="8"/>
        <v>0.36995885925386918</v>
      </c>
      <c r="G136">
        <f t="shared" ca="1" si="9"/>
        <v>134</v>
      </c>
      <c r="H136">
        <f t="shared" ca="1" si="10"/>
        <v>49.574487140018469</v>
      </c>
      <c r="I136">
        <f t="shared" ca="1" si="11"/>
        <v>722.39569579002875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80486</v>
      </c>
      <c r="B139" s="66">
        <v>80486</v>
      </c>
      <c r="D139">
        <f t="shared" si="8"/>
        <v>0.32179340068847778</v>
      </c>
      <c r="E139">
        <f t="shared" si="8"/>
        <v>0.32179340068847778</v>
      </c>
      <c r="G139">
        <f t="shared" ca="1" si="9"/>
        <v>137</v>
      </c>
      <c r="H139">
        <f t="shared" ca="1" si="10"/>
        <v>44.085695894321454</v>
      </c>
      <c r="I139">
        <f t="shared" ca="1" si="11"/>
        <v>716.55985612773293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68323</v>
      </c>
      <c r="B142" s="66">
        <v>68323</v>
      </c>
      <c r="D142">
        <f t="shared" si="8"/>
        <v>0.27316415917350678</v>
      </c>
      <c r="E142">
        <f t="shared" si="8"/>
        <v>0.27316415917350678</v>
      </c>
      <c r="G142">
        <f t="shared" ca="1" si="9"/>
        <v>140</v>
      </c>
      <c r="H142">
        <f t="shared" ca="1" si="10"/>
        <v>38.242982284290946</v>
      </c>
      <c r="I142">
        <f t="shared" ca="1" si="11"/>
        <v>688.0737109744548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54317</v>
      </c>
      <c r="B144" s="66">
        <v>54317</v>
      </c>
      <c r="D144">
        <f t="shared" si="8"/>
        <v>0.21716636614064619</v>
      </c>
      <c r="E144">
        <f t="shared" si="8"/>
        <v>0.21716636614064619</v>
      </c>
      <c r="G144">
        <f t="shared" ca="1" si="9"/>
        <v>142</v>
      </c>
      <c r="H144">
        <f t="shared" ca="1" si="10"/>
        <v>30.837623991971761</v>
      </c>
      <c r="I144">
        <f t="shared" ca="1" si="11"/>
        <v>591.48658897467294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51688</v>
      </c>
      <c r="B147" s="66">
        <v>51688</v>
      </c>
      <c r="D147">
        <f t="shared" si="8"/>
        <v>0.20665528532646721</v>
      </c>
      <c r="E147">
        <f t="shared" si="8"/>
        <v>0.20665528532646721</v>
      </c>
      <c r="G147">
        <f t="shared" ca="1" si="9"/>
        <v>145</v>
      </c>
      <c r="H147">
        <f t="shared" ca="1" si="10"/>
        <v>29.965016372337747</v>
      </c>
      <c r="I147">
        <f t="shared" ca="1" si="11"/>
        <v>629.42829070306993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41944</v>
      </c>
      <c r="B149" s="66">
        <v>41944</v>
      </c>
      <c r="D149">
        <f t="shared" si="8"/>
        <v>0.16769751756178108</v>
      </c>
      <c r="E149">
        <f t="shared" si="8"/>
        <v>0.16769751756178108</v>
      </c>
      <c r="G149">
        <f t="shared" ca="1" si="9"/>
        <v>147</v>
      </c>
      <c r="H149">
        <f t="shared" ca="1" si="10"/>
        <v>24.651535081581819</v>
      </c>
      <c r="I149">
        <f t="shared" ca="1" si="11"/>
        <v>548.46196684502115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33313</v>
      </c>
      <c r="B152" s="66">
        <v>33313</v>
      </c>
      <c r="D152">
        <f t="shared" si="8"/>
        <v>0.13318966723573367</v>
      </c>
      <c r="E152">
        <f t="shared" si="8"/>
        <v>0.13318966723573367</v>
      </c>
      <c r="G152">
        <f t="shared" ca="1" si="9"/>
        <v>150</v>
      </c>
      <c r="H152">
        <f t="shared" ca="1" si="10"/>
        <v>19.978450085360048</v>
      </c>
      <c r="I152">
        <f t="shared" ca="1" si="11"/>
        <v>482.50289421326295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27292</v>
      </c>
      <c r="B154" s="66">
        <v>27292</v>
      </c>
      <c r="D154">
        <f t="shared" si="8"/>
        <v>0.10911693327522719</v>
      </c>
      <c r="E154">
        <f t="shared" si="8"/>
        <v>0.10911693327522719</v>
      </c>
      <c r="G154">
        <f t="shared" ca="1" si="9"/>
        <v>152</v>
      </c>
      <c r="H154">
        <f t="shared" ca="1" si="10"/>
        <v>16.585773857834532</v>
      </c>
      <c r="I154">
        <f t="shared" ca="1" si="11"/>
        <v>422.00207665967963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19374</v>
      </c>
      <c r="B157" s="66">
        <v>19374</v>
      </c>
      <c r="D157">
        <f t="shared" si="8"/>
        <v>7.7459748837544029E-2</v>
      </c>
      <c r="E157">
        <f t="shared" si="8"/>
        <v>7.7459748837544029E-2</v>
      </c>
      <c r="G157">
        <f t="shared" ca="1" si="9"/>
        <v>155</v>
      </c>
      <c r="H157">
        <f t="shared" ca="1" si="10"/>
        <v>12.006261069819324</v>
      </c>
      <c r="I157">
        <f t="shared" ca="1" si="11"/>
        <v>329.16998590824562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13856</v>
      </c>
      <c r="B160" s="66">
        <v>13856</v>
      </c>
      <c r="D160">
        <f t="shared" si="8"/>
        <v>5.5398073701507691E-2</v>
      </c>
      <c r="E160">
        <f t="shared" si="8"/>
        <v>5.5398073701507691E-2</v>
      </c>
      <c r="G160">
        <f t="shared" ca="1" si="9"/>
        <v>158</v>
      </c>
      <c r="H160">
        <f t="shared" ca="1" si="10"/>
        <v>8.7528956448382154</v>
      </c>
      <c r="I160">
        <f t="shared" ca="1" si="11"/>
        <v>257.58407580974546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12111</v>
      </c>
      <c r="B162" s="66">
        <v>12111</v>
      </c>
      <c r="D162">
        <f t="shared" si="8"/>
        <v>4.8421338813435313E-2</v>
      </c>
      <c r="E162">
        <f t="shared" si="8"/>
        <v>4.8421338813435313E-2</v>
      </c>
      <c r="G162">
        <f t="shared" ca="1" si="9"/>
        <v>160</v>
      </c>
      <c r="H162">
        <f t="shared" ca="1" si="10"/>
        <v>7.7474142101496497</v>
      </c>
      <c r="I162">
        <f t="shared" ca="1" si="11"/>
        <v>238.5452260858932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7365</v>
      </c>
      <c r="B165" s="66">
        <v>7365</v>
      </c>
      <c r="D165">
        <f t="shared" si="8"/>
        <v>2.9446219169428706E-2</v>
      </c>
      <c r="E165">
        <f t="shared" si="8"/>
        <v>2.9446219169428706E-2</v>
      </c>
      <c r="G165">
        <f t="shared" ca="1" si="9"/>
        <v>163</v>
      </c>
      <c r="H165">
        <f t="shared" ca="1" si="10"/>
        <v>4.7997337246168792</v>
      </c>
      <c r="I165">
        <f t="shared" ca="1" si="11"/>
        <v>157.73103913413033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4385</v>
      </c>
      <c r="B167" s="66">
        <v>4385</v>
      </c>
      <c r="D167">
        <f t="shared" si="8"/>
        <v>1.7531795119883894E-2</v>
      </c>
      <c r="E167">
        <f t="shared" si="8"/>
        <v>1.7531795119883894E-2</v>
      </c>
      <c r="G167">
        <f t="shared" ca="1" si="9"/>
        <v>165</v>
      </c>
      <c r="H167">
        <f t="shared" ca="1" si="10"/>
        <v>2.8927461947808424</v>
      </c>
      <c r="I167">
        <f t="shared" ca="1" si="11"/>
        <v>99.113111070507188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3927</v>
      </c>
      <c r="B170" s="66">
        <v>3927</v>
      </c>
      <c r="D170">
        <f t="shared" si="8"/>
        <v>1.5700652094819623E-2</v>
      </c>
      <c r="E170">
        <f t="shared" si="8"/>
        <v>1.5700652094819623E-2</v>
      </c>
      <c r="G170">
        <f t="shared" ca="1" si="9"/>
        <v>168</v>
      </c>
      <c r="H170">
        <f t="shared" ca="1" si="10"/>
        <v>2.6377095519296967</v>
      </c>
      <c r="I170">
        <f t="shared" ca="1" si="11"/>
        <v>95.985418186477645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2928</v>
      </c>
      <c r="B173" s="66">
        <v>2928</v>
      </c>
      <c r="D173">
        <f t="shared" si="8"/>
        <v>1.1706521348009131E-2</v>
      </c>
      <c r="E173">
        <f t="shared" si="8"/>
        <v>1.1706521348009131E-2</v>
      </c>
      <c r="G173">
        <f t="shared" ca="1" si="9"/>
        <v>171</v>
      </c>
      <c r="H173">
        <f t="shared" ca="1" si="10"/>
        <v>2.0018151505095614</v>
      </c>
      <c r="I173">
        <f t="shared" ca="1" si="11"/>
        <v>77.164693931823351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1848</v>
      </c>
      <c r="B175" s="66">
        <v>1848</v>
      </c>
      <c r="D175">
        <f t="shared" si="8"/>
        <v>7.3885421622680589E-3</v>
      </c>
      <c r="E175">
        <f t="shared" si="8"/>
        <v>7.3885421622680589E-3</v>
      </c>
      <c r="G175">
        <f t="shared" ca="1" si="9"/>
        <v>173</v>
      </c>
      <c r="H175">
        <f t="shared" ca="1" si="10"/>
        <v>1.2782177940723742</v>
      </c>
      <c r="I175">
        <f t="shared" ca="1" si="11"/>
        <v>51.13132442576596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1415</v>
      </c>
      <c r="B178" s="66">
        <v>1415</v>
      </c>
      <c r="D178">
        <f t="shared" si="8"/>
        <v>5.6573523590959431E-3</v>
      </c>
      <c r="E178">
        <f t="shared" si="8"/>
        <v>5.6573523590959431E-3</v>
      </c>
      <c r="G178">
        <f t="shared" ca="1" si="9"/>
        <v>176</v>
      </c>
      <c r="H178">
        <f t="shared" ca="1" si="10"/>
        <v>0.99569401520088596</v>
      </c>
      <c r="I178">
        <f t="shared" ca="1" si="11"/>
        <v>42.025560457647202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1547</v>
      </c>
      <c r="B180" s="66">
        <v>1547</v>
      </c>
      <c r="D180">
        <f t="shared" si="8"/>
        <v>6.1851053706865186E-3</v>
      </c>
      <c r="E180">
        <f t="shared" si="8"/>
        <v>6.1851053706865186E-3</v>
      </c>
      <c r="G180">
        <f t="shared" ca="1" si="9"/>
        <v>178</v>
      </c>
      <c r="H180">
        <f t="shared" ca="1" si="10"/>
        <v>1.1009487559822002</v>
      </c>
      <c r="I180">
        <f t="shared" ca="1" si="11"/>
        <v>48.103050362454312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747</v>
      </c>
      <c r="B183" s="66">
        <v>747</v>
      </c>
      <c r="D183">
        <f t="shared" si="8"/>
        <v>2.9866022701375756E-3</v>
      </c>
      <c r="E183">
        <f t="shared" si="8"/>
        <v>2.9866022701375756E-3</v>
      </c>
      <c r="G183">
        <f t="shared" ca="1" si="9"/>
        <v>181</v>
      </c>
      <c r="H183">
        <f t="shared" ca="1" si="10"/>
        <v>0.54057501089490123</v>
      </c>
      <c r="I183">
        <f t="shared" ca="1" si="11"/>
        <v>24.834709531544405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567</v>
      </c>
      <c r="B185" s="66">
        <v>567</v>
      </c>
      <c r="D185">
        <f t="shared" si="8"/>
        <v>2.2669390725140633E-3</v>
      </c>
      <c r="E185">
        <f t="shared" si="8"/>
        <v>2.2669390725140633E-3</v>
      </c>
      <c r="G185">
        <f t="shared" ca="1" si="9"/>
        <v>183</v>
      </c>
      <c r="H185">
        <f t="shared" ca="1" si="10"/>
        <v>0.41484985027007359</v>
      </c>
      <c r="I185">
        <f t="shared" ca="1" si="11"/>
        <v>19.686386501065197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650</v>
      </c>
      <c r="B188" s="66">
        <v>650</v>
      </c>
      <c r="D188">
        <f t="shared" si="8"/>
        <v>2.5987837691960163E-3</v>
      </c>
      <c r="E188">
        <f t="shared" si="8"/>
        <v>2.5987837691960163E-3</v>
      </c>
      <c r="G188">
        <f t="shared" ca="1" si="9"/>
        <v>186</v>
      </c>
      <c r="H188">
        <f t="shared" ca="1" si="10"/>
        <v>0.48337378107045903</v>
      </c>
      <c r="I188">
        <f t="shared" ca="1" si="11"/>
        <v>24.044620105830422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370</v>
      </c>
      <c r="B191" s="66">
        <v>370</v>
      </c>
      <c r="D191">
        <f t="shared" si="8"/>
        <v>1.4793076840038861E-3</v>
      </c>
      <c r="E191">
        <f t="shared" si="8"/>
        <v>1.4793076840038861E-3</v>
      </c>
      <c r="G191">
        <f t="shared" ca="1" si="9"/>
        <v>189</v>
      </c>
      <c r="H191">
        <f t="shared" ca="1" si="10"/>
        <v>0.27958915227673448</v>
      </c>
      <c r="I191">
        <f t="shared" ca="1" si="11"/>
        <v>14.55400713537664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232</v>
      </c>
      <c r="B193" s="66">
        <v>232</v>
      </c>
      <c r="D193">
        <f t="shared" si="8"/>
        <v>9.2756589915919349E-4</v>
      </c>
      <c r="E193">
        <f t="shared" si="8"/>
        <v>9.2756589915919349E-4</v>
      </c>
      <c r="G193">
        <f t="shared" ca="1" si="9"/>
        <v>191</v>
      </c>
      <c r="H193">
        <f t="shared" ca="1" si="10"/>
        <v>0.17716508673940595</v>
      </c>
      <c r="I193">
        <f t="shared" ca="1" si="11"/>
        <v>9.497482173620865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139</v>
      </c>
      <c r="B196" s="66">
        <v>139</v>
      </c>
      <c r="D196">
        <f t="shared" si="12"/>
        <v>5.5573991372037885E-4</v>
      </c>
      <c r="E196">
        <f t="shared" si="12"/>
        <v>5.5573991372037885E-4</v>
      </c>
      <c r="G196">
        <f t="shared" ca="1" si="13"/>
        <v>194</v>
      </c>
      <c r="H196">
        <f t="shared" ca="1" si="14"/>
        <v>0.10781354326175349</v>
      </c>
      <c r="I196">
        <f t="shared" ca="1" si="15"/>
        <v>6.0327109509991867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87.592947241620095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1.691199970113195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0.57094471522942603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914</v>
      </c>
      <c r="B8" s="66">
        <v>914</v>
      </c>
      <c r="D8">
        <f t="shared" si="0"/>
        <v>0.85810316014796173</v>
      </c>
      <c r="E8">
        <f t="shared" si="1"/>
        <v>0.85810316014796173</v>
      </c>
      <c r="G8">
        <f t="shared" ca="1" si="2"/>
        <v>6</v>
      </c>
      <c r="H8">
        <f t="shared" ca="1" si="3"/>
        <v>5.1486189608877702</v>
      </c>
      <c r="I8">
        <f t="shared" ca="1" si="4"/>
        <v>5712.7437352558845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1335</v>
      </c>
      <c r="B10" s="66">
        <v>1335</v>
      </c>
      <c r="D10">
        <f t="shared" si="0"/>
        <v>1.2533563662992657</v>
      </c>
      <c r="E10">
        <f t="shared" si="1"/>
        <v>1.2533563662992657</v>
      </c>
      <c r="G10">
        <f t="shared" ca="1" si="2"/>
        <v>8</v>
      </c>
      <c r="H10">
        <f t="shared" ca="1" si="3"/>
        <v>10.026850930394126</v>
      </c>
      <c r="I10">
        <f t="shared" ca="1" si="4"/>
        <v>7940.0592687916815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1820</v>
      </c>
      <c r="B13" s="66">
        <v>1820</v>
      </c>
      <c r="D13">
        <f t="shared" si="0"/>
        <v>1.7086955705353286</v>
      </c>
      <c r="E13">
        <f t="shared" si="1"/>
        <v>1.7086955705353286</v>
      </c>
      <c r="G13">
        <f t="shared" ca="1" si="2"/>
        <v>11</v>
      </c>
      <c r="H13">
        <f t="shared" ca="1" si="3"/>
        <v>18.795651275888616</v>
      </c>
      <c r="I13">
        <f t="shared" ca="1" si="4"/>
        <v>10024.027651038203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2461</v>
      </c>
      <c r="B15" s="66">
        <v>2461</v>
      </c>
      <c r="D15">
        <f t="shared" si="0"/>
        <v>2.310494395102991</v>
      </c>
      <c r="E15">
        <f t="shared" si="1"/>
        <v>2.310494395102991</v>
      </c>
      <c r="G15">
        <f t="shared" ca="1" si="2"/>
        <v>13</v>
      </c>
      <c r="H15">
        <f t="shared" ca="1" si="3"/>
        <v>30.036427136338883</v>
      </c>
      <c r="I15">
        <f t="shared" ca="1" si="4"/>
        <v>12855.839835259538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1754</v>
      </c>
      <c r="B18" s="66">
        <v>1754</v>
      </c>
      <c r="D18">
        <f t="shared" si="0"/>
        <v>1.6467318850104211</v>
      </c>
      <c r="E18">
        <f t="shared" si="1"/>
        <v>1.6467318850104211</v>
      </c>
      <c r="G18">
        <f t="shared" ca="1" si="2"/>
        <v>16</v>
      </c>
      <c r="H18">
        <f t="shared" ca="1" si="3"/>
        <v>26.347710160166738</v>
      </c>
      <c r="I18">
        <f t="shared" ca="1" si="4"/>
        <v>8440.4067692288463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3734</v>
      </c>
      <c r="B21" s="66">
        <v>3734</v>
      </c>
      <c r="D21">
        <f t="shared" si="0"/>
        <v>3.5056424507576467</v>
      </c>
      <c r="E21">
        <f t="shared" si="1"/>
        <v>3.5056424507576467</v>
      </c>
      <c r="G21">
        <f t="shared" ca="1" si="2"/>
        <v>19</v>
      </c>
      <c r="H21">
        <f t="shared" ca="1" si="3"/>
        <v>66.607206564395284</v>
      </c>
      <c r="I21">
        <f t="shared" ca="1" si="4"/>
        <v>16494.021127516688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5352</v>
      </c>
      <c r="B23" s="66">
        <v>5352</v>
      </c>
      <c r="D23">
        <f t="shared" si="0"/>
        <v>5.0246915898379552</v>
      </c>
      <c r="E23">
        <f t="shared" si="1"/>
        <v>5.0246915898379552</v>
      </c>
      <c r="G23">
        <f t="shared" ca="1" si="2"/>
        <v>21</v>
      </c>
      <c r="H23">
        <f t="shared" ca="1" si="3"/>
        <v>105.51852338659705</v>
      </c>
      <c r="I23">
        <f t="shared" ca="1" si="4"/>
        <v>22282.600945119379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8533</v>
      </c>
      <c r="B26" s="66">
        <v>8533</v>
      </c>
      <c r="D26">
        <f t="shared" si="0"/>
        <v>8.0111534633944839</v>
      </c>
      <c r="E26">
        <f t="shared" si="1"/>
        <v>8.0111534633944839</v>
      </c>
      <c r="G26">
        <f t="shared" ca="1" si="2"/>
        <v>24</v>
      </c>
      <c r="H26">
        <f t="shared" ca="1" si="3"/>
        <v>192.2676831214676</v>
      </c>
      <c r="I26">
        <f t="shared" ca="1" si="4"/>
        <v>32397.608818957553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9902</v>
      </c>
      <c r="B28" s="66">
        <v>9902</v>
      </c>
      <c r="D28">
        <f t="shared" si="0"/>
        <v>9.2964305161762777</v>
      </c>
      <c r="E28">
        <f t="shared" si="1"/>
        <v>9.2964305161762777</v>
      </c>
      <c r="G28">
        <f t="shared" ca="1" si="2"/>
        <v>26</v>
      </c>
      <c r="H28">
        <f t="shared" ca="1" si="3"/>
        <v>241.70719342058322</v>
      </c>
      <c r="I28">
        <f t="shared" ca="1" si="4"/>
        <v>35267.786174961868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13014</v>
      </c>
      <c r="B31" s="66">
        <v>13014</v>
      </c>
      <c r="D31">
        <f t="shared" si="0"/>
        <v>12.218112173047674</v>
      </c>
      <c r="E31">
        <f t="shared" si="1"/>
        <v>12.218112173047674</v>
      </c>
      <c r="G31">
        <f t="shared" ca="1" si="2"/>
        <v>29</v>
      </c>
      <c r="H31">
        <f t="shared" ca="1" si="3"/>
        <v>354.32525301838251</v>
      </c>
      <c r="I31">
        <f t="shared" ca="1" si="4"/>
        <v>41946.40979824344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15707</v>
      </c>
      <c r="B33" s="66">
        <v>15707</v>
      </c>
      <c r="D33">
        <f t="shared" si="0"/>
        <v>14.746418311207917</v>
      </c>
      <c r="E33">
        <f t="shared" si="1"/>
        <v>14.746418311207917</v>
      </c>
      <c r="G33">
        <f t="shared" ca="1" si="2"/>
        <v>31</v>
      </c>
      <c r="H33">
        <f t="shared" ca="1" si="3"/>
        <v>457.13896764744544</v>
      </c>
      <c r="I33">
        <f t="shared" ca="1" si="4"/>
        <v>47229.263447414742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21563</v>
      </c>
      <c r="B36" s="66">
        <v>21563</v>
      </c>
      <c r="D36">
        <f t="shared" si="0"/>
        <v>20.244287135963347</v>
      </c>
      <c r="E36">
        <f t="shared" si="1"/>
        <v>20.244287135963347</v>
      </c>
      <c r="G36">
        <f t="shared" ca="1" si="2"/>
        <v>34</v>
      </c>
      <c r="H36">
        <f t="shared" ca="1" si="3"/>
        <v>688.30576262275383</v>
      </c>
      <c r="I36">
        <f t="shared" ca="1" si="4"/>
        <v>58145.722368468771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24118</v>
      </c>
      <c r="B39" s="66">
        <v>24118</v>
      </c>
      <c r="D39">
        <f t="shared" si="0"/>
        <v>22.643032840753328</v>
      </c>
      <c r="E39">
        <f t="shared" si="1"/>
        <v>22.643032840753328</v>
      </c>
      <c r="G39">
        <f t="shared" ca="1" si="2"/>
        <v>37</v>
      </c>
      <c r="H39">
        <f t="shared" ca="1" si="3"/>
        <v>837.79221510787318</v>
      </c>
      <c r="I39">
        <f t="shared" ca="1" si="4"/>
        <v>57958.155471478414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31696</v>
      </c>
      <c r="B41" s="66">
        <v>31696</v>
      </c>
      <c r="D41">
        <f t="shared" si="0"/>
        <v>29.757590551476802</v>
      </c>
      <c r="E41">
        <f t="shared" si="1"/>
        <v>29.757590551476802</v>
      </c>
      <c r="G41">
        <f t="shared" ca="1" si="2"/>
        <v>39</v>
      </c>
      <c r="H41">
        <f t="shared" ca="1" si="3"/>
        <v>1160.5460315075952</v>
      </c>
      <c r="I41">
        <f t="shared" ca="1" si="4"/>
        <v>70265.840394206767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40026</v>
      </c>
      <c r="B44" s="66">
        <v>40026</v>
      </c>
      <c r="D44">
        <f t="shared" si="0"/>
        <v>37.578158739696192</v>
      </c>
      <c r="E44">
        <f t="shared" si="1"/>
        <v>37.578158739696192</v>
      </c>
      <c r="G44">
        <f t="shared" ca="1" si="2"/>
        <v>42</v>
      </c>
      <c r="H44">
        <f t="shared" ca="1" si="3"/>
        <v>1578.28266706724</v>
      </c>
      <c r="I44">
        <f t="shared" ca="1" si="4"/>
        <v>78114.351319900437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35359</v>
      </c>
      <c r="B46" s="66">
        <v>35359</v>
      </c>
      <c r="D46">
        <f t="shared" si="0"/>
        <v>33.196575098109172</v>
      </c>
      <c r="E46">
        <f t="shared" si="1"/>
        <v>33.196575098109172</v>
      </c>
      <c r="G46">
        <f t="shared" ca="1" si="2"/>
        <v>44</v>
      </c>
      <c r="H46">
        <f t="shared" ca="1" si="3"/>
        <v>1460.6493043168036</v>
      </c>
      <c r="I46">
        <f t="shared" ca="1" si="4"/>
        <v>63084.947138442076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43721</v>
      </c>
      <c r="B49" s="66">
        <v>43721</v>
      </c>
      <c r="D49">
        <f t="shared" si="0"/>
        <v>41.047186285370934</v>
      </c>
      <c r="E49">
        <f t="shared" si="1"/>
        <v>41.047186285370934</v>
      </c>
      <c r="G49">
        <f t="shared" ca="1" si="2"/>
        <v>47</v>
      </c>
      <c r="H49">
        <f t="shared" ca="1" si="3"/>
        <v>1929.2177554124339</v>
      </c>
      <c r="I49">
        <f t="shared" ca="1" si="4"/>
        <v>67637.034961070472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53379</v>
      </c>
      <c r="B51" s="66">
        <v>53379</v>
      </c>
      <c r="D51">
        <f t="shared" si="0"/>
        <v>50.114538933849069</v>
      </c>
      <c r="E51">
        <f t="shared" si="1"/>
        <v>50.114538933849069</v>
      </c>
      <c r="G51">
        <f t="shared" ca="1" si="2"/>
        <v>49</v>
      </c>
      <c r="H51">
        <f t="shared" ca="1" si="3"/>
        <v>2455.6124077586041</v>
      </c>
      <c r="I51">
        <f t="shared" ca="1" si="4"/>
        <v>74641.374911947845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58605</v>
      </c>
      <c r="B54" s="66">
        <v>58605</v>
      </c>
      <c r="D54">
        <f t="shared" si="0"/>
        <v>55.020936214957658</v>
      </c>
      <c r="E54">
        <f t="shared" si="1"/>
        <v>55.020936214957658</v>
      </c>
      <c r="G54">
        <f t="shared" ca="1" si="2"/>
        <v>52</v>
      </c>
      <c r="H54">
        <f t="shared" ca="1" si="3"/>
        <v>2861.088683177798</v>
      </c>
      <c r="I54">
        <f t="shared" ca="1" si="4"/>
        <v>69703.707343137212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70466</v>
      </c>
      <c r="B57" s="66">
        <v>70466</v>
      </c>
      <c r="D57">
        <f t="shared" si="0"/>
        <v>66.156561578759593</v>
      </c>
      <c r="E57">
        <f t="shared" si="1"/>
        <v>66.156561578759593</v>
      </c>
      <c r="G57">
        <f t="shared" ca="1" si="2"/>
        <v>55</v>
      </c>
      <c r="H57">
        <f t="shared" ca="1" si="3"/>
        <v>3638.6108868317774</v>
      </c>
      <c r="I57">
        <f t="shared" ca="1" si="4"/>
        <v>70278.129251049861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85636</v>
      </c>
      <c r="B59" s="66">
        <v>85636</v>
      </c>
      <c r="D59">
        <f t="shared" si="0"/>
        <v>80.398820812287582</v>
      </c>
      <c r="E59">
        <f t="shared" si="1"/>
        <v>80.398820812287582</v>
      </c>
      <c r="G59">
        <f t="shared" ca="1" si="2"/>
        <v>57</v>
      </c>
      <c r="H59">
        <f t="shared" ca="1" si="3"/>
        <v>4582.732786300392</v>
      </c>
      <c r="I59">
        <f t="shared" ca="1" si="4"/>
        <v>75247.541407361801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88216</v>
      </c>
      <c r="B62" s="66">
        <v>88216</v>
      </c>
      <c r="D62">
        <f t="shared" si="0"/>
        <v>82.821037610079429</v>
      </c>
      <c r="E62">
        <f t="shared" si="1"/>
        <v>82.821037610079429</v>
      </c>
      <c r="G62">
        <f t="shared" ca="1" si="2"/>
        <v>60</v>
      </c>
      <c r="H62">
        <f t="shared" ca="1" si="3"/>
        <v>4969.2622566047658</v>
      </c>
      <c r="I62">
        <f t="shared" ca="1" si="4"/>
        <v>63057.514483948093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96492</v>
      </c>
      <c r="B64" s="66">
        <v>96492</v>
      </c>
      <c r="D64">
        <f t="shared" si="0"/>
        <v>90.590908237414794</v>
      </c>
      <c r="E64">
        <f t="shared" si="1"/>
        <v>90.590908237414794</v>
      </c>
      <c r="G64">
        <f t="shared" ca="1" si="2"/>
        <v>62</v>
      </c>
      <c r="H64">
        <f t="shared" ca="1" si="3"/>
        <v>5616.6363107197176</v>
      </c>
      <c r="I64">
        <f t="shared" ca="1" si="4"/>
        <v>59336.949640285449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93496</v>
      </c>
      <c r="B67" s="66">
        <v>93496</v>
      </c>
      <c r="D67">
        <f t="shared" ref="D67:D130" si="5">IFERROR( 100*A67/MAX(A$2:A$257), 0 )</f>
        <v>87.778132452072029</v>
      </c>
      <c r="E67">
        <f t="shared" ref="E67:E130" si="6">IFERROR( 100*B67/MAX(B$2:B$257), 0 )</f>
        <v>87.778132452072029</v>
      </c>
      <c r="G67">
        <f t="shared" ref="G67:G130" ca="1" si="7">CELL("row",D67)-2</f>
        <v>65</v>
      </c>
      <c r="H67">
        <f t="shared" ref="H67:H130" ca="1" si="8">D67*G67</f>
        <v>5705.5786093846818</v>
      </c>
      <c r="I67">
        <f t="shared" ref="I67:I130" ca="1" si="9">D67*((G67-$L$1)^2)</f>
        <v>44805.580973670658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81646</v>
      </c>
      <c r="B69" s="66">
        <v>81646</v>
      </c>
      <c r="D69">
        <f t="shared" si="5"/>
        <v>76.652834369190899</v>
      </c>
      <c r="E69">
        <f t="shared" si="6"/>
        <v>76.652834369190899</v>
      </c>
      <c r="G69">
        <f t="shared" ca="1" si="7"/>
        <v>67</v>
      </c>
      <c r="H69">
        <f t="shared" ca="1" si="8"/>
        <v>5135.7399027357906</v>
      </c>
      <c r="I69">
        <f t="shared" ca="1" si="9"/>
        <v>32506.127312227643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85811</v>
      </c>
      <c r="B72" s="66">
        <v>85811</v>
      </c>
      <c r="D72">
        <f t="shared" si="5"/>
        <v>80.563118463300597</v>
      </c>
      <c r="E72">
        <f t="shared" si="6"/>
        <v>80.563118463300597</v>
      </c>
      <c r="G72">
        <f t="shared" ca="1" si="7"/>
        <v>70</v>
      </c>
      <c r="H72">
        <f t="shared" ca="1" si="8"/>
        <v>5639.4182924310417</v>
      </c>
      <c r="I72">
        <f t="shared" ca="1" si="9"/>
        <v>24935.235216762718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90802</v>
      </c>
      <c r="B75" s="66">
        <v>90802</v>
      </c>
      <c r="D75">
        <f t="shared" si="5"/>
        <v>85.248887470191718</v>
      </c>
      <c r="E75">
        <f t="shared" si="6"/>
        <v>85.248887470191718</v>
      </c>
      <c r="G75">
        <f t="shared" ca="1" si="7"/>
        <v>73</v>
      </c>
      <c r="H75">
        <f t="shared" ca="1" si="8"/>
        <v>6223.1687853239955</v>
      </c>
      <c r="I75">
        <f t="shared" ca="1" si="9"/>
        <v>18154.10089122504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93117</v>
      </c>
      <c r="B77" s="66">
        <v>93117</v>
      </c>
      <c r="D77">
        <f t="shared" si="5"/>
        <v>87.422310682163854</v>
      </c>
      <c r="E77">
        <f t="shared" si="6"/>
        <v>87.422310682163854</v>
      </c>
      <c r="G77">
        <f t="shared" ca="1" si="7"/>
        <v>75</v>
      </c>
      <c r="H77">
        <f t="shared" ca="1" si="8"/>
        <v>6556.6733011622891</v>
      </c>
      <c r="I77">
        <f t="shared" ca="1" si="9"/>
        <v>13863.632867865317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98113</v>
      </c>
      <c r="B80" s="66">
        <v>98113</v>
      </c>
      <c r="D80">
        <f t="shared" si="5"/>
        <v>92.112773907655338</v>
      </c>
      <c r="E80">
        <f t="shared" si="6"/>
        <v>92.112773907655338</v>
      </c>
      <c r="G80">
        <f t="shared" ca="1" si="7"/>
        <v>78</v>
      </c>
      <c r="H80">
        <f t="shared" ca="1" si="8"/>
        <v>7184.7963647971164</v>
      </c>
      <c r="I80">
        <f t="shared" ca="1" si="9"/>
        <v>8476.6445616969086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102194</v>
      </c>
      <c r="B82" s="66">
        <v>102194</v>
      </c>
      <c r="D82">
        <f t="shared" si="5"/>
        <v>95.944195129278782</v>
      </c>
      <c r="E82">
        <f t="shared" si="6"/>
        <v>95.944195129278782</v>
      </c>
      <c r="G82">
        <f t="shared" ca="1" si="7"/>
        <v>80</v>
      </c>
      <c r="H82">
        <f t="shared" ca="1" si="8"/>
        <v>7675.5356103423028</v>
      </c>
      <c r="I82">
        <f t="shared" ca="1" si="9"/>
        <v>5531.4560804275443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105111</v>
      </c>
      <c r="B85" s="66">
        <v>105111</v>
      </c>
      <c r="D85">
        <f t="shared" si="5"/>
        <v>98.682802260735684</v>
      </c>
      <c r="E85">
        <f t="shared" si="6"/>
        <v>98.682802260735684</v>
      </c>
      <c r="G85">
        <f t="shared" ca="1" si="7"/>
        <v>83</v>
      </c>
      <c r="H85">
        <f t="shared" ca="1" si="8"/>
        <v>8190.6725876410619</v>
      </c>
      <c r="I85">
        <f t="shared" ca="1" si="9"/>
        <v>2081.7299336204915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106514</v>
      </c>
      <c r="B88" s="66">
        <v>106514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253.74809145850699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100844</v>
      </c>
      <c r="B90" s="66">
        <v>100844</v>
      </c>
      <c r="D90">
        <f t="shared" si="5"/>
        <v>94.676756107178406</v>
      </c>
      <c r="E90">
        <f t="shared" si="6"/>
        <v>94.676756107178406</v>
      </c>
      <c r="G90">
        <f t="shared" ca="1" si="7"/>
        <v>88</v>
      </c>
      <c r="H90">
        <f t="shared" ca="1" si="8"/>
        <v>8331.5545374316989</v>
      </c>
      <c r="I90">
        <f t="shared" ca="1" si="9"/>
        <v>15.687176159630921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101057</v>
      </c>
      <c r="B93" s="66">
        <v>101057</v>
      </c>
      <c r="D93">
        <f t="shared" si="5"/>
        <v>94.876729819554242</v>
      </c>
      <c r="E93">
        <f t="shared" si="6"/>
        <v>94.876729819554242</v>
      </c>
      <c r="G93">
        <f t="shared" ca="1" si="7"/>
        <v>91</v>
      </c>
      <c r="H93">
        <f t="shared" ca="1" si="8"/>
        <v>8633.7824135794363</v>
      </c>
      <c r="I93">
        <f t="shared" ca="1" si="9"/>
        <v>1101.3298860442794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101429</v>
      </c>
      <c r="B95" s="66">
        <v>101429</v>
      </c>
      <c r="D95">
        <f t="shared" si="5"/>
        <v>95.225979683421897</v>
      </c>
      <c r="E95">
        <f t="shared" si="6"/>
        <v>95.225979683421897</v>
      </c>
      <c r="G95">
        <f t="shared" ca="1" si="7"/>
        <v>93</v>
      </c>
      <c r="H95">
        <f t="shared" ca="1" si="8"/>
        <v>8856.0161105582356</v>
      </c>
      <c r="I95">
        <f t="shared" ca="1" si="9"/>
        <v>2784.0476471651277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97039</v>
      </c>
      <c r="B98" s="66">
        <v>97039</v>
      </c>
      <c r="D98">
        <f t="shared" si="5"/>
        <v>91.104455752295479</v>
      </c>
      <c r="E98">
        <f t="shared" si="6"/>
        <v>91.104455752295479</v>
      </c>
      <c r="G98">
        <f t="shared" ca="1" si="7"/>
        <v>96</v>
      </c>
      <c r="H98">
        <f t="shared" ca="1" si="8"/>
        <v>8746.0277522203651</v>
      </c>
      <c r="I98">
        <f t="shared" ca="1" si="9"/>
        <v>6439.1295631362764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84981</v>
      </c>
      <c r="B100" s="66">
        <v>84981</v>
      </c>
      <c r="D100">
        <f t="shared" si="5"/>
        <v>79.78387817563889</v>
      </c>
      <c r="E100">
        <f t="shared" si="6"/>
        <v>79.78387817563889</v>
      </c>
      <c r="G100">
        <f t="shared" ca="1" si="7"/>
        <v>98</v>
      </c>
      <c r="H100">
        <f t="shared" ca="1" si="8"/>
        <v>7818.8200612126111</v>
      </c>
      <c r="I100">
        <f t="shared" ca="1" si="9"/>
        <v>8641.1323174789595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79258</v>
      </c>
      <c r="B103" s="66">
        <v>79258</v>
      </c>
      <c r="D103">
        <f t="shared" si="5"/>
        <v>74.410875565653342</v>
      </c>
      <c r="E103">
        <f t="shared" si="6"/>
        <v>74.410875565653342</v>
      </c>
      <c r="G103">
        <f t="shared" ca="1" si="7"/>
        <v>101</v>
      </c>
      <c r="H103">
        <f t="shared" ca="1" si="8"/>
        <v>7515.4984321309876</v>
      </c>
      <c r="I103">
        <f t="shared" ca="1" si="9"/>
        <v>13375.285209492104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70290</v>
      </c>
      <c r="B106" s="66">
        <v>70290</v>
      </c>
      <c r="D106">
        <f t="shared" si="5"/>
        <v>65.991325084026514</v>
      </c>
      <c r="E106">
        <f t="shared" si="6"/>
        <v>65.991325084026514</v>
      </c>
      <c r="G106">
        <f t="shared" ca="1" si="7"/>
        <v>104</v>
      </c>
      <c r="H106">
        <f t="shared" ca="1" si="8"/>
        <v>6863.0978087387575</v>
      </c>
      <c r="I106">
        <f t="shared" ca="1" si="9"/>
        <v>17764.295881669103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66996</v>
      </c>
      <c r="B108" s="66">
        <v>66996</v>
      </c>
      <c r="D108">
        <f t="shared" si="5"/>
        <v>62.898773870101586</v>
      </c>
      <c r="E108">
        <f t="shared" si="6"/>
        <v>62.898773870101586</v>
      </c>
      <c r="G108">
        <f t="shared" ca="1" si="7"/>
        <v>106</v>
      </c>
      <c r="H108">
        <f t="shared" ca="1" si="8"/>
        <v>6667.2700302307685</v>
      </c>
      <c r="I108">
        <f t="shared" ca="1" si="9"/>
        <v>21311.336852780241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65135</v>
      </c>
      <c r="B111" s="66">
        <v>65135</v>
      </c>
      <c r="D111">
        <f t="shared" si="5"/>
        <v>61.151585707043203</v>
      </c>
      <c r="E111">
        <f t="shared" si="6"/>
        <v>61.151585707043203</v>
      </c>
      <c r="G111">
        <f t="shared" ca="1" si="7"/>
        <v>109</v>
      </c>
      <c r="H111">
        <f t="shared" ca="1" si="8"/>
        <v>6665.5228420677095</v>
      </c>
      <c r="I111">
        <f t="shared" ca="1" si="9"/>
        <v>28023.442331108541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63008</v>
      </c>
      <c r="B113" s="66">
        <v>63008</v>
      </c>
      <c r="D113">
        <f t="shared" si="5"/>
        <v>59.154665114445052</v>
      </c>
      <c r="E113">
        <f t="shared" si="6"/>
        <v>59.154665114445052</v>
      </c>
      <c r="G113">
        <f t="shared" ca="1" si="7"/>
        <v>111</v>
      </c>
      <c r="H113">
        <f t="shared" ca="1" si="8"/>
        <v>6566.1678277034007</v>
      </c>
      <c r="I113">
        <f t="shared" ca="1" si="9"/>
        <v>32410.256499113948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62308</v>
      </c>
      <c r="B116" s="66">
        <v>62308</v>
      </c>
      <c r="D116">
        <f t="shared" si="5"/>
        <v>58.497474510392998</v>
      </c>
      <c r="E116">
        <f t="shared" si="6"/>
        <v>58.497474510392998</v>
      </c>
      <c r="G116">
        <f t="shared" ca="1" si="7"/>
        <v>114</v>
      </c>
      <c r="H116">
        <f t="shared" ca="1" si="8"/>
        <v>6668.7120941848016</v>
      </c>
      <c r="I116">
        <f t="shared" ca="1" si="9"/>
        <v>40792.186364137611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61205</v>
      </c>
      <c r="B118" s="66">
        <v>61205</v>
      </c>
      <c r="D118">
        <f t="shared" si="5"/>
        <v>57.461929887150987</v>
      </c>
      <c r="E118">
        <f t="shared" si="6"/>
        <v>57.461929887150987</v>
      </c>
      <c r="G118">
        <f t="shared" ca="1" si="7"/>
        <v>116</v>
      </c>
      <c r="H118">
        <f t="shared" ca="1" si="8"/>
        <v>6665.5838669095147</v>
      </c>
      <c r="I118">
        <f t="shared" ca="1" si="9"/>
        <v>46369.516086125492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61538</v>
      </c>
      <c r="B121" s="66">
        <v>61538</v>
      </c>
      <c r="D121">
        <f t="shared" si="5"/>
        <v>57.774564845935743</v>
      </c>
      <c r="E121">
        <f t="shared" si="6"/>
        <v>57.774564845935743</v>
      </c>
      <c r="G121">
        <f t="shared" ca="1" si="7"/>
        <v>119</v>
      </c>
      <c r="H121">
        <f t="shared" ca="1" si="8"/>
        <v>6875.1732166663533</v>
      </c>
      <c r="I121">
        <f t="shared" ca="1" si="9"/>
        <v>56989.001948198158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65127</v>
      </c>
      <c r="B124" s="66">
        <v>65127</v>
      </c>
      <c r="D124">
        <f t="shared" si="5"/>
        <v>61.144074957282612</v>
      </c>
      <c r="E124">
        <f t="shared" si="6"/>
        <v>61.144074957282612</v>
      </c>
      <c r="G124">
        <f t="shared" ca="1" si="7"/>
        <v>122</v>
      </c>
      <c r="H124">
        <f t="shared" ca="1" si="8"/>
        <v>7459.577144788479</v>
      </c>
      <c r="I124">
        <f t="shared" ca="1" si="9"/>
        <v>72385.124508670007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63452</v>
      </c>
      <c r="B126" s="66">
        <v>63452</v>
      </c>
      <c r="D126">
        <f t="shared" si="5"/>
        <v>59.571511726158064</v>
      </c>
      <c r="E126">
        <f t="shared" si="6"/>
        <v>59.571511726158064</v>
      </c>
      <c r="G126">
        <f t="shared" ca="1" si="7"/>
        <v>124</v>
      </c>
      <c r="H126">
        <f t="shared" ca="1" si="8"/>
        <v>7386.8674540436004</v>
      </c>
      <c r="I126">
        <f t="shared" ca="1" si="9"/>
        <v>78960.459585097837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55946</v>
      </c>
      <c r="B129" s="66">
        <v>55946</v>
      </c>
      <c r="D129">
        <f t="shared" si="5"/>
        <v>52.524550763279947</v>
      </c>
      <c r="E129">
        <f t="shared" si="6"/>
        <v>52.524550763279947</v>
      </c>
      <c r="G129">
        <f t="shared" ca="1" si="7"/>
        <v>127</v>
      </c>
      <c r="H129">
        <f t="shared" ca="1" si="8"/>
        <v>6670.6179469365534</v>
      </c>
      <c r="I129">
        <f t="shared" ca="1" si="9"/>
        <v>81566.205141215047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51215</v>
      </c>
      <c r="B131" s="66">
        <v>51215</v>
      </c>
      <c r="D131">
        <f t="shared" ref="D131:D194" si="10">IFERROR( 100*A131/MAX(A$2:A$257), 0 )</f>
        <v>48.082881123608168</v>
      </c>
      <c r="E131">
        <f t="shared" ref="E131:E194" si="11">IFERROR( 100*B131/MAX(B$2:B$257), 0 )</f>
        <v>48.082881123608168</v>
      </c>
      <c r="G131">
        <f t="shared" ref="G131:G194" ca="1" si="12">CELL("row",D131)-2</f>
        <v>129</v>
      </c>
      <c r="H131">
        <f t="shared" ref="H131:H194" ca="1" si="13">D131*G131</f>
        <v>6202.6916649454533</v>
      </c>
      <c r="I131">
        <f t="shared" ref="I131:I194" ca="1" si="14">D131*((G131-$L$1)^2)</f>
        <v>82440.216205191042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41537</v>
      </c>
      <c r="B134" s="66">
        <v>41537</v>
      </c>
      <c r="D134">
        <f t="shared" si="10"/>
        <v>38.996751600728544</v>
      </c>
      <c r="E134">
        <f t="shared" si="11"/>
        <v>38.996751600728544</v>
      </c>
      <c r="G134">
        <f t="shared" ca="1" si="12"/>
        <v>132</v>
      </c>
      <c r="H134">
        <f t="shared" ca="1" si="13"/>
        <v>5147.5712112961683</v>
      </c>
      <c r="I134">
        <f t="shared" ca="1" si="14"/>
        <v>76901.061253763008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37242</v>
      </c>
      <c r="B136" s="66">
        <v>37242</v>
      </c>
      <c r="D136">
        <f t="shared" si="10"/>
        <v>34.964417823009185</v>
      </c>
      <c r="E136">
        <f t="shared" si="11"/>
        <v>34.964417823009185</v>
      </c>
      <c r="G136">
        <f t="shared" ca="1" si="12"/>
        <v>134</v>
      </c>
      <c r="H136">
        <f t="shared" ca="1" si="13"/>
        <v>4685.2319882832307</v>
      </c>
      <c r="I136">
        <f t="shared" ca="1" si="14"/>
        <v>75299.878806231194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33314</v>
      </c>
      <c r="B139" s="66">
        <v>33314</v>
      </c>
      <c r="D139">
        <f t="shared" si="10"/>
        <v>31.276639690557111</v>
      </c>
      <c r="E139">
        <f t="shared" si="11"/>
        <v>31.276639690557111</v>
      </c>
      <c r="G139">
        <f t="shared" ca="1" si="12"/>
        <v>137</v>
      </c>
      <c r="H139">
        <f t="shared" ca="1" si="13"/>
        <v>4284.8996376063242</v>
      </c>
      <c r="I139">
        <f t="shared" ca="1" si="14"/>
        <v>76348.055945359898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27182</v>
      </c>
      <c r="B142" s="66">
        <v>27182</v>
      </c>
      <c r="D142">
        <f t="shared" si="10"/>
        <v>25.519649999061155</v>
      </c>
      <c r="E142">
        <f t="shared" si="11"/>
        <v>25.519649999061155</v>
      </c>
      <c r="G142">
        <f t="shared" ca="1" si="12"/>
        <v>140</v>
      </c>
      <c r="H142">
        <f t="shared" ca="1" si="13"/>
        <v>3572.7509998685618</v>
      </c>
      <c r="I142">
        <f t="shared" ca="1" si="14"/>
        <v>70089.697766185447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22718</v>
      </c>
      <c r="B144" s="66">
        <v>22718</v>
      </c>
      <c r="D144">
        <f t="shared" si="10"/>
        <v>21.32865163264923</v>
      </c>
      <c r="E144">
        <f t="shared" si="11"/>
        <v>21.32865163264923</v>
      </c>
      <c r="G144">
        <f t="shared" ca="1" si="12"/>
        <v>142</v>
      </c>
      <c r="H144">
        <f t="shared" ca="1" si="13"/>
        <v>3028.6685318361906</v>
      </c>
      <c r="I144">
        <f t="shared" ca="1" si="14"/>
        <v>63135.525886440759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23727</v>
      </c>
      <c r="B147" s="66">
        <v>23727</v>
      </c>
      <c r="D147">
        <f t="shared" si="10"/>
        <v>22.275944946204255</v>
      </c>
      <c r="E147">
        <f t="shared" si="11"/>
        <v>22.275944946204255</v>
      </c>
      <c r="G147">
        <f t="shared" ca="1" si="12"/>
        <v>145</v>
      </c>
      <c r="H147">
        <f t="shared" ca="1" si="13"/>
        <v>3230.0120171996168</v>
      </c>
      <c r="I147">
        <f t="shared" ca="1" si="14"/>
        <v>73411.929346220975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19377</v>
      </c>
      <c r="B149" s="66">
        <v>19377</v>
      </c>
      <c r="D149">
        <f t="shared" si="10"/>
        <v>18.191974763880804</v>
      </c>
      <c r="E149">
        <f t="shared" si="11"/>
        <v>18.191974763880804</v>
      </c>
      <c r="G149">
        <f t="shared" ca="1" si="12"/>
        <v>147</v>
      </c>
      <c r="H149">
        <f t="shared" ca="1" si="13"/>
        <v>2674.2202902904783</v>
      </c>
      <c r="I149">
        <f t="shared" ca="1" si="14"/>
        <v>64203.079450753386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14914</v>
      </c>
      <c r="B152" s="66">
        <v>14914</v>
      </c>
      <c r="D152">
        <f t="shared" si="10"/>
        <v>14.001915241188952</v>
      </c>
      <c r="E152">
        <f t="shared" si="11"/>
        <v>14.001915241188952</v>
      </c>
      <c r="G152">
        <f t="shared" ca="1" si="12"/>
        <v>150</v>
      </c>
      <c r="H152">
        <f t="shared" ca="1" si="13"/>
        <v>2100.2872861783426</v>
      </c>
      <c r="I152">
        <f t="shared" ca="1" si="14"/>
        <v>54532.422451213264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10621</v>
      </c>
      <c r="B154" s="66">
        <v>10621</v>
      </c>
      <c r="D154">
        <f t="shared" si="10"/>
        <v>9.9714591509097392</v>
      </c>
      <c r="E154">
        <f t="shared" si="11"/>
        <v>9.9714591509097392</v>
      </c>
      <c r="G154">
        <f t="shared" ca="1" si="12"/>
        <v>152</v>
      </c>
      <c r="H154">
        <f t="shared" ca="1" si="13"/>
        <v>1515.6617909382803</v>
      </c>
      <c r="I154">
        <f t="shared" ca="1" si="14"/>
        <v>41364.289346532096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8778</v>
      </c>
      <c r="B157" s="66">
        <v>8778</v>
      </c>
      <c r="D157">
        <f t="shared" si="10"/>
        <v>8.2411701748127015</v>
      </c>
      <c r="E157">
        <f t="shared" si="11"/>
        <v>8.2411701748127015</v>
      </c>
      <c r="G157">
        <f t="shared" ca="1" si="12"/>
        <v>155</v>
      </c>
      <c r="H157">
        <f t="shared" ca="1" si="13"/>
        <v>1277.3813770959687</v>
      </c>
      <c r="I157">
        <f t="shared" ca="1" si="14"/>
        <v>37445.493611234531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4766</v>
      </c>
      <c r="B160" s="66">
        <v>4766</v>
      </c>
      <c r="D160">
        <f t="shared" si="10"/>
        <v>4.4745291698743825</v>
      </c>
      <c r="E160">
        <f t="shared" si="11"/>
        <v>4.4745291698743825</v>
      </c>
      <c r="G160">
        <f t="shared" ca="1" si="12"/>
        <v>158</v>
      </c>
      <c r="H160">
        <f t="shared" ca="1" si="13"/>
        <v>706.9756088401524</v>
      </c>
      <c r="I160">
        <f t="shared" ca="1" si="14"/>
        <v>22180.926047586301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4688</v>
      </c>
      <c r="B162" s="66">
        <v>4688</v>
      </c>
      <c r="D162">
        <f t="shared" si="10"/>
        <v>4.4012993597085828</v>
      </c>
      <c r="E162">
        <f t="shared" si="11"/>
        <v>4.4012993597085828</v>
      </c>
      <c r="G162">
        <f t="shared" ca="1" si="12"/>
        <v>160</v>
      </c>
      <c r="H162">
        <f t="shared" ca="1" si="13"/>
        <v>704.20789755337319</v>
      </c>
      <c r="I162">
        <f t="shared" ca="1" si="14"/>
        <v>23075.049931049209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3474</v>
      </c>
      <c r="B165" s="66">
        <v>3474</v>
      </c>
      <c r="D165">
        <f t="shared" si="10"/>
        <v>3.2615430835383141</v>
      </c>
      <c r="E165">
        <f t="shared" si="11"/>
        <v>3.2615430835383141</v>
      </c>
      <c r="G165">
        <f t="shared" ca="1" si="12"/>
        <v>163</v>
      </c>
      <c r="H165">
        <f t="shared" ca="1" si="13"/>
        <v>531.6315226167452</v>
      </c>
      <c r="I165">
        <f t="shared" ca="1" si="14"/>
        <v>18545.86327263973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2904</v>
      </c>
      <c r="B167" s="66">
        <v>2904</v>
      </c>
      <c r="D167">
        <f t="shared" si="10"/>
        <v>2.7264021630959312</v>
      </c>
      <c r="E167">
        <f t="shared" si="11"/>
        <v>2.7264021630959312</v>
      </c>
      <c r="G167">
        <f t="shared" ca="1" si="12"/>
        <v>165</v>
      </c>
      <c r="H167">
        <f t="shared" ca="1" si="13"/>
        <v>449.85635691082865</v>
      </c>
      <c r="I167">
        <f t="shared" ca="1" si="14"/>
        <v>16336.197754106432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1525</v>
      </c>
      <c r="B170" s="66">
        <v>1525</v>
      </c>
      <c r="D170">
        <f t="shared" si="10"/>
        <v>1.4317366731133936</v>
      </c>
      <c r="E170">
        <f t="shared" si="11"/>
        <v>1.4317366731133936</v>
      </c>
      <c r="G170">
        <f t="shared" ca="1" si="12"/>
        <v>168</v>
      </c>
      <c r="H170">
        <f t="shared" ca="1" si="13"/>
        <v>240.53176108305013</v>
      </c>
      <c r="I170">
        <f t="shared" ca="1" si="14"/>
        <v>9256.5987130945759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997</v>
      </c>
      <c r="B173" s="66">
        <v>997</v>
      </c>
      <c r="D173">
        <f t="shared" si="10"/>
        <v>0.93602718891413339</v>
      </c>
      <c r="E173">
        <f t="shared" si="11"/>
        <v>0.93602718891413339</v>
      </c>
      <c r="G173">
        <f t="shared" ca="1" si="12"/>
        <v>171</v>
      </c>
      <c r="H173">
        <f t="shared" ca="1" si="13"/>
        <v>160.0606493043168</v>
      </c>
      <c r="I173">
        <f t="shared" ca="1" si="14"/>
        <v>6511.6944631594451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789</v>
      </c>
      <c r="B175" s="66">
        <v>789</v>
      </c>
      <c r="D175">
        <f t="shared" si="10"/>
        <v>0.74074769513866723</v>
      </c>
      <c r="E175">
        <f t="shared" si="11"/>
        <v>0.74074769513866723</v>
      </c>
      <c r="G175">
        <f t="shared" ca="1" si="12"/>
        <v>173</v>
      </c>
      <c r="H175">
        <f t="shared" ca="1" si="13"/>
        <v>128.14935125898944</v>
      </c>
      <c r="I175">
        <f t="shared" ca="1" si="14"/>
        <v>5403.2838100423896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419</v>
      </c>
      <c r="B178" s="66">
        <v>419</v>
      </c>
      <c r="D178">
        <f t="shared" si="10"/>
        <v>0.39337551871115534</v>
      </c>
      <c r="E178">
        <f t="shared" si="11"/>
        <v>0.39337551871115534</v>
      </c>
      <c r="G178">
        <f t="shared" ca="1" si="12"/>
        <v>176</v>
      </c>
      <c r="H178">
        <f t="shared" ca="1" si="13"/>
        <v>69.234091293163345</v>
      </c>
      <c r="I178">
        <f t="shared" ca="1" si="14"/>
        <v>3074.5471238900273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260</v>
      </c>
      <c r="B180" s="66">
        <v>260</v>
      </c>
      <c r="D180">
        <f t="shared" si="10"/>
        <v>0.24409936721933267</v>
      </c>
      <c r="E180">
        <f t="shared" si="11"/>
        <v>0.24409936721933267</v>
      </c>
      <c r="G180">
        <f t="shared" ca="1" si="12"/>
        <v>178</v>
      </c>
      <c r="H180">
        <f t="shared" ca="1" si="13"/>
        <v>43.449687365041214</v>
      </c>
      <c r="I180">
        <f t="shared" ca="1" si="14"/>
        <v>1995.1303575104557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91.080930430087193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1.7585441713286099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0.57505137726605449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1353</v>
      </c>
      <c r="B8" s="66">
        <v>1353</v>
      </c>
      <c r="D8">
        <f t="shared" si="0"/>
        <v>0.91998259308619146</v>
      </c>
      <c r="E8">
        <f t="shared" si="1"/>
        <v>0.91998259308619146</v>
      </c>
      <c r="G8">
        <f t="shared" ca="1" si="2"/>
        <v>6</v>
      </c>
      <c r="H8">
        <f t="shared" ca="1" si="3"/>
        <v>5.519895558517149</v>
      </c>
      <c r="I8">
        <f t="shared" ca="1" si="4"/>
        <v>6659.5375404677789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2641</v>
      </c>
      <c r="B10" s="66">
        <v>2641</v>
      </c>
      <c r="D10">
        <f t="shared" si="0"/>
        <v>1.7957679440802894</v>
      </c>
      <c r="E10">
        <f t="shared" si="1"/>
        <v>1.7957679440802894</v>
      </c>
      <c r="G10">
        <f t="shared" ca="1" si="2"/>
        <v>8</v>
      </c>
      <c r="H10">
        <f t="shared" ca="1" si="3"/>
        <v>14.366143552642315</v>
      </c>
      <c r="I10">
        <f t="shared" ca="1" si="4"/>
        <v>12395.182285732897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5168</v>
      </c>
      <c r="B13" s="66">
        <v>5168</v>
      </c>
      <c r="D13">
        <f t="shared" si="0"/>
        <v>3.5140207251067532</v>
      </c>
      <c r="E13">
        <f t="shared" si="1"/>
        <v>3.5140207251067532</v>
      </c>
      <c r="G13">
        <f t="shared" ca="1" si="2"/>
        <v>11</v>
      </c>
      <c r="H13">
        <f t="shared" ca="1" si="3"/>
        <v>38.654227976174283</v>
      </c>
      <c r="I13">
        <f t="shared" ca="1" si="4"/>
        <v>22535.258249964958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7294</v>
      </c>
      <c r="B15" s="66">
        <v>7294</v>
      </c>
      <c r="D15">
        <f t="shared" si="0"/>
        <v>4.9596105203035332</v>
      </c>
      <c r="E15">
        <f t="shared" si="1"/>
        <v>4.9596105203035332</v>
      </c>
      <c r="G15">
        <f t="shared" ca="1" si="2"/>
        <v>13</v>
      </c>
      <c r="H15">
        <f t="shared" ca="1" si="3"/>
        <v>64.474936763945934</v>
      </c>
      <c r="I15">
        <f t="shared" ca="1" si="4"/>
        <v>30236.918702004707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9502</v>
      </c>
      <c r="B18" s="66">
        <v>9502</v>
      </c>
      <c r="D18">
        <f t="shared" si="0"/>
        <v>6.4609568362934153</v>
      </c>
      <c r="E18">
        <f t="shared" si="1"/>
        <v>6.4609568362934153</v>
      </c>
      <c r="G18">
        <f t="shared" ca="1" si="2"/>
        <v>16</v>
      </c>
      <c r="H18">
        <f t="shared" ca="1" si="3"/>
        <v>103.37530938069465</v>
      </c>
      <c r="I18">
        <f t="shared" ca="1" si="4"/>
        <v>36421.357724032845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12741</v>
      </c>
      <c r="B21" s="66">
        <v>12741</v>
      </c>
      <c r="D21">
        <f t="shared" si="0"/>
        <v>8.6633394076209651</v>
      </c>
      <c r="E21">
        <f t="shared" si="1"/>
        <v>8.6633394076209651</v>
      </c>
      <c r="G21">
        <f t="shared" ca="1" si="2"/>
        <v>19</v>
      </c>
      <c r="H21">
        <f t="shared" ca="1" si="3"/>
        <v>164.60344874479833</v>
      </c>
      <c r="I21">
        <f t="shared" ca="1" si="4"/>
        <v>45011.770632612228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14924</v>
      </c>
      <c r="B23" s="66">
        <v>14924</v>
      </c>
      <c r="D23">
        <f t="shared" si="0"/>
        <v>10.147686784344657</v>
      </c>
      <c r="E23">
        <f t="shared" si="1"/>
        <v>10.147686784344657</v>
      </c>
      <c r="G23">
        <f t="shared" ca="1" si="2"/>
        <v>21</v>
      </c>
      <c r="H23">
        <f t="shared" ca="1" si="3"/>
        <v>213.10142247123781</v>
      </c>
      <c r="I23">
        <f t="shared" ca="1" si="4"/>
        <v>49838.707639761786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13081</v>
      </c>
      <c r="B26" s="66">
        <v>13081</v>
      </c>
      <c r="D26">
        <f t="shared" si="0"/>
        <v>8.8945249816411458</v>
      </c>
      <c r="E26">
        <f t="shared" si="1"/>
        <v>8.8945249816411458</v>
      </c>
      <c r="G26">
        <f t="shared" ca="1" si="2"/>
        <v>24</v>
      </c>
      <c r="H26">
        <f t="shared" ca="1" si="3"/>
        <v>213.46859955938748</v>
      </c>
      <c r="I26">
        <f t="shared" ca="1" si="4"/>
        <v>40024.039155477221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17907</v>
      </c>
      <c r="B28" s="66">
        <v>17907</v>
      </c>
      <c r="D28">
        <f t="shared" si="0"/>
        <v>12.176000217586422</v>
      </c>
      <c r="E28">
        <f t="shared" si="1"/>
        <v>12.176000217586422</v>
      </c>
      <c r="G28">
        <f t="shared" ca="1" si="2"/>
        <v>26</v>
      </c>
      <c r="H28">
        <f t="shared" ca="1" si="3"/>
        <v>316.57600565724698</v>
      </c>
      <c r="I28">
        <f t="shared" ca="1" si="4"/>
        <v>51571.783830337139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19614</v>
      </c>
      <c r="B31" s="66">
        <v>19614</v>
      </c>
      <c r="D31">
        <f t="shared" si="0"/>
        <v>13.336687790681861</v>
      </c>
      <c r="E31">
        <f t="shared" si="1"/>
        <v>13.336687790681861</v>
      </c>
      <c r="G31">
        <f t="shared" ca="1" si="2"/>
        <v>29</v>
      </c>
      <c r="H31">
        <f t="shared" ca="1" si="3"/>
        <v>386.76394592977397</v>
      </c>
      <c r="I31">
        <f t="shared" ca="1" si="4"/>
        <v>51400.153860121376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23225</v>
      </c>
      <c r="B33" s="66">
        <v>23225</v>
      </c>
      <c r="D33">
        <f t="shared" si="0"/>
        <v>15.792014578290315</v>
      </c>
      <c r="E33">
        <f t="shared" si="1"/>
        <v>15.792014578290315</v>
      </c>
      <c r="G33">
        <f t="shared" ca="1" si="2"/>
        <v>31</v>
      </c>
      <c r="H33">
        <f t="shared" ca="1" si="3"/>
        <v>489.55245192699977</v>
      </c>
      <c r="I33">
        <f t="shared" ca="1" si="4"/>
        <v>57004.722459159777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25910</v>
      </c>
      <c r="B36" s="66">
        <v>25910</v>
      </c>
      <c r="D36">
        <f t="shared" si="0"/>
        <v>17.617700655479098</v>
      </c>
      <c r="E36">
        <f t="shared" si="1"/>
        <v>17.617700655479098</v>
      </c>
      <c r="G36">
        <f t="shared" ca="1" si="2"/>
        <v>34</v>
      </c>
      <c r="H36">
        <f t="shared" ca="1" si="3"/>
        <v>599.00182228628933</v>
      </c>
      <c r="I36">
        <f t="shared" ca="1" si="4"/>
        <v>57402.566943309896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22340</v>
      </c>
      <c r="B39" s="66">
        <v>22340</v>
      </c>
      <c r="D39">
        <f t="shared" si="0"/>
        <v>15.190252128267197</v>
      </c>
      <c r="E39">
        <f t="shared" si="1"/>
        <v>15.190252128267197</v>
      </c>
      <c r="G39">
        <f t="shared" ca="1" si="2"/>
        <v>37</v>
      </c>
      <c r="H39">
        <f t="shared" ca="1" si="3"/>
        <v>562.03932874588634</v>
      </c>
      <c r="I39">
        <f t="shared" ca="1" si="4"/>
        <v>44427.644891036136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25544</v>
      </c>
      <c r="B41" s="66">
        <v>25544</v>
      </c>
      <c r="D41">
        <f t="shared" si="0"/>
        <v>17.368836184622079</v>
      </c>
      <c r="E41">
        <f t="shared" si="1"/>
        <v>17.368836184622079</v>
      </c>
      <c r="G41">
        <f t="shared" ca="1" si="2"/>
        <v>39</v>
      </c>
      <c r="H41">
        <f t="shared" ca="1" si="3"/>
        <v>677.38461120026113</v>
      </c>
      <c r="I41">
        <f t="shared" ca="1" si="4"/>
        <v>47111.636212267622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28775</v>
      </c>
      <c r="B44" s="66">
        <v>28775</v>
      </c>
      <c r="D44">
        <f t="shared" si="0"/>
        <v>19.56577909538445</v>
      </c>
      <c r="E44">
        <f t="shared" si="1"/>
        <v>19.56577909538445</v>
      </c>
      <c r="G44">
        <f t="shared" ca="1" si="2"/>
        <v>42</v>
      </c>
      <c r="H44">
        <f t="shared" ca="1" si="3"/>
        <v>821.76272200614687</v>
      </c>
      <c r="I44">
        <f t="shared" ca="1" si="4"/>
        <v>47132.743516560382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29961</v>
      </c>
      <c r="B46" s="66">
        <v>29961</v>
      </c>
      <c r="D46">
        <f t="shared" si="0"/>
        <v>20.372208774172492</v>
      </c>
      <c r="E46">
        <f t="shared" si="1"/>
        <v>20.372208774172492</v>
      </c>
      <c r="G46">
        <f t="shared" ca="1" si="2"/>
        <v>44</v>
      </c>
      <c r="H46">
        <f t="shared" ca="1" si="3"/>
        <v>896.37718606358965</v>
      </c>
      <c r="I46">
        <f t="shared" ca="1" si="4"/>
        <v>45157.323386790435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39116</v>
      </c>
      <c r="B49" s="66">
        <v>39116</v>
      </c>
      <c r="D49">
        <f t="shared" si="0"/>
        <v>26.597220333451194</v>
      </c>
      <c r="E49">
        <f t="shared" si="1"/>
        <v>26.597220333451194</v>
      </c>
      <c r="G49">
        <f t="shared" ca="1" si="2"/>
        <v>47</v>
      </c>
      <c r="H49">
        <f t="shared" ca="1" si="3"/>
        <v>1250.069355672206</v>
      </c>
      <c r="I49">
        <f t="shared" ca="1" si="4"/>
        <v>51681.814924595987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48056</v>
      </c>
      <c r="B51" s="66">
        <v>48056</v>
      </c>
      <c r="D51">
        <f t="shared" si="0"/>
        <v>32.67604101504066</v>
      </c>
      <c r="E51">
        <f t="shared" si="1"/>
        <v>32.67604101504066</v>
      </c>
      <c r="G51">
        <f t="shared" ca="1" si="2"/>
        <v>49</v>
      </c>
      <c r="H51">
        <f t="shared" ca="1" si="3"/>
        <v>1601.1260097369923</v>
      </c>
      <c r="I51">
        <f t="shared" ca="1" si="4"/>
        <v>57862.887198368444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50369</v>
      </c>
      <c r="B54" s="66">
        <v>50369</v>
      </c>
      <c r="D54">
        <f t="shared" si="0"/>
        <v>34.248782875948542</v>
      </c>
      <c r="E54">
        <f t="shared" si="1"/>
        <v>34.248782875948542</v>
      </c>
      <c r="G54">
        <f t="shared" ca="1" si="2"/>
        <v>52</v>
      </c>
      <c r="H54">
        <f t="shared" ca="1" si="3"/>
        <v>1780.9367095493242</v>
      </c>
      <c r="I54">
        <f t="shared" ca="1" si="4"/>
        <v>52308.821035545843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58806</v>
      </c>
      <c r="B57" s="66">
        <v>58806</v>
      </c>
      <c r="D57">
        <f t="shared" si="0"/>
        <v>39.985584899502271</v>
      </c>
      <c r="E57">
        <f t="shared" si="1"/>
        <v>39.985584899502271</v>
      </c>
      <c r="G57">
        <f t="shared" ca="1" si="2"/>
        <v>55</v>
      </c>
      <c r="H57">
        <f t="shared" ca="1" si="3"/>
        <v>2199.2071694726251</v>
      </c>
      <c r="I57">
        <f t="shared" ca="1" si="4"/>
        <v>52054.575566711159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65562</v>
      </c>
      <c r="B59" s="66">
        <v>65562</v>
      </c>
      <c r="D59">
        <f t="shared" si="0"/>
        <v>44.579378246797397</v>
      </c>
      <c r="E59">
        <f t="shared" si="1"/>
        <v>44.579378246797397</v>
      </c>
      <c r="G59">
        <f t="shared" ca="1" si="2"/>
        <v>57</v>
      </c>
      <c r="H59">
        <f t="shared" ca="1" si="3"/>
        <v>2541.0245600674516</v>
      </c>
      <c r="I59">
        <f t="shared" ca="1" si="4"/>
        <v>51779.385557698355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72916</v>
      </c>
      <c r="B62" s="66">
        <v>72916</v>
      </c>
      <c r="D62">
        <f t="shared" si="0"/>
        <v>49.579786221339788</v>
      </c>
      <c r="E62">
        <f t="shared" si="1"/>
        <v>49.579786221339788</v>
      </c>
      <c r="G62">
        <f t="shared" ca="1" si="2"/>
        <v>60</v>
      </c>
      <c r="H62">
        <f t="shared" ca="1" si="3"/>
        <v>2974.7871732803874</v>
      </c>
      <c r="I62">
        <f t="shared" ca="1" si="4"/>
        <v>47895.275125341046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78357</v>
      </c>
      <c r="B64" s="66">
        <v>78357</v>
      </c>
      <c r="D64">
        <f t="shared" si="0"/>
        <v>53.279435363233333</v>
      </c>
      <c r="E64">
        <f t="shared" si="1"/>
        <v>53.279435363233333</v>
      </c>
      <c r="G64">
        <f t="shared" ca="1" si="2"/>
        <v>62</v>
      </c>
      <c r="H64">
        <f t="shared" ca="1" si="3"/>
        <v>3303.3249925204668</v>
      </c>
      <c r="I64">
        <f t="shared" ca="1" si="4"/>
        <v>45058.445908523376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90503</v>
      </c>
      <c r="B67" s="66">
        <v>90503</v>
      </c>
      <c r="D67">
        <f t="shared" ref="D67:D130" si="5">IFERROR(100*A67/MAX(A$2:A$257), 0 )</f>
        <v>61.538200016318982</v>
      </c>
      <c r="E67">
        <f t="shared" ref="E67:E130" si="6">IFERROR(100*B67/MAX(B$2:B$257), 0 )</f>
        <v>61.538200016318982</v>
      </c>
      <c r="G67">
        <f t="shared" ref="G67:G130" ca="1" si="7">CELL("row",D67)-2</f>
        <v>65</v>
      </c>
      <c r="H67">
        <f t="shared" ref="H67:H130" ca="1" si="8">D67*G67</f>
        <v>3999.9830010607338</v>
      </c>
      <c r="I67">
        <f t="shared" ref="I67:I130" ca="1" si="9">D67*((G67-$L$1)^2)</f>
        <v>41859.202545598062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97652</v>
      </c>
      <c r="B69" s="66">
        <v>97652</v>
      </c>
      <c r="D69">
        <f t="shared" si="5"/>
        <v>66.39921668887861</v>
      </c>
      <c r="E69">
        <f t="shared" si="6"/>
        <v>66.39921668887861</v>
      </c>
      <c r="G69">
        <f t="shared" ca="1" si="7"/>
        <v>67</v>
      </c>
      <c r="H69">
        <f t="shared" ca="1" si="8"/>
        <v>4448.7475181548671</v>
      </c>
      <c r="I69">
        <f t="shared" ca="1" si="9"/>
        <v>38504.322133911352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106707</v>
      </c>
      <c r="B72" s="66">
        <v>106707</v>
      </c>
      <c r="D72">
        <f t="shared" si="5"/>
        <v>72.556232491092558</v>
      </c>
      <c r="E72">
        <f t="shared" si="6"/>
        <v>72.556232491092558</v>
      </c>
      <c r="G72">
        <f t="shared" ca="1" si="7"/>
        <v>70</v>
      </c>
      <c r="H72">
        <f t="shared" ca="1" si="8"/>
        <v>5078.9362743764787</v>
      </c>
      <c r="I72">
        <f t="shared" ca="1" si="9"/>
        <v>32244.398050874421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110815</v>
      </c>
      <c r="B75" s="66">
        <v>110815</v>
      </c>
      <c r="D75">
        <f t="shared" si="5"/>
        <v>75.349498191312861</v>
      </c>
      <c r="E75">
        <f t="shared" si="6"/>
        <v>75.349498191312861</v>
      </c>
      <c r="G75">
        <f t="shared" ca="1" si="7"/>
        <v>73</v>
      </c>
      <c r="H75">
        <f t="shared" ca="1" si="8"/>
        <v>5500.5133679658393</v>
      </c>
      <c r="I75">
        <f t="shared" ca="1" si="9"/>
        <v>24633.26135583147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122154</v>
      </c>
      <c r="B77" s="66">
        <v>122154</v>
      </c>
      <c r="D77">
        <f t="shared" si="5"/>
        <v>83.059537084885903</v>
      </c>
      <c r="E77">
        <f t="shared" si="6"/>
        <v>83.059537084885903</v>
      </c>
      <c r="G77">
        <f t="shared" ca="1" si="7"/>
        <v>75</v>
      </c>
      <c r="H77">
        <f t="shared" ca="1" si="8"/>
        <v>6229.4652813664425</v>
      </c>
      <c r="I77">
        <f t="shared" ca="1" si="9"/>
        <v>21478.8909215395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126333</v>
      </c>
      <c r="B80" s="66">
        <v>126333</v>
      </c>
      <c r="D80">
        <f t="shared" si="5"/>
        <v>85.901079772622182</v>
      </c>
      <c r="E80">
        <f t="shared" si="6"/>
        <v>85.901079772622182</v>
      </c>
      <c r="G80">
        <f t="shared" ca="1" si="7"/>
        <v>78</v>
      </c>
      <c r="H80">
        <f t="shared" ca="1" si="8"/>
        <v>6700.2842222645304</v>
      </c>
      <c r="I80">
        <f t="shared" ca="1" si="9"/>
        <v>14698.597405444902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134549</v>
      </c>
      <c r="B82" s="66">
        <v>134549</v>
      </c>
      <c r="D82">
        <f t="shared" si="5"/>
        <v>91.487611173062803</v>
      </c>
      <c r="E82">
        <f t="shared" si="6"/>
        <v>91.487611173062803</v>
      </c>
      <c r="G82">
        <f t="shared" ca="1" si="7"/>
        <v>80</v>
      </c>
      <c r="H82">
        <f t="shared" ca="1" si="8"/>
        <v>7319.0088938450244</v>
      </c>
      <c r="I82">
        <f t="shared" ca="1" si="9"/>
        <v>11233.491069342601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144190</v>
      </c>
      <c r="B85" s="66">
        <v>144190</v>
      </c>
      <c r="D85">
        <f t="shared" si="5"/>
        <v>98.043082111676227</v>
      </c>
      <c r="E85">
        <f t="shared" si="6"/>
        <v>98.043082111676227</v>
      </c>
      <c r="G85">
        <f t="shared" ca="1" si="7"/>
        <v>83</v>
      </c>
      <c r="H85">
        <f t="shared" ca="1" si="8"/>
        <v>8137.5758152691269</v>
      </c>
      <c r="I85">
        <f t="shared" ca="1" si="9"/>
        <v>6402.3541121440048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147068</v>
      </c>
      <c r="B88" s="66">
        <v>147068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2581.5854035386028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138801</v>
      </c>
      <c r="B90" s="66">
        <v>138801</v>
      </c>
      <c r="D90">
        <f t="shared" si="5"/>
        <v>94.378790763456365</v>
      </c>
      <c r="E90">
        <f t="shared" si="6"/>
        <v>94.378790763456365</v>
      </c>
      <c r="G90">
        <f t="shared" ca="1" si="7"/>
        <v>88</v>
      </c>
      <c r="H90">
        <f t="shared" ca="1" si="8"/>
        <v>8305.3335871841609</v>
      </c>
      <c r="I90">
        <f t="shared" ca="1" si="9"/>
        <v>895.85596965994375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138742</v>
      </c>
      <c r="B93" s="66">
        <v>138742</v>
      </c>
      <c r="D93">
        <f t="shared" si="5"/>
        <v>94.338673266788149</v>
      </c>
      <c r="E93">
        <f t="shared" si="6"/>
        <v>94.338673266788149</v>
      </c>
      <c r="G93">
        <f t="shared" ca="1" si="7"/>
        <v>91</v>
      </c>
      <c r="H93">
        <f t="shared" ca="1" si="8"/>
        <v>8584.8192672777222</v>
      </c>
      <c r="I93">
        <f t="shared" ca="1" si="9"/>
        <v>0.6178932643096986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137798</v>
      </c>
      <c r="B95" s="66">
        <v>137798</v>
      </c>
      <c r="D95">
        <f t="shared" si="5"/>
        <v>93.69679332009683</v>
      </c>
      <c r="E95">
        <f t="shared" si="6"/>
        <v>93.69679332009683</v>
      </c>
      <c r="G95">
        <f t="shared" ca="1" si="7"/>
        <v>93</v>
      </c>
      <c r="H95">
        <f t="shared" ca="1" si="8"/>
        <v>8713.801778769006</v>
      </c>
      <c r="I95">
        <f t="shared" ca="1" si="9"/>
        <v>345.06917527671123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120454</v>
      </c>
      <c r="B98" s="66">
        <v>120454</v>
      </c>
      <c r="D98">
        <f t="shared" si="5"/>
        <v>81.903609214784993</v>
      </c>
      <c r="E98">
        <f t="shared" si="6"/>
        <v>81.903609214784993</v>
      </c>
      <c r="G98">
        <f t="shared" ca="1" si="7"/>
        <v>96</v>
      </c>
      <c r="H98">
        <f t="shared" ca="1" si="8"/>
        <v>7862.7464846193598</v>
      </c>
      <c r="I98">
        <f t="shared" ca="1" si="9"/>
        <v>1981.841734071269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111448</v>
      </c>
      <c r="B100" s="66">
        <v>111448</v>
      </c>
      <c r="D100">
        <f t="shared" si="5"/>
        <v>75.779911333532795</v>
      </c>
      <c r="E100">
        <f t="shared" si="6"/>
        <v>75.779911333532795</v>
      </c>
      <c r="G100">
        <f t="shared" ca="1" si="7"/>
        <v>98</v>
      </c>
      <c r="H100">
        <f t="shared" ca="1" si="8"/>
        <v>7426.4313106862137</v>
      </c>
      <c r="I100">
        <f t="shared" ca="1" si="9"/>
        <v>3627.8513822171531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109924</v>
      </c>
      <c r="B103" s="66">
        <v>109924</v>
      </c>
      <c r="D103">
        <f t="shared" si="5"/>
        <v>74.743655995865865</v>
      </c>
      <c r="E103">
        <f t="shared" si="6"/>
        <v>74.743655995865865</v>
      </c>
      <c r="G103">
        <f t="shared" ca="1" si="7"/>
        <v>101</v>
      </c>
      <c r="H103">
        <f t="shared" ca="1" si="8"/>
        <v>7549.1092555824525</v>
      </c>
      <c r="I103">
        <f t="shared" ca="1" si="9"/>
        <v>7353.87442616928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109475</v>
      </c>
      <c r="B106" s="66">
        <v>109475</v>
      </c>
      <c r="D106">
        <f t="shared" si="5"/>
        <v>74.438355046645086</v>
      </c>
      <c r="E106">
        <f t="shared" si="6"/>
        <v>74.438355046645086</v>
      </c>
      <c r="G106">
        <f t="shared" ca="1" si="7"/>
        <v>104</v>
      </c>
      <c r="H106">
        <f t="shared" ca="1" si="8"/>
        <v>7741.5889248510884</v>
      </c>
      <c r="I106">
        <f t="shared" ca="1" si="9"/>
        <v>12423.937024034629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97657</v>
      </c>
      <c r="B108" s="66">
        <v>97657</v>
      </c>
      <c r="D108">
        <f t="shared" si="5"/>
        <v>66.402616476731851</v>
      </c>
      <c r="E108">
        <f t="shared" si="6"/>
        <v>66.402616476731851</v>
      </c>
      <c r="G108">
        <f t="shared" ca="1" si="7"/>
        <v>106</v>
      </c>
      <c r="H108">
        <f t="shared" ca="1" si="8"/>
        <v>7038.6773465335764</v>
      </c>
      <c r="I108">
        <f t="shared" ca="1" si="9"/>
        <v>14779.803857462326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96273</v>
      </c>
      <c r="B111" s="66">
        <v>96273</v>
      </c>
      <c r="D111">
        <f t="shared" si="5"/>
        <v>65.46155519895558</v>
      </c>
      <c r="E111">
        <f t="shared" si="6"/>
        <v>65.46155519895558</v>
      </c>
      <c r="G111">
        <f t="shared" ca="1" si="7"/>
        <v>109</v>
      </c>
      <c r="H111">
        <f t="shared" ca="1" si="8"/>
        <v>7135.3095166861585</v>
      </c>
      <c r="I111">
        <f t="shared" ca="1" si="9"/>
        <v>21019.250694877635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95492</v>
      </c>
      <c r="B113" s="66">
        <v>95492</v>
      </c>
      <c r="D113">
        <f t="shared" si="5"/>
        <v>64.930508336279814</v>
      </c>
      <c r="E113">
        <f t="shared" si="6"/>
        <v>64.930508336279814</v>
      </c>
      <c r="G113">
        <f t="shared" ca="1" si="7"/>
        <v>111</v>
      </c>
      <c r="H113">
        <f t="shared" ca="1" si="8"/>
        <v>7207.2864253270591</v>
      </c>
      <c r="I113">
        <f t="shared" ca="1" si="9"/>
        <v>25762.434453485988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98843</v>
      </c>
      <c r="B116" s="66">
        <v>98843</v>
      </c>
      <c r="D116">
        <f t="shared" si="5"/>
        <v>67.2090461555199</v>
      </c>
      <c r="E116">
        <f t="shared" si="6"/>
        <v>67.2090461555199</v>
      </c>
      <c r="G116">
        <f t="shared" ca="1" si="7"/>
        <v>114</v>
      </c>
      <c r="H116">
        <f t="shared" ca="1" si="8"/>
        <v>7661.8312617292686</v>
      </c>
      <c r="I116">
        <f t="shared" ca="1" si="9"/>
        <v>35303.819795167939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91868</v>
      </c>
      <c r="B118" s="66">
        <v>91868</v>
      </c>
      <c r="D118">
        <f t="shared" si="5"/>
        <v>62.466342100252945</v>
      </c>
      <c r="E118">
        <f t="shared" si="6"/>
        <v>62.466342100252945</v>
      </c>
      <c r="G118">
        <f t="shared" ca="1" si="7"/>
        <v>116</v>
      </c>
      <c r="H118">
        <f t="shared" ca="1" si="8"/>
        <v>7246.0956836293417</v>
      </c>
      <c r="I118">
        <f t="shared" ca="1" si="9"/>
        <v>38789.101554007553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93500</v>
      </c>
      <c r="B121" s="66">
        <v>93500</v>
      </c>
      <c r="D121">
        <f t="shared" si="5"/>
        <v>63.576032855549812</v>
      </c>
      <c r="E121">
        <f t="shared" si="6"/>
        <v>63.576032855549812</v>
      </c>
      <c r="G121">
        <f t="shared" ca="1" si="7"/>
        <v>119</v>
      </c>
      <c r="H121">
        <f t="shared" ca="1" si="8"/>
        <v>7565.5479098104279</v>
      </c>
      <c r="I121">
        <f t="shared" ca="1" si="9"/>
        <v>49555.892966682441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89162</v>
      </c>
      <c r="B124" s="66">
        <v>89162</v>
      </c>
      <c r="D124">
        <f t="shared" si="5"/>
        <v>60.626376914080559</v>
      </c>
      <c r="E124">
        <f t="shared" si="6"/>
        <v>60.626376914080559</v>
      </c>
      <c r="G124">
        <f t="shared" ca="1" si="7"/>
        <v>122</v>
      </c>
      <c r="H124">
        <f t="shared" ca="1" si="8"/>
        <v>7396.4179835178284</v>
      </c>
      <c r="I124">
        <f t="shared" ca="1" si="9"/>
        <v>57958.141138091094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87898</v>
      </c>
      <c r="B126" s="66">
        <v>87898</v>
      </c>
      <c r="D126">
        <f t="shared" si="5"/>
        <v>59.766910544782007</v>
      </c>
      <c r="E126">
        <f t="shared" si="6"/>
        <v>59.766910544782007</v>
      </c>
      <c r="G126">
        <f t="shared" ca="1" si="7"/>
        <v>124</v>
      </c>
      <c r="H126">
        <f t="shared" ca="1" si="8"/>
        <v>7411.0969075529692</v>
      </c>
      <c r="I126">
        <f t="shared" ca="1" si="9"/>
        <v>64767.317563489851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80675</v>
      </c>
      <c r="B129" s="66">
        <v>80675</v>
      </c>
      <c r="D129">
        <f t="shared" si="5"/>
        <v>54.855577011994448</v>
      </c>
      <c r="E129">
        <f t="shared" si="6"/>
        <v>54.855577011994448</v>
      </c>
      <c r="G129">
        <f t="shared" ca="1" si="7"/>
        <v>127</v>
      </c>
      <c r="H129">
        <f t="shared" ca="1" si="8"/>
        <v>6966.6582805232947</v>
      </c>
      <c r="I129">
        <f t="shared" ca="1" si="9"/>
        <v>70773.544145312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75477</v>
      </c>
      <c r="B131" s="66">
        <v>75477</v>
      </c>
      <c r="D131">
        <f t="shared" ref="D131:D194" si="10">IFERROR(100*A131/MAX(A$2:A$257), 0 )</f>
        <v>51.321157559768274</v>
      </c>
      <c r="E131">
        <f t="shared" ref="E131:E194" si="11">IFERROR(100*B131/MAX(B$2:B$257), 0 )</f>
        <v>51.321157559768274</v>
      </c>
      <c r="G131">
        <f t="shared" ref="G131:G194" ca="1" si="12">CELL("row",D131)-2</f>
        <v>129</v>
      </c>
      <c r="H131">
        <f t="shared" ref="H131:H194" ca="1" si="13">D131*G131</f>
        <v>6620.429325210107</v>
      </c>
      <c r="I131">
        <f t="shared" ref="I131:I194" ca="1" si="14">D131*((G131-$L$1)^2)</f>
        <v>73792.425961367131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62183</v>
      </c>
      <c r="B134" s="66">
        <v>62183</v>
      </c>
      <c r="D134">
        <f t="shared" si="10"/>
        <v>42.281801615579191</v>
      </c>
      <c r="E134">
        <f t="shared" si="11"/>
        <v>42.281801615579191</v>
      </c>
      <c r="G134">
        <f t="shared" ca="1" si="12"/>
        <v>132</v>
      </c>
      <c r="H134">
        <f t="shared" ca="1" si="13"/>
        <v>5581.1978132564536</v>
      </c>
      <c r="I134">
        <f t="shared" ca="1" si="14"/>
        <v>70795.390930415946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56334</v>
      </c>
      <c r="B136" s="66">
        <v>56334</v>
      </c>
      <c r="D136">
        <f t="shared" si="10"/>
        <v>38.304729784861422</v>
      </c>
      <c r="E136">
        <f t="shared" si="11"/>
        <v>38.304729784861422</v>
      </c>
      <c r="G136">
        <f t="shared" ca="1" si="12"/>
        <v>134</v>
      </c>
      <c r="H136">
        <f t="shared" ca="1" si="13"/>
        <v>5132.8337911714307</v>
      </c>
      <c r="I136">
        <f t="shared" ca="1" si="14"/>
        <v>70559.094688015321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47460</v>
      </c>
      <c r="B139" s="66">
        <v>47460</v>
      </c>
      <c r="D139">
        <f t="shared" si="10"/>
        <v>32.270786302934695</v>
      </c>
      <c r="E139">
        <f t="shared" si="11"/>
        <v>32.270786302934695</v>
      </c>
      <c r="G139">
        <f t="shared" ca="1" si="12"/>
        <v>137</v>
      </c>
      <c r="H139">
        <f t="shared" ca="1" si="13"/>
        <v>4421.0977235020537</v>
      </c>
      <c r="I139">
        <f t="shared" ca="1" si="14"/>
        <v>68044.919829535807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41364</v>
      </c>
      <c r="B142" s="66">
        <v>41364</v>
      </c>
      <c r="D142">
        <f t="shared" si="10"/>
        <v>28.12576495226698</v>
      </c>
      <c r="E142">
        <f t="shared" si="11"/>
        <v>28.12576495226698</v>
      </c>
      <c r="G142">
        <f t="shared" ca="1" si="12"/>
        <v>140</v>
      </c>
      <c r="H142">
        <f t="shared" ca="1" si="13"/>
        <v>3937.6070933173773</v>
      </c>
      <c r="I142">
        <f t="shared" ca="1" si="14"/>
        <v>67307.075301782868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31784</v>
      </c>
      <c r="B144" s="66">
        <v>31784</v>
      </c>
      <c r="D144">
        <f t="shared" si="10"/>
        <v>21.611771425463051</v>
      </c>
      <c r="E144">
        <f t="shared" si="11"/>
        <v>21.611771425463051</v>
      </c>
      <c r="G144">
        <f t="shared" ca="1" si="12"/>
        <v>142</v>
      </c>
      <c r="H144">
        <f t="shared" ca="1" si="13"/>
        <v>3068.8715424157531</v>
      </c>
      <c r="I144">
        <f t="shared" ca="1" si="14"/>
        <v>56033.955933440913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28102</v>
      </c>
      <c r="B147" s="66">
        <v>28102</v>
      </c>
      <c r="D147">
        <f t="shared" si="10"/>
        <v>19.108167650338618</v>
      </c>
      <c r="E147">
        <f t="shared" si="11"/>
        <v>19.108167650338618</v>
      </c>
      <c r="G147">
        <f t="shared" ca="1" si="12"/>
        <v>145</v>
      </c>
      <c r="H147">
        <f t="shared" ca="1" si="13"/>
        <v>2770.6843092990998</v>
      </c>
      <c r="I147">
        <f t="shared" ca="1" si="14"/>
        <v>55552.5273413916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22710</v>
      </c>
      <c r="B149" s="66">
        <v>22710</v>
      </c>
      <c r="D149">
        <f t="shared" si="10"/>
        <v>15.441836429406806</v>
      </c>
      <c r="E149">
        <f t="shared" si="11"/>
        <v>15.441836429406806</v>
      </c>
      <c r="G149">
        <f t="shared" ca="1" si="12"/>
        <v>147</v>
      </c>
      <c r="H149">
        <f t="shared" ca="1" si="13"/>
        <v>2269.9499551228005</v>
      </c>
      <c r="I149">
        <f t="shared" ca="1" si="14"/>
        <v>48285.732162629152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18493</v>
      </c>
      <c r="B152" s="66">
        <v>18493</v>
      </c>
      <c r="D152">
        <f t="shared" si="10"/>
        <v>12.574455353985911</v>
      </c>
      <c r="E152">
        <f t="shared" si="11"/>
        <v>12.574455353985911</v>
      </c>
      <c r="G152">
        <f t="shared" ca="1" si="12"/>
        <v>150</v>
      </c>
      <c r="H152">
        <f t="shared" ca="1" si="13"/>
        <v>1886.1683030978866</v>
      </c>
      <c r="I152">
        <f t="shared" ca="1" si="14"/>
        <v>43651.678029139774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16718</v>
      </c>
      <c r="B154" s="66">
        <v>16718</v>
      </c>
      <c r="D154">
        <f t="shared" si="10"/>
        <v>11.367530666086436</v>
      </c>
      <c r="E154">
        <f t="shared" si="11"/>
        <v>11.367530666086436</v>
      </c>
      <c r="G154">
        <f t="shared" ca="1" si="12"/>
        <v>152</v>
      </c>
      <c r="H154">
        <f t="shared" ca="1" si="13"/>
        <v>1727.8646612451382</v>
      </c>
      <c r="I154">
        <f t="shared" ca="1" si="14"/>
        <v>42186.418607023617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10596</v>
      </c>
      <c r="B157" s="66">
        <v>10596</v>
      </c>
      <c r="D157">
        <f t="shared" si="10"/>
        <v>7.2048304185818806</v>
      </c>
      <c r="E157">
        <f t="shared" si="11"/>
        <v>7.2048304185818806</v>
      </c>
      <c r="G157">
        <f t="shared" ca="1" si="12"/>
        <v>155</v>
      </c>
      <c r="H157">
        <f t="shared" ca="1" si="13"/>
        <v>1116.7487148801915</v>
      </c>
      <c r="I157">
        <f t="shared" ca="1" si="14"/>
        <v>29436.397061104261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9090</v>
      </c>
      <c r="B160" s="66">
        <v>9090</v>
      </c>
      <c r="D160">
        <f t="shared" si="10"/>
        <v>6.1808143171866075</v>
      </c>
      <c r="E160">
        <f t="shared" si="11"/>
        <v>6.1808143171866075</v>
      </c>
      <c r="G160">
        <f t="shared" ca="1" si="12"/>
        <v>158</v>
      </c>
      <c r="H160">
        <f t="shared" ca="1" si="13"/>
        <v>976.56866211548402</v>
      </c>
      <c r="I160">
        <f t="shared" ca="1" si="14"/>
        <v>27678.687013772353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7423</v>
      </c>
      <c r="B162" s="66">
        <v>7423</v>
      </c>
      <c r="D162">
        <f t="shared" si="10"/>
        <v>5.0473250469170727</v>
      </c>
      <c r="E162">
        <f t="shared" si="11"/>
        <v>5.0473250469170727</v>
      </c>
      <c r="G162">
        <f t="shared" ca="1" si="12"/>
        <v>160</v>
      </c>
      <c r="H162">
        <f t="shared" ca="1" si="13"/>
        <v>807.57200750673167</v>
      </c>
      <c r="I162">
        <f t="shared" ca="1" si="14"/>
        <v>23973.977065227758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3891</v>
      </c>
      <c r="B165" s="66">
        <v>3891</v>
      </c>
      <c r="D165">
        <f t="shared" si="10"/>
        <v>2.6457149073897788</v>
      </c>
      <c r="E165">
        <f t="shared" si="11"/>
        <v>2.6457149073897788</v>
      </c>
      <c r="G165">
        <f t="shared" ca="1" si="12"/>
        <v>163</v>
      </c>
      <c r="H165">
        <f t="shared" ca="1" si="13"/>
        <v>431.25152990453392</v>
      </c>
      <c r="I165">
        <f t="shared" ca="1" si="14"/>
        <v>13684.570294909443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1481</v>
      </c>
      <c r="B167" s="66">
        <v>1481</v>
      </c>
      <c r="D167">
        <f t="shared" si="10"/>
        <v>1.0070171621290831</v>
      </c>
      <c r="E167">
        <f t="shared" si="11"/>
        <v>1.0070171621290831</v>
      </c>
      <c r="G167">
        <f t="shared" ca="1" si="12"/>
        <v>165</v>
      </c>
      <c r="H167">
        <f t="shared" ca="1" si="13"/>
        <v>166.15783175129872</v>
      </c>
      <c r="I167">
        <f t="shared" ca="1" si="14"/>
        <v>5502.3708223725507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2402</v>
      </c>
      <c r="B170" s="66">
        <v>2402</v>
      </c>
      <c r="D170">
        <f t="shared" si="10"/>
        <v>1.6332580846955149</v>
      </c>
      <c r="E170">
        <f t="shared" si="11"/>
        <v>1.6332580846955149</v>
      </c>
      <c r="G170">
        <f t="shared" ca="1" si="12"/>
        <v>168</v>
      </c>
      <c r="H170">
        <f t="shared" ca="1" si="13"/>
        <v>274.38735822884649</v>
      </c>
      <c r="I170">
        <f t="shared" ca="1" si="14"/>
        <v>9663.2421185639359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1931</v>
      </c>
      <c r="B173" s="66">
        <v>1931</v>
      </c>
      <c r="D173">
        <f t="shared" si="10"/>
        <v>1.3129980689204994</v>
      </c>
      <c r="E173">
        <f t="shared" si="11"/>
        <v>1.3129980689204994</v>
      </c>
      <c r="G173">
        <f t="shared" ca="1" si="12"/>
        <v>171</v>
      </c>
      <c r="H173">
        <f t="shared" ca="1" si="13"/>
        <v>224.52266978540541</v>
      </c>
      <c r="I173">
        <f t="shared" ca="1" si="14"/>
        <v>8386.1944011325431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1059</v>
      </c>
      <c r="B175" s="66">
        <v>1059</v>
      </c>
      <c r="D175">
        <f t="shared" si="10"/>
        <v>0.72007506731579951</v>
      </c>
      <c r="E175">
        <f t="shared" si="11"/>
        <v>0.72007506731579951</v>
      </c>
      <c r="G175">
        <f t="shared" ca="1" si="12"/>
        <v>173</v>
      </c>
      <c r="H175">
        <f t="shared" ca="1" si="13"/>
        <v>124.57298664563332</v>
      </c>
      <c r="I175">
        <f t="shared" ca="1" si="14"/>
        <v>4832.2322074095164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996</v>
      </c>
      <c r="B178" s="66">
        <v>996</v>
      </c>
      <c r="D178">
        <f t="shared" si="10"/>
        <v>0.67723774036500117</v>
      </c>
      <c r="E178">
        <f t="shared" si="11"/>
        <v>0.67723774036500117</v>
      </c>
      <c r="G178">
        <f t="shared" ca="1" si="12"/>
        <v>176</v>
      </c>
      <c r="H178">
        <f t="shared" ca="1" si="13"/>
        <v>119.19384230424021</v>
      </c>
      <c r="I178">
        <f t="shared" ca="1" si="14"/>
        <v>4883.7295557927027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1287</v>
      </c>
      <c r="B180" s="66">
        <v>1287</v>
      </c>
      <c r="D180">
        <f t="shared" si="10"/>
        <v>0.8751053934234504</v>
      </c>
      <c r="E180">
        <f t="shared" si="11"/>
        <v>0.8751053934234504</v>
      </c>
      <c r="G180">
        <f t="shared" ca="1" si="12"/>
        <v>178</v>
      </c>
      <c r="H180">
        <f t="shared" ca="1" si="13"/>
        <v>155.76876002937416</v>
      </c>
      <c r="I180">
        <f t="shared" ca="1" si="14"/>
        <v>6611.3553124102145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747</v>
      </c>
      <c r="B183" s="66">
        <v>747</v>
      </c>
      <c r="D183">
        <f t="shared" si="10"/>
        <v>0.50792830527375088</v>
      </c>
      <c r="E183">
        <f t="shared" si="11"/>
        <v>0.50792830527375088</v>
      </c>
      <c r="G183">
        <f t="shared" ca="1" si="12"/>
        <v>181</v>
      </c>
      <c r="H183">
        <f t="shared" ca="1" si="13"/>
        <v>91.935023254548909</v>
      </c>
      <c r="I183">
        <f t="shared" ca="1" si="14"/>
        <v>4106.8233653970665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567</v>
      </c>
      <c r="B185" s="66">
        <v>567</v>
      </c>
      <c r="D185">
        <f t="shared" si="10"/>
        <v>0.38553594255718443</v>
      </c>
      <c r="E185">
        <f t="shared" si="11"/>
        <v>0.38553594255718443</v>
      </c>
      <c r="G185">
        <f t="shared" ca="1" si="12"/>
        <v>183</v>
      </c>
      <c r="H185">
        <f t="shared" ca="1" si="13"/>
        <v>70.553077487964757</v>
      </c>
      <c r="I185">
        <f t="shared" ca="1" si="14"/>
        <v>3257.4376504673573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650</v>
      </c>
      <c r="B188" s="66">
        <v>650</v>
      </c>
      <c r="D188">
        <f t="shared" si="10"/>
        <v>0.44197242092093453</v>
      </c>
      <c r="E188">
        <f t="shared" si="11"/>
        <v>0.44197242092093453</v>
      </c>
      <c r="G188">
        <f t="shared" ca="1" si="12"/>
        <v>186</v>
      </c>
      <c r="H188">
        <f t="shared" ca="1" si="13"/>
        <v>82.206870291293825</v>
      </c>
      <c r="I188">
        <f t="shared" ca="1" si="14"/>
        <v>3982.0078801722098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370</v>
      </c>
      <c r="B191" s="66">
        <v>370</v>
      </c>
      <c r="D191">
        <f t="shared" si="10"/>
        <v>0.25158430113960889</v>
      </c>
      <c r="E191">
        <f t="shared" si="11"/>
        <v>0.25158430113960889</v>
      </c>
      <c r="G191">
        <f t="shared" ca="1" si="12"/>
        <v>189</v>
      </c>
      <c r="H191">
        <f t="shared" ca="1" si="13"/>
        <v>47.549432915386078</v>
      </c>
      <c r="I191">
        <f t="shared" ca="1" si="14"/>
        <v>2412.2265541190791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232</v>
      </c>
      <c r="B193" s="66">
        <v>232</v>
      </c>
      <c r="D193">
        <f t="shared" si="10"/>
        <v>0.15775015639024126</v>
      </c>
      <c r="E193">
        <f t="shared" si="11"/>
        <v>0.15775015639024126</v>
      </c>
      <c r="G193">
        <f t="shared" ca="1" si="12"/>
        <v>191</v>
      </c>
      <c r="H193">
        <f t="shared" ca="1" si="13"/>
        <v>30.130279870536079</v>
      </c>
      <c r="I193">
        <f t="shared" ca="1" si="14"/>
        <v>1574.9492395234595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139</v>
      </c>
      <c r="B196" s="66">
        <v>139</v>
      </c>
      <c r="D196">
        <f t="shared" si="15"/>
        <v>9.4514102320015225E-2</v>
      </c>
      <c r="E196">
        <f t="shared" si="16"/>
        <v>9.4514102320015225E-2</v>
      </c>
      <c r="G196">
        <f t="shared" ca="1" si="17"/>
        <v>194</v>
      </c>
      <c r="H196">
        <f t="shared" ca="1" si="18"/>
        <v>18.335735850082955</v>
      </c>
      <c r="I196">
        <f t="shared" ca="1" si="19"/>
        <v>1001.1250227636064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0.30651400000000001</v>
      </c>
      <c r="B2" s="68">
        <v>0.51270300000000002</v>
      </c>
      <c r="C2" s="68">
        <v>0</v>
      </c>
      <c r="D2" s="68">
        <v>1</v>
      </c>
      <c r="E2" s="68" t="s">
        <v>410</v>
      </c>
    </row>
    <row r="3" spans="1:5">
      <c r="A3" s="68">
        <v>0.313726</v>
      </c>
      <c r="B3" s="68">
        <v>0.50322</v>
      </c>
      <c r="C3" s="68">
        <v>0.39474999999999999</v>
      </c>
      <c r="D3" s="89">
        <v>1</v>
      </c>
      <c r="E3" s="68" t="s">
        <v>411</v>
      </c>
    </row>
    <row r="4" spans="1:5">
      <c r="A4" s="68">
        <v>0.32083099999999998</v>
      </c>
      <c r="B4" s="68">
        <v>0.49445699999999998</v>
      </c>
      <c r="C4" s="68">
        <v>0.80240100000000003</v>
      </c>
      <c r="D4" s="89">
        <v>1</v>
      </c>
      <c r="E4" s="68" t="s">
        <v>412</v>
      </c>
    </row>
    <row r="5" spans="1:5">
      <c r="A5" s="89">
        <v>0.32816499999999998</v>
      </c>
      <c r="B5" s="89">
        <v>0.48551800000000001</v>
      </c>
      <c r="C5" s="89">
        <v>1.2064900000000001</v>
      </c>
      <c r="D5" s="89">
        <v>1</v>
      </c>
      <c r="E5" s="68" t="s">
        <v>413</v>
      </c>
    </row>
    <row r="6" spans="1:5">
      <c r="A6" s="68">
        <v>0.33533200000000002</v>
      </c>
      <c r="B6" s="68">
        <v>0.47739799999999999</v>
      </c>
      <c r="C6" s="68">
        <v>1.6134299999999999</v>
      </c>
      <c r="D6" s="68">
        <v>1</v>
      </c>
      <c r="E6" s="68" t="s">
        <v>414</v>
      </c>
    </row>
    <row r="7" spans="1:5">
      <c r="A7" s="68">
        <v>0.34230100000000002</v>
      </c>
      <c r="B7" s="68">
        <v>0.47058100000000003</v>
      </c>
      <c r="C7" s="68">
        <v>2.0234700000000001</v>
      </c>
      <c r="D7" s="68">
        <v>1</v>
      </c>
      <c r="E7" s="68" t="s">
        <v>415</v>
      </c>
    </row>
    <row r="8" spans="1:5">
      <c r="A8" s="68">
        <v>0.34900599999999998</v>
      </c>
      <c r="B8" s="68">
        <v>0.46528199999999997</v>
      </c>
      <c r="C8" s="68">
        <v>2.4281000000000001</v>
      </c>
      <c r="D8" s="68">
        <v>1</v>
      </c>
      <c r="E8" s="68" t="s">
        <v>416</v>
      </c>
    </row>
    <row r="9" spans="1:5">
      <c r="A9" s="68">
        <v>0.35526200000000002</v>
      </c>
      <c r="B9" s="68">
        <v>0.461868</v>
      </c>
      <c r="C9" s="68">
        <v>2.8331300000000001</v>
      </c>
      <c r="D9" s="68">
        <v>1</v>
      </c>
      <c r="E9" s="68" t="s">
        <v>417</v>
      </c>
    </row>
    <row r="10" spans="1:5">
      <c r="A10" s="68">
        <v>0.360869</v>
      </c>
      <c r="B10" s="68">
        <v>0.46057700000000001</v>
      </c>
      <c r="C10" s="68">
        <v>3.23746</v>
      </c>
      <c r="D10" s="68">
        <v>1</v>
      </c>
      <c r="E10" s="68" t="s">
        <v>418</v>
      </c>
    </row>
    <row r="11" spans="1:5">
      <c r="A11" s="68">
        <v>0.36608000000000002</v>
      </c>
      <c r="B11" s="68">
        <v>0.459953</v>
      </c>
      <c r="C11" s="68">
        <v>3.64438</v>
      </c>
      <c r="D11" s="68">
        <v>1</v>
      </c>
      <c r="E11" s="68" t="s">
        <v>419</v>
      </c>
    </row>
    <row r="12" spans="1:5">
      <c r="A12" s="68">
        <v>0.37092999999999998</v>
      </c>
      <c r="B12" s="68">
        <v>0.459337</v>
      </c>
      <c r="C12" s="68">
        <v>4.0530200000000001</v>
      </c>
      <c r="D12" s="68">
        <v>1</v>
      </c>
      <c r="E12" s="68" t="s">
        <v>420</v>
      </c>
    </row>
    <row r="13" spans="1:5">
      <c r="A13" s="68">
        <v>0.37554700000000002</v>
      </c>
      <c r="B13" s="68">
        <v>0.459316</v>
      </c>
      <c r="C13" s="68">
        <v>4.4587599999999998</v>
      </c>
      <c r="D13" s="68">
        <v>1</v>
      </c>
      <c r="E13" s="68" t="s">
        <v>421</v>
      </c>
    </row>
    <row r="14" spans="1:5">
      <c r="A14" s="68">
        <v>0.37977</v>
      </c>
      <c r="B14" s="68">
        <v>0.45977499999999999</v>
      </c>
      <c r="C14" s="68">
        <v>4.8649199999999997</v>
      </c>
      <c r="D14" s="68">
        <v>1</v>
      </c>
      <c r="E14" s="68" t="s">
        <v>422</v>
      </c>
    </row>
    <row r="15" spans="1:5">
      <c r="A15" s="68">
        <v>0.38368600000000003</v>
      </c>
      <c r="B15" s="68">
        <v>0.46015699999999998</v>
      </c>
      <c r="C15" s="68">
        <v>5.2708700000000004</v>
      </c>
      <c r="D15" s="68">
        <v>1</v>
      </c>
      <c r="E15" s="68" t="s">
        <v>423</v>
      </c>
    </row>
    <row r="16" spans="1:5">
      <c r="A16" s="68">
        <v>0.38714999999999999</v>
      </c>
      <c r="B16" s="68">
        <v>0.45992899999999998</v>
      </c>
      <c r="C16" s="68">
        <v>5.6755100000000001</v>
      </c>
      <c r="D16" s="68">
        <v>1</v>
      </c>
      <c r="E16" s="68" t="s">
        <v>424</v>
      </c>
    </row>
    <row r="17" spans="1:5">
      <c r="A17" s="68">
        <v>0.39031500000000002</v>
      </c>
      <c r="B17" s="68">
        <v>0.45932499999999998</v>
      </c>
      <c r="C17" s="68">
        <v>6.0849000000000002</v>
      </c>
      <c r="D17" s="68">
        <v>1</v>
      </c>
      <c r="E17" s="68" t="s">
        <v>425</v>
      </c>
    </row>
    <row r="18" spans="1:5">
      <c r="A18" s="68">
        <v>0.39314100000000002</v>
      </c>
      <c r="B18" s="68">
        <v>0.45876</v>
      </c>
      <c r="C18" s="68">
        <v>6.4910800000000002</v>
      </c>
      <c r="D18" s="68">
        <v>1</v>
      </c>
      <c r="E18" s="68" t="s">
        <v>426</v>
      </c>
    </row>
    <row r="19" spans="1:5">
      <c r="A19" s="68">
        <v>0.395208</v>
      </c>
      <c r="B19" s="68">
        <v>0.457675</v>
      </c>
      <c r="C19" s="68">
        <v>6.8964400000000001</v>
      </c>
      <c r="D19" s="68">
        <v>1</v>
      </c>
      <c r="E19" s="68" t="s">
        <v>427</v>
      </c>
    </row>
    <row r="20" spans="1:5">
      <c r="A20" s="68">
        <v>0.39667000000000002</v>
      </c>
      <c r="B20" s="68">
        <v>0.45611400000000002</v>
      </c>
      <c r="C20" s="68">
        <v>7.30199</v>
      </c>
      <c r="D20" s="68">
        <v>1</v>
      </c>
      <c r="E20" s="68" t="s">
        <v>428</v>
      </c>
    </row>
    <row r="21" spans="1:5">
      <c r="A21" s="68">
        <v>0.39754</v>
      </c>
      <c r="B21" s="68">
        <v>0.45406999999999997</v>
      </c>
      <c r="C21" s="68">
        <v>7.7066699999999999</v>
      </c>
      <c r="D21" s="68">
        <v>1</v>
      </c>
      <c r="E21" s="68" t="s">
        <v>429</v>
      </c>
    </row>
    <row r="22" spans="1:5">
      <c r="A22" s="68">
        <v>0.39793499999999998</v>
      </c>
      <c r="B22" s="68">
        <v>0.45175100000000001</v>
      </c>
      <c r="C22" s="68">
        <v>8.1126500000000004</v>
      </c>
      <c r="D22" s="68">
        <v>1</v>
      </c>
      <c r="E22" s="68" t="s">
        <v>430</v>
      </c>
    </row>
    <row r="23" spans="1:5">
      <c r="A23" s="68">
        <v>0.39835300000000001</v>
      </c>
      <c r="B23" s="68">
        <v>0.44947700000000002</v>
      </c>
      <c r="C23" s="68">
        <v>8.5189900000000005</v>
      </c>
      <c r="D23" s="68">
        <v>1</v>
      </c>
      <c r="E23" s="68" t="s">
        <v>431</v>
      </c>
    </row>
    <row r="24" spans="1:5">
      <c r="A24" s="68">
        <v>0.39867599999999997</v>
      </c>
      <c r="B24" s="68">
        <v>0.44715899999999997</v>
      </c>
      <c r="C24" s="68">
        <v>8.9293800000000001</v>
      </c>
      <c r="D24" s="68">
        <v>1</v>
      </c>
      <c r="E24" s="68" t="s">
        <v>432</v>
      </c>
    </row>
    <row r="25" spans="1:5">
      <c r="A25" s="68">
        <v>0.39856599999999998</v>
      </c>
      <c r="B25" s="68">
        <v>0.44500400000000001</v>
      </c>
      <c r="C25" s="68">
        <v>9.3328600000000002</v>
      </c>
      <c r="D25" s="68">
        <v>1</v>
      </c>
      <c r="E25" s="68" t="s">
        <v>433</v>
      </c>
    </row>
    <row r="26" spans="1:5">
      <c r="A26" s="68">
        <v>0.39813199999999999</v>
      </c>
      <c r="B26" s="68">
        <v>0.44284899999999999</v>
      </c>
      <c r="C26" s="68">
        <v>9.7374700000000001</v>
      </c>
      <c r="D26" s="68">
        <v>1</v>
      </c>
      <c r="E26" s="68" t="s">
        <v>434</v>
      </c>
    </row>
    <row r="27" spans="1:5">
      <c r="A27" s="68">
        <v>0.39751799999999998</v>
      </c>
      <c r="B27" s="68">
        <v>0.44079400000000002</v>
      </c>
      <c r="C27" s="68">
        <v>10.1456</v>
      </c>
      <c r="D27" s="68">
        <v>1</v>
      </c>
      <c r="E27" s="68" t="s">
        <v>435</v>
      </c>
    </row>
    <row r="28" spans="1:5">
      <c r="A28" s="68">
        <v>0.39652399999999999</v>
      </c>
      <c r="B28" s="68">
        <v>0.43870199999999998</v>
      </c>
      <c r="C28" s="68">
        <v>10.5549</v>
      </c>
      <c r="D28" s="68">
        <v>1</v>
      </c>
      <c r="E28" s="68" t="s">
        <v>436</v>
      </c>
    </row>
    <row r="29" spans="1:5">
      <c r="A29" s="68">
        <v>0.395486</v>
      </c>
      <c r="B29" s="68">
        <v>0.43716899999999997</v>
      </c>
      <c r="C29" s="68">
        <v>10.958500000000001</v>
      </c>
      <c r="D29" s="68">
        <v>1</v>
      </c>
      <c r="E29" s="68" t="s">
        <v>437</v>
      </c>
    </row>
    <row r="30" spans="1:5">
      <c r="A30" s="68">
        <v>0.39391900000000002</v>
      </c>
      <c r="B30" s="68">
        <v>0.43650800000000001</v>
      </c>
      <c r="C30" s="68">
        <v>11.3643</v>
      </c>
      <c r="D30" s="68">
        <v>1</v>
      </c>
      <c r="E30" s="68" t="s">
        <v>438</v>
      </c>
    </row>
    <row r="31" spans="1:5">
      <c r="A31" s="68">
        <v>0.39177699999999999</v>
      </c>
      <c r="B31" s="68">
        <v>0.43615999999999999</v>
      </c>
      <c r="C31" s="68">
        <v>11.77</v>
      </c>
      <c r="D31" s="68">
        <v>1</v>
      </c>
      <c r="E31" s="68" t="s">
        <v>439</v>
      </c>
    </row>
    <row r="32" spans="1:5">
      <c r="A32" s="68">
        <v>0.38944000000000001</v>
      </c>
      <c r="B32" s="68">
        <v>0.43624200000000002</v>
      </c>
      <c r="C32" s="68">
        <v>12.174799999999999</v>
      </c>
      <c r="D32" s="68">
        <v>1</v>
      </c>
      <c r="E32" s="68" t="s">
        <v>440</v>
      </c>
    </row>
    <row r="33" spans="1:5">
      <c r="A33" s="68">
        <v>0.386907</v>
      </c>
      <c r="B33" s="68">
        <v>0.43680999999999998</v>
      </c>
      <c r="C33" s="68">
        <v>12.581200000000001</v>
      </c>
      <c r="D33" s="68">
        <v>1</v>
      </c>
      <c r="E33" s="68" t="s">
        <v>441</v>
      </c>
    </row>
    <row r="34" spans="1:5">
      <c r="A34" s="68">
        <v>0.38428400000000001</v>
      </c>
      <c r="B34" s="68">
        <v>0.437357</v>
      </c>
      <c r="C34" s="68">
        <v>12.9869</v>
      </c>
      <c r="D34" s="68">
        <v>1</v>
      </c>
      <c r="E34" s="68" t="s">
        <v>442</v>
      </c>
    </row>
    <row r="35" spans="1:5">
      <c r="A35" s="68">
        <v>0.38169799999999998</v>
      </c>
      <c r="B35" s="68">
        <v>0.43732700000000002</v>
      </c>
      <c r="C35" s="68">
        <v>13.395200000000001</v>
      </c>
      <c r="D35" s="68">
        <v>1</v>
      </c>
      <c r="E35" s="68" t="s">
        <v>443</v>
      </c>
    </row>
    <row r="36" spans="1:5">
      <c r="A36" s="68">
        <v>0.37901200000000002</v>
      </c>
      <c r="B36" s="68">
        <v>0.437255</v>
      </c>
      <c r="C36" s="68">
        <v>13.803699999999999</v>
      </c>
      <c r="D36" s="68">
        <v>1</v>
      </c>
      <c r="E36" s="68" t="s">
        <v>444</v>
      </c>
    </row>
    <row r="37" spans="1:5">
      <c r="A37" s="68">
        <v>0.37589299999999998</v>
      </c>
      <c r="B37" s="68">
        <v>0.43645400000000001</v>
      </c>
      <c r="C37" s="68">
        <v>14.2125</v>
      </c>
      <c r="D37" s="68">
        <v>1</v>
      </c>
      <c r="E37" s="68" t="s">
        <v>445</v>
      </c>
    </row>
    <row r="38" spans="1:5">
      <c r="A38" s="68">
        <v>0.37260599999999999</v>
      </c>
      <c r="B38" s="68">
        <v>0.43563600000000002</v>
      </c>
      <c r="C38" s="68">
        <v>14.615</v>
      </c>
      <c r="D38" s="68">
        <v>1</v>
      </c>
      <c r="E38" s="68" t="s">
        <v>446</v>
      </c>
    </row>
    <row r="39" spans="1:5">
      <c r="A39" s="68">
        <v>0.36907400000000001</v>
      </c>
      <c r="B39" s="68">
        <v>0.43432199999999999</v>
      </c>
      <c r="C39" s="68">
        <v>15.0199</v>
      </c>
      <c r="D39" s="68">
        <v>1</v>
      </c>
      <c r="E39" s="68" t="s">
        <v>447</v>
      </c>
    </row>
    <row r="40" spans="1:5">
      <c r="A40" s="68">
        <v>0.365205</v>
      </c>
      <c r="B40" s="68">
        <v>0.43258600000000003</v>
      </c>
      <c r="C40" s="68">
        <v>15.426500000000001</v>
      </c>
      <c r="D40" s="68">
        <v>1</v>
      </c>
      <c r="E40" s="68" t="s">
        <v>448</v>
      </c>
    </row>
    <row r="41" spans="1:5">
      <c r="A41" s="68">
        <v>0.36112100000000003</v>
      </c>
      <c r="B41" s="68">
        <v>0.43111100000000002</v>
      </c>
      <c r="C41" s="68">
        <v>15.8353</v>
      </c>
      <c r="D41" s="68">
        <v>1</v>
      </c>
      <c r="E41" s="68" t="s">
        <v>449</v>
      </c>
    </row>
    <row r="42" spans="1:5">
      <c r="A42" s="68">
        <v>0.35685299999999998</v>
      </c>
      <c r="B42" s="68">
        <v>0.43072100000000002</v>
      </c>
      <c r="C42" s="68">
        <v>16.240300000000001</v>
      </c>
      <c r="D42" s="68">
        <v>1</v>
      </c>
      <c r="E42" s="68" t="s">
        <v>450</v>
      </c>
    </row>
    <row r="43" spans="1:5">
      <c r="A43" s="68">
        <v>0.35233599999999998</v>
      </c>
      <c r="B43" s="68">
        <v>0.43028499999999997</v>
      </c>
      <c r="C43" s="68">
        <v>16.6477</v>
      </c>
      <c r="D43" s="68">
        <v>1</v>
      </c>
      <c r="E43" s="68" t="s">
        <v>451</v>
      </c>
    </row>
    <row r="44" spans="1:5">
      <c r="A44" s="68">
        <v>0.34803099999999998</v>
      </c>
      <c r="B44" s="68">
        <v>0.42909999999999998</v>
      </c>
      <c r="C44" s="68">
        <v>17.050599999999999</v>
      </c>
      <c r="D44" s="68">
        <v>1</v>
      </c>
      <c r="E44" s="68" t="s">
        <v>452</v>
      </c>
    </row>
    <row r="45" spans="1:5">
      <c r="A45" s="68">
        <v>0.34379700000000002</v>
      </c>
      <c r="B45" s="68">
        <v>0.42754500000000001</v>
      </c>
      <c r="C45" s="68">
        <v>17.458300000000001</v>
      </c>
      <c r="D45" s="68">
        <v>1</v>
      </c>
      <c r="E45" s="68" t="s">
        <v>453</v>
      </c>
    </row>
    <row r="46" spans="1:5">
      <c r="A46" s="68">
        <v>0.33963599999999999</v>
      </c>
      <c r="B46" s="68">
        <v>0.42598599999999998</v>
      </c>
      <c r="C46" s="68">
        <v>17.863900000000001</v>
      </c>
      <c r="D46" s="68">
        <v>1</v>
      </c>
      <c r="E46" s="68" t="s">
        <v>454</v>
      </c>
    </row>
    <row r="47" spans="1:5">
      <c r="A47" s="68">
        <v>0.33569599999999999</v>
      </c>
      <c r="B47" s="68">
        <v>0.424844</v>
      </c>
      <c r="C47" s="68">
        <v>18.273099999999999</v>
      </c>
      <c r="D47" s="68">
        <v>1</v>
      </c>
      <c r="E47" s="68" t="s">
        <v>455</v>
      </c>
    </row>
    <row r="48" spans="1:5">
      <c r="A48" s="68">
        <v>0.33164399999999999</v>
      </c>
      <c r="B48" s="68">
        <v>0.42464400000000002</v>
      </c>
      <c r="C48" s="68">
        <v>18.678000000000001</v>
      </c>
      <c r="D48" s="68">
        <v>1</v>
      </c>
      <c r="E48" s="68" t="s">
        <v>456</v>
      </c>
    </row>
    <row r="49" spans="1:5">
      <c r="A49" s="68">
        <v>0.32735399999999998</v>
      </c>
      <c r="B49" s="68">
        <v>0.425321</v>
      </c>
      <c r="C49" s="68">
        <v>19.081099999999999</v>
      </c>
      <c r="D49" s="68">
        <v>1</v>
      </c>
      <c r="E49" s="68" t="s">
        <v>457</v>
      </c>
    </row>
    <row r="50" spans="1:5">
      <c r="A50" s="68">
        <v>0.32316899999999998</v>
      </c>
      <c r="B50" s="68">
        <v>0.426622</v>
      </c>
      <c r="C50" s="68">
        <v>19.4924</v>
      </c>
      <c r="D50" s="68">
        <v>1</v>
      </c>
      <c r="E50" s="68" t="s">
        <v>458</v>
      </c>
    </row>
    <row r="51" spans="1:5">
      <c r="A51" s="68">
        <v>0.319463</v>
      </c>
      <c r="B51" s="68">
        <v>0.42873499999999998</v>
      </c>
      <c r="C51" s="68">
        <v>19.895700000000001</v>
      </c>
      <c r="D51" s="68">
        <v>1</v>
      </c>
      <c r="E51" s="68" t="s">
        <v>459</v>
      </c>
    </row>
    <row r="52" spans="1:5">
      <c r="A52" s="68">
        <v>0.31603500000000001</v>
      </c>
      <c r="B52" s="68">
        <v>0.43229200000000001</v>
      </c>
      <c r="C52" s="68">
        <v>20.302399999999999</v>
      </c>
      <c r="D52" s="68">
        <v>1</v>
      </c>
      <c r="E52" s="68" t="s">
        <v>460</v>
      </c>
    </row>
    <row r="53" spans="1:5">
      <c r="A53" s="68">
        <v>0.312975</v>
      </c>
      <c r="B53" s="68">
        <v>0.43626300000000001</v>
      </c>
      <c r="C53" s="68">
        <v>20.709499999999998</v>
      </c>
      <c r="D53" s="68">
        <v>1</v>
      </c>
      <c r="E53" s="68" t="s">
        <v>461</v>
      </c>
    </row>
    <row r="54" spans="1:5">
      <c r="A54" s="68">
        <v>0.30957800000000002</v>
      </c>
      <c r="B54" s="68">
        <v>0.441249</v>
      </c>
      <c r="C54" s="68">
        <v>21.114000000000001</v>
      </c>
      <c r="D54" s="68">
        <v>1</v>
      </c>
      <c r="E54" s="68" t="s">
        <v>462</v>
      </c>
    </row>
    <row r="55" spans="1:5">
      <c r="A55" s="68">
        <v>0.306311</v>
      </c>
      <c r="B55" s="68">
        <v>0.446328</v>
      </c>
      <c r="C55" s="68">
        <v>21.520800000000001</v>
      </c>
      <c r="D55" s="68">
        <v>1</v>
      </c>
      <c r="E55" s="68" t="s">
        <v>463</v>
      </c>
    </row>
    <row r="56" spans="1:5">
      <c r="A56" s="68">
        <v>0.30411100000000002</v>
      </c>
      <c r="B56" s="68">
        <v>0.45056499999999999</v>
      </c>
      <c r="C56" s="68">
        <v>21.927499999999998</v>
      </c>
      <c r="D56" s="68">
        <v>1</v>
      </c>
      <c r="E56" s="68" t="s">
        <v>464</v>
      </c>
    </row>
    <row r="57" spans="1:5">
      <c r="A57" s="68">
        <v>0.30219299999999999</v>
      </c>
      <c r="B57" s="68">
        <v>0.454733</v>
      </c>
      <c r="C57" s="68">
        <v>22.3339</v>
      </c>
      <c r="D57" s="68">
        <v>1</v>
      </c>
      <c r="E57" s="68" t="s">
        <v>465</v>
      </c>
    </row>
    <row r="58" spans="1:5">
      <c r="A58" s="68">
        <v>0.300763</v>
      </c>
      <c r="B58" s="68">
        <v>0.45797300000000002</v>
      </c>
      <c r="C58" s="68">
        <v>22.7407</v>
      </c>
      <c r="D58" s="68">
        <v>1</v>
      </c>
      <c r="E58" s="68" t="s">
        <v>466</v>
      </c>
    </row>
    <row r="59" spans="1:5">
      <c r="A59" s="68">
        <v>0.30006500000000003</v>
      </c>
      <c r="B59" s="68">
        <v>0.4602</v>
      </c>
      <c r="C59" s="68">
        <v>23.1449</v>
      </c>
      <c r="D59" s="68">
        <v>1</v>
      </c>
      <c r="E59" s="68" t="s">
        <v>467</v>
      </c>
    </row>
    <row r="60" spans="1:5">
      <c r="A60" s="68">
        <v>0.29984100000000002</v>
      </c>
      <c r="B60" s="68">
        <v>0.46150600000000003</v>
      </c>
      <c r="C60" s="68">
        <v>23.549199999999999</v>
      </c>
      <c r="D60" s="68">
        <v>1</v>
      </c>
      <c r="E60" s="68" t="s">
        <v>468</v>
      </c>
    </row>
    <row r="61" spans="1:5">
      <c r="A61" s="68">
        <v>0.29968899999999998</v>
      </c>
      <c r="B61" s="68">
        <v>0.46296799999999999</v>
      </c>
      <c r="C61" s="68">
        <v>23.9589</v>
      </c>
      <c r="D61" s="68">
        <v>1</v>
      </c>
      <c r="E61" s="68" t="s">
        <v>469</v>
      </c>
    </row>
    <row r="62" spans="1:5">
      <c r="A62" s="68">
        <v>0.29998999999999998</v>
      </c>
      <c r="B62" s="68">
        <v>0.46388600000000002</v>
      </c>
      <c r="C62" s="68">
        <v>24.365200000000002</v>
      </c>
      <c r="D62" s="68">
        <v>1</v>
      </c>
      <c r="E62" s="68" t="s">
        <v>470</v>
      </c>
    </row>
    <row r="63" spans="1:5">
      <c r="A63" s="68">
        <v>0.300626</v>
      </c>
      <c r="B63" s="68">
        <v>0.46508500000000003</v>
      </c>
      <c r="C63" s="68">
        <v>24.770800000000001</v>
      </c>
      <c r="D63" s="68">
        <v>1</v>
      </c>
      <c r="E63" s="68" t="s">
        <v>471</v>
      </c>
    </row>
    <row r="64" spans="1:5">
      <c r="A64" s="68">
        <v>0.301452</v>
      </c>
      <c r="B64" s="68">
        <v>0.465812</v>
      </c>
      <c r="C64" s="68">
        <v>25.176300000000001</v>
      </c>
      <c r="D64" s="68">
        <v>1</v>
      </c>
      <c r="E64" s="68" t="s">
        <v>472</v>
      </c>
    </row>
    <row r="65" spans="1:5">
      <c r="A65" s="68">
        <v>0.30302299999999999</v>
      </c>
      <c r="B65" s="68">
        <v>0.46571200000000001</v>
      </c>
      <c r="C65" s="68">
        <v>25.582999999999998</v>
      </c>
      <c r="D65" s="68">
        <v>1</v>
      </c>
      <c r="E65" s="68" t="s">
        <v>473</v>
      </c>
    </row>
    <row r="66" spans="1:5">
      <c r="A66" s="68">
        <v>0.30487300000000001</v>
      </c>
      <c r="B66" s="68">
        <v>0.46526299999999998</v>
      </c>
      <c r="C66" s="68">
        <v>25.991299999999999</v>
      </c>
      <c r="D66" s="68">
        <v>1</v>
      </c>
      <c r="E66" s="68" t="s">
        <v>474</v>
      </c>
    </row>
    <row r="67" spans="1:5">
      <c r="A67" s="68">
        <v>0.30704199999999998</v>
      </c>
      <c r="B67" s="68">
        <v>0.46406399999999998</v>
      </c>
      <c r="C67" s="68">
        <v>26.396799999999999</v>
      </c>
      <c r="D67" s="68">
        <v>1</v>
      </c>
      <c r="E67" s="68" t="s">
        <v>475</v>
      </c>
    </row>
    <row r="68" spans="1:5">
      <c r="A68" s="68">
        <v>0.30959399999999998</v>
      </c>
      <c r="B68" s="68">
        <v>0.46276099999999998</v>
      </c>
      <c r="C68" s="68">
        <v>26.805</v>
      </c>
      <c r="D68" s="68">
        <v>1</v>
      </c>
      <c r="E68" s="68" t="s">
        <v>476</v>
      </c>
    </row>
    <row r="69" spans="1:5">
      <c r="A69" s="68">
        <v>0.31268899999999999</v>
      </c>
      <c r="B69" s="68">
        <v>0.46082499999999998</v>
      </c>
      <c r="C69" s="68">
        <v>27.209299999999999</v>
      </c>
      <c r="D69" s="68">
        <v>1</v>
      </c>
      <c r="E69" s="68" t="s">
        <v>477</v>
      </c>
    </row>
    <row r="70" spans="1:5">
      <c r="A70" s="68">
        <v>0.315915</v>
      </c>
      <c r="B70" s="68">
        <v>0.45964100000000002</v>
      </c>
      <c r="C70" s="68">
        <v>27.613600000000002</v>
      </c>
      <c r="D70" s="68">
        <v>1</v>
      </c>
      <c r="E70" s="68" t="s">
        <v>478</v>
      </c>
    </row>
    <row r="71" spans="1:5">
      <c r="A71" s="68">
        <v>0.31943899999999997</v>
      </c>
      <c r="B71" s="68">
        <v>0.45830199999999999</v>
      </c>
      <c r="C71" s="68">
        <v>28.023800000000001</v>
      </c>
      <c r="D71" s="68">
        <v>1</v>
      </c>
      <c r="E71" s="68" t="s">
        <v>479</v>
      </c>
    </row>
    <row r="72" spans="1:5">
      <c r="A72" s="68">
        <v>0.32328099999999999</v>
      </c>
      <c r="B72" s="68">
        <v>0.455982</v>
      </c>
      <c r="C72" s="68">
        <v>28.429400000000001</v>
      </c>
      <c r="D72" s="68">
        <v>1</v>
      </c>
      <c r="E72" s="68" t="s">
        <v>480</v>
      </c>
    </row>
    <row r="73" spans="1:5">
      <c r="A73" s="68">
        <v>0.32728800000000002</v>
      </c>
      <c r="B73" s="68">
        <v>0.45360899999999998</v>
      </c>
      <c r="C73" s="68">
        <v>28.8354</v>
      </c>
      <c r="D73" s="68">
        <v>1</v>
      </c>
      <c r="E73" s="68" t="s">
        <v>481</v>
      </c>
    </row>
    <row r="74" spans="1:5">
      <c r="A74" s="68">
        <v>0.33138899999999999</v>
      </c>
      <c r="B74" s="68">
        <v>0.45204699999999998</v>
      </c>
      <c r="C74" s="68">
        <v>29.2379</v>
      </c>
      <c r="D74" s="68">
        <v>1</v>
      </c>
      <c r="E74" s="68" t="s">
        <v>482</v>
      </c>
    </row>
    <row r="75" spans="1:5">
      <c r="A75" s="68">
        <v>0.33539600000000003</v>
      </c>
      <c r="B75" s="68">
        <v>0.45099499999999998</v>
      </c>
      <c r="C75" s="68">
        <v>29.644300000000001</v>
      </c>
      <c r="D75" s="68">
        <v>1</v>
      </c>
      <c r="E75" s="68" t="s">
        <v>483</v>
      </c>
    </row>
    <row r="76" spans="1:5">
      <c r="A76" s="68">
        <v>0.33927800000000002</v>
      </c>
      <c r="B76" s="68">
        <v>0.44942599999999999</v>
      </c>
      <c r="C76" s="68">
        <v>30.056000000000001</v>
      </c>
      <c r="D76" s="68">
        <v>2</v>
      </c>
      <c r="E76" s="68" t="s">
        <v>484</v>
      </c>
    </row>
    <row r="77" spans="1:5">
      <c r="A77" s="68">
        <v>0.34309400000000001</v>
      </c>
      <c r="B77" s="68">
        <v>0.44698700000000002</v>
      </c>
      <c r="C77" s="68">
        <v>30.490100000000002</v>
      </c>
      <c r="D77" s="68">
        <v>2</v>
      </c>
      <c r="E77" s="68" t="s">
        <v>485</v>
      </c>
    </row>
    <row r="78" spans="1:5">
      <c r="A78" s="68">
        <v>0.34700900000000001</v>
      </c>
      <c r="B78" s="68">
        <v>0.44428400000000001</v>
      </c>
      <c r="C78" s="68">
        <v>30.895099999999999</v>
      </c>
      <c r="D78" s="68">
        <v>2</v>
      </c>
      <c r="E78" s="68" t="s">
        <v>486</v>
      </c>
    </row>
    <row r="79" spans="1:5">
      <c r="A79" s="68">
        <v>0.35090399999999999</v>
      </c>
      <c r="B79" s="68">
        <v>0.44270900000000002</v>
      </c>
      <c r="C79" s="68">
        <v>31.301100000000002</v>
      </c>
      <c r="D79" s="68">
        <v>2</v>
      </c>
      <c r="E79" s="68" t="s">
        <v>487</v>
      </c>
    </row>
    <row r="80" spans="1:5">
      <c r="A80" s="68">
        <v>0.354657</v>
      </c>
      <c r="B80" s="68">
        <v>0.44195099999999998</v>
      </c>
      <c r="C80" s="68">
        <v>31.711300000000001</v>
      </c>
      <c r="D80" s="68">
        <v>2</v>
      </c>
      <c r="E80" s="68" t="s">
        <v>488</v>
      </c>
    </row>
    <row r="81" spans="1:5">
      <c r="A81" s="68">
        <v>0.357819</v>
      </c>
      <c r="B81" s="68">
        <v>0.44115700000000002</v>
      </c>
      <c r="C81" s="68">
        <v>32.116100000000003</v>
      </c>
      <c r="D81" s="68">
        <v>2</v>
      </c>
      <c r="E81" s="68" t="s">
        <v>489</v>
      </c>
    </row>
    <row r="82" spans="1:5">
      <c r="A82" s="68">
        <v>0.36085299999999998</v>
      </c>
      <c r="B82" s="68">
        <v>0.44036199999999998</v>
      </c>
      <c r="C82" s="68">
        <v>32.520200000000003</v>
      </c>
      <c r="D82" s="68">
        <v>2</v>
      </c>
      <c r="E82" s="68" t="s">
        <v>490</v>
      </c>
    </row>
    <row r="83" spans="1:5">
      <c r="A83" s="68">
        <v>0.36380099999999999</v>
      </c>
      <c r="B83" s="68">
        <v>0.43902600000000003</v>
      </c>
      <c r="C83" s="68">
        <v>32.9253</v>
      </c>
      <c r="D83" s="68">
        <v>2</v>
      </c>
      <c r="E83" s="68" t="s">
        <v>491</v>
      </c>
    </row>
    <row r="84" spans="1:5">
      <c r="A84" s="68">
        <v>0.36657899999999999</v>
      </c>
      <c r="B84" s="68">
        <v>0.43646699999999999</v>
      </c>
      <c r="C84" s="68">
        <v>33.334200000000003</v>
      </c>
      <c r="D84" s="68">
        <v>2</v>
      </c>
      <c r="E84" s="68" t="s">
        <v>492</v>
      </c>
    </row>
    <row r="85" spans="1:5">
      <c r="A85" s="68">
        <v>0.368898</v>
      </c>
      <c r="B85" s="68">
        <v>0.43504500000000002</v>
      </c>
      <c r="C85" s="68">
        <v>33.744999999999997</v>
      </c>
      <c r="D85" s="68">
        <v>2</v>
      </c>
      <c r="E85" s="68" t="s">
        <v>493</v>
      </c>
    </row>
    <row r="86" spans="1:5">
      <c r="A86" s="68">
        <v>0.37081399999999998</v>
      </c>
      <c r="B86" s="68">
        <v>0.43420300000000001</v>
      </c>
      <c r="C86" s="68">
        <v>34.147300000000001</v>
      </c>
      <c r="D86" s="68">
        <v>2</v>
      </c>
      <c r="E86" s="68" t="s">
        <v>494</v>
      </c>
    </row>
    <row r="87" spans="1:5">
      <c r="A87" s="68">
        <v>0.37225599999999998</v>
      </c>
      <c r="B87" s="68">
        <v>0.43377300000000002</v>
      </c>
      <c r="C87" s="68">
        <v>34.551600000000001</v>
      </c>
      <c r="D87" s="68">
        <v>2</v>
      </c>
      <c r="E87" s="68" t="s">
        <v>495</v>
      </c>
    </row>
    <row r="88" spans="1:5">
      <c r="A88" s="68">
        <v>0.37351000000000001</v>
      </c>
      <c r="B88" s="68">
        <v>0.432701</v>
      </c>
      <c r="C88" s="68">
        <v>34.957900000000002</v>
      </c>
      <c r="D88" s="68">
        <v>2</v>
      </c>
      <c r="E88" s="68" t="s">
        <v>496</v>
      </c>
    </row>
    <row r="89" spans="1:5">
      <c r="A89" s="68">
        <v>0.37487599999999999</v>
      </c>
      <c r="B89" s="68">
        <v>0.43188100000000001</v>
      </c>
      <c r="C89" s="68">
        <v>35.366</v>
      </c>
      <c r="D89" s="68">
        <v>2</v>
      </c>
      <c r="E89" s="68" t="s">
        <v>497</v>
      </c>
    </row>
    <row r="90" spans="1:5">
      <c r="A90" s="68">
        <v>0.37583100000000003</v>
      </c>
      <c r="B90" s="68">
        <v>0.43068499999999998</v>
      </c>
      <c r="C90" s="68">
        <v>35.770899999999997</v>
      </c>
      <c r="D90" s="68">
        <v>2</v>
      </c>
      <c r="E90" s="68" t="s">
        <v>498</v>
      </c>
    </row>
    <row r="91" spans="1:5">
      <c r="A91" s="68">
        <v>0.37656899999999999</v>
      </c>
      <c r="B91" s="68">
        <v>0.42924899999999999</v>
      </c>
      <c r="C91" s="68">
        <v>36.178899999999999</v>
      </c>
      <c r="D91" s="68">
        <v>2</v>
      </c>
      <c r="E91" s="68" t="s">
        <v>499</v>
      </c>
    </row>
    <row r="92" spans="1:5">
      <c r="A92" s="68">
        <v>0.37673699999999999</v>
      </c>
      <c r="B92" s="68">
        <v>0.42767500000000003</v>
      </c>
      <c r="C92" s="68">
        <v>36.582599999999999</v>
      </c>
      <c r="D92" s="68">
        <v>2</v>
      </c>
      <c r="E92" s="68" t="s">
        <v>500</v>
      </c>
    </row>
    <row r="93" spans="1:5">
      <c r="A93" s="68">
        <v>0.37647599999999998</v>
      </c>
      <c r="B93" s="68">
        <v>0.42646200000000001</v>
      </c>
      <c r="C93" s="68">
        <v>36.989899999999999</v>
      </c>
      <c r="D93" s="68">
        <v>2</v>
      </c>
      <c r="E93" s="68" t="s">
        <v>501</v>
      </c>
    </row>
    <row r="94" spans="1:5">
      <c r="A94" s="68">
        <v>0.375475</v>
      </c>
      <c r="B94" s="68">
        <v>0.42479899999999998</v>
      </c>
      <c r="C94" s="68">
        <v>37.393999999999998</v>
      </c>
      <c r="D94" s="68">
        <v>2</v>
      </c>
      <c r="E94" s="68" t="s">
        <v>502</v>
      </c>
    </row>
    <row r="95" spans="1:5">
      <c r="A95" s="68">
        <v>0.37445400000000001</v>
      </c>
      <c r="B95" s="68">
        <v>0.42300100000000002</v>
      </c>
      <c r="C95" s="68">
        <v>37.802</v>
      </c>
      <c r="D95" s="68">
        <v>2</v>
      </c>
      <c r="E95" s="68" t="s">
        <v>503</v>
      </c>
    </row>
    <row r="96" spans="1:5">
      <c r="A96" s="68">
        <v>0.373027</v>
      </c>
      <c r="B96" s="68">
        <v>0.42103699999999999</v>
      </c>
      <c r="C96" s="68">
        <v>38.209800000000001</v>
      </c>
      <c r="D96" s="68">
        <v>2</v>
      </c>
      <c r="E96" s="68" t="s">
        <v>504</v>
      </c>
    </row>
    <row r="97" spans="1:5">
      <c r="A97" s="68">
        <v>0.37105300000000002</v>
      </c>
      <c r="B97" s="68">
        <v>0.41905100000000001</v>
      </c>
      <c r="C97" s="68">
        <v>38.613999999999997</v>
      </c>
      <c r="D97" s="68">
        <v>2</v>
      </c>
      <c r="E97" s="68" t="s">
        <v>505</v>
      </c>
    </row>
    <row r="98" spans="1:5">
      <c r="A98" s="68">
        <v>0.36882100000000001</v>
      </c>
      <c r="B98" s="68">
        <v>0.41757</v>
      </c>
      <c r="C98" s="68">
        <v>39.0214</v>
      </c>
      <c r="D98" s="68">
        <v>2</v>
      </c>
      <c r="E98" s="68" t="s">
        <v>506</v>
      </c>
    </row>
    <row r="99" spans="1:5">
      <c r="A99" s="68">
        <v>0.36637700000000001</v>
      </c>
      <c r="B99" s="68">
        <v>0.41603699999999999</v>
      </c>
      <c r="C99" s="68">
        <v>39.4255</v>
      </c>
      <c r="D99" s="68">
        <v>2</v>
      </c>
      <c r="E99" s="68" t="s">
        <v>507</v>
      </c>
    </row>
    <row r="100" spans="1:5">
      <c r="A100" s="68">
        <v>0.36363899999999999</v>
      </c>
      <c r="B100" s="68">
        <v>0.41384199999999999</v>
      </c>
      <c r="C100" s="68">
        <v>39.834600000000002</v>
      </c>
      <c r="D100" s="68">
        <v>2</v>
      </c>
      <c r="E100" s="68" t="s">
        <v>508</v>
      </c>
    </row>
    <row r="101" spans="1:5">
      <c r="A101" s="68">
        <v>0.36077999999999999</v>
      </c>
      <c r="B101" s="68">
        <v>0.412132</v>
      </c>
      <c r="C101" s="68">
        <v>40.241700000000002</v>
      </c>
      <c r="D101" s="68">
        <v>2</v>
      </c>
      <c r="E101" s="68" t="s">
        <v>509</v>
      </c>
    </row>
    <row r="102" spans="1:5">
      <c r="A102" s="68">
        <v>0.35768499999999998</v>
      </c>
      <c r="B102" s="68">
        <v>0.41133399999999998</v>
      </c>
      <c r="C102" s="68">
        <v>40.6449</v>
      </c>
      <c r="D102" s="68">
        <v>2</v>
      </c>
      <c r="E102" s="68" t="s">
        <v>510</v>
      </c>
    </row>
    <row r="103" spans="1:5">
      <c r="A103" s="68">
        <v>0.35452699999999998</v>
      </c>
      <c r="B103" s="68">
        <v>0.41165600000000002</v>
      </c>
      <c r="C103" s="68">
        <v>41.051400000000001</v>
      </c>
      <c r="D103" s="68">
        <v>2</v>
      </c>
      <c r="E103" s="68" t="s">
        <v>511</v>
      </c>
    </row>
    <row r="104" spans="1:5">
      <c r="A104" s="68">
        <v>0.35166900000000001</v>
      </c>
      <c r="B104" s="68">
        <v>0.41277799999999998</v>
      </c>
      <c r="C104" s="68">
        <v>41.456499999999998</v>
      </c>
      <c r="D104" s="68">
        <v>2</v>
      </c>
      <c r="E104" s="68" t="s">
        <v>512</v>
      </c>
    </row>
    <row r="105" spans="1:5">
      <c r="A105" s="68">
        <v>0.34910999999999998</v>
      </c>
      <c r="B105" s="68">
        <v>0.41475600000000001</v>
      </c>
      <c r="C105" s="68">
        <v>41.865000000000002</v>
      </c>
      <c r="D105" s="68">
        <v>2</v>
      </c>
      <c r="E105" s="68" t="s">
        <v>513</v>
      </c>
    </row>
    <row r="106" spans="1:5">
      <c r="A106" s="68">
        <v>0.34674300000000002</v>
      </c>
      <c r="B106" s="68">
        <v>0.41670499999999999</v>
      </c>
      <c r="C106" s="68">
        <v>42.270200000000003</v>
      </c>
      <c r="D106" s="68">
        <v>2</v>
      </c>
      <c r="E106" s="68" t="s">
        <v>514</v>
      </c>
    </row>
    <row r="107" spans="1:5">
      <c r="A107" s="68">
        <v>0.34456599999999998</v>
      </c>
      <c r="B107" s="68">
        <v>0.41894900000000002</v>
      </c>
      <c r="C107" s="68">
        <v>42.677999999999997</v>
      </c>
      <c r="D107" s="68">
        <v>2</v>
      </c>
      <c r="E107" s="68" t="s">
        <v>515</v>
      </c>
    </row>
    <row r="108" spans="1:5">
      <c r="A108" s="68">
        <v>0.342497</v>
      </c>
      <c r="B108" s="68">
        <v>0.422682</v>
      </c>
      <c r="C108" s="68">
        <v>43.079500000000003</v>
      </c>
      <c r="D108" s="68">
        <v>2</v>
      </c>
      <c r="E108" s="68" t="s">
        <v>516</v>
      </c>
    </row>
    <row r="109" spans="1:5">
      <c r="A109" s="68">
        <v>0.340505</v>
      </c>
      <c r="B109" s="68">
        <v>0.427782</v>
      </c>
      <c r="C109" s="68">
        <v>43.492899999999999</v>
      </c>
      <c r="D109" s="68">
        <v>2</v>
      </c>
      <c r="E109" s="68" t="s">
        <v>517</v>
      </c>
    </row>
    <row r="110" spans="1:5">
      <c r="A110" s="68">
        <v>0.33922099999999999</v>
      </c>
      <c r="B110" s="68">
        <v>0.431311</v>
      </c>
      <c r="C110" s="68">
        <v>43.896799999999999</v>
      </c>
      <c r="D110" s="68">
        <v>2</v>
      </c>
      <c r="E110" s="68" t="s">
        <v>518</v>
      </c>
    </row>
    <row r="111" spans="1:5">
      <c r="A111" s="68">
        <v>0.33884799999999998</v>
      </c>
      <c r="B111" s="68">
        <v>0.43360900000000002</v>
      </c>
      <c r="C111" s="68">
        <v>44.305</v>
      </c>
      <c r="D111" s="68">
        <v>2</v>
      </c>
      <c r="E111" s="68" t="s">
        <v>519</v>
      </c>
    </row>
    <row r="112" spans="1:5">
      <c r="A112" s="68">
        <v>0.33916600000000002</v>
      </c>
      <c r="B112" s="68">
        <v>0.43442399999999998</v>
      </c>
      <c r="C112" s="68">
        <v>44.709000000000003</v>
      </c>
      <c r="D112" s="68">
        <v>2</v>
      </c>
      <c r="E112" s="68" t="s">
        <v>520</v>
      </c>
    </row>
    <row r="113" spans="1:5">
      <c r="A113" s="68">
        <v>0.33965499999999998</v>
      </c>
      <c r="B113" s="68">
        <v>0.43447400000000003</v>
      </c>
      <c r="C113" s="68">
        <v>45.113199999999999</v>
      </c>
      <c r="D113" s="68">
        <v>2</v>
      </c>
      <c r="E113" s="68" t="s">
        <v>521</v>
      </c>
    </row>
    <row r="114" spans="1:5">
      <c r="A114" s="68">
        <v>0.34030300000000002</v>
      </c>
      <c r="B114" s="68">
        <v>0.434089</v>
      </c>
      <c r="C114" s="68">
        <v>45.519799999999996</v>
      </c>
      <c r="D114" s="68">
        <v>2</v>
      </c>
      <c r="E114" s="68" t="s">
        <v>522</v>
      </c>
    </row>
    <row r="115" spans="1:5">
      <c r="A115" s="68">
        <v>0.34146199999999999</v>
      </c>
      <c r="B115" s="68">
        <v>0.432643</v>
      </c>
      <c r="C115" s="68">
        <v>45.927300000000002</v>
      </c>
      <c r="D115" s="68">
        <v>2</v>
      </c>
      <c r="E115" s="68" t="s">
        <v>523</v>
      </c>
    </row>
    <row r="116" spans="1:5">
      <c r="A116" s="68">
        <v>0.34310299999999999</v>
      </c>
      <c r="B116" s="68">
        <v>0.43007400000000001</v>
      </c>
      <c r="C116" s="68">
        <v>46.3339</v>
      </c>
      <c r="D116" s="68">
        <v>2</v>
      </c>
      <c r="E116" s="68" t="s">
        <v>524</v>
      </c>
    </row>
    <row r="117" spans="1:5">
      <c r="A117" s="68">
        <v>0.34504400000000002</v>
      </c>
      <c r="B117" s="68">
        <v>0.427118</v>
      </c>
      <c r="C117" s="68">
        <v>46.741100000000003</v>
      </c>
      <c r="D117" s="68">
        <v>2</v>
      </c>
      <c r="E117" s="68" t="s">
        <v>525</v>
      </c>
    </row>
    <row r="118" spans="1:5">
      <c r="A118" s="68">
        <v>0.34710600000000003</v>
      </c>
      <c r="B118" s="68">
        <v>0.42419299999999999</v>
      </c>
      <c r="C118" s="68">
        <v>47.143999999999998</v>
      </c>
      <c r="D118" s="68">
        <v>2</v>
      </c>
      <c r="E118" s="68" t="s">
        <v>526</v>
      </c>
    </row>
    <row r="119" spans="1:5">
      <c r="A119" s="68">
        <v>0.349578</v>
      </c>
      <c r="B119" s="68">
        <v>0.42156199999999999</v>
      </c>
      <c r="C119" s="68">
        <v>47.550600000000003</v>
      </c>
      <c r="D119" s="68">
        <v>2</v>
      </c>
      <c r="E119" s="68" t="s">
        <v>527</v>
      </c>
    </row>
    <row r="120" spans="1:5">
      <c r="A120" s="68">
        <v>0.352076</v>
      </c>
      <c r="B120" s="68">
        <v>0.41920099999999999</v>
      </c>
      <c r="C120" s="68">
        <v>47.961399999999998</v>
      </c>
      <c r="D120" s="68">
        <v>2</v>
      </c>
      <c r="E120" s="68" t="s">
        <v>528</v>
      </c>
    </row>
    <row r="121" spans="1:5">
      <c r="A121" s="68">
        <v>0.35530400000000001</v>
      </c>
      <c r="B121" s="68">
        <v>0.41576099999999999</v>
      </c>
      <c r="C121" s="68">
        <v>48.366399999999999</v>
      </c>
      <c r="D121" s="68">
        <v>2</v>
      </c>
      <c r="E121" s="68" t="s">
        <v>529</v>
      </c>
    </row>
    <row r="122" spans="1:5">
      <c r="A122" s="68">
        <v>0.35906199999999999</v>
      </c>
      <c r="B122" s="68">
        <v>0.41256100000000001</v>
      </c>
      <c r="C122" s="68">
        <v>48.772500000000001</v>
      </c>
      <c r="D122" s="68">
        <v>2</v>
      </c>
      <c r="E122" s="68" t="s">
        <v>530</v>
      </c>
    </row>
    <row r="123" spans="1:5">
      <c r="A123" s="68">
        <v>0.363151</v>
      </c>
      <c r="B123" s="68">
        <v>0.40903699999999998</v>
      </c>
      <c r="C123" s="68">
        <v>49.174900000000001</v>
      </c>
      <c r="D123" s="68">
        <v>2</v>
      </c>
      <c r="E123" s="68" t="s">
        <v>531</v>
      </c>
    </row>
    <row r="124" spans="1:5">
      <c r="A124" s="68">
        <v>0.36760199999999998</v>
      </c>
      <c r="B124" s="68">
        <v>0.40616999999999998</v>
      </c>
      <c r="C124" s="68">
        <v>49.584600000000002</v>
      </c>
      <c r="D124" s="68">
        <v>2</v>
      </c>
      <c r="E124" s="68" t="s">
        <v>532</v>
      </c>
    </row>
    <row r="125" spans="1:5">
      <c r="A125" s="68">
        <v>0.37230400000000002</v>
      </c>
      <c r="B125" s="68">
        <v>0.40460400000000002</v>
      </c>
      <c r="C125" s="68">
        <v>49.988900000000001</v>
      </c>
      <c r="D125" s="68">
        <v>2</v>
      </c>
      <c r="E125" s="68" t="s">
        <v>533</v>
      </c>
    </row>
    <row r="126" spans="1:5">
      <c r="A126" s="68">
        <v>0.37471399999999999</v>
      </c>
      <c r="B126" s="68">
        <v>0.40677000000000002</v>
      </c>
      <c r="C126" s="68">
        <v>50.392299999999999</v>
      </c>
      <c r="D126" s="68">
        <v>2</v>
      </c>
      <c r="E126" s="68" t="s">
        <v>534</v>
      </c>
    </row>
    <row r="127" spans="1:5">
      <c r="A127" s="68">
        <v>0.377355</v>
      </c>
      <c r="B127" s="68">
        <v>0.40954200000000002</v>
      </c>
      <c r="C127" s="68">
        <v>50.8005</v>
      </c>
      <c r="D127" s="68">
        <v>2</v>
      </c>
      <c r="E127" s="68" t="s">
        <v>535</v>
      </c>
    </row>
    <row r="128" spans="1:5">
      <c r="A128" s="68">
        <v>0.38001000000000001</v>
      </c>
      <c r="B128" s="68">
        <v>0.41228399999999998</v>
      </c>
      <c r="C128" s="68">
        <v>51.208300000000001</v>
      </c>
      <c r="D128" s="68">
        <v>2</v>
      </c>
      <c r="E128" s="68" t="s">
        <v>536</v>
      </c>
    </row>
    <row r="129" spans="1:5">
      <c r="A129" s="68">
        <v>0.38262099999999999</v>
      </c>
      <c r="B129" s="68">
        <v>0.414524</v>
      </c>
      <c r="C129" s="68">
        <v>51.615900000000003</v>
      </c>
      <c r="D129" s="68">
        <v>2</v>
      </c>
      <c r="E129" s="68" t="s">
        <v>537</v>
      </c>
    </row>
    <row r="130" spans="1:5">
      <c r="A130" s="68">
        <v>0.38516499999999998</v>
      </c>
      <c r="B130" s="68">
        <v>0.41595300000000002</v>
      </c>
      <c r="C130" s="68">
        <v>52.021299999999997</v>
      </c>
      <c r="D130" s="68">
        <v>2</v>
      </c>
      <c r="E130" s="68" t="s">
        <v>538</v>
      </c>
    </row>
    <row r="131" spans="1:5">
      <c r="A131" s="68">
        <v>0.38780199999999998</v>
      </c>
      <c r="B131" s="68">
        <v>0.41743200000000003</v>
      </c>
      <c r="C131" s="68">
        <v>52.426499999999997</v>
      </c>
      <c r="D131" s="68">
        <v>2</v>
      </c>
      <c r="E131" s="68" t="s">
        <v>539</v>
      </c>
    </row>
    <row r="132" spans="1:5">
      <c r="A132" s="68">
        <v>0.39039699999999999</v>
      </c>
      <c r="B132" s="68">
        <v>0.41904200000000003</v>
      </c>
      <c r="C132" s="68">
        <v>52.832000000000001</v>
      </c>
      <c r="D132" s="68">
        <v>2</v>
      </c>
      <c r="E132" s="68" t="s">
        <v>540</v>
      </c>
    </row>
    <row r="133" spans="1:5">
      <c r="A133" s="68">
        <v>0.39296199999999998</v>
      </c>
      <c r="B133" s="68">
        <v>0.41986899999999999</v>
      </c>
      <c r="C133" s="68">
        <v>53.241799999999998</v>
      </c>
      <c r="D133" s="68">
        <v>2</v>
      </c>
      <c r="E133" s="68" t="s">
        <v>541</v>
      </c>
    </row>
    <row r="134" spans="1:5">
      <c r="A134" s="68">
        <v>0.39540500000000001</v>
      </c>
      <c r="B134" s="68">
        <v>0.41997099999999998</v>
      </c>
      <c r="C134" s="68">
        <v>53.647399999999998</v>
      </c>
      <c r="D134" s="68">
        <v>2</v>
      </c>
      <c r="E134" s="68" t="s">
        <v>542</v>
      </c>
    </row>
    <row r="135" spans="1:5">
      <c r="A135" s="68">
        <v>0.39765800000000001</v>
      </c>
      <c r="B135" s="68">
        <v>0.41966500000000001</v>
      </c>
      <c r="C135" s="68">
        <v>54.0535</v>
      </c>
      <c r="D135" s="68">
        <v>2</v>
      </c>
      <c r="E135" s="68" t="s">
        <v>543</v>
      </c>
    </row>
    <row r="136" spans="1:5">
      <c r="A136" s="68">
        <v>0.39982200000000001</v>
      </c>
      <c r="B136" s="68">
        <v>0.41860399999999998</v>
      </c>
      <c r="C136" s="68">
        <v>54.456000000000003</v>
      </c>
      <c r="D136" s="68">
        <v>2</v>
      </c>
      <c r="E136" s="68" t="s">
        <v>544</v>
      </c>
    </row>
    <row r="137" spans="1:5">
      <c r="A137" s="68">
        <v>0.40191700000000002</v>
      </c>
      <c r="B137" s="68">
        <v>0.41737299999999999</v>
      </c>
      <c r="C137" s="68">
        <v>54.865000000000002</v>
      </c>
      <c r="D137" s="68">
        <v>2</v>
      </c>
      <c r="E137" s="68" t="s">
        <v>545</v>
      </c>
    </row>
    <row r="138" spans="1:5">
      <c r="A138" s="68">
        <v>0.40414600000000001</v>
      </c>
      <c r="B138" s="68">
        <v>0.41671900000000001</v>
      </c>
      <c r="C138" s="68">
        <v>55.272799999999997</v>
      </c>
      <c r="D138" s="68">
        <v>2</v>
      </c>
      <c r="E138" s="68" t="s">
        <v>546</v>
      </c>
    </row>
    <row r="139" spans="1:5">
      <c r="A139" s="68">
        <v>0.40631499999999998</v>
      </c>
      <c r="B139" s="68">
        <v>0.41625499999999999</v>
      </c>
      <c r="C139" s="68">
        <v>55.674399999999999</v>
      </c>
      <c r="D139" s="68">
        <v>2</v>
      </c>
      <c r="E139" s="68" t="s">
        <v>547</v>
      </c>
    </row>
    <row r="140" spans="1:5">
      <c r="A140" s="68">
        <v>0.407974</v>
      </c>
      <c r="B140" s="68">
        <v>0.41547600000000001</v>
      </c>
      <c r="C140" s="68">
        <v>56.084099999999999</v>
      </c>
      <c r="D140" s="68">
        <v>2</v>
      </c>
      <c r="E140" s="68" t="s">
        <v>548</v>
      </c>
    </row>
    <row r="141" spans="1:5">
      <c r="A141" s="68">
        <v>0.40884900000000002</v>
      </c>
      <c r="B141" s="68">
        <v>0.41436600000000001</v>
      </c>
      <c r="C141" s="68">
        <v>56.488900000000001</v>
      </c>
      <c r="D141" s="68">
        <v>2</v>
      </c>
      <c r="E141" s="68" t="s">
        <v>549</v>
      </c>
    </row>
    <row r="142" spans="1:5">
      <c r="A142" s="68">
        <v>0.40988200000000002</v>
      </c>
      <c r="B142" s="68">
        <v>0.41298099999999999</v>
      </c>
      <c r="C142" s="68">
        <v>56.8932</v>
      </c>
      <c r="D142" s="68">
        <v>2</v>
      </c>
      <c r="E142" s="68" t="s">
        <v>550</v>
      </c>
    </row>
    <row r="143" spans="1:5">
      <c r="A143" s="68">
        <v>0.41165499999999999</v>
      </c>
      <c r="B143" s="68">
        <v>0.41105000000000003</v>
      </c>
      <c r="C143" s="68">
        <v>57.300899999999999</v>
      </c>
      <c r="D143" s="68">
        <v>2</v>
      </c>
      <c r="E143" s="68" t="s">
        <v>551</v>
      </c>
    </row>
    <row r="144" spans="1:5">
      <c r="A144" s="68">
        <v>0.414074</v>
      </c>
      <c r="B144" s="68">
        <v>0.40892800000000001</v>
      </c>
      <c r="C144" s="68">
        <v>57.7072</v>
      </c>
      <c r="D144" s="68">
        <v>2</v>
      </c>
      <c r="E144" s="68" t="s">
        <v>552</v>
      </c>
    </row>
    <row r="145" spans="1:5">
      <c r="A145" s="68">
        <v>0.41727799999999998</v>
      </c>
      <c r="B145" s="68">
        <v>0.40709400000000001</v>
      </c>
      <c r="C145" s="68">
        <v>58.1173</v>
      </c>
      <c r="D145" s="68">
        <v>2</v>
      </c>
      <c r="E145" s="68" t="s">
        <v>553</v>
      </c>
    </row>
    <row r="146" spans="1:5">
      <c r="A146" s="68">
        <v>0.41958099999999998</v>
      </c>
      <c r="B146" s="68">
        <v>0.40659200000000001</v>
      </c>
      <c r="C146" s="68">
        <v>58.521000000000001</v>
      </c>
      <c r="D146" s="68">
        <v>2</v>
      </c>
      <c r="E146" s="68" t="s">
        <v>554</v>
      </c>
    </row>
    <row r="147" spans="1:5">
      <c r="A147" s="68">
        <v>0.42181999999999997</v>
      </c>
      <c r="B147" s="68">
        <v>0.40495399999999998</v>
      </c>
      <c r="C147" s="68">
        <v>58.9283</v>
      </c>
      <c r="D147" s="68">
        <v>2</v>
      </c>
      <c r="E147" s="68" t="s">
        <v>555</v>
      </c>
    </row>
    <row r="148" spans="1:5">
      <c r="A148" s="68">
        <v>0.42329800000000001</v>
      </c>
      <c r="B148" s="68">
        <v>0.40336</v>
      </c>
      <c r="C148" s="68">
        <v>59.333399999999997</v>
      </c>
      <c r="D148" s="68">
        <v>2</v>
      </c>
      <c r="E148" s="68" t="s">
        <v>556</v>
      </c>
    </row>
    <row r="149" spans="1:5">
      <c r="A149" s="68">
        <v>0.42388999999999999</v>
      </c>
      <c r="B149" s="68">
        <v>0.39763199999999999</v>
      </c>
      <c r="C149" s="68">
        <v>59.740900000000003</v>
      </c>
      <c r="D149" s="68">
        <v>2</v>
      </c>
      <c r="E149" s="68" t="s">
        <v>557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348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43612.710821759261</v>
      </c>
      <c r="B2" s="66" t="s">
        <v>559</v>
      </c>
      <c r="C2" s="66"/>
      <c r="D2" s="66"/>
      <c r="E2" s="66">
        <v>4.9234099999999996</v>
      </c>
      <c r="F2" s="66">
        <v>1.7582800000000001</v>
      </c>
      <c r="G2" s="66">
        <v>0.57539499999999999</v>
      </c>
      <c r="H2" s="66">
        <v>0</v>
      </c>
      <c r="I2" s="66">
        <v>147068</v>
      </c>
      <c r="J2" s="66">
        <v>86</v>
      </c>
      <c r="K2" s="66">
        <v>86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2019-05-27T09:04:21Z</cp:lastPrinted>
  <dcterms:created xsi:type="dcterms:W3CDTF">2010-10-29T12:53:05Z</dcterms:created>
  <dcterms:modified xsi:type="dcterms:W3CDTF">2019-05-27T09:04:37Z</dcterms:modified>
</cp:coreProperties>
</file>