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<sst xmlns="http://schemas.openxmlformats.org/spreadsheetml/2006/main" count="701" uniqueCount="520">
  <si>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</si>
  <si>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</si>
  <si>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</si>
  <si>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</si>
  <si>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</si>
  <si>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</si>
  <si>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</si>
  <si>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</si>
  <si>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</si>
  <si>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</si>
  <si>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</si>
  <si>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</si>
  <si>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</si>
  <si>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</si>
  <si>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</si>
  <si>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</si>
  <si>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</si>
  <si>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</si>
  <si>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</si>
  <si>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</si>
  <si>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</si>
  <si>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</si>
  <si>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</si>
  <si>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</si>
  <si>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</si>
  <si>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</si>
  <si>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</si>
  <si>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</si>
  <si>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</si>
  <si>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</si>
  <si>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</si>
  <si>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</si>
  <si>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</si>
  <si>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</si>
  <si>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</si>
  <si>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</si>
  <si>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</si>
  <si>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</si>
  <si>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</si>
  <si>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</si>
  <si>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</si>
  <si>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</si>
  <si>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</si>
  <si>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</si>
  <si>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</si>
  <si>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</si>
  <si>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</si>
  <si>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</si>
  <si>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</si>
  <si>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</si>
  <si>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</si>
  <si>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</si>
  <si>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</si>
  <si>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</si>
  <si>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</si>
  <si>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</si>
  <si>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</si>
  <si>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</si>
  <si>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</si>
  <si>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</si>
  <si>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</si>
  <si>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</si>
  <si>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</si>
  <si>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</si>
  <si>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</si>
  <si>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</si>
  <si>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</si>
  <si>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</si>
  <si>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</si>
  <si>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</si>
  <si>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</si>
  <si>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</si>
  <si>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</si>
  <si>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</si>
  <si>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</si>
  <si>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</si>
  <si>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</si>
  <si>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</si>
  <si>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</si>
  <si>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</si>
  <si>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</si>
  <si>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</si>
  <si>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</si>
  <si>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</si>
  <si>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</si>
  <si>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</si>
  <si>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</si>
  <si>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</si>
  <si>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</si>
  <si>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</si>
  <si>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</si>
  <si>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</si>
  <si>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</si>
  <si>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</si>
  <si>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</si>
  <si>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</si>
  <si>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</si>
  <si>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</si>
  <si>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</si>
  <si>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</si>
  <si>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</si>
  <si>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</si>
  <si>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</si>
  <si>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</si>
  <si>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</si>
  <si>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</si>
  <si>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</si>
  <si>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</si>
  <si>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</si>
  <si>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</si>
  <si>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</si>
  <si>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</si>
  <si>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</si>
  <si>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</si>
  <si>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</si>
  <si>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</si>
  <si>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</si>
  <si>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</si>
  <si>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</si>
  <si>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</si>
  <si>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</si>
  <si>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</si>
  <si>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</si>
  <si>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</si>
  <si>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</si>
  <si>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</si>
  <si>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</si>
  <si>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</si>
  <si>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</si>
  <si>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</si>
  <si>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</si>
  <si>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</si>
  <si>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</si>
  <si>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</si>
  <si>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</si>
  <si>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</si>
  <si>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</si>
  <si>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</si>
  <si>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</si>
  <si>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</si>
  <si>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</si>
  <si>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</si>
  <si>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</si>
  <si>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</si>
  <si>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</si>
  <si>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</si>
  <si>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</si>
  <si>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</si>
  <si>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</si>
  <si>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</si>
  <si>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</si>
  <si>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</si>
  <si>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</si>
  <si>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</si>
  <si>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</si>
  <si>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</si>
  <si>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</si>
  <si>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</si>
  <si>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</si>
  <si>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</si>
  <si>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</si>
  <si>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</si>
  <si>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</si>
  <si>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</si>
  <si>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</si>
  <si>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</si>
  <si>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</si>
  <si>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</si>
  <si>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</si>
  <si>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</si>
  <si>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</si>
  <si>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</si>
  <si>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</si>
  <si>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</si>
  <si>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</si>
  <si>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</si>
  <si>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</si>
  <si>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</si>
  <si>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</si>
  <si>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</si>
  <si>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</si>
  <si>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</si>
  <si>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</si>
  <si>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</si>
  <si>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</si>
  <si>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</si>
  <si>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</si>
  <si>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</si>
  <si>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</si>
  <si>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</si>
  <si>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</si>
  <si>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</si>
  <si>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</si>
  <si>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</si>
  <si>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</si>
  <si>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</si>
  <si>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</si>
  <si>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</si>
  <si>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</si>
  <si>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</si>
  <si>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</si>
  <si>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</si>
  <si>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</si>
  <si>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</si>
  <si>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</si>
  <si>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</si>
  <si>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</si>
  <si>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</si>
  <si>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</si>
  <si>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</si>
  <si>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</si>
  <si>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</si>
  <si>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</si>
  <si>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</si>
  <si>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</si>
  <si>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</si>
  <si>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</si>
  <si>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</si>
  <si>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</si>
  <si>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</si>
  <si>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</si>
  <si>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</si>
  <si>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</si>
  <si>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</si>
  <si>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</si>
  <si>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</si>
  <si>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</si>
  <si>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</si>
  <si>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</si>
  <si>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</si>
  <si>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</si>
  <si>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</si>
  <si>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</si>
  <si>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</si>
  <si>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</si>
  <si>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</si>
  <si>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</si>
  <si>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</si>
  <si>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</si>
  <si>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</si>
  <si>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</si>
  <si>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</si>
  <si>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</si>
  <si>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</si>
  <si>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</si>
  <si>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</si>
  <si>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</si>
  <si>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</si>
  <si>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</si>
  <si>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</si>
  <si>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</si>
  <si>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</si>
  <si>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</si>
  <si>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</si>
  <si>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</si>
  <si>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</si>
  <si>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</si>
  <si>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</si>
  <si>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</si>
  <si>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</si>
  <si>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</si>
  <si>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</si>
  <si>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</si>
  <si>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</si>
  <si>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</si>
  <si>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</si>
  <si>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</si>
  <si>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</si>
  <si>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</si>
  <si>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</si>
  <si>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</si>
  <si>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</si>
  <si>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</si>
  <si>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</si>
  <si>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</si>
  <si>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</si>
  <si>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</si>
  <si>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</si>
  <si>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</si>
  <si>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</si>
  <si>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</si>
  <si>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</si>
  <si>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</si>
  <si>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</si>
  <si>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</si>
  <si>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</si>
  <si>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</si>
  <si>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</si>
  <si>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</si>
  <si>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</si>
  <si>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</si>
  <si>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</si>
  <si>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</si>
  <si>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</si>
  <si>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</si>
  <si>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</si>
  <si>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</si>
  <si>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</si>
  <si>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</si>
  <si>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</si>
  <si>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</si>
  <si>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</si>
  <si>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</si>
  <si>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</si>
  <si>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</si>
  <si>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</si>
  <si>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</si>
  <si>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</si>
  <si>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</si>
  <si>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</si>
  <si>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</si>
  <si>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</si>
  <si>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</si>
  <si>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</si>
  <si>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</si>
  <si>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</si>
  <si>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</si>
  <si>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</si>
  <si>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</si>
  <si>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</si>
  <si>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</si>
  <si>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</si>
  <si>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</si>
  <si>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</si>
  <si>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</si>
  <si>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</si>
  <si>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</si>
  <si>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</si>
  <si>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</si>
  <si>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</si>
  <si>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</si>
  <si>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</si>
  <si>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</si>
  <si>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</si>
  <si>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</si>
  <si>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</si>
  <si>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</si>
  <si>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</si>
  <si>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</si>
  <si>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</si>
  <si>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</si>
  <si>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</si>
  <si>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</si>
  <si>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</si>
  <si>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</si>
  <si>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</si>
  <si>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</si>
  <si>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</si>
  <si>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</si>
  <si>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</si>
  <si>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</si>
  <si>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</si>
  <si>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</si>
  <si>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</si>
  <si>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</si>
  <si>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</si>
  <si>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</si>
  <si>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[0.403981]</t>
  </si>
  <si>
    <t>1 [0.813845]</t>
  </si>
  <si>
    <t>1 [1.220703]</t>
  </si>
  <si>
    <t>1 [1.624676]</t>
  </si>
  <si>
    <t>1 [2.031533]</t>
  </si>
  <si>
    <t>1 [2.439721]</t>
  </si>
  <si>
    <t>1 [2.845403]</t>
  </si>
  <si>
    <t>1 [3.250289]</t>
  </si>
  <si>
    <t>1 [3.658192]</t>
  </si>
  <si>
    <t>1 [4.062110]</t>
  </si>
  <si>
    <t>1 [4.469193]</t>
  </si>
  <si>
    <t>1 [4.872961]</t>
  </si>
  <si>
    <t>1 [5.281885]</t>
  </si>
  <si>
    <t>1 [5.683948]</t>
  </si>
  <si>
    <t>1 [6.092387]</t>
  </si>
  <si>
    <t>1 [6.502139]</t>
  </si>
  <si>
    <t>1 [6.904710]</t>
  </si>
  <si>
    <t>1 [7.315658]</t>
  </si>
  <si>
    <t>1 [7.723327]</t>
  </si>
  <si>
    <t>1 [8.126370]</t>
  </si>
  <si>
    <t>1 [8.529137]</t>
  </si>
  <si>
    <t>1 [8.940067]</t>
  </si>
  <si>
    <t>1 [9.346095]</t>
  </si>
  <si>
    <t>1 [9.748932]</t>
  </si>
  <si>
    <t>1 [10.154838]</t>
  </si>
  <si>
    <t>1 [10.562766]</t>
  </si>
  <si>
    <t>1 [10.969605]</t>
  </si>
  <si>
    <t>1 [11.372562]</t>
  </si>
  <si>
    <t>1 [11.781512]</t>
  </si>
  <si>
    <t>1 [12.188352]</t>
  </si>
  <si>
    <t>1 [12.593281]</t>
  </si>
  <si>
    <t>1 [13.000262]</t>
  </si>
  <si>
    <t>1 [13.407213]</t>
  </si>
  <si>
    <t>1 [13.814022]</t>
  </si>
  <si>
    <t>1 [14.218245]</t>
  </si>
  <si>
    <t>1 [14.621713]</t>
  </si>
  <si>
    <t>1 [15.030899]</t>
  </si>
  <si>
    <t>1 [15.436714]</t>
  </si>
  <si>
    <t>1 [15.846569]</t>
  </si>
  <si>
    <t>1 [16.248495]</t>
  </si>
  <si>
    <t>1 [16.655427]</t>
  </si>
  <si>
    <t>1 [17.063543]</t>
  </si>
  <si>
    <t>1 [17.466004]</t>
  </si>
  <si>
    <t>1 [17.878166]</t>
  </si>
  <si>
    <t>1 [18.281155]</t>
  </si>
  <si>
    <t>1 [18.688186]</t>
  </si>
  <si>
    <t>1 [19.095096]</t>
  </si>
  <si>
    <t>1 [19.498057]</t>
  </si>
  <si>
    <t>1 [19.908774]</t>
  </si>
  <si>
    <t>1 [20.312780]</t>
  </si>
  <si>
    <t>1 [20.715694]</t>
  </si>
  <si>
    <t>1 [21.123857]</t>
  </si>
  <si>
    <t>1 [21.529517]</t>
  </si>
  <si>
    <t>1 [21.939538]</t>
  </si>
  <si>
    <t>1 [22.344238]</t>
  </si>
  <si>
    <t>1 [22.749669]</t>
  </si>
  <si>
    <t>1 [23.152230]</t>
  </si>
  <si>
    <t>1 [23.562079]</t>
  </si>
  <si>
    <t>1 [23.966876]</t>
  </si>
  <si>
    <t>1 [24.374314]</t>
  </si>
  <si>
    <t>1 [24.782825]</t>
  </si>
  <si>
    <t>1 [25.191664]</t>
  </si>
  <si>
    <t>1 [25.594546]</t>
  </si>
  <si>
    <t>1 [25.999554]</t>
  </si>
  <si>
    <t>1 [26.405582]</t>
  </si>
  <si>
    <t>1 [26.814346]</t>
  </si>
  <si>
    <t>1 [27.221212]</t>
  </si>
  <si>
    <t>1 [27.624146]</t>
  </si>
  <si>
    <t>1 [28.031050]</t>
  </si>
  <si>
    <t>1 [28.434243]</t>
  </si>
  <si>
    <t>1 [28.844891]</t>
  </si>
  <si>
    <t>1 [29.252842]</t>
  </si>
  <si>
    <t>1 [29.653745]</t>
  </si>
  <si>
    <t>2 [30.063740]</t>
  </si>
  <si>
    <t>2 [30.528448]</t>
  </si>
  <si>
    <t>2 [30.923375]</t>
  </si>
  <si>
    <t>2 [31.327370]</t>
  </si>
  <si>
    <t>2 [31.733293]</t>
  </si>
  <si>
    <t>2 [32.141161]</t>
  </si>
  <si>
    <t>2 [32.545153]</t>
  </si>
  <si>
    <t>2 [32.953952]</t>
  </si>
  <si>
    <t>2 [33.358923]</t>
  </si>
  <si>
    <t>2 [33.764976]</t>
  </si>
  <si>
    <t>2 [34.172734]</t>
  </si>
  <si>
    <t>2 [34.577796]</t>
  </si>
  <si>
    <t>2 [34.987637]</t>
  </si>
  <si>
    <t>2 [35.390488]</t>
  </si>
  <si>
    <t>2 [35.796403]</t>
  </si>
  <si>
    <t>2 [36.201593]</t>
  </si>
  <si>
    <t>2 [36.610220]</t>
  </si>
  <si>
    <t>2 [37.017256]</t>
  </si>
  <si>
    <t>2 [37.420934]</t>
  </si>
  <si>
    <t>2 [37.826988]</t>
  </si>
  <si>
    <t>2 [38.235460]</t>
  </si>
  <si>
    <t>2 [38.642772]</t>
  </si>
  <si>
    <t>2 [39.046671]</t>
  </si>
  <si>
    <t>2 [39.452609]</t>
  </si>
  <si>
    <t>2 [39.858573]</t>
  </si>
  <si>
    <t>2 [40.265581]</t>
  </si>
  <si>
    <t>2 [40.674268]</t>
  </si>
  <si>
    <t>2 [41.080277]</t>
  </si>
  <si>
    <t>2 [41.483136]</t>
  </si>
  <si>
    <t>2 [41.888251]</t>
  </si>
  <si>
    <t>2 [42.301343]</t>
  </si>
  <si>
    <t>2 [42.705902]</t>
  </si>
  <si>
    <t>2 [43.111795]</t>
  </si>
  <si>
    <t>2 [43.516672]</t>
  </si>
  <si>
    <t>2 [43.920633]</t>
  </si>
  <si>
    <t>2 [44.325725]</t>
  </si>
  <si>
    <t>2 [44.737523]</t>
  </si>
  <si>
    <t>2 [45.141334]</t>
  </si>
  <si>
    <t>2 [45.546317]</t>
  </si>
  <si>
    <t>2 [45.953205]</t>
  </si>
  <si>
    <t>2 [46.358191]</t>
  </si>
  <si>
    <t>2 [46.765986]</t>
  </si>
  <si>
    <t>2 [47.172130]</t>
  </si>
  <si>
    <t>2 [47.575028]</t>
  </si>
  <si>
    <t>2 [47.985739]</t>
  </si>
  <si>
    <t>2 [48.390752]</t>
  </si>
  <si>
    <t>2 [48.797635]</t>
  </si>
  <si>
    <t>2 [49.201570]</t>
  </si>
  <si>
    <t>2 [49.606650]</t>
  </si>
  <si>
    <t>2 [50.018574]</t>
  </si>
  <si>
    <t>2 [50.423288]</t>
  </si>
  <si>
    <t>2 [50.829118]</t>
  </si>
  <si>
    <t>2 [51.236698]</t>
  </si>
  <si>
    <t>2 [51.641133]</t>
  </si>
  <si>
    <t>2 [52.049897]</t>
  </si>
  <si>
    <t>2 [52.452827]</t>
  </si>
  <si>
    <t>2 [52.857742]</t>
  </si>
  <si>
    <t>2 [53.264664]</t>
  </si>
  <si>
    <t>2 [53.671661]</t>
  </si>
  <si>
    <t>2 [54.078431]</t>
  </si>
  <si>
    <t>2 [54.484633]</t>
  </si>
  <si>
    <t>2 [54.891326]</t>
  </si>
  <si>
    <t>2 [55.297295]</t>
  </si>
  <si>
    <t>2 [55.704241]</t>
  </si>
  <si>
    <t>2 [56.110008]</t>
  </si>
  <si>
    <t>2 [56.517005]</t>
  </si>
  <si>
    <t>2 [56.922904]</t>
  </si>
  <si>
    <t>2 [57.324798]</t>
  </si>
  <si>
    <t>2 [57.734057]</t>
  </si>
  <si>
    <t>2 [58.142549]</t>
  </si>
  <si>
    <t>2 [58.545579]</t>
  </si>
  <si>
    <t>2 [58.955519]</t>
  </si>
  <si>
    <t>2 [59.359253]</t>
  </si>
  <si>
    <t>2 [59.766579]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</si>
  <si>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</si>
  <si>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</si>
  <si>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</si>
  <si>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</si>
  <si>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</si>
  <si>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</si>
  <si>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</si>
  <si>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</si>
  <si>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</si>
  <si>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</si>
  <si>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</si>
  <si>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</si>
  <si>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</si>
  <si>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</si>
  <si>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</si>
  <si>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吴晓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</si>
</sst>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39.416899999999998</c:v>
                </c:pt>
                <c:pt idx="1">
                  <c:v>41.7883</c:v>
                </c:pt>
                <c:pt idx="2">
                  <c:v>19.420200000000001</c:v>
                </c:pt>
                <c:pt idx="3">
                  <c:v>34.283999999999999</c:v>
                </c:pt>
                <c:pt idx="4">
                  <c:v>64.103399999999993</c:v>
                </c:pt>
                <c:pt idx="5">
                  <c:v>49.436500000000002</c:v>
                </c:pt>
                <c:pt idx="6">
                  <c:v>16.306999999999999</c:v>
                </c:pt>
                <c:pt idx="7">
                  <c:v>59.522100000000002</c:v>
                </c:pt>
                <c:pt idx="8">
                  <c:v>18.305299999999999</c:v>
                </c:pt>
                <c:pt idx="9">
                  <c:v>18.541599999999999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0.47583474423590394</c:v>
                </c:pt>
                <c:pt idx="1">
                  <c:v>0.33899202004562129</c:v>
                </c:pt>
                <c:pt idx="2">
                  <c:v>0.18517323571847483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12610</c:v>
                </c:pt>
                <c:pt idx="7">
                  <c:v>0</c:v>
                </c:pt>
                <c:pt idx="8">
                  <c:v>22019</c:v>
                </c:pt>
                <c:pt idx="9">
                  <c:v>0</c:v>
                </c:pt>
                <c:pt idx="10">
                  <c:v>0</c:v>
                </c:pt>
                <c:pt idx="11">
                  <c:v>28890</c:v>
                </c:pt>
                <c:pt idx="12">
                  <c:v>0</c:v>
                </c:pt>
                <c:pt idx="13">
                  <c:v>52819</c:v>
                </c:pt>
                <c:pt idx="14">
                  <c:v>0</c:v>
                </c:pt>
                <c:pt idx="15">
                  <c:v>0</c:v>
                </c:pt>
                <c:pt idx="16">
                  <c:v>46056</c:v>
                </c:pt>
                <c:pt idx="17">
                  <c:v>0</c:v>
                </c:pt>
                <c:pt idx="18">
                  <c:v>0</c:v>
                </c:pt>
                <c:pt idx="19">
                  <c:v>39702</c:v>
                </c:pt>
                <c:pt idx="20">
                  <c:v>0</c:v>
                </c:pt>
                <c:pt idx="21">
                  <c:v>47571</c:v>
                </c:pt>
                <c:pt idx="22">
                  <c:v>0</c:v>
                </c:pt>
                <c:pt idx="23">
                  <c:v>0</c:v>
                </c:pt>
                <c:pt idx="24">
                  <c:v>59306</c:v>
                </c:pt>
                <c:pt idx="25">
                  <c:v>0</c:v>
                </c:pt>
                <c:pt idx="26">
                  <c:v>54036</c:v>
                </c:pt>
                <c:pt idx="27">
                  <c:v>0</c:v>
                </c:pt>
                <c:pt idx="28">
                  <c:v>0</c:v>
                </c:pt>
                <c:pt idx="29">
                  <c:v>56123</c:v>
                </c:pt>
                <c:pt idx="30">
                  <c:v>0</c:v>
                </c:pt>
                <c:pt idx="31">
                  <c:v>57166</c:v>
                </c:pt>
                <c:pt idx="32">
                  <c:v>0</c:v>
                </c:pt>
                <c:pt idx="33">
                  <c:v>0</c:v>
                </c:pt>
                <c:pt idx="34">
                  <c:v>62850</c:v>
                </c:pt>
                <c:pt idx="35">
                  <c:v>0</c:v>
                </c:pt>
                <c:pt idx="36">
                  <c:v>0</c:v>
                </c:pt>
                <c:pt idx="37">
                  <c:v>64340</c:v>
                </c:pt>
                <c:pt idx="38">
                  <c:v>0</c:v>
                </c:pt>
                <c:pt idx="39">
                  <c:v>73136</c:v>
                </c:pt>
                <c:pt idx="40">
                  <c:v>0</c:v>
                </c:pt>
                <c:pt idx="41">
                  <c:v>0</c:v>
                </c:pt>
                <c:pt idx="42">
                  <c:v>79693</c:v>
                </c:pt>
                <c:pt idx="43">
                  <c:v>0</c:v>
                </c:pt>
                <c:pt idx="44">
                  <c:v>83714</c:v>
                </c:pt>
                <c:pt idx="45">
                  <c:v>0</c:v>
                </c:pt>
                <c:pt idx="46">
                  <c:v>0</c:v>
                </c:pt>
                <c:pt idx="47">
                  <c:v>94923</c:v>
                </c:pt>
                <c:pt idx="48">
                  <c:v>0</c:v>
                </c:pt>
                <c:pt idx="49">
                  <c:v>103422</c:v>
                </c:pt>
                <c:pt idx="50">
                  <c:v>0</c:v>
                </c:pt>
                <c:pt idx="51">
                  <c:v>0</c:v>
                </c:pt>
                <c:pt idx="52">
                  <c:v>117940</c:v>
                </c:pt>
                <c:pt idx="53">
                  <c:v>0</c:v>
                </c:pt>
                <c:pt idx="54">
                  <c:v>0</c:v>
                </c:pt>
                <c:pt idx="55">
                  <c:v>111743</c:v>
                </c:pt>
                <c:pt idx="56">
                  <c:v>0</c:v>
                </c:pt>
                <c:pt idx="57">
                  <c:v>116308</c:v>
                </c:pt>
                <c:pt idx="58">
                  <c:v>0</c:v>
                </c:pt>
                <c:pt idx="59">
                  <c:v>0</c:v>
                </c:pt>
                <c:pt idx="60">
                  <c:v>118654</c:v>
                </c:pt>
                <c:pt idx="61">
                  <c:v>0</c:v>
                </c:pt>
                <c:pt idx="62">
                  <c:v>117759</c:v>
                </c:pt>
                <c:pt idx="63">
                  <c:v>0</c:v>
                </c:pt>
                <c:pt idx="64">
                  <c:v>0</c:v>
                </c:pt>
                <c:pt idx="65">
                  <c:v>125009</c:v>
                </c:pt>
                <c:pt idx="66">
                  <c:v>0</c:v>
                </c:pt>
                <c:pt idx="67">
                  <c:v>132961</c:v>
                </c:pt>
                <c:pt idx="68">
                  <c:v>0</c:v>
                </c:pt>
                <c:pt idx="69">
                  <c:v>0</c:v>
                </c:pt>
                <c:pt idx="70">
                  <c:v>129589</c:v>
                </c:pt>
                <c:pt idx="71">
                  <c:v>0</c:v>
                </c:pt>
                <c:pt idx="72">
                  <c:v>0</c:v>
                </c:pt>
                <c:pt idx="73">
                  <c:v>127242</c:v>
                </c:pt>
                <c:pt idx="74">
                  <c:v>0</c:v>
                </c:pt>
                <c:pt idx="75">
                  <c:v>126579</c:v>
                </c:pt>
                <c:pt idx="76">
                  <c:v>0</c:v>
                </c:pt>
                <c:pt idx="77">
                  <c:v>0</c:v>
                </c:pt>
                <c:pt idx="78">
                  <c:v>119737</c:v>
                </c:pt>
                <c:pt idx="79">
                  <c:v>0</c:v>
                </c:pt>
                <c:pt idx="80">
                  <c:v>119132</c:v>
                </c:pt>
                <c:pt idx="81">
                  <c:v>0</c:v>
                </c:pt>
                <c:pt idx="82">
                  <c:v>0</c:v>
                </c:pt>
                <c:pt idx="83">
                  <c:v>115514</c:v>
                </c:pt>
                <c:pt idx="84">
                  <c:v>0</c:v>
                </c:pt>
                <c:pt idx="85">
                  <c:v>0</c:v>
                </c:pt>
                <c:pt idx="86">
                  <c:v>112377</c:v>
                </c:pt>
                <c:pt idx="87">
                  <c:v>0</c:v>
                </c:pt>
                <c:pt idx="88">
                  <c:v>110599</c:v>
                </c:pt>
                <c:pt idx="89">
                  <c:v>0</c:v>
                </c:pt>
                <c:pt idx="90">
                  <c:v>0</c:v>
                </c:pt>
                <c:pt idx="91">
                  <c:v>112257</c:v>
                </c:pt>
                <c:pt idx="92">
                  <c:v>0</c:v>
                </c:pt>
                <c:pt idx="93">
                  <c:v>108806</c:v>
                </c:pt>
                <c:pt idx="94">
                  <c:v>0</c:v>
                </c:pt>
                <c:pt idx="95">
                  <c:v>0</c:v>
                </c:pt>
                <c:pt idx="96">
                  <c:v>103556</c:v>
                </c:pt>
                <c:pt idx="97">
                  <c:v>0</c:v>
                </c:pt>
                <c:pt idx="98">
                  <c:v>107067</c:v>
                </c:pt>
                <c:pt idx="99">
                  <c:v>0</c:v>
                </c:pt>
                <c:pt idx="100">
                  <c:v>0</c:v>
                </c:pt>
                <c:pt idx="101">
                  <c:v>93436</c:v>
                </c:pt>
                <c:pt idx="102">
                  <c:v>0</c:v>
                </c:pt>
                <c:pt idx="103">
                  <c:v>0</c:v>
                </c:pt>
                <c:pt idx="104">
                  <c:v>83278</c:v>
                </c:pt>
                <c:pt idx="105">
                  <c:v>0</c:v>
                </c:pt>
                <c:pt idx="106">
                  <c:v>79745</c:v>
                </c:pt>
                <c:pt idx="107">
                  <c:v>0</c:v>
                </c:pt>
                <c:pt idx="108">
                  <c:v>0</c:v>
                </c:pt>
                <c:pt idx="109">
                  <c:v>70269</c:v>
                </c:pt>
                <c:pt idx="110">
                  <c:v>0</c:v>
                </c:pt>
                <c:pt idx="111">
                  <c:v>68887</c:v>
                </c:pt>
                <c:pt idx="112">
                  <c:v>0</c:v>
                </c:pt>
                <c:pt idx="113">
                  <c:v>0</c:v>
                </c:pt>
                <c:pt idx="114">
                  <c:v>54902</c:v>
                </c:pt>
                <c:pt idx="115">
                  <c:v>0</c:v>
                </c:pt>
                <c:pt idx="116">
                  <c:v>45598</c:v>
                </c:pt>
                <c:pt idx="117">
                  <c:v>0</c:v>
                </c:pt>
                <c:pt idx="118">
                  <c:v>0</c:v>
                </c:pt>
                <c:pt idx="119">
                  <c:v>43602</c:v>
                </c:pt>
                <c:pt idx="120">
                  <c:v>0</c:v>
                </c:pt>
                <c:pt idx="121">
                  <c:v>0</c:v>
                </c:pt>
                <c:pt idx="122">
                  <c:v>43423</c:v>
                </c:pt>
                <c:pt idx="123">
                  <c:v>0</c:v>
                </c:pt>
                <c:pt idx="124">
                  <c:v>38622</c:v>
                </c:pt>
                <c:pt idx="125">
                  <c:v>0</c:v>
                </c:pt>
                <c:pt idx="126">
                  <c:v>0</c:v>
                </c:pt>
                <c:pt idx="127">
                  <c:v>36360</c:v>
                </c:pt>
                <c:pt idx="128">
                  <c:v>0</c:v>
                </c:pt>
                <c:pt idx="129">
                  <c:v>32267</c:v>
                </c:pt>
                <c:pt idx="130">
                  <c:v>0</c:v>
                </c:pt>
                <c:pt idx="131">
                  <c:v>0</c:v>
                </c:pt>
                <c:pt idx="132">
                  <c:v>28230</c:v>
                </c:pt>
                <c:pt idx="133">
                  <c:v>0</c:v>
                </c:pt>
                <c:pt idx="134">
                  <c:v>27840</c:v>
                </c:pt>
                <c:pt idx="135">
                  <c:v>0</c:v>
                </c:pt>
                <c:pt idx="136">
                  <c:v>0</c:v>
                </c:pt>
                <c:pt idx="137">
                  <c:v>25975</c:v>
                </c:pt>
                <c:pt idx="138">
                  <c:v>0</c:v>
                </c:pt>
                <c:pt idx="139">
                  <c:v>0</c:v>
                </c:pt>
                <c:pt idx="140">
                  <c:v>25635</c:v>
                </c:pt>
                <c:pt idx="141">
                  <c:v>0</c:v>
                </c:pt>
                <c:pt idx="142">
                  <c:v>27916</c:v>
                </c:pt>
                <c:pt idx="143">
                  <c:v>0</c:v>
                </c:pt>
                <c:pt idx="144">
                  <c:v>0</c:v>
                </c:pt>
                <c:pt idx="145">
                  <c:v>28484</c:v>
                </c:pt>
                <c:pt idx="146">
                  <c:v>0</c:v>
                </c:pt>
                <c:pt idx="147">
                  <c:v>25212</c:v>
                </c:pt>
                <c:pt idx="148">
                  <c:v>0</c:v>
                </c:pt>
                <c:pt idx="149">
                  <c:v>0</c:v>
                </c:pt>
                <c:pt idx="150">
                  <c:v>24739</c:v>
                </c:pt>
                <c:pt idx="151">
                  <c:v>0</c:v>
                </c:pt>
                <c:pt idx="152">
                  <c:v>24416</c:v>
                </c:pt>
                <c:pt idx="153">
                  <c:v>0</c:v>
                </c:pt>
                <c:pt idx="154">
                  <c:v>0</c:v>
                </c:pt>
                <c:pt idx="155">
                  <c:v>21271</c:v>
                </c:pt>
                <c:pt idx="156">
                  <c:v>0</c:v>
                </c:pt>
                <c:pt idx="157">
                  <c:v>0</c:v>
                </c:pt>
                <c:pt idx="158">
                  <c:v>19499</c:v>
                </c:pt>
                <c:pt idx="159">
                  <c:v>0</c:v>
                </c:pt>
                <c:pt idx="160">
                  <c:v>14841</c:v>
                </c:pt>
                <c:pt idx="161">
                  <c:v>0</c:v>
                </c:pt>
                <c:pt idx="162">
                  <c:v>0</c:v>
                </c:pt>
                <c:pt idx="163">
                  <c:v>11905</c:v>
                </c:pt>
                <c:pt idx="164">
                  <c:v>0</c:v>
                </c:pt>
                <c:pt idx="165">
                  <c:v>9199</c:v>
                </c:pt>
                <c:pt idx="166">
                  <c:v>0</c:v>
                </c:pt>
                <c:pt idx="167">
                  <c:v>0</c:v>
                </c:pt>
                <c:pt idx="168">
                  <c:v>9940</c:v>
                </c:pt>
                <c:pt idx="169">
                  <c:v>0</c:v>
                </c:pt>
                <c:pt idx="170">
                  <c:v>0</c:v>
                </c:pt>
                <c:pt idx="171">
                  <c:v>9041</c:v>
                </c:pt>
                <c:pt idx="172">
                  <c:v>0</c:v>
                </c:pt>
                <c:pt idx="173">
                  <c:v>6522</c:v>
                </c:pt>
                <c:pt idx="174">
                  <c:v>0</c:v>
                </c:pt>
                <c:pt idx="175">
                  <c:v>0</c:v>
                </c:pt>
                <c:pt idx="176">
                  <c:v>5346</c:v>
                </c:pt>
                <c:pt idx="177">
                  <c:v>0</c:v>
                </c:pt>
                <c:pt idx="178">
                  <c:v>4433</c:v>
                </c:pt>
                <c:pt idx="179">
                  <c:v>0</c:v>
                </c:pt>
                <c:pt idx="180">
                  <c:v>0</c:v>
                </c:pt>
                <c:pt idx="181">
                  <c:v>2457</c:v>
                </c:pt>
                <c:pt idx="182">
                  <c:v>0</c:v>
                </c:pt>
                <c:pt idx="183">
                  <c:v>1120</c:v>
                </c:pt>
                <c:pt idx="184">
                  <c:v>0</c:v>
                </c:pt>
                <c:pt idx="185">
                  <c:v>0</c:v>
                </c:pt>
                <c:pt idx="186">
                  <c:v>590</c:v>
                </c:pt>
                <c:pt idx="187">
                  <c:v>0</c:v>
                </c:pt>
                <c:pt idx="188">
                  <c:v>0</c:v>
                </c:pt>
                <c:pt idx="189">
                  <c:v>670</c:v>
                </c:pt>
                <c:pt idx="190">
                  <c:v>0</c:v>
                </c:pt>
                <c:pt idx="191">
                  <c:v>1431</c:v>
                </c:pt>
                <c:pt idx="192">
                  <c:v>0</c:v>
                </c:pt>
                <c:pt idx="193">
                  <c:v>0</c:v>
                </c:pt>
                <c:pt idx="194">
                  <c:v>182</c:v>
                </c:pt>
                <c:pt idx="195">
                  <c:v>0</c:v>
                </c:pt>
                <c:pt idx="196">
                  <c:v>424</c:v>
                </c:pt>
                <c:pt idx="197">
                  <c:v>0</c:v>
                </c:pt>
                <c:pt idx="198">
                  <c:v>0</c:v>
                </c:pt>
                <c:pt idx="199">
                  <c:v>123</c:v>
                </c:pt>
                <c:pt idx="200">
                  <c:v>0</c:v>
                </c:pt>
                <c:pt idx="201">
                  <c:v>555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  <c:pt idx="74">
                  <c:v>3.27922</c:v>
                </c:pt>
                <c:pt idx="75">
                  <c:v>3.27928</c:v>
                </c:pt>
                <c:pt idx="76">
                  <c:v>3.27861</c:v>
                </c:pt>
                <c:pt idx="77">
                  <c:v>3.2796099999999999</c:v>
                </c:pt>
                <c:pt idx="78">
                  <c:v>3.2818399999999999</c:v>
                </c:pt>
                <c:pt idx="79">
                  <c:v>3.2873999999999999</c:v>
                </c:pt>
                <c:pt idx="80">
                  <c:v>3.2966899999999999</c:v>
                </c:pt>
                <c:pt idx="81">
                  <c:v>3.3058199999999998</c:v>
                </c:pt>
                <c:pt idx="82">
                  <c:v>3.31609</c:v>
                </c:pt>
                <c:pt idx="83">
                  <c:v>3.3283499999999999</c:v>
                </c:pt>
                <c:pt idx="84">
                  <c:v>3.3421000000000003</c:v>
                </c:pt>
                <c:pt idx="85">
                  <c:v>3.3540100000000002</c:v>
                </c:pt>
                <c:pt idx="86">
                  <c:v>3.3673700000000002</c:v>
                </c:pt>
                <c:pt idx="87">
                  <c:v>3.3788200000000002</c:v>
                </c:pt>
                <c:pt idx="88">
                  <c:v>3.38626</c:v>
                </c:pt>
                <c:pt idx="89">
                  <c:v>3.3910900000000002</c:v>
                </c:pt>
                <c:pt idx="90">
                  <c:v>3.3939900000000001</c:v>
                </c:pt>
                <c:pt idx="91">
                  <c:v>3.3935700000000004</c:v>
                </c:pt>
                <c:pt idx="92">
                  <c:v>3.3883099999999997</c:v>
                </c:pt>
                <c:pt idx="93">
                  <c:v>3.3796200000000001</c:v>
                </c:pt>
                <c:pt idx="94">
                  <c:v>3.3676699999999999</c:v>
                </c:pt>
                <c:pt idx="95">
                  <c:v>3.3510299999999997</c:v>
                </c:pt>
                <c:pt idx="96">
                  <c:v>3.33691</c:v>
                </c:pt>
                <c:pt idx="97">
                  <c:v>3.3244499999999997</c:v>
                </c:pt>
                <c:pt idx="98">
                  <c:v>3.3145899999999999</c:v>
                </c:pt>
                <c:pt idx="99">
                  <c:v>3.3048300000000004</c:v>
                </c:pt>
                <c:pt idx="100">
                  <c:v>3.2964100000000003</c:v>
                </c:pt>
                <c:pt idx="101">
                  <c:v>3.28939</c:v>
                </c:pt>
                <c:pt idx="102">
                  <c:v>3.2816800000000002</c:v>
                </c:pt>
                <c:pt idx="103">
                  <c:v>3.2714400000000001</c:v>
                </c:pt>
                <c:pt idx="104">
                  <c:v>3.2570900000000003</c:v>
                </c:pt>
                <c:pt idx="105">
                  <c:v>3.23902</c:v>
                </c:pt>
                <c:pt idx="106">
                  <c:v>3.2183000000000002</c:v>
                </c:pt>
                <c:pt idx="107">
                  <c:v>3.1968899999999998</c:v>
                </c:pt>
                <c:pt idx="108">
                  <c:v>3.1714799999999999</c:v>
                </c:pt>
                <c:pt idx="109">
                  <c:v>3.1445600000000002</c:v>
                </c:pt>
                <c:pt idx="110">
                  <c:v>3.1197499999999998</c:v>
                </c:pt>
                <c:pt idx="111">
                  <c:v>3.0918899999999998</c:v>
                </c:pt>
                <c:pt idx="112">
                  <c:v>3.0677599999999998</c:v>
                </c:pt>
                <c:pt idx="113">
                  <c:v>3.0436299999999998</c:v>
                </c:pt>
                <c:pt idx="114">
                  <c:v>3.0194199999999998</c:v>
                </c:pt>
                <c:pt idx="115">
                  <c:v>2.9965599999999997</c:v>
                </c:pt>
                <c:pt idx="116">
                  <c:v>2.9722200000000001</c:v>
                </c:pt>
                <c:pt idx="117">
                  <c:v>2.95004</c:v>
                </c:pt>
                <c:pt idx="118">
                  <c:v>2.9307600000000003</c:v>
                </c:pt>
                <c:pt idx="119">
                  <c:v>2.9115500000000001</c:v>
                </c:pt>
                <c:pt idx="120">
                  <c:v>2.89351</c:v>
                </c:pt>
                <c:pt idx="121">
                  <c:v>2.8774600000000001</c:v>
                </c:pt>
                <c:pt idx="122">
                  <c:v>2.8635600000000001</c:v>
                </c:pt>
                <c:pt idx="123">
                  <c:v>2.8503699999999998</c:v>
                </c:pt>
                <c:pt idx="124">
                  <c:v>2.8398499999999998</c:v>
                </c:pt>
                <c:pt idx="125">
                  <c:v>2.8319100000000001</c:v>
                </c:pt>
                <c:pt idx="126">
                  <c:v>2.8233299999999999</c:v>
                </c:pt>
                <c:pt idx="127">
                  <c:v>2.8134900000000003</c:v>
                </c:pt>
                <c:pt idx="128">
                  <c:v>2.8049200000000001</c:v>
                </c:pt>
                <c:pt idx="129">
                  <c:v>2.7973599999999998</c:v>
                </c:pt>
                <c:pt idx="130">
                  <c:v>2.7916099999999999</c:v>
                </c:pt>
                <c:pt idx="131">
                  <c:v>2.7883900000000001</c:v>
                </c:pt>
                <c:pt idx="132">
                  <c:v>2.7855699999999999</c:v>
                </c:pt>
                <c:pt idx="133">
                  <c:v>2.7875800000000002</c:v>
                </c:pt>
                <c:pt idx="134">
                  <c:v>2.7909600000000001</c:v>
                </c:pt>
                <c:pt idx="135">
                  <c:v>2.7931499999999998</c:v>
                </c:pt>
                <c:pt idx="136">
                  <c:v>2.7950699999999999</c:v>
                </c:pt>
                <c:pt idx="137">
                  <c:v>2.7908400000000002</c:v>
                </c:pt>
                <c:pt idx="138">
                  <c:v>2.7913900000000003</c:v>
                </c:pt>
                <c:pt idx="139">
                  <c:v>2.7888299999999999</c:v>
                </c:pt>
                <c:pt idx="140">
                  <c:v>2.78241</c:v>
                </c:pt>
                <c:pt idx="141">
                  <c:v>2.7811300000000001</c:v>
                </c:pt>
                <c:pt idx="142">
                  <c:v>2.7814399999999999</c:v>
                </c:pt>
                <c:pt idx="143">
                  <c:v>2.7801199999999997</c:v>
                </c:pt>
                <c:pt idx="144">
                  <c:v>2.7927800000000005</c:v>
                </c:pt>
                <c:pt idx="145">
                  <c:v>2.8165200000000001</c:v>
                </c:pt>
                <c:pt idx="146">
                  <c:v>2.8407200000000001</c:v>
                </c:pt>
                <c:pt idx="147">
                  <c:v>2.8425699999999998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  <c:pt idx="74">
                  <c:v>33.616800000000005</c:v>
                </c:pt>
                <c:pt idx="75">
                  <c:v>33.583200000000005</c:v>
                </c:pt>
                <c:pt idx="76">
                  <c:v>33.522800000000004</c:v>
                </c:pt>
                <c:pt idx="77">
                  <c:v>33.421900000000001</c:v>
                </c:pt>
                <c:pt idx="78">
                  <c:v>33.304499999999997</c:v>
                </c:pt>
                <c:pt idx="79">
                  <c:v>33.2027</c:v>
                </c:pt>
                <c:pt idx="80">
                  <c:v>33.121600000000001</c:v>
                </c:pt>
                <c:pt idx="81">
                  <c:v>33.040199999999999</c:v>
                </c:pt>
                <c:pt idx="82">
                  <c:v>32.993499999999997</c:v>
                </c:pt>
                <c:pt idx="83">
                  <c:v>33.001399999999997</c:v>
                </c:pt>
                <c:pt idx="84">
                  <c:v>32.953500000000005</c:v>
                </c:pt>
                <c:pt idx="85">
                  <c:v>32.887</c:v>
                </c:pt>
                <c:pt idx="86">
                  <c:v>32.7652</c:v>
                </c:pt>
                <c:pt idx="87">
                  <c:v>32.660600000000002</c:v>
                </c:pt>
                <c:pt idx="88">
                  <c:v>32.587600000000002</c:v>
                </c:pt>
                <c:pt idx="89">
                  <c:v>32.470300000000002</c:v>
                </c:pt>
                <c:pt idx="90">
                  <c:v>32.3994</c:v>
                </c:pt>
                <c:pt idx="91">
                  <c:v>32.439599999999999</c:v>
                </c:pt>
                <c:pt idx="92">
                  <c:v>32.531100000000002</c:v>
                </c:pt>
                <c:pt idx="93">
                  <c:v>32.570100000000004</c:v>
                </c:pt>
                <c:pt idx="94">
                  <c:v>32.622700000000002</c:v>
                </c:pt>
                <c:pt idx="95">
                  <c:v>32.727000000000004</c:v>
                </c:pt>
                <c:pt idx="96">
                  <c:v>32.757799999999996</c:v>
                </c:pt>
                <c:pt idx="97">
                  <c:v>32.7151</c:v>
                </c:pt>
                <c:pt idx="98">
                  <c:v>32.575700000000005</c:v>
                </c:pt>
                <c:pt idx="99">
                  <c:v>32.36</c:v>
                </c:pt>
                <c:pt idx="100">
                  <c:v>32.086300000000001</c:v>
                </c:pt>
                <c:pt idx="101">
                  <c:v>31.878800000000002</c:v>
                </c:pt>
                <c:pt idx="102">
                  <c:v>31.697300000000002</c:v>
                </c:pt>
                <c:pt idx="103">
                  <c:v>31.521999999999998</c:v>
                </c:pt>
                <c:pt idx="104">
                  <c:v>31.365300000000001</c:v>
                </c:pt>
                <c:pt idx="105">
                  <c:v>31.2239</c:v>
                </c:pt>
                <c:pt idx="106">
                  <c:v>31.026300000000003</c:v>
                </c:pt>
                <c:pt idx="107">
                  <c:v>30.797200000000004</c:v>
                </c:pt>
                <c:pt idx="108">
                  <c:v>30.5245</c:v>
                </c:pt>
                <c:pt idx="109">
                  <c:v>30.285</c:v>
                </c:pt>
                <c:pt idx="110">
                  <c:v>30.102800000000002</c:v>
                </c:pt>
                <c:pt idx="111">
                  <c:v>30.0579</c:v>
                </c:pt>
                <c:pt idx="112">
                  <c:v>29.979099999999999</c:v>
                </c:pt>
                <c:pt idx="113">
                  <c:v>29.912499999999998</c:v>
                </c:pt>
                <c:pt idx="114">
                  <c:v>29.909799999999997</c:v>
                </c:pt>
                <c:pt idx="115">
                  <c:v>29.813600000000001</c:v>
                </c:pt>
                <c:pt idx="116">
                  <c:v>29.663499999999999</c:v>
                </c:pt>
                <c:pt idx="117">
                  <c:v>29.478700000000003</c:v>
                </c:pt>
                <c:pt idx="118">
                  <c:v>29.255399999999998</c:v>
                </c:pt>
                <c:pt idx="119">
                  <c:v>29.051900000000003</c:v>
                </c:pt>
                <c:pt idx="120">
                  <c:v>28.855499999999999</c:v>
                </c:pt>
                <c:pt idx="121">
                  <c:v>28.7258</c:v>
                </c:pt>
                <c:pt idx="122">
                  <c:v>28.635899999999996</c:v>
                </c:pt>
                <c:pt idx="123">
                  <c:v>28.573700000000002</c:v>
                </c:pt>
                <c:pt idx="124">
                  <c:v>28.505999999999997</c:v>
                </c:pt>
                <c:pt idx="125">
                  <c:v>28.382099999999998</c:v>
                </c:pt>
                <c:pt idx="126">
                  <c:v>28.219799999999999</c:v>
                </c:pt>
                <c:pt idx="127">
                  <c:v>28.082899999999999</c:v>
                </c:pt>
                <c:pt idx="128">
                  <c:v>27.923100000000002</c:v>
                </c:pt>
                <c:pt idx="129">
                  <c:v>27.722999999999999</c:v>
                </c:pt>
                <c:pt idx="130">
                  <c:v>27.522099999999998</c:v>
                </c:pt>
                <c:pt idx="131">
                  <c:v>27.411200000000001</c:v>
                </c:pt>
                <c:pt idx="132">
                  <c:v>27.363700000000001</c:v>
                </c:pt>
                <c:pt idx="133">
                  <c:v>27.364100000000001</c:v>
                </c:pt>
                <c:pt idx="134">
                  <c:v>27.424300000000002</c:v>
                </c:pt>
                <c:pt idx="135">
                  <c:v>27.416200000000003</c:v>
                </c:pt>
                <c:pt idx="136">
                  <c:v>27.3644</c:v>
                </c:pt>
                <c:pt idx="137">
                  <c:v>27.404899999999998</c:v>
                </c:pt>
                <c:pt idx="138">
                  <c:v>27.356999999999999</c:v>
                </c:pt>
                <c:pt idx="139">
                  <c:v>27.434599999999996</c:v>
                </c:pt>
                <c:pt idx="140">
                  <c:v>27.7517</c:v>
                </c:pt>
                <c:pt idx="141">
                  <c:v>28.023900000000001</c:v>
                </c:pt>
                <c:pt idx="142">
                  <c:v>28.229900000000001</c:v>
                </c:pt>
                <c:pt idx="143">
                  <c:v>28.646999999999998</c:v>
                </c:pt>
                <c:pt idx="144">
                  <c:v>28.8568</c:v>
                </c:pt>
                <c:pt idx="145">
                  <c:v>28.640500000000003</c:v>
                </c:pt>
                <c:pt idx="146">
                  <c:v>28.521400000000003</c:v>
                </c:pt>
                <c:pt idx="147">
                  <c:v>28.480499999999999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3.2750400000000002</c:v>
                </c:pt>
                <c:pt idx="1">
                  <c:v>3.27922</c:v>
                </c:pt>
                <c:pt idx="2">
                  <c:v>3.27928</c:v>
                </c:pt>
                <c:pt idx="3">
                  <c:v>3.27861</c:v>
                </c:pt>
                <c:pt idx="4">
                  <c:v>3.2796099999999999</c:v>
                </c:pt>
                <c:pt idx="5">
                  <c:v>3.2818399999999999</c:v>
                </c:pt>
                <c:pt idx="6">
                  <c:v>3.2873999999999999</c:v>
                </c:pt>
                <c:pt idx="7">
                  <c:v>3.2966899999999999</c:v>
                </c:pt>
                <c:pt idx="8">
                  <c:v>3.3058199999999998</c:v>
                </c:pt>
                <c:pt idx="9">
                  <c:v>3.31609</c:v>
                </c:pt>
                <c:pt idx="10">
                  <c:v>3.3283499999999999</c:v>
                </c:pt>
                <c:pt idx="11">
                  <c:v>3.3421000000000003</c:v>
                </c:pt>
                <c:pt idx="12">
                  <c:v>3.3540100000000002</c:v>
                </c:pt>
                <c:pt idx="13">
                  <c:v>3.3673700000000002</c:v>
                </c:pt>
                <c:pt idx="14">
                  <c:v>3.3788200000000002</c:v>
                </c:pt>
                <c:pt idx="15">
                  <c:v>3.38626</c:v>
                </c:pt>
                <c:pt idx="16">
                  <c:v>3.3910900000000002</c:v>
                </c:pt>
                <c:pt idx="17">
                  <c:v>3.3939900000000001</c:v>
                </c:pt>
                <c:pt idx="18">
                  <c:v>3.3935700000000004</c:v>
                </c:pt>
                <c:pt idx="19">
                  <c:v>3.3883099999999997</c:v>
                </c:pt>
                <c:pt idx="20">
                  <c:v>3.3796200000000001</c:v>
                </c:pt>
                <c:pt idx="21">
                  <c:v>3.3676699999999999</c:v>
                </c:pt>
                <c:pt idx="22">
                  <c:v>3.3510299999999997</c:v>
                </c:pt>
                <c:pt idx="23">
                  <c:v>3.33691</c:v>
                </c:pt>
                <c:pt idx="24">
                  <c:v>3.3244499999999997</c:v>
                </c:pt>
                <c:pt idx="25">
                  <c:v>3.3145899999999999</c:v>
                </c:pt>
                <c:pt idx="26">
                  <c:v>3.3048300000000004</c:v>
                </c:pt>
                <c:pt idx="27">
                  <c:v>3.2964100000000003</c:v>
                </c:pt>
                <c:pt idx="28">
                  <c:v>3.28939</c:v>
                </c:pt>
                <c:pt idx="29">
                  <c:v>3.2816800000000002</c:v>
                </c:pt>
                <c:pt idx="30">
                  <c:v>3.2714400000000001</c:v>
                </c:pt>
                <c:pt idx="31">
                  <c:v>3.2570900000000003</c:v>
                </c:pt>
                <c:pt idx="32">
                  <c:v>3.23902</c:v>
                </c:pt>
                <c:pt idx="33">
                  <c:v>3.2183000000000002</c:v>
                </c:pt>
                <c:pt idx="34">
                  <c:v>3.1968899999999998</c:v>
                </c:pt>
                <c:pt idx="35">
                  <c:v>3.1714799999999999</c:v>
                </c:pt>
                <c:pt idx="36">
                  <c:v>3.1445600000000002</c:v>
                </c:pt>
                <c:pt idx="37">
                  <c:v>3.1197499999999998</c:v>
                </c:pt>
                <c:pt idx="38">
                  <c:v>3.0918899999999998</c:v>
                </c:pt>
                <c:pt idx="39">
                  <c:v>3.0677599999999998</c:v>
                </c:pt>
                <c:pt idx="40">
                  <c:v>3.0436299999999998</c:v>
                </c:pt>
                <c:pt idx="41">
                  <c:v>3.0194199999999998</c:v>
                </c:pt>
                <c:pt idx="42">
                  <c:v>2.9965599999999997</c:v>
                </c:pt>
                <c:pt idx="43">
                  <c:v>2.9722200000000001</c:v>
                </c:pt>
                <c:pt idx="44">
                  <c:v>2.95004</c:v>
                </c:pt>
                <c:pt idx="45">
                  <c:v>2.9307600000000003</c:v>
                </c:pt>
                <c:pt idx="46">
                  <c:v>2.9115500000000001</c:v>
                </c:pt>
                <c:pt idx="47">
                  <c:v>2.89351</c:v>
                </c:pt>
                <c:pt idx="48">
                  <c:v>2.8774600000000001</c:v>
                </c:pt>
                <c:pt idx="49">
                  <c:v>2.8635600000000001</c:v>
                </c:pt>
                <c:pt idx="50">
                  <c:v>2.8503699999999998</c:v>
                </c:pt>
                <c:pt idx="51">
                  <c:v>2.8398499999999998</c:v>
                </c:pt>
                <c:pt idx="52">
                  <c:v>2.8319100000000001</c:v>
                </c:pt>
                <c:pt idx="53">
                  <c:v>2.8233299999999999</c:v>
                </c:pt>
                <c:pt idx="54">
                  <c:v>2.8134900000000003</c:v>
                </c:pt>
                <c:pt idx="55">
                  <c:v>2.8049200000000001</c:v>
                </c:pt>
                <c:pt idx="56">
                  <c:v>2.7973599999999998</c:v>
                </c:pt>
                <c:pt idx="57">
                  <c:v>2.7916099999999999</c:v>
                </c:pt>
                <c:pt idx="58">
                  <c:v>2.7883900000000001</c:v>
                </c:pt>
                <c:pt idx="59">
                  <c:v>2.7855699999999999</c:v>
                </c:pt>
                <c:pt idx="60">
                  <c:v>2.7875800000000002</c:v>
                </c:pt>
                <c:pt idx="61">
                  <c:v>2.7909600000000001</c:v>
                </c:pt>
                <c:pt idx="62">
                  <c:v>2.7931499999999998</c:v>
                </c:pt>
                <c:pt idx="63">
                  <c:v>2.7950699999999999</c:v>
                </c:pt>
                <c:pt idx="64">
                  <c:v>2.7908400000000002</c:v>
                </c:pt>
                <c:pt idx="65">
                  <c:v>2.7913900000000003</c:v>
                </c:pt>
                <c:pt idx="66">
                  <c:v>2.7888299999999999</c:v>
                </c:pt>
                <c:pt idx="67">
                  <c:v>2.78241</c:v>
                </c:pt>
                <c:pt idx="68">
                  <c:v>2.7811300000000001</c:v>
                </c:pt>
                <c:pt idx="69">
                  <c:v>2.7814399999999999</c:v>
                </c:pt>
                <c:pt idx="70">
                  <c:v>2.7801199999999997</c:v>
                </c:pt>
                <c:pt idx="71">
                  <c:v>2.7927800000000005</c:v>
                </c:pt>
                <c:pt idx="72">
                  <c:v>2.8165200000000001</c:v>
                </c:pt>
                <c:pt idx="73">
                  <c:v>2.8407200000000001</c:v>
                </c:pt>
                <c:pt idx="74">
                  <c:v>2.8425699999999998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33.710099999999997</c:v>
                </c:pt>
                <c:pt idx="1">
                  <c:v>33.616800000000005</c:v>
                </c:pt>
                <c:pt idx="2">
                  <c:v>33.583200000000005</c:v>
                </c:pt>
                <c:pt idx="3">
                  <c:v>33.522800000000004</c:v>
                </c:pt>
                <c:pt idx="4">
                  <c:v>33.421900000000001</c:v>
                </c:pt>
                <c:pt idx="5">
                  <c:v>33.304499999999997</c:v>
                </c:pt>
                <c:pt idx="6">
                  <c:v>33.2027</c:v>
                </c:pt>
                <c:pt idx="7">
                  <c:v>33.121600000000001</c:v>
                </c:pt>
                <c:pt idx="8">
                  <c:v>33.040199999999999</c:v>
                </c:pt>
                <c:pt idx="9">
                  <c:v>32.993499999999997</c:v>
                </c:pt>
                <c:pt idx="10">
                  <c:v>33.001399999999997</c:v>
                </c:pt>
                <c:pt idx="11">
                  <c:v>32.953500000000005</c:v>
                </c:pt>
                <c:pt idx="12">
                  <c:v>32.887</c:v>
                </c:pt>
                <c:pt idx="13">
                  <c:v>32.7652</c:v>
                </c:pt>
                <c:pt idx="14">
                  <c:v>32.660600000000002</c:v>
                </c:pt>
                <c:pt idx="15">
                  <c:v>32.587600000000002</c:v>
                </c:pt>
                <c:pt idx="16">
                  <c:v>32.470300000000002</c:v>
                </c:pt>
                <c:pt idx="17">
                  <c:v>32.3994</c:v>
                </c:pt>
                <c:pt idx="18">
                  <c:v>32.439599999999999</c:v>
                </c:pt>
                <c:pt idx="19">
                  <c:v>32.531100000000002</c:v>
                </c:pt>
                <c:pt idx="20">
                  <c:v>32.570100000000004</c:v>
                </c:pt>
                <c:pt idx="21">
                  <c:v>32.622700000000002</c:v>
                </c:pt>
                <c:pt idx="22">
                  <c:v>32.727000000000004</c:v>
                </c:pt>
                <c:pt idx="23">
                  <c:v>32.757799999999996</c:v>
                </c:pt>
                <c:pt idx="24">
                  <c:v>32.7151</c:v>
                </c:pt>
                <c:pt idx="25">
                  <c:v>32.575700000000005</c:v>
                </c:pt>
                <c:pt idx="26">
                  <c:v>32.36</c:v>
                </c:pt>
                <c:pt idx="27">
                  <c:v>32.086300000000001</c:v>
                </c:pt>
                <c:pt idx="28">
                  <c:v>31.878800000000002</c:v>
                </c:pt>
                <c:pt idx="29">
                  <c:v>31.697300000000002</c:v>
                </c:pt>
                <c:pt idx="30">
                  <c:v>31.521999999999998</c:v>
                </c:pt>
                <c:pt idx="31">
                  <c:v>31.365300000000001</c:v>
                </c:pt>
                <c:pt idx="32">
                  <c:v>31.2239</c:v>
                </c:pt>
                <c:pt idx="33">
                  <c:v>31.026300000000003</c:v>
                </c:pt>
                <c:pt idx="34">
                  <c:v>30.797200000000004</c:v>
                </c:pt>
                <c:pt idx="35">
                  <c:v>30.5245</c:v>
                </c:pt>
                <c:pt idx="36">
                  <c:v>30.285</c:v>
                </c:pt>
                <c:pt idx="37">
                  <c:v>30.102800000000002</c:v>
                </c:pt>
                <c:pt idx="38">
                  <c:v>30.0579</c:v>
                </c:pt>
                <c:pt idx="39">
                  <c:v>29.979099999999999</c:v>
                </c:pt>
                <c:pt idx="40">
                  <c:v>29.912499999999998</c:v>
                </c:pt>
                <c:pt idx="41">
                  <c:v>29.909799999999997</c:v>
                </c:pt>
                <c:pt idx="42">
                  <c:v>29.813600000000001</c:v>
                </c:pt>
                <c:pt idx="43">
                  <c:v>29.663499999999999</c:v>
                </c:pt>
                <c:pt idx="44">
                  <c:v>29.478700000000003</c:v>
                </c:pt>
                <c:pt idx="45">
                  <c:v>29.255399999999998</c:v>
                </c:pt>
                <c:pt idx="46">
                  <c:v>29.051900000000003</c:v>
                </c:pt>
                <c:pt idx="47">
                  <c:v>28.855499999999999</c:v>
                </c:pt>
                <c:pt idx="48">
                  <c:v>28.7258</c:v>
                </c:pt>
                <c:pt idx="49">
                  <c:v>28.635899999999996</c:v>
                </c:pt>
                <c:pt idx="50">
                  <c:v>28.573700000000002</c:v>
                </c:pt>
                <c:pt idx="51">
                  <c:v>28.505999999999997</c:v>
                </c:pt>
                <c:pt idx="52">
                  <c:v>28.382099999999998</c:v>
                </c:pt>
                <c:pt idx="53">
                  <c:v>28.219799999999999</c:v>
                </c:pt>
                <c:pt idx="54">
                  <c:v>28.082899999999999</c:v>
                </c:pt>
                <c:pt idx="55">
                  <c:v>27.923100000000002</c:v>
                </c:pt>
                <c:pt idx="56">
                  <c:v>27.722999999999999</c:v>
                </c:pt>
                <c:pt idx="57">
                  <c:v>27.522099999999998</c:v>
                </c:pt>
                <c:pt idx="58">
                  <c:v>27.411200000000001</c:v>
                </c:pt>
                <c:pt idx="59">
                  <c:v>27.363700000000001</c:v>
                </c:pt>
                <c:pt idx="60">
                  <c:v>27.364100000000001</c:v>
                </c:pt>
                <c:pt idx="61">
                  <c:v>27.424300000000002</c:v>
                </c:pt>
                <c:pt idx="62">
                  <c:v>27.416200000000003</c:v>
                </c:pt>
                <c:pt idx="63">
                  <c:v>27.3644</c:v>
                </c:pt>
                <c:pt idx="64">
                  <c:v>27.404899999999998</c:v>
                </c:pt>
                <c:pt idx="65">
                  <c:v>27.356999999999999</c:v>
                </c:pt>
                <c:pt idx="66">
                  <c:v>27.434599999999996</c:v>
                </c:pt>
                <c:pt idx="67">
                  <c:v>27.7517</c:v>
                </c:pt>
                <c:pt idx="68">
                  <c:v>28.023900000000001</c:v>
                </c:pt>
                <c:pt idx="69">
                  <c:v>28.229900000000001</c:v>
                </c:pt>
                <c:pt idx="70">
                  <c:v>28.646999999999998</c:v>
                </c:pt>
                <c:pt idx="71">
                  <c:v>28.8568</c:v>
                </c:pt>
                <c:pt idx="72">
                  <c:v>28.640500000000003</c:v>
                </c:pt>
                <c:pt idx="73">
                  <c:v>28.521400000000003</c:v>
                </c:pt>
                <c:pt idx="74">
                  <c:v>28.480499999999999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1.6654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2.842750675675676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36.059466216216215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3.0796514864864872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30.396014864864867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3.0796514864864872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30.396014864864867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0.29343610801407377</c:v>
                </c:pt>
                <c:pt idx="1">
                  <c:v>0.3709312806059214</c:v>
                </c:pt>
                <c:pt idx="2">
                  <c:v>0.33563261138000478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  <c:pt idx="74">
                  <c:v>30.063700000000001</c:v>
                </c:pt>
                <c:pt idx="75">
                  <c:v>30.528400000000001</c:v>
                </c:pt>
                <c:pt idx="76">
                  <c:v>30.923400000000001</c:v>
                </c:pt>
                <c:pt idx="77">
                  <c:v>31.327400000000001</c:v>
                </c:pt>
                <c:pt idx="78">
                  <c:v>31.7333</c:v>
                </c:pt>
                <c:pt idx="79">
                  <c:v>32.141199999999998</c:v>
                </c:pt>
                <c:pt idx="80">
                  <c:v>32.545200000000001</c:v>
                </c:pt>
                <c:pt idx="81">
                  <c:v>32.954000000000001</c:v>
                </c:pt>
                <c:pt idx="82">
                  <c:v>33.358899999999998</c:v>
                </c:pt>
                <c:pt idx="83">
                  <c:v>33.765000000000001</c:v>
                </c:pt>
                <c:pt idx="84">
                  <c:v>34.172699999999999</c:v>
                </c:pt>
                <c:pt idx="85">
                  <c:v>34.577800000000003</c:v>
                </c:pt>
                <c:pt idx="86">
                  <c:v>34.9876</c:v>
                </c:pt>
                <c:pt idx="87">
                  <c:v>35.390500000000003</c:v>
                </c:pt>
                <c:pt idx="88">
                  <c:v>35.796399999999998</c:v>
                </c:pt>
                <c:pt idx="89">
                  <c:v>36.201599999999999</c:v>
                </c:pt>
                <c:pt idx="90">
                  <c:v>36.610199999999999</c:v>
                </c:pt>
                <c:pt idx="91">
                  <c:v>37.017299999999999</c:v>
                </c:pt>
                <c:pt idx="92">
                  <c:v>37.420900000000003</c:v>
                </c:pt>
                <c:pt idx="93">
                  <c:v>37.826999999999998</c:v>
                </c:pt>
                <c:pt idx="94">
                  <c:v>38.235500000000002</c:v>
                </c:pt>
                <c:pt idx="95">
                  <c:v>38.642800000000001</c:v>
                </c:pt>
                <c:pt idx="96">
                  <c:v>39.046700000000001</c:v>
                </c:pt>
                <c:pt idx="97">
                  <c:v>39.452599999999997</c:v>
                </c:pt>
                <c:pt idx="98">
                  <c:v>39.858600000000003</c:v>
                </c:pt>
                <c:pt idx="99">
                  <c:v>40.265599999999999</c:v>
                </c:pt>
                <c:pt idx="100">
                  <c:v>40.674300000000002</c:v>
                </c:pt>
                <c:pt idx="101">
                  <c:v>41.080300000000001</c:v>
                </c:pt>
                <c:pt idx="102">
                  <c:v>41.4831</c:v>
                </c:pt>
                <c:pt idx="103">
                  <c:v>41.888300000000001</c:v>
                </c:pt>
                <c:pt idx="104">
                  <c:v>42.301299999999998</c:v>
                </c:pt>
                <c:pt idx="105">
                  <c:v>42.7059</c:v>
                </c:pt>
                <c:pt idx="106">
                  <c:v>43.111800000000002</c:v>
                </c:pt>
                <c:pt idx="107">
                  <c:v>43.5167</c:v>
                </c:pt>
                <c:pt idx="108">
                  <c:v>43.9206</c:v>
                </c:pt>
                <c:pt idx="109">
                  <c:v>44.325699999999998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45.546300000000002</c:v>
                </c:pt>
                <c:pt idx="113">
                  <c:v>45.953200000000002</c:v>
                </c:pt>
                <c:pt idx="114">
                  <c:v>46.358199999999997</c:v>
                </c:pt>
                <c:pt idx="115">
                  <c:v>46.765999999999998</c:v>
                </c:pt>
                <c:pt idx="116">
                  <c:v>47.1721</c:v>
                </c:pt>
                <c:pt idx="117">
                  <c:v>47.575000000000003</c:v>
                </c:pt>
                <c:pt idx="118">
                  <c:v>47.985700000000001</c:v>
                </c:pt>
                <c:pt idx="119">
                  <c:v>48.390799999999999</c:v>
                </c:pt>
                <c:pt idx="120">
                  <c:v>48.797600000000003</c:v>
                </c:pt>
                <c:pt idx="121">
                  <c:v>49.201599999999999</c:v>
                </c:pt>
                <c:pt idx="122">
                  <c:v>49.6066</c:v>
                </c:pt>
                <c:pt idx="123">
                  <c:v>50.018599999999999</c:v>
                </c:pt>
                <c:pt idx="124">
                  <c:v>50.423299999999998</c:v>
                </c:pt>
                <c:pt idx="125">
                  <c:v>50.829099999999997</c:v>
                </c:pt>
                <c:pt idx="126">
                  <c:v>51.236699999999999</c:v>
                </c:pt>
                <c:pt idx="127">
                  <c:v>51.641100000000002</c:v>
                </c:pt>
                <c:pt idx="128">
                  <c:v>52.049900000000001</c:v>
                </c:pt>
                <c:pt idx="129">
                  <c:v>52.452800000000003</c:v>
                </c:pt>
                <c:pt idx="130">
                  <c:v>52.857700000000001</c:v>
                </c:pt>
                <c:pt idx="131">
                  <c:v>53.264699999999998</c:v>
                </c:pt>
                <c:pt idx="132">
                  <c:v>53.671700000000001</c:v>
                </c:pt>
                <c:pt idx="133">
                  <c:v>54.078400000000002</c:v>
                </c:pt>
                <c:pt idx="134">
                  <c:v>54.4846</c:v>
                </c:pt>
                <c:pt idx="135">
                  <c:v>54.891300000000001</c:v>
                </c:pt>
                <c:pt idx="136">
                  <c:v>55.2973</c:v>
                </c:pt>
                <c:pt idx="137">
                  <c:v>55.7042</c:v>
                </c:pt>
                <c:pt idx="138">
                  <c:v>56.11</c:v>
                </c:pt>
                <c:pt idx="139">
                  <c:v>56.517000000000003</c:v>
                </c:pt>
                <c:pt idx="140">
                  <c:v>56.922899999999998</c:v>
                </c:pt>
                <c:pt idx="141">
                  <c:v>57.324800000000003</c:v>
                </c:pt>
                <c:pt idx="142">
                  <c:v>57.734099999999998</c:v>
                </c:pt>
                <c:pt idx="143">
                  <c:v>58.142499999999998</c:v>
                </c:pt>
                <c:pt idx="144">
                  <c:v>58.5456</c:v>
                </c:pt>
                <c:pt idx="145">
                  <c:v>58.955500000000001</c:v>
                </c:pt>
                <c:pt idx="146">
                  <c:v>59.359299999999998</c:v>
                </c:pt>
                <c:pt idx="147">
                  <c:v>59.766599999999997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  <c:pt idx="74">
                  <c:v>3.27922</c:v>
                </c:pt>
                <c:pt idx="75">
                  <c:v>3.27928</c:v>
                </c:pt>
                <c:pt idx="76">
                  <c:v>3.27861</c:v>
                </c:pt>
                <c:pt idx="77">
                  <c:v>3.2796099999999999</c:v>
                </c:pt>
                <c:pt idx="78">
                  <c:v>3.2818399999999999</c:v>
                </c:pt>
                <c:pt idx="79">
                  <c:v>3.2873999999999999</c:v>
                </c:pt>
                <c:pt idx="80">
                  <c:v>3.2966899999999999</c:v>
                </c:pt>
                <c:pt idx="81">
                  <c:v>3.3058199999999998</c:v>
                </c:pt>
                <c:pt idx="82">
                  <c:v>3.31609</c:v>
                </c:pt>
                <c:pt idx="83">
                  <c:v>3.3283499999999999</c:v>
                </c:pt>
                <c:pt idx="84">
                  <c:v>3.3421000000000003</c:v>
                </c:pt>
                <c:pt idx="85">
                  <c:v>3.3540100000000002</c:v>
                </c:pt>
                <c:pt idx="86">
                  <c:v>3.3673700000000002</c:v>
                </c:pt>
                <c:pt idx="87">
                  <c:v>3.3788200000000002</c:v>
                </c:pt>
                <c:pt idx="88">
                  <c:v>3.38626</c:v>
                </c:pt>
                <c:pt idx="89">
                  <c:v>3.3910900000000002</c:v>
                </c:pt>
                <c:pt idx="90">
                  <c:v>3.3939900000000001</c:v>
                </c:pt>
                <c:pt idx="91">
                  <c:v>3.3935700000000004</c:v>
                </c:pt>
                <c:pt idx="92">
                  <c:v>3.3883099999999997</c:v>
                </c:pt>
                <c:pt idx="93">
                  <c:v>3.3796200000000001</c:v>
                </c:pt>
                <c:pt idx="94">
                  <c:v>3.3676699999999999</c:v>
                </c:pt>
                <c:pt idx="95">
                  <c:v>3.3510299999999997</c:v>
                </c:pt>
                <c:pt idx="96">
                  <c:v>3.33691</c:v>
                </c:pt>
                <c:pt idx="97">
                  <c:v>3.3244499999999997</c:v>
                </c:pt>
                <c:pt idx="98">
                  <c:v>3.3145899999999999</c:v>
                </c:pt>
                <c:pt idx="99">
                  <c:v>3.3048300000000004</c:v>
                </c:pt>
                <c:pt idx="100">
                  <c:v>3.2964100000000003</c:v>
                </c:pt>
                <c:pt idx="101">
                  <c:v>3.28939</c:v>
                </c:pt>
                <c:pt idx="102">
                  <c:v>3.2816800000000002</c:v>
                </c:pt>
                <c:pt idx="103">
                  <c:v>3.2714400000000001</c:v>
                </c:pt>
                <c:pt idx="104">
                  <c:v>3.2570900000000003</c:v>
                </c:pt>
                <c:pt idx="105">
                  <c:v>3.23902</c:v>
                </c:pt>
                <c:pt idx="106">
                  <c:v>3.2183000000000002</c:v>
                </c:pt>
                <c:pt idx="107">
                  <c:v>3.1968899999999998</c:v>
                </c:pt>
                <c:pt idx="108">
                  <c:v>3.1714799999999999</c:v>
                </c:pt>
                <c:pt idx="109">
                  <c:v>3.1445600000000002</c:v>
                </c:pt>
                <c:pt idx="110">
                  <c:v>3.1197499999999998</c:v>
                </c:pt>
                <c:pt idx="111">
                  <c:v>3.0918899999999998</c:v>
                </c:pt>
                <c:pt idx="112">
                  <c:v>3.0677599999999998</c:v>
                </c:pt>
                <c:pt idx="113">
                  <c:v>3.0436299999999998</c:v>
                </c:pt>
                <c:pt idx="114">
                  <c:v>3.0194199999999998</c:v>
                </c:pt>
                <c:pt idx="115">
                  <c:v>2.9965599999999997</c:v>
                </c:pt>
                <c:pt idx="116">
                  <c:v>2.9722200000000001</c:v>
                </c:pt>
                <c:pt idx="117">
                  <c:v>2.95004</c:v>
                </c:pt>
                <c:pt idx="118">
                  <c:v>2.9307600000000003</c:v>
                </c:pt>
                <c:pt idx="119">
                  <c:v>2.9115500000000001</c:v>
                </c:pt>
                <c:pt idx="120">
                  <c:v>2.89351</c:v>
                </c:pt>
                <c:pt idx="121">
                  <c:v>2.8774600000000001</c:v>
                </c:pt>
                <c:pt idx="122">
                  <c:v>2.8635600000000001</c:v>
                </c:pt>
                <c:pt idx="123">
                  <c:v>2.8503699999999998</c:v>
                </c:pt>
                <c:pt idx="124">
                  <c:v>2.8398499999999998</c:v>
                </c:pt>
                <c:pt idx="125">
                  <c:v>2.8319100000000001</c:v>
                </c:pt>
                <c:pt idx="126">
                  <c:v>2.8233299999999999</c:v>
                </c:pt>
                <c:pt idx="127">
                  <c:v>2.8134900000000003</c:v>
                </c:pt>
                <c:pt idx="128">
                  <c:v>2.8049200000000001</c:v>
                </c:pt>
                <c:pt idx="129">
                  <c:v>2.7973599999999998</c:v>
                </c:pt>
                <c:pt idx="130">
                  <c:v>2.7916099999999999</c:v>
                </c:pt>
                <c:pt idx="131">
                  <c:v>2.7883900000000001</c:v>
                </c:pt>
                <c:pt idx="132">
                  <c:v>2.7855699999999999</c:v>
                </c:pt>
                <c:pt idx="133">
                  <c:v>2.7875800000000002</c:v>
                </c:pt>
                <c:pt idx="134">
                  <c:v>2.7909600000000001</c:v>
                </c:pt>
                <c:pt idx="135">
                  <c:v>2.7931499999999998</c:v>
                </c:pt>
                <c:pt idx="136">
                  <c:v>2.7950699999999999</c:v>
                </c:pt>
                <c:pt idx="137">
                  <c:v>2.7908400000000002</c:v>
                </c:pt>
                <c:pt idx="138">
                  <c:v>2.7913900000000003</c:v>
                </c:pt>
                <c:pt idx="139">
                  <c:v>2.7888299999999999</c:v>
                </c:pt>
                <c:pt idx="140">
                  <c:v>2.78241</c:v>
                </c:pt>
                <c:pt idx="141">
                  <c:v>2.7811300000000001</c:v>
                </c:pt>
                <c:pt idx="142">
                  <c:v>2.7814399999999999</c:v>
                </c:pt>
                <c:pt idx="143">
                  <c:v>2.7801199999999997</c:v>
                </c:pt>
                <c:pt idx="144">
                  <c:v>2.7927800000000005</c:v>
                </c:pt>
                <c:pt idx="145">
                  <c:v>2.8165200000000001</c:v>
                </c:pt>
                <c:pt idx="146">
                  <c:v>2.8407200000000001</c:v>
                </c:pt>
                <c:pt idx="147">
                  <c:v>2.8425699999999998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30.063700000000001</c:v>
                </c:pt>
                <c:pt idx="2">
                  <c:v>30.528400000000001</c:v>
                </c:pt>
                <c:pt idx="3">
                  <c:v>30.923400000000001</c:v>
                </c:pt>
                <c:pt idx="4">
                  <c:v>31.327400000000001</c:v>
                </c:pt>
                <c:pt idx="5">
                  <c:v>31.7333</c:v>
                </c:pt>
                <c:pt idx="6">
                  <c:v>32.141199999999998</c:v>
                </c:pt>
                <c:pt idx="7">
                  <c:v>32.545200000000001</c:v>
                </c:pt>
                <c:pt idx="8">
                  <c:v>32.954000000000001</c:v>
                </c:pt>
                <c:pt idx="9">
                  <c:v>33.358899999999998</c:v>
                </c:pt>
                <c:pt idx="10">
                  <c:v>33.765000000000001</c:v>
                </c:pt>
                <c:pt idx="11">
                  <c:v>34.172699999999999</c:v>
                </c:pt>
                <c:pt idx="12">
                  <c:v>34.577800000000003</c:v>
                </c:pt>
                <c:pt idx="13">
                  <c:v>34.9876</c:v>
                </c:pt>
                <c:pt idx="14">
                  <c:v>35.390500000000003</c:v>
                </c:pt>
                <c:pt idx="15">
                  <c:v>35.796399999999998</c:v>
                </c:pt>
                <c:pt idx="16">
                  <c:v>36.201599999999999</c:v>
                </c:pt>
                <c:pt idx="17">
                  <c:v>36.610199999999999</c:v>
                </c:pt>
                <c:pt idx="18">
                  <c:v>37.017299999999999</c:v>
                </c:pt>
                <c:pt idx="19">
                  <c:v>37.420900000000003</c:v>
                </c:pt>
                <c:pt idx="20">
                  <c:v>37.826999999999998</c:v>
                </c:pt>
                <c:pt idx="21">
                  <c:v>38.235500000000002</c:v>
                </c:pt>
                <c:pt idx="22">
                  <c:v>38.642800000000001</c:v>
                </c:pt>
                <c:pt idx="23">
                  <c:v>39.046700000000001</c:v>
                </c:pt>
                <c:pt idx="24">
                  <c:v>39.452599999999997</c:v>
                </c:pt>
                <c:pt idx="25">
                  <c:v>39.858600000000003</c:v>
                </c:pt>
                <c:pt idx="26">
                  <c:v>40.265599999999999</c:v>
                </c:pt>
                <c:pt idx="27">
                  <c:v>40.674300000000002</c:v>
                </c:pt>
                <c:pt idx="28">
                  <c:v>41.080300000000001</c:v>
                </c:pt>
                <c:pt idx="29">
                  <c:v>41.4831</c:v>
                </c:pt>
                <c:pt idx="30">
                  <c:v>41.888300000000001</c:v>
                </c:pt>
                <c:pt idx="31">
                  <c:v>42.301299999999998</c:v>
                </c:pt>
                <c:pt idx="32">
                  <c:v>42.7059</c:v>
                </c:pt>
                <c:pt idx="33">
                  <c:v>43.111800000000002</c:v>
                </c:pt>
                <c:pt idx="34">
                  <c:v>43.5167</c:v>
                </c:pt>
                <c:pt idx="35">
                  <c:v>43.9206</c:v>
                </c:pt>
                <c:pt idx="36">
                  <c:v>44.325699999999998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45.546300000000002</c:v>
                </c:pt>
                <c:pt idx="40">
                  <c:v>45.953200000000002</c:v>
                </c:pt>
                <c:pt idx="41">
                  <c:v>46.358199999999997</c:v>
                </c:pt>
                <c:pt idx="42">
                  <c:v>46.765999999999998</c:v>
                </c:pt>
                <c:pt idx="43">
                  <c:v>47.1721</c:v>
                </c:pt>
                <c:pt idx="44">
                  <c:v>47.575000000000003</c:v>
                </c:pt>
                <c:pt idx="45">
                  <c:v>47.985700000000001</c:v>
                </c:pt>
                <c:pt idx="46">
                  <c:v>48.390799999999999</c:v>
                </c:pt>
                <c:pt idx="47">
                  <c:v>48.797600000000003</c:v>
                </c:pt>
                <c:pt idx="48">
                  <c:v>49.201599999999999</c:v>
                </c:pt>
                <c:pt idx="49">
                  <c:v>49.6066</c:v>
                </c:pt>
                <c:pt idx="50">
                  <c:v>50.018599999999999</c:v>
                </c:pt>
                <c:pt idx="51">
                  <c:v>50.423299999999998</c:v>
                </c:pt>
                <c:pt idx="52">
                  <c:v>50.829099999999997</c:v>
                </c:pt>
                <c:pt idx="53">
                  <c:v>51.236699999999999</c:v>
                </c:pt>
                <c:pt idx="54">
                  <c:v>51.641100000000002</c:v>
                </c:pt>
                <c:pt idx="55">
                  <c:v>52.049900000000001</c:v>
                </c:pt>
                <c:pt idx="56">
                  <c:v>52.452800000000003</c:v>
                </c:pt>
                <c:pt idx="57">
                  <c:v>52.857700000000001</c:v>
                </c:pt>
                <c:pt idx="58">
                  <c:v>53.264699999999998</c:v>
                </c:pt>
                <c:pt idx="59">
                  <c:v>53.671700000000001</c:v>
                </c:pt>
                <c:pt idx="60">
                  <c:v>54.078400000000002</c:v>
                </c:pt>
                <c:pt idx="61">
                  <c:v>54.4846</c:v>
                </c:pt>
                <c:pt idx="62">
                  <c:v>54.891300000000001</c:v>
                </c:pt>
                <c:pt idx="63">
                  <c:v>55.2973</c:v>
                </c:pt>
                <c:pt idx="64">
                  <c:v>55.7042</c:v>
                </c:pt>
                <c:pt idx="65">
                  <c:v>56.11</c:v>
                </c:pt>
                <c:pt idx="66">
                  <c:v>56.517000000000003</c:v>
                </c:pt>
                <c:pt idx="67">
                  <c:v>56.922899999999998</c:v>
                </c:pt>
                <c:pt idx="68">
                  <c:v>57.324800000000003</c:v>
                </c:pt>
                <c:pt idx="69">
                  <c:v>57.734099999999998</c:v>
                </c:pt>
                <c:pt idx="70">
                  <c:v>58.142499999999998</c:v>
                </c:pt>
                <c:pt idx="71">
                  <c:v>58.5456</c:v>
                </c:pt>
                <c:pt idx="72">
                  <c:v>58.955500000000001</c:v>
                </c:pt>
                <c:pt idx="73">
                  <c:v>59.359299999999998</c:v>
                </c:pt>
                <c:pt idx="74">
                  <c:v>59.766599999999997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3.2750400000000002</c:v>
                </c:pt>
                <c:pt idx="1">
                  <c:v>3.27922</c:v>
                </c:pt>
                <c:pt idx="2">
                  <c:v>3.27928</c:v>
                </c:pt>
                <c:pt idx="3">
                  <c:v>3.27861</c:v>
                </c:pt>
                <c:pt idx="4">
                  <c:v>3.2796099999999999</c:v>
                </c:pt>
                <c:pt idx="5">
                  <c:v>3.2818399999999999</c:v>
                </c:pt>
                <c:pt idx="6">
                  <c:v>3.2873999999999999</c:v>
                </c:pt>
                <c:pt idx="7">
                  <c:v>3.2966899999999999</c:v>
                </c:pt>
                <c:pt idx="8">
                  <c:v>3.3058199999999998</c:v>
                </c:pt>
                <c:pt idx="9">
                  <c:v>3.31609</c:v>
                </c:pt>
                <c:pt idx="10">
                  <c:v>3.3283499999999999</c:v>
                </c:pt>
                <c:pt idx="11">
                  <c:v>3.3421000000000003</c:v>
                </c:pt>
                <c:pt idx="12">
                  <c:v>3.3540100000000002</c:v>
                </c:pt>
                <c:pt idx="13">
                  <c:v>3.3673700000000002</c:v>
                </c:pt>
                <c:pt idx="14">
                  <c:v>3.3788200000000002</c:v>
                </c:pt>
                <c:pt idx="15">
                  <c:v>3.38626</c:v>
                </c:pt>
                <c:pt idx="16">
                  <c:v>3.3910900000000002</c:v>
                </c:pt>
                <c:pt idx="17">
                  <c:v>3.3939900000000001</c:v>
                </c:pt>
                <c:pt idx="18">
                  <c:v>3.3935700000000004</c:v>
                </c:pt>
                <c:pt idx="19">
                  <c:v>3.3883099999999997</c:v>
                </c:pt>
                <c:pt idx="20">
                  <c:v>3.3796200000000001</c:v>
                </c:pt>
                <c:pt idx="21">
                  <c:v>3.3676699999999999</c:v>
                </c:pt>
                <c:pt idx="22">
                  <c:v>3.3510299999999997</c:v>
                </c:pt>
                <c:pt idx="23">
                  <c:v>3.33691</c:v>
                </c:pt>
                <c:pt idx="24">
                  <c:v>3.3244499999999997</c:v>
                </c:pt>
                <c:pt idx="25">
                  <c:v>3.3145899999999999</c:v>
                </c:pt>
                <c:pt idx="26">
                  <c:v>3.3048300000000004</c:v>
                </c:pt>
                <c:pt idx="27">
                  <c:v>3.2964100000000003</c:v>
                </c:pt>
                <c:pt idx="28">
                  <c:v>3.28939</c:v>
                </c:pt>
                <c:pt idx="29">
                  <c:v>3.2816800000000002</c:v>
                </c:pt>
                <c:pt idx="30">
                  <c:v>3.2714400000000001</c:v>
                </c:pt>
                <c:pt idx="31">
                  <c:v>3.2570900000000003</c:v>
                </c:pt>
                <c:pt idx="32">
                  <c:v>3.23902</c:v>
                </c:pt>
                <c:pt idx="33">
                  <c:v>3.2183000000000002</c:v>
                </c:pt>
                <c:pt idx="34">
                  <c:v>3.1968899999999998</c:v>
                </c:pt>
                <c:pt idx="35">
                  <c:v>3.1714799999999999</c:v>
                </c:pt>
                <c:pt idx="36">
                  <c:v>3.1445600000000002</c:v>
                </c:pt>
                <c:pt idx="37">
                  <c:v>3.1197499999999998</c:v>
                </c:pt>
                <c:pt idx="38">
                  <c:v>3.0918899999999998</c:v>
                </c:pt>
                <c:pt idx="39">
                  <c:v>3.0677599999999998</c:v>
                </c:pt>
                <c:pt idx="40">
                  <c:v>3.0436299999999998</c:v>
                </c:pt>
                <c:pt idx="41">
                  <c:v>3.0194199999999998</c:v>
                </c:pt>
                <c:pt idx="42">
                  <c:v>2.9965599999999997</c:v>
                </c:pt>
                <c:pt idx="43">
                  <c:v>2.9722200000000001</c:v>
                </c:pt>
                <c:pt idx="44">
                  <c:v>2.95004</c:v>
                </c:pt>
                <c:pt idx="45">
                  <c:v>2.9307600000000003</c:v>
                </c:pt>
                <c:pt idx="46">
                  <c:v>2.9115500000000001</c:v>
                </c:pt>
                <c:pt idx="47">
                  <c:v>2.89351</c:v>
                </c:pt>
                <c:pt idx="48">
                  <c:v>2.8774600000000001</c:v>
                </c:pt>
                <c:pt idx="49">
                  <c:v>2.8635600000000001</c:v>
                </c:pt>
                <c:pt idx="50">
                  <c:v>2.8503699999999998</c:v>
                </c:pt>
                <c:pt idx="51">
                  <c:v>2.8398499999999998</c:v>
                </c:pt>
                <c:pt idx="52">
                  <c:v>2.8319100000000001</c:v>
                </c:pt>
                <c:pt idx="53">
                  <c:v>2.8233299999999999</c:v>
                </c:pt>
                <c:pt idx="54">
                  <c:v>2.8134900000000003</c:v>
                </c:pt>
                <c:pt idx="55">
                  <c:v>2.8049200000000001</c:v>
                </c:pt>
                <c:pt idx="56">
                  <c:v>2.7973599999999998</c:v>
                </c:pt>
                <c:pt idx="57">
                  <c:v>2.7916099999999999</c:v>
                </c:pt>
                <c:pt idx="58">
                  <c:v>2.7883900000000001</c:v>
                </c:pt>
                <c:pt idx="59">
                  <c:v>2.7855699999999999</c:v>
                </c:pt>
                <c:pt idx="60">
                  <c:v>2.7875800000000002</c:v>
                </c:pt>
                <c:pt idx="61">
                  <c:v>2.7909600000000001</c:v>
                </c:pt>
                <c:pt idx="62">
                  <c:v>2.7931499999999998</c:v>
                </c:pt>
                <c:pt idx="63">
                  <c:v>2.7950699999999999</c:v>
                </c:pt>
                <c:pt idx="64">
                  <c:v>2.7908400000000002</c:v>
                </c:pt>
                <c:pt idx="65">
                  <c:v>2.7913900000000003</c:v>
                </c:pt>
                <c:pt idx="66">
                  <c:v>2.7888299999999999</c:v>
                </c:pt>
                <c:pt idx="67">
                  <c:v>2.78241</c:v>
                </c:pt>
                <c:pt idx="68">
                  <c:v>2.7811300000000001</c:v>
                </c:pt>
                <c:pt idx="69">
                  <c:v>2.7814399999999999</c:v>
                </c:pt>
                <c:pt idx="70">
                  <c:v>2.7801199999999997</c:v>
                </c:pt>
                <c:pt idx="71">
                  <c:v>2.7927800000000005</c:v>
                </c:pt>
                <c:pt idx="72">
                  <c:v>2.8165200000000001</c:v>
                </c:pt>
                <c:pt idx="73">
                  <c:v>2.8407200000000001</c:v>
                </c:pt>
                <c:pt idx="74">
                  <c:v>2.8425699999999998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14.941649999999999</c:v>
                </c:pt>
                <c:pt idx="1">
                  <c:v>44.824950000000001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2.842750675675676</c:v>
                </c:pt>
                <c:pt idx="1">
                  <c:v>3.0796514864864872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  <c:pt idx="74">
                  <c:v>30.063700000000001</c:v>
                </c:pt>
                <c:pt idx="75">
                  <c:v>30.528400000000001</c:v>
                </c:pt>
                <c:pt idx="76">
                  <c:v>30.923400000000001</c:v>
                </c:pt>
                <c:pt idx="77">
                  <c:v>31.327400000000001</c:v>
                </c:pt>
                <c:pt idx="78">
                  <c:v>31.7333</c:v>
                </c:pt>
                <c:pt idx="79">
                  <c:v>32.141199999999998</c:v>
                </c:pt>
                <c:pt idx="80">
                  <c:v>32.545200000000001</c:v>
                </c:pt>
                <c:pt idx="81">
                  <c:v>32.954000000000001</c:v>
                </c:pt>
                <c:pt idx="82">
                  <c:v>33.358899999999998</c:v>
                </c:pt>
                <c:pt idx="83">
                  <c:v>33.765000000000001</c:v>
                </c:pt>
                <c:pt idx="84">
                  <c:v>34.172699999999999</c:v>
                </c:pt>
                <c:pt idx="85">
                  <c:v>34.577800000000003</c:v>
                </c:pt>
                <c:pt idx="86">
                  <c:v>34.9876</c:v>
                </c:pt>
                <c:pt idx="87">
                  <c:v>35.390500000000003</c:v>
                </c:pt>
                <c:pt idx="88">
                  <c:v>35.796399999999998</c:v>
                </c:pt>
                <c:pt idx="89">
                  <c:v>36.201599999999999</c:v>
                </c:pt>
                <c:pt idx="90">
                  <c:v>36.610199999999999</c:v>
                </c:pt>
                <c:pt idx="91">
                  <c:v>37.017299999999999</c:v>
                </c:pt>
                <c:pt idx="92">
                  <c:v>37.420900000000003</c:v>
                </c:pt>
                <c:pt idx="93">
                  <c:v>37.826999999999998</c:v>
                </c:pt>
                <c:pt idx="94">
                  <c:v>38.235500000000002</c:v>
                </c:pt>
                <c:pt idx="95">
                  <c:v>38.642800000000001</c:v>
                </c:pt>
                <c:pt idx="96">
                  <c:v>39.046700000000001</c:v>
                </c:pt>
                <c:pt idx="97">
                  <c:v>39.452599999999997</c:v>
                </c:pt>
                <c:pt idx="98">
                  <c:v>39.858600000000003</c:v>
                </c:pt>
                <c:pt idx="99">
                  <c:v>40.265599999999999</c:v>
                </c:pt>
                <c:pt idx="100">
                  <c:v>40.674300000000002</c:v>
                </c:pt>
                <c:pt idx="101">
                  <c:v>41.080300000000001</c:v>
                </c:pt>
                <c:pt idx="102">
                  <c:v>41.4831</c:v>
                </c:pt>
                <c:pt idx="103">
                  <c:v>41.888300000000001</c:v>
                </c:pt>
                <c:pt idx="104">
                  <c:v>42.301299999999998</c:v>
                </c:pt>
                <c:pt idx="105">
                  <c:v>42.7059</c:v>
                </c:pt>
                <c:pt idx="106">
                  <c:v>43.111800000000002</c:v>
                </c:pt>
                <c:pt idx="107">
                  <c:v>43.5167</c:v>
                </c:pt>
                <c:pt idx="108">
                  <c:v>43.9206</c:v>
                </c:pt>
                <c:pt idx="109">
                  <c:v>44.325699999999998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45.546300000000002</c:v>
                </c:pt>
                <c:pt idx="113">
                  <c:v>45.953200000000002</c:v>
                </c:pt>
                <c:pt idx="114">
                  <c:v>46.358199999999997</c:v>
                </c:pt>
                <c:pt idx="115">
                  <c:v>46.765999999999998</c:v>
                </c:pt>
                <c:pt idx="116">
                  <c:v>47.1721</c:v>
                </c:pt>
                <c:pt idx="117">
                  <c:v>47.575000000000003</c:v>
                </c:pt>
                <c:pt idx="118">
                  <c:v>47.985700000000001</c:v>
                </c:pt>
                <c:pt idx="119">
                  <c:v>48.390799999999999</c:v>
                </c:pt>
                <c:pt idx="120">
                  <c:v>48.797600000000003</c:v>
                </c:pt>
                <c:pt idx="121">
                  <c:v>49.201599999999999</c:v>
                </c:pt>
                <c:pt idx="122">
                  <c:v>49.6066</c:v>
                </c:pt>
                <c:pt idx="123">
                  <c:v>50.018599999999999</c:v>
                </c:pt>
                <c:pt idx="124">
                  <c:v>50.423299999999998</c:v>
                </c:pt>
                <c:pt idx="125">
                  <c:v>50.829099999999997</c:v>
                </c:pt>
                <c:pt idx="126">
                  <c:v>51.236699999999999</c:v>
                </c:pt>
                <c:pt idx="127">
                  <c:v>51.641100000000002</c:v>
                </c:pt>
                <c:pt idx="128">
                  <c:v>52.049900000000001</c:v>
                </c:pt>
                <c:pt idx="129">
                  <c:v>52.452800000000003</c:v>
                </c:pt>
                <c:pt idx="130">
                  <c:v>52.857700000000001</c:v>
                </c:pt>
                <c:pt idx="131">
                  <c:v>53.264699999999998</c:v>
                </c:pt>
                <c:pt idx="132">
                  <c:v>53.671700000000001</c:v>
                </c:pt>
                <c:pt idx="133">
                  <c:v>54.078400000000002</c:v>
                </c:pt>
                <c:pt idx="134">
                  <c:v>54.4846</c:v>
                </c:pt>
                <c:pt idx="135">
                  <c:v>54.891300000000001</c:v>
                </c:pt>
                <c:pt idx="136">
                  <c:v>55.2973</c:v>
                </c:pt>
                <c:pt idx="137">
                  <c:v>55.7042</c:v>
                </c:pt>
                <c:pt idx="138">
                  <c:v>56.11</c:v>
                </c:pt>
                <c:pt idx="139">
                  <c:v>56.517000000000003</c:v>
                </c:pt>
                <c:pt idx="140">
                  <c:v>56.922899999999998</c:v>
                </c:pt>
                <c:pt idx="141">
                  <c:v>57.324800000000003</c:v>
                </c:pt>
                <c:pt idx="142">
                  <c:v>57.734099999999998</c:v>
                </c:pt>
                <c:pt idx="143">
                  <c:v>58.142499999999998</c:v>
                </c:pt>
                <c:pt idx="144">
                  <c:v>58.5456</c:v>
                </c:pt>
                <c:pt idx="145">
                  <c:v>58.955500000000001</c:v>
                </c:pt>
                <c:pt idx="146">
                  <c:v>59.359299999999998</c:v>
                </c:pt>
                <c:pt idx="147">
                  <c:v>59.766599999999997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  <c:pt idx="74">
                  <c:v>33.616800000000005</c:v>
                </c:pt>
                <c:pt idx="75">
                  <c:v>33.583200000000005</c:v>
                </c:pt>
                <c:pt idx="76">
                  <c:v>33.522800000000004</c:v>
                </c:pt>
                <c:pt idx="77">
                  <c:v>33.421900000000001</c:v>
                </c:pt>
                <c:pt idx="78">
                  <c:v>33.304499999999997</c:v>
                </c:pt>
                <c:pt idx="79">
                  <c:v>33.2027</c:v>
                </c:pt>
                <c:pt idx="80">
                  <c:v>33.121600000000001</c:v>
                </c:pt>
                <c:pt idx="81">
                  <c:v>33.040199999999999</c:v>
                </c:pt>
                <c:pt idx="82">
                  <c:v>32.993499999999997</c:v>
                </c:pt>
                <c:pt idx="83">
                  <c:v>33.001399999999997</c:v>
                </c:pt>
                <c:pt idx="84">
                  <c:v>32.953500000000005</c:v>
                </c:pt>
                <c:pt idx="85">
                  <c:v>32.887</c:v>
                </c:pt>
                <c:pt idx="86">
                  <c:v>32.7652</c:v>
                </c:pt>
                <c:pt idx="87">
                  <c:v>32.660600000000002</c:v>
                </c:pt>
                <c:pt idx="88">
                  <c:v>32.587600000000002</c:v>
                </c:pt>
                <c:pt idx="89">
                  <c:v>32.470300000000002</c:v>
                </c:pt>
                <c:pt idx="90">
                  <c:v>32.3994</c:v>
                </c:pt>
                <c:pt idx="91">
                  <c:v>32.439599999999999</c:v>
                </c:pt>
                <c:pt idx="92">
                  <c:v>32.531100000000002</c:v>
                </c:pt>
                <c:pt idx="93">
                  <c:v>32.570100000000004</c:v>
                </c:pt>
                <c:pt idx="94">
                  <c:v>32.622700000000002</c:v>
                </c:pt>
                <c:pt idx="95">
                  <c:v>32.727000000000004</c:v>
                </c:pt>
                <c:pt idx="96">
                  <c:v>32.757799999999996</c:v>
                </c:pt>
                <c:pt idx="97">
                  <c:v>32.7151</c:v>
                </c:pt>
                <c:pt idx="98">
                  <c:v>32.575700000000005</c:v>
                </c:pt>
                <c:pt idx="99">
                  <c:v>32.36</c:v>
                </c:pt>
                <c:pt idx="100">
                  <c:v>32.086300000000001</c:v>
                </c:pt>
                <c:pt idx="101">
                  <c:v>31.878800000000002</c:v>
                </c:pt>
                <c:pt idx="102">
                  <c:v>31.697300000000002</c:v>
                </c:pt>
                <c:pt idx="103">
                  <c:v>31.521999999999998</c:v>
                </c:pt>
                <c:pt idx="104">
                  <c:v>31.365300000000001</c:v>
                </c:pt>
                <c:pt idx="105">
                  <c:v>31.2239</c:v>
                </c:pt>
                <c:pt idx="106">
                  <c:v>31.026300000000003</c:v>
                </c:pt>
                <c:pt idx="107">
                  <c:v>30.797200000000004</c:v>
                </c:pt>
                <c:pt idx="108">
                  <c:v>30.5245</c:v>
                </c:pt>
                <c:pt idx="109">
                  <c:v>30.285</c:v>
                </c:pt>
                <c:pt idx="110">
                  <c:v>30.102800000000002</c:v>
                </c:pt>
                <c:pt idx="111">
                  <c:v>30.0579</c:v>
                </c:pt>
                <c:pt idx="112">
                  <c:v>29.979099999999999</c:v>
                </c:pt>
                <c:pt idx="113">
                  <c:v>29.912499999999998</c:v>
                </c:pt>
                <c:pt idx="114">
                  <c:v>29.909799999999997</c:v>
                </c:pt>
                <c:pt idx="115">
                  <c:v>29.813600000000001</c:v>
                </c:pt>
                <c:pt idx="116">
                  <c:v>29.663499999999999</c:v>
                </c:pt>
                <c:pt idx="117">
                  <c:v>29.478700000000003</c:v>
                </c:pt>
                <c:pt idx="118">
                  <c:v>29.255399999999998</c:v>
                </c:pt>
                <c:pt idx="119">
                  <c:v>29.051900000000003</c:v>
                </c:pt>
                <c:pt idx="120">
                  <c:v>28.855499999999999</c:v>
                </c:pt>
                <c:pt idx="121">
                  <c:v>28.7258</c:v>
                </c:pt>
                <c:pt idx="122">
                  <c:v>28.635899999999996</c:v>
                </c:pt>
                <c:pt idx="123">
                  <c:v>28.573700000000002</c:v>
                </c:pt>
                <c:pt idx="124">
                  <c:v>28.505999999999997</c:v>
                </c:pt>
                <c:pt idx="125">
                  <c:v>28.382099999999998</c:v>
                </c:pt>
                <c:pt idx="126">
                  <c:v>28.219799999999999</c:v>
                </c:pt>
                <c:pt idx="127">
                  <c:v>28.082899999999999</c:v>
                </c:pt>
                <c:pt idx="128">
                  <c:v>27.923100000000002</c:v>
                </c:pt>
                <c:pt idx="129">
                  <c:v>27.722999999999999</c:v>
                </c:pt>
                <c:pt idx="130">
                  <c:v>27.522099999999998</c:v>
                </c:pt>
                <c:pt idx="131">
                  <c:v>27.411200000000001</c:v>
                </c:pt>
                <c:pt idx="132">
                  <c:v>27.363700000000001</c:v>
                </c:pt>
                <c:pt idx="133">
                  <c:v>27.364100000000001</c:v>
                </c:pt>
                <c:pt idx="134">
                  <c:v>27.424300000000002</c:v>
                </c:pt>
                <c:pt idx="135">
                  <c:v>27.416200000000003</c:v>
                </c:pt>
                <c:pt idx="136">
                  <c:v>27.3644</c:v>
                </c:pt>
                <c:pt idx="137">
                  <c:v>27.404899999999998</c:v>
                </c:pt>
                <c:pt idx="138">
                  <c:v>27.356999999999999</c:v>
                </c:pt>
                <c:pt idx="139">
                  <c:v>27.434599999999996</c:v>
                </c:pt>
                <c:pt idx="140">
                  <c:v>27.7517</c:v>
                </c:pt>
                <c:pt idx="141">
                  <c:v>28.023900000000001</c:v>
                </c:pt>
                <c:pt idx="142">
                  <c:v>28.229900000000001</c:v>
                </c:pt>
                <c:pt idx="143">
                  <c:v>28.646999999999998</c:v>
                </c:pt>
                <c:pt idx="144">
                  <c:v>28.8568</c:v>
                </c:pt>
                <c:pt idx="145">
                  <c:v>28.640500000000003</c:v>
                </c:pt>
                <c:pt idx="146">
                  <c:v>28.521400000000003</c:v>
                </c:pt>
                <c:pt idx="147">
                  <c:v>28.480499999999999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30.063700000000001</c:v>
                </c:pt>
                <c:pt idx="2">
                  <c:v>30.528400000000001</c:v>
                </c:pt>
                <c:pt idx="3">
                  <c:v>30.923400000000001</c:v>
                </c:pt>
                <c:pt idx="4">
                  <c:v>31.327400000000001</c:v>
                </c:pt>
                <c:pt idx="5">
                  <c:v>31.7333</c:v>
                </c:pt>
                <c:pt idx="6">
                  <c:v>32.141199999999998</c:v>
                </c:pt>
                <c:pt idx="7">
                  <c:v>32.545200000000001</c:v>
                </c:pt>
                <c:pt idx="8">
                  <c:v>32.954000000000001</c:v>
                </c:pt>
                <c:pt idx="9">
                  <c:v>33.358899999999998</c:v>
                </c:pt>
                <c:pt idx="10">
                  <c:v>33.765000000000001</c:v>
                </c:pt>
                <c:pt idx="11">
                  <c:v>34.172699999999999</c:v>
                </c:pt>
                <c:pt idx="12">
                  <c:v>34.577800000000003</c:v>
                </c:pt>
                <c:pt idx="13">
                  <c:v>34.9876</c:v>
                </c:pt>
                <c:pt idx="14">
                  <c:v>35.390500000000003</c:v>
                </c:pt>
                <c:pt idx="15">
                  <c:v>35.796399999999998</c:v>
                </c:pt>
                <c:pt idx="16">
                  <c:v>36.201599999999999</c:v>
                </c:pt>
                <c:pt idx="17">
                  <c:v>36.610199999999999</c:v>
                </c:pt>
                <c:pt idx="18">
                  <c:v>37.017299999999999</c:v>
                </c:pt>
                <c:pt idx="19">
                  <c:v>37.420900000000003</c:v>
                </c:pt>
                <c:pt idx="20">
                  <c:v>37.826999999999998</c:v>
                </c:pt>
                <c:pt idx="21">
                  <c:v>38.235500000000002</c:v>
                </c:pt>
                <c:pt idx="22">
                  <c:v>38.642800000000001</c:v>
                </c:pt>
                <c:pt idx="23">
                  <c:v>39.046700000000001</c:v>
                </c:pt>
                <c:pt idx="24">
                  <c:v>39.452599999999997</c:v>
                </c:pt>
                <c:pt idx="25">
                  <c:v>39.858600000000003</c:v>
                </c:pt>
                <c:pt idx="26">
                  <c:v>40.265599999999999</c:v>
                </c:pt>
                <c:pt idx="27">
                  <c:v>40.674300000000002</c:v>
                </c:pt>
                <c:pt idx="28">
                  <c:v>41.080300000000001</c:v>
                </c:pt>
                <c:pt idx="29">
                  <c:v>41.4831</c:v>
                </c:pt>
                <c:pt idx="30">
                  <c:v>41.888300000000001</c:v>
                </c:pt>
                <c:pt idx="31">
                  <c:v>42.301299999999998</c:v>
                </c:pt>
                <c:pt idx="32">
                  <c:v>42.7059</c:v>
                </c:pt>
                <c:pt idx="33">
                  <c:v>43.111800000000002</c:v>
                </c:pt>
                <c:pt idx="34">
                  <c:v>43.5167</c:v>
                </c:pt>
                <c:pt idx="35">
                  <c:v>43.9206</c:v>
                </c:pt>
                <c:pt idx="36">
                  <c:v>44.325699999999998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45.546300000000002</c:v>
                </c:pt>
                <c:pt idx="40">
                  <c:v>45.953200000000002</c:v>
                </c:pt>
                <c:pt idx="41">
                  <c:v>46.358199999999997</c:v>
                </c:pt>
                <c:pt idx="42">
                  <c:v>46.765999999999998</c:v>
                </c:pt>
                <c:pt idx="43">
                  <c:v>47.1721</c:v>
                </c:pt>
                <c:pt idx="44">
                  <c:v>47.575000000000003</c:v>
                </c:pt>
                <c:pt idx="45">
                  <c:v>47.985700000000001</c:v>
                </c:pt>
                <c:pt idx="46">
                  <c:v>48.390799999999999</c:v>
                </c:pt>
                <c:pt idx="47">
                  <c:v>48.797600000000003</c:v>
                </c:pt>
                <c:pt idx="48">
                  <c:v>49.201599999999999</c:v>
                </c:pt>
                <c:pt idx="49">
                  <c:v>49.6066</c:v>
                </c:pt>
                <c:pt idx="50">
                  <c:v>50.018599999999999</c:v>
                </c:pt>
                <c:pt idx="51">
                  <c:v>50.423299999999998</c:v>
                </c:pt>
                <c:pt idx="52">
                  <c:v>50.829099999999997</c:v>
                </c:pt>
                <c:pt idx="53">
                  <c:v>51.236699999999999</c:v>
                </c:pt>
                <c:pt idx="54">
                  <c:v>51.641100000000002</c:v>
                </c:pt>
                <c:pt idx="55">
                  <c:v>52.049900000000001</c:v>
                </c:pt>
                <c:pt idx="56">
                  <c:v>52.452800000000003</c:v>
                </c:pt>
                <c:pt idx="57">
                  <c:v>52.857700000000001</c:v>
                </c:pt>
                <c:pt idx="58">
                  <c:v>53.264699999999998</c:v>
                </c:pt>
                <c:pt idx="59">
                  <c:v>53.671700000000001</c:v>
                </c:pt>
                <c:pt idx="60">
                  <c:v>54.078400000000002</c:v>
                </c:pt>
                <c:pt idx="61">
                  <c:v>54.4846</c:v>
                </c:pt>
                <c:pt idx="62">
                  <c:v>54.891300000000001</c:v>
                </c:pt>
                <c:pt idx="63">
                  <c:v>55.2973</c:v>
                </c:pt>
                <c:pt idx="64">
                  <c:v>55.7042</c:v>
                </c:pt>
                <c:pt idx="65">
                  <c:v>56.11</c:v>
                </c:pt>
                <c:pt idx="66">
                  <c:v>56.517000000000003</c:v>
                </c:pt>
                <c:pt idx="67">
                  <c:v>56.922899999999998</c:v>
                </c:pt>
                <c:pt idx="68">
                  <c:v>57.324800000000003</c:v>
                </c:pt>
                <c:pt idx="69">
                  <c:v>57.734099999999998</c:v>
                </c:pt>
                <c:pt idx="70">
                  <c:v>58.142499999999998</c:v>
                </c:pt>
                <c:pt idx="71">
                  <c:v>58.5456</c:v>
                </c:pt>
                <c:pt idx="72">
                  <c:v>58.955500000000001</c:v>
                </c:pt>
                <c:pt idx="73">
                  <c:v>59.359299999999998</c:v>
                </c:pt>
                <c:pt idx="74">
                  <c:v>59.766599999999997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33.710099999999997</c:v>
                </c:pt>
                <c:pt idx="1">
                  <c:v>33.616800000000005</c:v>
                </c:pt>
                <c:pt idx="2">
                  <c:v>33.583200000000005</c:v>
                </c:pt>
                <c:pt idx="3">
                  <c:v>33.522800000000004</c:v>
                </c:pt>
                <c:pt idx="4">
                  <c:v>33.421900000000001</c:v>
                </c:pt>
                <c:pt idx="5">
                  <c:v>33.304499999999997</c:v>
                </c:pt>
                <c:pt idx="6">
                  <c:v>33.2027</c:v>
                </c:pt>
                <c:pt idx="7">
                  <c:v>33.121600000000001</c:v>
                </c:pt>
                <c:pt idx="8">
                  <c:v>33.040199999999999</c:v>
                </c:pt>
                <c:pt idx="9">
                  <c:v>32.993499999999997</c:v>
                </c:pt>
                <c:pt idx="10">
                  <c:v>33.001399999999997</c:v>
                </c:pt>
                <c:pt idx="11">
                  <c:v>32.953500000000005</c:v>
                </c:pt>
                <c:pt idx="12">
                  <c:v>32.887</c:v>
                </c:pt>
                <c:pt idx="13">
                  <c:v>32.7652</c:v>
                </c:pt>
                <c:pt idx="14">
                  <c:v>32.660600000000002</c:v>
                </c:pt>
                <c:pt idx="15">
                  <c:v>32.587600000000002</c:v>
                </c:pt>
                <c:pt idx="16">
                  <c:v>32.470300000000002</c:v>
                </c:pt>
                <c:pt idx="17">
                  <c:v>32.3994</c:v>
                </c:pt>
                <c:pt idx="18">
                  <c:v>32.439599999999999</c:v>
                </c:pt>
                <c:pt idx="19">
                  <c:v>32.531100000000002</c:v>
                </c:pt>
                <c:pt idx="20">
                  <c:v>32.570100000000004</c:v>
                </c:pt>
                <c:pt idx="21">
                  <c:v>32.622700000000002</c:v>
                </c:pt>
                <c:pt idx="22">
                  <c:v>32.727000000000004</c:v>
                </c:pt>
                <c:pt idx="23">
                  <c:v>32.757799999999996</c:v>
                </c:pt>
                <c:pt idx="24">
                  <c:v>32.7151</c:v>
                </c:pt>
                <c:pt idx="25">
                  <c:v>32.575700000000005</c:v>
                </c:pt>
                <c:pt idx="26">
                  <c:v>32.36</c:v>
                </c:pt>
                <c:pt idx="27">
                  <c:v>32.086300000000001</c:v>
                </c:pt>
                <c:pt idx="28">
                  <c:v>31.878800000000002</c:v>
                </c:pt>
                <c:pt idx="29">
                  <c:v>31.697300000000002</c:v>
                </c:pt>
                <c:pt idx="30">
                  <c:v>31.521999999999998</c:v>
                </c:pt>
                <c:pt idx="31">
                  <c:v>31.365300000000001</c:v>
                </c:pt>
                <c:pt idx="32">
                  <c:v>31.2239</c:v>
                </c:pt>
                <c:pt idx="33">
                  <c:v>31.026300000000003</c:v>
                </c:pt>
                <c:pt idx="34">
                  <c:v>30.797200000000004</c:v>
                </c:pt>
                <c:pt idx="35">
                  <c:v>30.5245</c:v>
                </c:pt>
                <c:pt idx="36">
                  <c:v>30.285</c:v>
                </c:pt>
                <c:pt idx="37">
                  <c:v>30.102800000000002</c:v>
                </c:pt>
                <c:pt idx="38">
                  <c:v>30.0579</c:v>
                </c:pt>
                <c:pt idx="39">
                  <c:v>29.979099999999999</c:v>
                </c:pt>
                <c:pt idx="40">
                  <c:v>29.912499999999998</c:v>
                </c:pt>
                <c:pt idx="41">
                  <c:v>29.909799999999997</c:v>
                </c:pt>
                <c:pt idx="42">
                  <c:v>29.813600000000001</c:v>
                </c:pt>
                <c:pt idx="43">
                  <c:v>29.663499999999999</c:v>
                </c:pt>
                <c:pt idx="44">
                  <c:v>29.478700000000003</c:v>
                </c:pt>
                <c:pt idx="45">
                  <c:v>29.255399999999998</c:v>
                </c:pt>
                <c:pt idx="46">
                  <c:v>29.051900000000003</c:v>
                </c:pt>
                <c:pt idx="47">
                  <c:v>28.855499999999999</c:v>
                </c:pt>
                <c:pt idx="48">
                  <c:v>28.7258</c:v>
                </c:pt>
                <c:pt idx="49">
                  <c:v>28.635899999999996</c:v>
                </c:pt>
                <c:pt idx="50">
                  <c:v>28.573700000000002</c:v>
                </c:pt>
                <c:pt idx="51">
                  <c:v>28.505999999999997</c:v>
                </c:pt>
                <c:pt idx="52">
                  <c:v>28.382099999999998</c:v>
                </c:pt>
                <c:pt idx="53">
                  <c:v>28.219799999999999</c:v>
                </c:pt>
                <c:pt idx="54">
                  <c:v>28.082899999999999</c:v>
                </c:pt>
                <c:pt idx="55">
                  <c:v>27.923100000000002</c:v>
                </c:pt>
                <c:pt idx="56">
                  <c:v>27.722999999999999</c:v>
                </c:pt>
                <c:pt idx="57">
                  <c:v>27.522099999999998</c:v>
                </c:pt>
                <c:pt idx="58">
                  <c:v>27.411200000000001</c:v>
                </c:pt>
                <c:pt idx="59">
                  <c:v>27.363700000000001</c:v>
                </c:pt>
                <c:pt idx="60">
                  <c:v>27.364100000000001</c:v>
                </c:pt>
                <c:pt idx="61">
                  <c:v>27.424300000000002</c:v>
                </c:pt>
                <c:pt idx="62">
                  <c:v>27.416200000000003</c:v>
                </c:pt>
                <c:pt idx="63">
                  <c:v>27.3644</c:v>
                </c:pt>
                <c:pt idx="64">
                  <c:v>27.404899999999998</c:v>
                </c:pt>
                <c:pt idx="65">
                  <c:v>27.356999999999999</c:v>
                </c:pt>
                <c:pt idx="66">
                  <c:v>27.434599999999996</c:v>
                </c:pt>
                <c:pt idx="67">
                  <c:v>27.7517</c:v>
                </c:pt>
                <c:pt idx="68">
                  <c:v>28.023900000000001</c:v>
                </c:pt>
                <c:pt idx="69">
                  <c:v>28.229900000000001</c:v>
                </c:pt>
                <c:pt idx="70">
                  <c:v>28.646999999999998</c:v>
                </c:pt>
                <c:pt idx="71">
                  <c:v>28.8568</c:v>
                </c:pt>
                <c:pt idx="72">
                  <c:v>28.640500000000003</c:v>
                </c:pt>
                <c:pt idx="73">
                  <c:v>28.521400000000003</c:v>
                </c:pt>
                <c:pt idx="74">
                  <c:v>28.480499999999999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14.941649999999999</c:v>
                </c:pt>
                <c:pt idx="1">
                  <c:v>44.824950000000001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36.059466216216215</c:v>
                </c:pt>
                <c:pt idx="1">
                  <c:v>30.396014864864867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37.597799999999999</c:v>
                </c:pt>
                <c:pt idx="1">
                  <c:v>37.328600000000002</c:v>
                </c:pt>
                <c:pt idx="2">
                  <c:v>19.805</c:v>
                </c:pt>
                <c:pt idx="3">
                  <c:v>31.707000000000001</c:v>
                </c:pt>
                <c:pt idx="4">
                  <c:v>63.113300000000002</c:v>
                </c:pt>
                <c:pt idx="5">
                  <c:v>73.417900000000003</c:v>
                </c:pt>
                <c:pt idx="6">
                  <c:v>13.9984</c:v>
                </c:pt>
                <c:pt idx="7">
                  <c:v>66.351100000000002</c:v>
                </c:pt>
                <c:pt idx="8">
                  <c:v>17.911899999999999</c:v>
                </c:pt>
                <c:pt idx="9">
                  <c:v>19.166799999999999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41.313400000000001</c:v>
                </c:pt>
                <c:pt idx="1">
                  <c:v>44.787100000000002</c:v>
                </c:pt>
                <c:pt idx="2">
                  <c:v>19.3384</c:v>
                </c:pt>
                <c:pt idx="3">
                  <c:v>35.238</c:v>
                </c:pt>
                <c:pt idx="4">
                  <c:v>65.588300000000004</c:v>
                </c:pt>
                <c:pt idx="5">
                  <c:v>45.008699999999997</c:v>
                </c:pt>
                <c:pt idx="6">
                  <c:v>18.469899999999999</c:v>
                </c:pt>
                <c:pt idx="7">
                  <c:v>55.448300000000003</c:v>
                </c:pt>
                <c:pt idx="8">
                  <c:v>18.5411</c:v>
                </c:pt>
                <c:pt idx="9">
                  <c:v>17.697399999999998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0.51950397207986554</c:v>
                </c:pt>
                <c:pt idx="1">
                  <c:v>0.3028635144732697</c:v>
                </c:pt>
                <c:pt idx="2">
                  <c:v>0.17763251344686465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3092</c:v>
                </c:pt>
                <c:pt idx="7">
                  <c:v>0</c:v>
                </c:pt>
                <c:pt idx="8">
                  <c:v>6689</c:v>
                </c:pt>
                <c:pt idx="9">
                  <c:v>0</c:v>
                </c:pt>
                <c:pt idx="10">
                  <c:v>0</c:v>
                </c:pt>
                <c:pt idx="11">
                  <c:v>13887</c:v>
                </c:pt>
                <c:pt idx="12">
                  <c:v>0</c:v>
                </c:pt>
                <c:pt idx="13">
                  <c:v>35353</c:v>
                </c:pt>
                <c:pt idx="14">
                  <c:v>0</c:v>
                </c:pt>
                <c:pt idx="15">
                  <c:v>0</c:v>
                </c:pt>
                <c:pt idx="16">
                  <c:v>28104</c:v>
                </c:pt>
                <c:pt idx="17">
                  <c:v>0</c:v>
                </c:pt>
                <c:pt idx="18">
                  <c:v>0</c:v>
                </c:pt>
                <c:pt idx="19">
                  <c:v>21502</c:v>
                </c:pt>
                <c:pt idx="20">
                  <c:v>0</c:v>
                </c:pt>
                <c:pt idx="21">
                  <c:v>26921</c:v>
                </c:pt>
                <c:pt idx="22">
                  <c:v>0</c:v>
                </c:pt>
                <c:pt idx="23">
                  <c:v>0</c:v>
                </c:pt>
                <c:pt idx="24">
                  <c:v>37450</c:v>
                </c:pt>
                <c:pt idx="25">
                  <c:v>0</c:v>
                </c:pt>
                <c:pt idx="26">
                  <c:v>30724</c:v>
                </c:pt>
                <c:pt idx="27">
                  <c:v>0</c:v>
                </c:pt>
                <c:pt idx="28">
                  <c:v>0</c:v>
                </c:pt>
                <c:pt idx="29">
                  <c:v>30909</c:v>
                </c:pt>
                <c:pt idx="30">
                  <c:v>0</c:v>
                </c:pt>
                <c:pt idx="31">
                  <c:v>31224</c:v>
                </c:pt>
                <c:pt idx="32">
                  <c:v>0</c:v>
                </c:pt>
                <c:pt idx="33">
                  <c:v>0</c:v>
                </c:pt>
                <c:pt idx="34">
                  <c:v>35298</c:v>
                </c:pt>
                <c:pt idx="35">
                  <c:v>0</c:v>
                </c:pt>
                <c:pt idx="36">
                  <c:v>0</c:v>
                </c:pt>
                <c:pt idx="37">
                  <c:v>34706</c:v>
                </c:pt>
                <c:pt idx="38">
                  <c:v>0</c:v>
                </c:pt>
                <c:pt idx="39">
                  <c:v>36018</c:v>
                </c:pt>
                <c:pt idx="40">
                  <c:v>0</c:v>
                </c:pt>
                <c:pt idx="41">
                  <c:v>0</c:v>
                </c:pt>
                <c:pt idx="42">
                  <c:v>35289</c:v>
                </c:pt>
                <c:pt idx="43">
                  <c:v>0</c:v>
                </c:pt>
                <c:pt idx="44">
                  <c:v>36856</c:v>
                </c:pt>
                <c:pt idx="45">
                  <c:v>0</c:v>
                </c:pt>
                <c:pt idx="46">
                  <c:v>0</c:v>
                </c:pt>
                <c:pt idx="47">
                  <c:v>42510</c:v>
                </c:pt>
                <c:pt idx="48">
                  <c:v>0</c:v>
                </c:pt>
                <c:pt idx="49">
                  <c:v>43348</c:v>
                </c:pt>
                <c:pt idx="50">
                  <c:v>0</c:v>
                </c:pt>
                <c:pt idx="51">
                  <c:v>0</c:v>
                </c:pt>
                <c:pt idx="52">
                  <c:v>53752</c:v>
                </c:pt>
                <c:pt idx="53">
                  <c:v>0</c:v>
                </c:pt>
                <c:pt idx="54">
                  <c:v>0</c:v>
                </c:pt>
                <c:pt idx="55">
                  <c:v>47332</c:v>
                </c:pt>
                <c:pt idx="56">
                  <c:v>0</c:v>
                </c:pt>
                <c:pt idx="57">
                  <c:v>50090</c:v>
                </c:pt>
                <c:pt idx="58">
                  <c:v>0</c:v>
                </c:pt>
                <c:pt idx="59">
                  <c:v>0</c:v>
                </c:pt>
                <c:pt idx="60">
                  <c:v>48873</c:v>
                </c:pt>
                <c:pt idx="61">
                  <c:v>0</c:v>
                </c:pt>
                <c:pt idx="62">
                  <c:v>48127</c:v>
                </c:pt>
                <c:pt idx="63">
                  <c:v>0</c:v>
                </c:pt>
                <c:pt idx="64">
                  <c:v>0</c:v>
                </c:pt>
                <c:pt idx="65">
                  <c:v>48678</c:v>
                </c:pt>
                <c:pt idx="66">
                  <c:v>0</c:v>
                </c:pt>
                <c:pt idx="67">
                  <c:v>51628</c:v>
                </c:pt>
                <c:pt idx="68">
                  <c:v>0</c:v>
                </c:pt>
                <c:pt idx="69">
                  <c:v>0</c:v>
                </c:pt>
                <c:pt idx="70">
                  <c:v>50950</c:v>
                </c:pt>
                <c:pt idx="71">
                  <c:v>0</c:v>
                </c:pt>
                <c:pt idx="72">
                  <c:v>0</c:v>
                </c:pt>
                <c:pt idx="73">
                  <c:v>46529</c:v>
                </c:pt>
                <c:pt idx="74">
                  <c:v>0</c:v>
                </c:pt>
                <c:pt idx="75">
                  <c:v>43966</c:v>
                </c:pt>
                <c:pt idx="76">
                  <c:v>0</c:v>
                </c:pt>
                <c:pt idx="77">
                  <c:v>0</c:v>
                </c:pt>
                <c:pt idx="78">
                  <c:v>42571</c:v>
                </c:pt>
                <c:pt idx="79">
                  <c:v>0</c:v>
                </c:pt>
                <c:pt idx="80">
                  <c:v>41719</c:v>
                </c:pt>
                <c:pt idx="81">
                  <c:v>0</c:v>
                </c:pt>
                <c:pt idx="82">
                  <c:v>0</c:v>
                </c:pt>
                <c:pt idx="83">
                  <c:v>40886</c:v>
                </c:pt>
                <c:pt idx="84">
                  <c:v>0</c:v>
                </c:pt>
                <c:pt idx="85">
                  <c:v>0</c:v>
                </c:pt>
                <c:pt idx="86">
                  <c:v>40431</c:v>
                </c:pt>
                <c:pt idx="87">
                  <c:v>0</c:v>
                </c:pt>
                <c:pt idx="88">
                  <c:v>38724</c:v>
                </c:pt>
                <c:pt idx="89">
                  <c:v>0</c:v>
                </c:pt>
                <c:pt idx="90">
                  <c:v>0</c:v>
                </c:pt>
                <c:pt idx="91">
                  <c:v>38020</c:v>
                </c:pt>
                <c:pt idx="92">
                  <c:v>0</c:v>
                </c:pt>
                <c:pt idx="93">
                  <c:v>35264</c:v>
                </c:pt>
                <c:pt idx="94">
                  <c:v>0</c:v>
                </c:pt>
                <c:pt idx="95">
                  <c:v>0</c:v>
                </c:pt>
                <c:pt idx="96">
                  <c:v>31907</c:v>
                </c:pt>
                <c:pt idx="97">
                  <c:v>0</c:v>
                </c:pt>
                <c:pt idx="98">
                  <c:v>32896</c:v>
                </c:pt>
                <c:pt idx="99">
                  <c:v>0</c:v>
                </c:pt>
                <c:pt idx="100">
                  <c:v>0</c:v>
                </c:pt>
                <c:pt idx="101">
                  <c:v>28440</c:v>
                </c:pt>
                <c:pt idx="102">
                  <c:v>0</c:v>
                </c:pt>
                <c:pt idx="103">
                  <c:v>0</c:v>
                </c:pt>
                <c:pt idx="104">
                  <c:v>28251</c:v>
                </c:pt>
                <c:pt idx="105">
                  <c:v>0</c:v>
                </c:pt>
                <c:pt idx="106">
                  <c:v>27187</c:v>
                </c:pt>
                <c:pt idx="107">
                  <c:v>0</c:v>
                </c:pt>
                <c:pt idx="108">
                  <c:v>0</c:v>
                </c:pt>
                <c:pt idx="109">
                  <c:v>25075</c:v>
                </c:pt>
                <c:pt idx="110">
                  <c:v>0</c:v>
                </c:pt>
                <c:pt idx="111">
                  <c:v>22061</c:v>
                </c:pt>
                <c:pt idx="112">
                  <c:v>0</c:v>
                </c:pt>
                <c:pt idx="113">
                  <c:v>0</c:v>
                </c:pt>
                <c:pt idx="114">
                  <c:v>14811</c:v>
                </c:pt>
                <c:pt idx="115">
                  <c:v>0</c:v>
                </c:pt>
                <c:pt idx="116">
                  <c:v>13694</c:v>
                </c:pt>
                <c:pt idx="117">
                  <c:v>0</c:v>
                </c:pt>
                <c:pt idx="118">
                  <c:v>0</c:v>
                </c:pt>
                <c:pt idx="119">
                  <c:v>14119</c:v>
                </c:pt>
                <c:pt idx="120">
                  <c:v>0</c:v>
                </c:pt>
                <c:pt idx="121">
                  <c:v>0</c:v>
                </c:pt>
                <c:pt idx="122">
                  <c:v>13861</c:v>
                </c:pt>
                <c:pt idx="123">
                  <c:v>0</c:v>
                </c:pt>
                <c:pt idx="124">
                  <c:v>11493</c:v>
                </c:pt>
                <c:pt idx="125">
                  <c:v>0</c:v>
                </c:pt>
                <c:pt idx="126">
                  <c:v>0</c:v>
                </c:pt>
                <c:pt idx="127">
                  <c:v>10808</c:v>
                </c:pt>
                <c:pt idx="128">
                  <c:v>0</c:v>
                </c:pt>
                <c:pt idx="129">
                  <c:v>11524</c:v>
                </c:pt>
                <c:pt idx="130">
                  <c:v>0</c:v>
                </c:pt>
                <c:pt idx="131">
                  <c:v>0</c:v>
                </c:pt>
                <c:pt idx="132">
                  <c:v>10571</c:v>
                </c:pt>
                <c:pt idx="133">
                  <c:v>0</c:v>
                </c:pt>
                <c:pt idx="134">
                  <c:v>11429</c:v>
                </c:pt>
                <c:pt idx="135">
                  <c:v>0</c:v>
                </c:pt>
                <c:pt idx="136">
                  <c:v>0</c:v>
                </c:pt>
                <c:pt idx="137">
                  <c:v>9159</c:v>
                </c:pt>
                <c:pt idx="138">
                  <c:v>0</c:v>
                </c:pt>
                <c:pt idx="139">
                  <c:v>0</c:v>
                </c:pt>
                <c:pt idx="140">
                  <c:v>10754</c:v>
                </c:pt>
                <c:pt idx="141">
                  <c:v>0</c:v>
                </c:pt>
                <c:pt idx="142">
                  <c:v>11282</c:v>
                </c:pt>
                <c:pt idx="143">
                  <c:v>0</c:v>
                </c:pt>
                <c:pt idx="144">
                  <c:v>0</c:v>
                </c:pt>
                <c:pt idx="145">
                  <c:v>11552</c:v>
                </c:pt>
                <c:pt idx="146">
                  <c:v>0</c:v>
                </c:pt>
                <c:pt idx="147">
                  <c:v>8525</c:v>
                </c:pt>
                <c:pt idx="148">
                  <c:v>0</c:v>
                </c:pt>
                <c:pt idx="149">
                  <c:v>0</c:v>
                </c:pt>
                <c:pt idx="150">
                  <c:v>9214</c:v>
                </c:pt>
                <c:pt idx="151">
                  <c:v>0</c:v>
                </c:pt>
                <c:pt idx="152">
                  <c:v>7113</c:v>
                </c:pt>
                <c:pt idx="153">
                  <c:v>0</c:v>
                </c:pt>
                <c:pt idx="154">
                  <c:v>0</c:v>
                </c:pt>
                <c:pt idx="155">
                  <c:v>7430</c:v>
                </c:pt>
                <c:pt idx="156">
                  <c:v>0</c:v>
                </c:pt>
                <c:pt idx="157">
                  <c:v>0</c:v>
                </c:pt>
                <c:pt idx="158">
                  <c:v>6765</c:v>
                </c:pt>
                <c:pt idx="159">
                  <c:v>0</c:v>
                </c:pt>
                <c:pt idx="160">
                  <c:v>4616</c:v>
                </c:pt>
                <c:pt idx="161">
                  <c:v>0</c:v>
                </c:pt>
                <c:pt idx="162">
                  <c:v>0</c:v>
                </c:pt>
                <c:pt idx="163">
                  <c:v>3054</c:v>
                </c:pt>
                <c:pt idx="164">
                  <c:v>0</c:v>
                </c:pt>
                <c:pt idx="165">
                  <c:v>2210</c:v>
                </c:pt>
                <c:pt idx="166">
                  <c:v>0</c:v>
                </c:pt>
                <c:pt idx="167">
                  <c:v>0</c:v>
                </c:pt>
                <c:pt idx="168">
                  <c:v>1546</c:v>
                </c:pt>
                <c:pt idx="169">
                  <c:v>0</c:v>
                </c:pt>
                <c:pt idx="170">
                  <c:v>0</c:v>
                </c:pt>
                <c:pt idx="171">
                  <c:v>611</c:v>
                </c:pt>
                <c:pt idx="172">
                  <c:v>0</c:v>
                </c:pt>
                <c:pt idx="173">
                  <c:v>907</c:v>
                </c:pt>
                <c:pt idx="174">
                  <c:v>0</c:v>
                </c:pt>
                <c:pt idx="175">
                  <c:v>0</c:v>
                </c:pt>
                <c:pt idx="176">
                  <c:v>504</c:v>
                </c:pt>
                <c:pt idx="177">
                  <c:v>0</c:v>
                </c:pt>
                <c:pt idx="178">
                  <c:v>478</c:v>
                </c:pt>
                <c:pt idx="179">
                  <c:v>0</c:v>
                </c:pt>
                <c:pt idx="180">
                  <c:v>0</c:v>
                </c:pt>
                <c:pt idx="181">
                  <c:v>862</c:v>
                </c:pt>
                <c:pt idx="182">
                  <c:v>0</c:v>
                </c:pt>
                <c:pt idx="183">
                  <c:v>759</c:v>
                </c:pt>
                <c:pt idx="184">
                  <c:v>0</c:v>
                </c:pt>
                <c:pt idx="185">
                  <c:v>0</c:v>
                </c:pt>
                <c:pt idx="186">
                  <c:v>212</c:v>
                </c:pt>
                <c:pt idx="187">
                  <c:v>0</c:v>
                </c:pt>
                <c:pt idx="188">
                  <c:v>0</c:v>
                </c:pt>
                <c:pt idx="189">
                  <c:v>111</c:v>
                </c:pt>
                <c:pt idx="190">
                  <c:v>0</c:v>
                </c:pt>
                <c:pt idx="191">
                  <c:v>352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9588</c:v>
                </c:pt>
                <c:pt idx="7">
                  <c:v>0</c:v>
                </c:pt>
                <c:pt idx="8">
                  <c:v>15428</c:v>
                </c:pt>
                <c:pt idx="9">
                  <c:v>0</c:v>
                </c:pt>
                <c:pt idx="10">
                  <c:v>0</c:v>
                </c:pt>
                <c:pt idx="11">
                  <c:v>15126</c:v>
                </c:pt>
                <c:pt idx="12">
                  <c:v>0</c:v>
                </c:pt>
                <c:pt idx="13">
                  <c:v>17650</c:v>
                </c:pt>
                <c:pt idx="14">
                  <c:v>0</c:v>
                </c:pt>
                <c:pt idx="15">
                  <c:v>0</c:v>
                </c:pt>
                <c:pt idx="16">
                  <c:v>18101</c:v>
                </c:pt>
                <c:pt idx="17">
                  <c:v>0</c:v>
                </c:pt>
                <c:pt idx="18">
                  <c:v>0</c:v>
                </c:pt>
                <c:pt idx="19">
                  <c:v>18549</c:v>
                </c:pt>
                <c:pt idx="20">
                  <c:v>0</c:v>
                </c:pt>
                <c:pt idx="21">
                  <c:v>20919</c:v>
                </c:pt>
                <c:pt idx="22">
                  <c:v>0</c:v>
                </c:pt>
                <c:pt idx="23">
                  <c:v>0</c:v>
                </c:pt>
                <c:pt idx="24">
                  <c:v>22050</c:v>
                </c:pt>
                <c:pt idx="25">
                  <c:v>0</c:v>
                </c:pt>
                <c:pt idx="26">
                  <c:v>23503</c:v>
                </c:pt>
                <c:pt idx="27">
                  <c:v>0</c:v>
                </c:pt>
                <c:pt idx="28">
                  <c:v>0</c:v>
                </c:pt>
                <c:pt idx="29">
                  <c:v>25488</c:v>
                </c:pt>
                <c:pt idx="30">
                  <c:v>0</c:v>
                </c:pt>
                <c:pt idx="31">
                  <c:v>26138</c:v>
                </c:pt>
                <c:pt idx="32">
                  <c:v>0</c:v>
                </c:pt>
                <c:pt idx="33">
                  <c:v>0</c:v>
                </c:pt>
                <c:pt idx="34">
                  <c:v>27813</c:v>
                </c:pt>
                <c:pt idx="35">
                  <c:v>0</c:v>
                </c:pt>
                <c:pt idx="36">
                  <c:v>0</c:v>
                </c:pt>
                <c:pt idx="37">
                  <c:v>29904</c:v>
                </c:pt>
                <c:pt idx="38">
                  <c:v>0</c:v>
                </c:pt>
                <c:pt idx="39">
                  <c:v>37454</c:v>
                </c:pt>
                <c:pt idx="40">
                  <c:v>0</c:v>
                </c:pt>
                <c:pt idx="41">
                  <c:v>0</c:v>
                </c:pt>
                <c:pt idx="42">
                  <c:v>44886</c:v>
                </c:pt>
                <c:pt idx="43">
                  <c:v>0</c:v>
                </c:pt>
                <c:pt idx="44">
                  <c:v>47275</c:v>
                </c:pt>
                <c:pt idx="45">
                  <c:v>0</c:v>
                </c:pt>
                <c:pt idx="46">
                  <c:v>0</c:v>
                </c:pt>
                <c:pt idx="47">
                  <c:v>52988</c:v>
                </c:pt>
                <c:pt idx="48">
                  <c:v>0</c:v>
                </c:pt>
                <c:pt idx="49">
                  <c:v>60271</c:v>
                </c:pt>
                <c:pt idx="50">
                  <c:v>0</c:v>
                </c:pt>
                <c:pt idx="51">
                  <c:v>0</c:v>
                </c:pt>
                <c:pt idx="52">
                  <c:v>64857</c:v>
                </c:pt>
                <c:pt idx="53">
                  <c:v>0</c:v>
                </c:pt>
                <c:pt idx="54">
                  <c:v>0</c:v>
                </c:pt>
                <c:pt idx="55">
                  <c:v>65212</c:v>
                </c:pt>
                <c:pt idx="56">
                  <c:v>0</c:v>
                </c:pt>
                <c:pt idx="57">
                  <c:v>67043</c:v>
                </c:pt>
                <c:pt idx="58">
                  <c:v>0</c:v>
                </c:pt>
                <c:pt idx="59">
                  <c:v>0</c:v>
                </c:pt>
                <c:pt idx="60">
                  <c:v>70526</c:v>
                </c:pt>
                <c:pt idx="61">
                  <c:v>0</c:v>
                </c:pt>
                <c:pt idx="62">
                  <c:v>70426</c:v>
                </c:pt>
                <c:pt idx="63">
                  <c:v>0</c:v>
                </c:pt>
                <c:pt idx="64">
                  <c:v>0</c:v>
                </c:pt>
                <c:pt idx="65">
                  <c:v>76936</c:v>
                </c:pt>
                <c:pt idx="66">
                  <c:v>0</c:v>
                </c:pt>
                <c:pt idx="67">
                  <c:v>82522</c:v>
                </c:pt>
                <c:pt idx="68">
                  <c:v>0</c:v>
                </c:pt>
                <c:pt idx="69">
                  <c:v>0</c:v>
                </c:pt>
                <c:pt idx="70">
                  <c:v>79650</c:v>
                </c:pt>
                <c:pt idx="71">
                  <c:v>0</c:v>
                </c:pt>
                <c:pt idx="72">
                  <c:v>0</c:v>
                </c:pt>
                <c:pt idx="73">
                  <c:v>81764</c:v>
                </c:pt>
                <c:pt idx="74">
                  <c:v>0</c:v>
                </c:pt>
                <c:pt idx="75">
                  <c:v>83656</c:v>
                </c:pt>
                <c:pt idx="76">
                  <c:v>0</c:v>
                </c:pt>
                <c:pt idx="77">
                  <c:v>0</c:v>
                </c:pt>
                <c:pt idx="78">
                  <c:v>78643</c:v>
                </c:pt>
                <c:pt idx="79">
                  <c:v>0</c:v>
                </c:pt>
                <c:pt idx="80">
                  <c:v>79231</c:v>
                </c:pt>
                <c:pt idx="81">
                  <c:v>0</c:v>
                </c:pt>
                <c:pt idx="82">
                  <c:v>0</c:v>
                </c:pt>
                <c:pt idx="83">
                  <c:v>75792</c:v>
                </c:pt>
                <c:pt idx="84">
                  <c:v>0</c:v>
                </c:pt>
                <c:pt idx="85">
                  <c:v>0</c:v>
                </c:pt>
                <c:pt idx="86">
                  <c:v>73189</c:v>
                </c:pt>
                <c:pt idx="87">
                  <c:v>0</c:v>
                </c:pt>
                <c:pt idx="88">
                  <c:v>72870</c:v>
                </c:pt>
                <c:pt idx="89">
                  <c:v>0</c:v>
                </c:pt>
                <c:pt idx="90">
                  <c:v>0</c:v>
                </c:pt>
                <c:pt idx="91">
                  <c:v>75683</c:v>
                </c:pt>
                <c:pt idx="92">
                  <c:v>0</c:v>
                </c:pt>
                <c:pt idx="93">
                  <c:v>74749</c:v>
                </c:pt>
                <c:pt idx="94">
                  <c:v>0</c:v>
                </c:pt>
                <c:pt idx="95">
                  <c:v>0</c:v>
                </c:pt>
                <c:pt idx="96">
                  <c:v>72795</c:v>
                </c:pt>
                <c:pt idx="97">
                  <c:v>0</c:v>
                </c:pt>
                <c:pt idx="98">
                  <c:v>75633</c:v>
                </c:pt>
                <c:pt idx="99">
                  <c:v>0</c:v>
                </c:pt>
                <c:pt idx="100">
                  <c:v>0</c:v>
                </c:pt>
                <c:pt idx="101">
                  <c:v>66122</c:v>
                </c:pt>
                <c:pt idx="102">
                  <c:v>0</c:v>
                </c:pt>
                <c:pt idx="103">
                  <c:v>0</c:v>
                </c:pt>
                <c:pt idx="104">
                  <c:v>56133</c:v>
                </c:pt>
                <c:pt idx="105">
                  <c:v>0</c:v>
                </c:pt>
                <c:pt idx="106">
                  <c:v>53711</c:v>
                </c:pt>
                <c:pt idx="107">
                  <c:v>0</c:v>
                </c:pt>
                <c:pt idx="108">
                  <c:v>0</c:v>
                </c:pt>
                <c:pt idx="109">
                  <c:v>46078</c:v>
                </c:pt>
                <c:pt idx="110">
                  <c:v>0</c:v>
                </c:pt>
                <c:pt idx="111">
                  <c:v>47545</c:v>
                </c:pt>
                <c:pt idx="112">
                  <c:v>0</c:v>
                </c:pt>
                <c:pt idx="113">
                  <c:v>0</c:v>
                </c:pt>
                <c:pt idx="114">
                  <c:v>40668</c:v>
                </c:pt>
                <c:pt idx="115">
                  <c:v>0</c:v>
                </c:pt>
                <c:pt idx="116">
                  <c:v>32178</c:v>
                </c:pt>
                <c:pt idx="117">
                  <c:v>0</c:v>
                </c:pt>
                <c:pt idx="118">
                  <c:v>0</c:v>
                </c:pt>
                <c:pt idx="119">
                  <c:v>29620</c:v>
                </c:pt>
                <c:pt idx="120">
                  <c:v>0</c:v>
                </c:pt>
                <c:pt idx="121">
                  <c:v>0</c:v>
                </c:pt>
                <c:pt idx="122">
                  <c:v>29792</c:v>
                </c:pt>
                <c:pt idx="123">
                  <c:v>0</c:v>
                </c:pt>
                <c:pt idx="124">
                  <c:v>27439</c:v>
                </c:pt>
                <c:pt idx="125">
                  <c:v>0</c:v>
                </c:pt>
                <c:pt idx="126">
                  <c:v>0</c:v>
                </c:pt>
                <c:pt idx="127">
                  <c:v>25796</c:v>
                </c:pt>
                <c:pt idx="128">
                  <c:v>0</c:v>
                </c:pt>
                <c:pt idx="129">
                  <c:v>21017</c:v>
                </c:pt>
                <c:pt idx="130">
                  <c:v>0</c:v>
                </c:pt>
                <c:pt idx="131">
                  <c:v>0</c:v>
                </c:pt>
                <c:pt idx="132">
                  <c:v>17838</c:v>
                </c:pt>
                <c:pt idx="133">
                  <c:v>0</c:v>
                </c:pt>
                <c:pt idx="134">
                  <c:v>16584</c:v>
                </c:pt>
                <c:pt idx="135">
                  <c:v>0</c:v>
                </c:pt>
                <c:pt idx="136">
                  <c:v>0</c:v>
                </c:pt>
                <c:pt idx="137">
                  <c:v>17046</c:v>
                </c:pt>
                <c:pt idx="138">
                  <c:v>0</c:v>
                </c:pt>
                <c:pt idx="139">
                  <c:v>0</c:v>
                </c:pt>
                <c:pt idx="140">
                  <c:v>15102</c:v>
                </c:pt>
                <c:pt idx="141">
                  <c:v>0</c:v>
                </c:pt>
                <c:pt idx="142">
                  <c:v>16735</c:v>
                </c:pt>
                <c:pt idx="143">
                  <c:v>0</c:v>
                </c:pt>
                <c:pt idx="144">
                  <c:v>0</c:v>
                </c:pt>
                <c:pt idx="145">
                  <c:v>17219</c:v>
                </c:pt>
                <c:pt idx="146">
                  <c:v>0</c:v>
                </c:pt>
                <c:pt idx="147">
                  <c:v>16745</c:v>
                </c:pt>
                <c:pt idx="148">
                  <c:v>0</c:v>
                </c:pt>
                <c:pt idx="149">
                  <c:v>0</c:v>
                </c:pt>
                <c:pt idx="150">
                  <c:v>15525</c:v>
                </c:pt>
                <c:pt idx="151">
                  <c:v>0</c:v>
                </c:pt>
                <c:pt idx="152">
                  <c:v>17431</c:v>
                </c:pt>
                <c:pt idx="153">
                  <c:v>0</c:v>
                </c:pt>
                <c:pt idx="154">
                  <c:v>0</c:v>
                </c:pt>
                <c:pt idx="155">
                  <c:v>14024</c:v>
                </c:pt>
                <c:pt idx="156">
                  <c:v>0</c:v>
                </c:pt>
                <c:pt idx="157">
                  <c:v>0</c:v>
                </c:pt>
                <c:pt idx="158">
                  <c:v>12939</c:v>
                </c:pt>
                <c:pt idx="159">
                  <c:v>0</c:v>
                </c:pt>
                <c:pt idx="160">
                  <c:v>10409</c:v>
                </c:pt>
                <c:pt idx="161">
                  <c:v>0</c:v>
                </c:pt>
                <c:pt idx="162">
                  <c:v>0</c:v>
                </c:pt>
                <c:pt idx="163">
                  <c:v>8851</c:v>
                </c:pt>
                <c:pt idx="164">
                  <c:v>0</c:v>
                </c:pt>
                <c:pt idx="165">
                  <c:v>7040</c:v>
                </c:pt>
                <c:pt idx="166">
                  <c:v>0</c:v>
                </c:pt>
                <c:pt idx="167">
                  <c:v>0</c:v>
                </c:pt>
                <c:pt idx="168">
                  <c:v>8548</c:v>
                </c:pt>
                <c:pt idx="169">
                  <c:v>0</c:v>
                </c:pt>
                <c:pt idx="170">
                  <c:v>0</c:v>
                </c:pt>
                <c:pt idx="171">
                  <c:v>8430</c:v>
                </c:pt>
                <c:pt idx="172">
                  <c:v>0</c:v>
                </c:pt>
                <c:pt idx="173">
                  <c:v>5717</c:v>
                </c:pt>
                <c:pt idx="174">
                  <c:v>0</c:v>
                </c:pt>
                <c:pt idx="175">
                  <c:v>0</c:v>
                </c:pt>
                <c:pt idx="176">
                  <c:v>4842</c:v>
                </c:pt>
                <c:pt idx="177">
                  <c:v>0</c:v>
                </c:pt>
                <c:pt idx="178">
                  <c:v>3955</c:v>
                </c:pt>
                <c:pt idx="179">
                  <c:v>0</c:v>
                </c:pt>
                <c:pt idx="180">
                  <c:v>0</c:v>
                </c:pt>
                <c:pt idx="181">
                  <c:v>1705</c:v>
                </c:pt>
                <c:pt idx="182">
                  <c:v>0</c:v>
                </c:pt>
                <c:pt idx="183">
                  <c:v>361</c:v>
                </c:pt>
                <c:pt idx="184">
                  <c:v>0</c:v>
                </c:pt>
                <c:pt idx="185">
                  <c:v>0</c:v>
                </c:pt>
                <c:pt idx="186">
                  <c:v>378</c:v>
                </c:pt>
                <c:pt idx="187">
                  <c:v>0</c:v>
                </c:pt>
                <c:pt idx="188">
                  <c:v>0</c:v>
                </c:pt>
                <c:pt idx="189">
                  <c:v>559</c:v>
                </c:pt>
                <c:pt idx="190">
                  <c:v>0</c:v>
                </c:pt>
                <c:pt idx="191">
                  <c:v>1079</c:v>
                </c:pt>
                <c:pt idx="192">
                  <c:v>0</c:v>
                </c:pt>
                <c:pt idx="193">
                  <c:v>0</c:v>
                </c:pt>
                <c:pt idx="194">
                  <c:v>182</c:v>
                </c:pt>
                <c:pt idx="195">
                  <c:v>0</c:v>
                </c:pt>
                <c:pt idx="196">
                  <c:v>424</c:v>
                </c:pt>
                <c:pt idx="197">
                  <c:v>0</c:v>
                </c:pt>
                <c:pt idx="198">
                  <c:v>0</c:v>
                </c:pt>
                <c:pt idx="199">
                  <c:v>123</c:v>
                </c:pt>
                <c:pt idx="200">
                  <c:v>0</c:v>
                </c:pt>
                <c:pt idx="201">
                  <c:v>555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0.2157610946467387</c:v>
                </c:pt>
                <c:pt idx="1">
                  <c:v>0.4363110764340733</c:v>
                </c:pt>
                <c:pt idx="2">
                  <c:v>0.347927828919188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0.4639917961943737</c:v>
                </c:pt>
                <c:pt idx="1">
                  <c:v>0.35375366102118577</c:v>
                </c:pt>
                <c:pt idx="2">
                  <c:v>0.18225454278444067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8.8470699999999987</c:v>
                </c:pt>
                <c:pt idx="1">
                  <c:v>8.0551000000000013</c:v>
                </c:pt>
                <c:pt idx="2">
                  <c:v>20.251185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  <c:pt idx="74">
                  <c:v>30.063700000000001</c:v>
                </c:pt>
                <c:pt idx="75">
                  <c:v>30.528400000000001</c:v>
                </c:pt>
                <c:pt idx="76">
                  <c:v>30.923400000000001</c:v>
                </c:pt>
                <c:pt idx="77">
                  <c:v>31.327400000000001</c:v>
                </c:pt>
                <c:pt idx="78">
                  <c:v>31.7333</c:v>
                </c:pt>
                <c:pt idx="79">
                  <c:v>32.141199999999998</c:v>
                </c:pt>
                <c:pt idx="80">
                  <c:v>32.545200000000001</c:v>
                </c:pt>
                <c:pt idx="81">
                  <c:v>32.954000000000001</c:v>
                </c:pt>
                <c:pt idx="82">
                  <c:v>33.358899999999998</c:v>
                </c:pt>
                <c:pt idx="83">
                  <c:v>33.765000000000001</c:v>
                </c:pt>
                <c:pt idx="84">
                  <c:v>34.172699999999999</c:v>
                </c:pt>
                <c:pt idx="85">
                  <c:v>34.577800000000003</c:v>
                </c:pt>
                <c:pt idx="86">
                  <c:v>34.9876</c:v>
                </c:pt>
                <c:pt idx="87">
                  <c:v>35.390500000000003</c:v>
                </c:pt>
                <c:pt idx="88">
                  <c:v>35.796399999999998</c:v>
                </c:pt>
                <c:pt idx="89">
                  <c:v>36.201599999999999</c:v>
                </c:pt>
                <c:pt idx="90">
                  <c:v>36.610199999999999</c:v>
                </c:pt>
                <c:pt idx="91">
                  <c:v>37.017299999999999</c:v>
                </c:pt>
                <c:pt idx="92">
                  <c:v>37.420900000000003</c:v>
                </c:pt>
                <c:pt idx="93">
                  <c:v>37.826999999999998</c:v>
                </c:pt>
                <c:pt idx="94">
                  <c:v>38.235500000000002</c:v>
                </c:pt>
                <c:pt idx="95">
                  <c:v>38.642800000000001</c:v>
                </c:pt>
                <c:pt idx="96">
                  <c:v>39.046700000000001</c:v>
                </c:pt>
                <c:pt idx="97">
                  <c:v>39.452599999999997</c:v>
                </c:pt>
                <c:pt idx="98">
                  <c:v>39.858600000000003</c:v>
                </c:pt>
                <c:pt idx="99">
                  <c:v>40.265599999999999</c:v>
                </c:pt>
                <c:pt idx="100">
                  <c:v>40.674300000000002</c:v>
                </c:pt>
                <c:pt idx="101">
                  <c:v>41.080300000000001</c:v>
                </c:pt>
                <c:pt idx="102">
                  <c:v>41.4831</c:v>
                </c:pt>
                <c:pt idx="103">
                  <c:v>41.888300000000001</c:v>
                </c:pt>
                <c:pt idx="104">
                  <c:v>42.301299999999998</c:v>
                </c:pt>
                <c:pt idx="105">
                  <c:v>42.7059</c:v>
                </c:pt>
                <c:pt idx="106">
                  <c:v>43.111800000000002</c:v>
                </c:pt>
                <c:pt idx="107">
                  <c:v>43.5167</c:v>
                </c:pt>
                <c:pt idx="108">
                  <c:v>43.9206</c:v>
                </c:pt>
                <c:pt idx="109">
                  <c:v>44.325699999999998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45.546300000000002</c:v>
                </c:pt>
                <c:pt idx="113">
                  <c:v>45.953200000000002</c:v>
                </c:pt>
                <c:pt idx="114">
                  <c:v>46.358199999999997</c:v>
                </c:pt>
                <c:pt idx="115">
                  <c:v>46.765999999999998</c:v>
                </c:pt>
                <c:pt idx="116">
                  <c:v>47.1721</c:v>
                </c:pt>
                <c:pt idx="117">
                  <c:v>47.575000000000003</c:v>
                </c:pt>
                <c:pt idx="118">
                  <c:v>47.985700000000001</c:v>
                </c:pt>
                <c:pt idx="119">
                  <c:v>48.390799999999999</c:v>
                </c:pt>
                <c:pt idx="120">
                  <c:v>48.797600000000003</c:v>
                </c:pt>
                <c:pt idx="121">
                  <c:v>49.201599999999999</c:v>
                </c:pt>
                <c:pt idx="122">
                  <c:v>49.6066</c:v>
                </c:pt>
                <c:pt idx="123">
                  <c:v>50.018599999999999</c:v>
                </c:pt>
                <c:pt idx="124">
                  <c:v>50.423299999999998</c:v>
                </c:pt>
                <c:pt idx="125">
                  <c:v>50.829099999999997</c:v>
                </c:pt>
                <c:pt idx="126">
                  <c:v>51.236699999999999</c:v>
                </c:pt>
                <c:pt idx="127">
                  <c:v>51.641100000000002</c:v>
                </c:pt>
                <c:pt idx="128">
                  <c:v>52.049900000000001</c:v>
                </c:pt>
                <c:pt idx="129">
                  <c:v>52.452800000000003</c:v>
                </c:pt>
                <c:pt idx="130">
                  <c:v>52.857700000000001</c:v>
                </c:pt>
                <c:pt idx="131">
                  <c:v>53.264699999999998</c:v>
                </c:pt>
                <c:pt idx="132">
                  <c:v>53.671700000000001</c:v>
                </c:pt>
                <c:pt idx="133">
                  <c:v>54.078400000000002</c:v>
                </c:pt>
                <c:pt idx="134">
                  <c:v>54.4846</c:v>
                </c:pt>
                <c:pt idx="135">
                  <c:v>54.891300000000001</c:v>
                </c:pt>
                <c:pt idx="136">
                  <c:v>55.2973</c:v>
                </c:pt>
                <c:pt idx="137">
                  <c:v>55.7042</c:v>
                </c:pt>
                <c:pt idx="138">
                  <c:v>56.11</c:v>
                </c:pt>
                <c:pt idx="139">
                  <c:v>56.517000000000003</c:v>
                </c:pt>
                <c:pt idx="140">
                  <c:v>56.922899999999998</c:v>
                </c:pt>
                <c:pt idx="141">
                  <c:v>57.324800000000003</c:v>
                </c:pt>
                <c:pt idx="142">
                  <c:v>57.734099999999998</c:v>
                </c:pt>
                <c:pt idx="143">
                  <c:v>58.142499999999998</c:v>
                </c:pt>
                <c:pt idx="144">
                  <c:v>58.5456</c:v>
                </c:pt>
                <c:pt idx="145">
                  <c:v>58.955500000000001</c:v>
                </c:pt>
                <c:pt idx="146">
                  <c:v>59.359299999999998</c:v>
                </c:pt>
                <c:pt idx="147">
                  <c:v>59.766599999999997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  <c:pt idx="74">
                  <c:v>3.27922</c:v>
                </c:pt>
                <c:pt idx="75">
                  <c:v>3.27928</c:v>
                </c:pt>
                <c:pt idx="76">
                  <c:v>3.27861</c:v>
                </c:pt>
                <c:pt idx="77">
                  <c:v>3.2796099999999999</c:v>
                </c:pt>
                <c:pt idx="78">
                  <c:v>3.2818399999999999</c:v>
                </c:pt>
                <c:pt idx="79">
                  <c:v>3.2873999999999999</c:v>
                </c:pt>
                <c:pt idx="80">
                  <c:v>3.2966899999999999</c:v>
                </c:pt>
                <c:pt idx="81">
                  <c:v>3.3058199999999998</c:v>
                </c:pt>
                <c:pt idx="82">
                  <c:v>3.31609</c:v>
                </c:pt>
                <c:pt idx="83">
                  <c:v>3.3283499999999999</c:v>
                </c:pt>
                <c:pt idx="84">
                  <c:v>3.3421000000000003</c:v>
                </c:pt>
                <c:pt idx="85">
                  <c:v>3.3540100000000002</c:v>
                </c:pt>
                <c:pt idx="86">
                  <c:v>3.3673700000000002</c:v>
                </c:pt>
                <c:pt idx="87">
                  <c:v>3.3788200000000002</c:v>
                </c:pt>
                <c:pt idx="88">
                  <c:v>3.38626</c:v>
                </c:pt>
                <c:pt idx="89">
                  <c:v>3.3910900000000002</c:v>
                </c:pt>
                <c:pt idx="90">
                  <c:v>3.3939900000000001</c:v>
                </c:pt>
                <c:pt idx="91">
                  <c:v>3.3935700000000004</c:v>
                </c:pt>
                <c:pt idx="92">
                  <c:v>3.3883099999999997</c:v>
                </c:pt>
                <c:pt idx="93">
                  <c:v>3.3796200000000001</c:v>
                </c:pt>
                <c:pt idx="94">
                  <c:v>3.3676699999999999</c:v>
                </c:pt>
                <c:pt idx="95">
                  <c:v>3.3510299999999997</c:v>
                </c:pt>
                <c:pt idx="96">
                  <c:v>3.33691</c:v>
                </c:pt>
                <c:pt idx="97">
                  <c:v>3.3244499999999997</c:v>
                </c:pt>
                <c:pt idx="98">
                  <c:v>3.3145899999999999</c:v>
                </c:pt>
                <c:pt idx="99">
                  <c:v>3.3048300000000004</c:v>
                </c:pt>
                <c:pt idx="100">
                  <c:v>3.2964100000000003</c:v>
                </c:pt>
                <c:pt idx="101">
                  <c:v>3.28939</c:v>
                </c:pt>
                <c:pt idx="102">
                  <c:v>3.2816800000000002</c:v>
                </c:pt>
                <c:pt idx="103">
                  <c:v>3.2714400000000001</c:v>
                </c:pt>
                <c:pt idx="104">
                  <c:v>3.2570900000000003</c:v>
                </c:pt>
                <c:pt idx="105">
                  <c:v>3.23902</c:v>
                </c:pt>
                <c:pt idx="106">
                  <c:v>3.2183000000000002</c:v>
                </c:pt>
                <c:pt idx="107">
                  <c:v>3.1968899999999998</c:v>
                </c:pt>
                <c:pt idx="108">
                  <c:v>3.1714799999999999</c:v>
                </c:pt>
                <c:pt idx="109">
                  <c:v>3.1445600000000002</c:v>
                </c:pt>
                <c:pt idx="110">
                  <c:v>3.1197499999999998</c:v>
                </c:pt>
                <c:pt idx="111">
                  <c:v>3.0918899999999998</c:v>
                </c:pt>
                <c:pt idx="112">
                  <c:v>3.0677599999999998</c:v>
                </c:pt>
                <c:pt idx="113">
                  <c:v>3.0436299999999998</c:v>
                </c:pt>
                <c:pt idx="114">
                  <c:v>3.0194199999999998</c:v>
                </c:pt>
                <c:pt idx="115">
                  <c:v>2.9965599999999997</c:v>
                </c:pt>
                <c:pt idx="116">
                  <c:v>2.9722200000000001</c:v>
                </c:pt>
                <c:pt idx="117">
                  <c:v>2.95004</c:v>
                </c:pt>
                <c:pt idx="118">
                  <c:v>2.9307600000000003</c:v>
                </c:pt>
                <c:pt idx="119">
                  <c:v>2.9115500000000001</c:v>
                </c:pt>
                <c:pt idx="120">
                  <c:v>2.89351</c:v>
                </c:pt>
                <c:pt idx="121">
                  <c:v>2.8774600000000001</c:v>
                </c:pt>
                <c:pt idx="122">
                  <c:v>2.8635600000000001</c:v>
                </c:pt>
                <c:pt idx="123">
                  <c:v>2.8503699999999998</c:v>
                </c:pt>
                <c:pt idx="124">
                  <c:v>2.8398499999999998</c:v>
                </c:pt>
                <c:pt idx="125">
                  <c:v>2.8319100000000001</c:v>
                </c:pt>
                <c:pt idx="126">
                  <c:v>2.8233299999999999</c:v>
                </c:pt>
                <c:pt idx="127">
                  <c:v>2.8134900000000003</c:v>
                </c:pt>
                <c:pt idx="128">
                  <c:v>2.8049200000000001</c:v>
                </c:pt>
                <c:pt idx="129">
                  <c:v>2.7973599999999998</c:v>
                </c:pt>
                <c:pt idx="130">
                  <c:v>2.7916099999999999</c:v>
                </c:pt>
                <c:pt idx="131">
                  <c:v>2.7883900000000001</c:v>
                </c:pt>
                <c:pt idx="132">
                  <c:v>2.7855699999999999</c:v>
                </c:pt>
                <c:pt idx="133">
                  <c:v>2.7875800000000002</c:v>
                </c:pt>
                <c:pt idx="134">
                  <c:v>2.7909600000000001</c:v>
                </c:pt>
                <c:pt idx="135">
                  <c:v>2.7931499999999998</c:v>
                </c:pt>
                <c:pt idx="136">
                  <c:v>2.7950699999999999</c:v>
                </c:pt>
                <c:pt idx="137">
                  <c:v>2.7908400000000002</c:v>
                </c:pt>
                <c:pt idx="138">
                  <c:v>2.7913900000000003</c:v>
                </c:pt>
                <c:pt idx="139">
                  <c:v>2.7888299999999999</c:v>
                </c:pt>
                <c:pt idx="140">
                  <c:v>2.78241</c:v>
                </c:pt>
                <c:pt idx="141">
                  <c:v>2.7811300000000001</c:v>
                </c:pt>
                <c:pt idx="142">
                  <c:v>2.7814399999999999</c:v>
                </c:pt>
                <c:pt idx="143">
                  <c:v>2.7801199999999997</c:v>
                </c:pt>
                <c:pt idx="144">
                  <c:v>2.7927800000000005</c:v>
                </c:pt>
                <c:pt idx="145">
                  <c:v>2.8165200000000001</c:v>
                </c:pt>
                <c:pt idx="146">
                  <c:v>2.8407200000000001</c:v>
                </c:pt>
                <c:pt idx="147">
                  <c:v>2.8425699999999998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30.063700000000001</c:v>
                </c:pt>
                <c:pt idx="2">
                  <c:v>30.528400000000001</c:v>
                </c:pt>
                <c:pt idx="3">
                  <c:v>30.923400000000001</c:v>
                </c:pt>
                <c:pt idx="4">
                  <c:v>31.327400000000001</c:v>
                </c:pt>
                <c:pt idx="5">
                  <c:v>31.7333</c:v>
                </c:pt>
                <c:pt idx="6">
                  <c:v>32.141199999999998</c:v>
                </c:pt>
                <c:pt idx="7">
                  <c:v>32.545200000000001</c:v>
                </c:pt>
                <c:pt idx="8">
                  <c:v>32.954000000000001</c:v>
                </c:pt>
                <c:pt idx="9">
                  <c:v>33.358899999999998</c:v>
                </c:pt>
                <c:pt idx="10">
                  <c:v>33.765000000000001</c:v>
                </c:pt>
                <c:pt idx="11">
                  <c:v>34.172699999999999</c:v>
                </c:pt>
                <c:pt idx="12">
                  <c:v>34.577800000000003</c:v>
                </c:pt>
                <c:pt idx="13">
                  <c:v>34.9876</c:v>
                </c:pt>
                <c:pt idx="14">
                  <c:v>35.390500000000003</c:v>
                </c:pt>
                <c:pt idx="15">
                  <c:v>35.796399999999998</c:v>
                </c:pt>
                <c:pt idx="16">
                  <c:v>36.201599999999999</c:v>
                </c:pt>
                <c:pt idx="17">
                  <c:v>36.610199999999999</c:v>
                </c:pt>
                <c:pt idx="18">
                  <c:v>37.017299999999999</c:v>
                </c:pt>
                <c:pt idx="19">
                  <c:v>37.420900000000003</c:v>
                </c:pt>
                <c:pt idx="20">
                  <c:v>37.826999999999998</c:v>
                </c:pt>
                <c:pt idx="21">
                  <c:v>38.235500000000002</c:v>
                </c:pt>
                <c:pt idx="22">
                  <c:v>38.642800000000001</c:v>
                </c:pt>
                <c:pt idx="23">
                  <c:v>39.046700000000001</c:v>
                </c:pt>
                <c:pt idx="24">
                  <c:v>39.452599999999997</c:v>
                </c:pt>
                <c:pt idx="25">
                  <c:v>39.858600000000003</c:v>
                </c:pt>
                <c:pt idx="26">
                  <c:v>40.265599999999999</c:v>
                </c:pt>
                <c:pt idx="27">
                  <c:v>40.674300000000002</c:v>
                </c:pt>
                <c:pt idx="28">
                  <c:v>41.080300000000001</c:v>
                </c:pt>
                <c:pt idx="29">
                  <c:v>41.4831</c:v>
                </c:pt>
                <c:pt idx="30">
                  <c:v>41.888300000000001</c:v>
                </c:pt>
                <c:pt idx="31">
                  <c:v>42.301299999999998</c:v>
                </c:pt>
                <c:pt idx="32">
                  <c:v>42.7059</c:v>
                </c:pt>
                <c:pt idx="33">
                  <c:v>43.111800000000002</c:v>
                </c:pt>
                <c:pt idx="34">
                  <c:v>43.5167</c:v>
                </c:pt>
                <c:pt idx="35">
                  <c:v>43.9206</c:v>
                </c:pt>
                <c:pt idx="36">
                  <c:v>44.325699999999998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45.546300000000002</c:v>
                </c:pt>
                <c:pt idx="40">
                  <c:v>45.953200000000002</c:v>
                </c:pt>
                <c:pt idx="41">
                  <c:v>46.358199999999997</c:v>
                </c:pt>
                <c:pt idx="42">
                  <c:v>46.765999999999998</c:v>
                </c:pt>
                <c:pt idx="43">
                  <c:v>47.1721</c:v>
                </c:pt>
                <c:pt idx="44">
                  <c:v>47.575000000000003</c:v>
                </c:pt>
                <c:pt idx="45">
                  <c:v>47.985700000000001</c:v>
                </c:pt>
                <c:pt idx="46">
                  <c:v>48.390799999999999</c:v>
                </c:pt>
                <c:pt idx="47">
                  <c:v>48.797600000000003</c:v>
                </c:pt>
                <c:pt idx="48">
                  <c:v>49.201599999999999</c:v>
                </c:pt>
                <c:pt idx="49">
                  <c:v>49.6066</c:v>
                </c:pt>
                <c:pt idx="50">
                  <c:v>50.018599999999999</c:v>
                </c:pt>
                <c:pt idx="51">
                  <c:v>50.423299999999998</c:v>
                </c:pt>
                <c:pt idx="52">
                  <c:v>50.829099999999997</c:v>
                </c:pt>
                <c:pt idx="53">
                  <c:v>51.236699999999999</c:v>
                </c:pt>
                <c:pt idx="54">
                  <c:v>51.641100000000002</c:v>
                </c:pt>
                <c:pt idx="55">
                  <c:v>52.049900000000001</c:v>
                </c:pt>
                <c:pt idx="56">
                  <c:v>52.452800000000003</c:v>
                </c:pt>
                <c:pt idx="57">
                  <c:v>52.857700000000001</c:v>
                </c:pt>
                <c:pt idx="58">
                  <c:v>53.264699999999998</c:v>
                </c:pt>
                <c:pt idx="59">
                  <c:v>53.671700000000001</c:v>
                </c:pt>
                <c:pt idx="60">
                  <c:v>54.078400000000002</c:v>
                </c:pt>
                <c:pt idx="61">
                  <c:v>54.4846</c:v>
                </c:pt>
                <c:pt idx="62">
                  <c:v>54.891300000000001</c:v>
                </c:pt>
                <c:pt idx="63">
                  <c:v>55.2973</c:v>
                </c:pt>
                <c:pt idx="64">
                  <c:v>55.7042</c:v>
                </c:pt>
                <c:pt idx="65">
                  <c:v>56.11</c:v>
                </c:pt>
                <c:pt idx="66">
                  <c:v>56.517000000000003</c:v>
                </c:pt>
                <c:pt idx="67">
                  <c:v>56.922899999999998</c:v>
                </c:pt>
                <c:pt idx="68">
                  <c:v>57.324800000000003</c:v>
                </c:pt>
                <c:pt idx="69">
                  <c:v>57.734099999999998</c:v>
                </c:pt>
                <c:pt idx="70">
                  <c:v>58.142499999999998</c:v>
                </c:pt>
                <c:pt idx="71">
                  <c:v>58.5456</c:v>
                </c:pt>
                <c:pt idx="72">
                  <c:v>58.955500000000001</c:v>
                </c:pt>
                <c:pt idx="73">
                  <c:v>59.359299999999998</c:v>
                </c:pt>
                <c:pt idx="74">
                  <c:v>59.766599999999997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3.2750400000000002</c:v>
                </c:pt>
                <c:pt idx="1">
                  <c:v>3.27922</c:v>
                </c:pt>
                <c:pt idx="2">
                  <c:v>3.27928</c:v>
                </c:pt>
                <c:pt idx="3">
                  <c:v>3.27861</c:v>
                </c:pt>
                <c:pt idx="4">
                  <c:v>3.2796099999999999</c:v>
                </c:pt>
                <c:pt idx="5">
                  <c:v>3.2818399999999999</c:v>
                </c:pt>
                <c:pt idx="6">
                  <c:v>3.2873999999999999</c:v>
                </c:pt>
                <c:pt idx="7">
                  <c:v>3.2966899999999999</c:v>
                </c:pt>
                <c:pt idx="8">
                  <c:v>3.3058199999999998</c:v>
                </c:pt>
                <c:pt idx="9">
                  <c:v>3.31609</c:v>
                </c:pt>
                <c:pt idx="10">
                  <c:v>3.3283499999999999</c:v>
                </c:pt>
                <c:pt idx="11">
                  <c:v>3.3421000000000003</c:v>
                </c:pt>
                <c:pt idx="12">
                  <c:v>3.3540100000000002</c:v>
                </c:pt>
                <c:pt idx="13">
                  <c:v>3.3673700000000002</c:v>
                </c:pt>
                <c:pt idx="14">
                  <c:v>3.3788200000000002</c:v>
                </c:pt>
                <c:pt idx="15">
                  <c:v>3.38626</c:v>
                </c:pt>
                <c:pt idx="16">
                  <c:v>3.3910900000000002</c:v>
                </c:pt>
                <c:pt idx="17">
                  <c:v>3.3939900000000001</c:v>
                </c:pt>
                <c:pt idx="18">
                  <c:v>3.3935700000000004</c:v>
                </c:pt>
                <c:pt idx="19">
                  <c:v>3.3883099999999997</c:v>
                </c:pt>
                <c:pt idx="20">
                  <c:v>3.3796200000000001</c:v>
                </c:pt>
                <c:pt idx="21">
                  <c:v>3.3676699999999999</c:v>
                </c:pt>
                <c:pt idx="22">
                  <c:v>3.3510299999999997</c:v>
                </c:pt>
                <c:pt idx="23">
                  <c:v>3.33691</c:v>
                </c:pt>
                <c:pt idx="24">
                  <c:v>3.3244499999999997</c:v>
                </c:pt>
                <c:pt idx="25">
                  <c:v>3.3145899999999999</c:v>
                </c:pt>
                <c:pt idx="26">
                  <c:v>3.3048300000000004</c:v>
                </c:pt>
                <c:pt idx="27">
                  <c:v>3.2964100000000003</c:v>
                </c:pt>
                <c:pt idx="28">
                  <c:v>3.28939</c:v>
                </c:pt>
                <c:pt idx="29">
                  <c:v>3.2816800000000002</c:v>
                </c:pt>
                <c:pt idx="30">
                  <c:v>3.2714400000000001</c:v>
                </c:pt>
                <c:pt idx="31">
                  <c:v>3.2570900000000003</c:v>
                </c:pt>
                <c:pt idx="32">
                  <c:v>3.23902</c:v>
                </c:pt>
                <c:pt idx="33">
                  <c:v>3.2183000000000002</c:v>
                </c:pt>
                <c:pt idx="34">
                  <c:v>3.1968899999999998</c:v>
                </c:pt>
                <c:pt idx="35">
                  <c:v>3.1714799999999999</c:v>
                </c:pt>
                <c:pt idx="36">
                  <c:v>3.1445600000000002</c:v>
                </c:pt>
                <c:pt idx="37">
                  <c:v>3.1197499999999998</c:v>
                </c:pt>
                <c:pt idx="38">
                  <c:v>3.0918899999999998</c:v>
                </c:pt>
                <c:pt idx="39">
                  <c:v>3.0677599999999998</c:v>
                </c:pt>
                <c:pt idx="40">
                  <c:v>3.0436299999999998</c:v>
                </c:pt>
                <c:pt idx="41">
                  <c:v>3.0194199999999998</c:v>
                </c:pt>
                <c:pt idx="42">
                  <c:v>2.9965599999999997</c:v>
                </c:pt>
                <c:pt idx="43">
                  <c:v>2.9722200000000001</c:v>
                </c:pt>
                <c:pt idx="44">
                  <c:v>2.95004</c:v>
                </c:pt>
                <c:pt idx="45">
                  <c:v>2.9307600000000003</c:v>
                </c:pt>
                <c:pt idx="46">
                  <c:v>2.9115500000000001</c:v>
                </c:pt>
                <c:pt idx="47">
                  <c:v>2.89351</c:v>
                </c:pt>
                <c:pt idx="48">
                  <c:v>2.8774600000000001</c:v>
                </c:pt>
                <c:pt idx="49">
                  <c:v>2.8635600000000001</c:v>
                </c:pt>
                <c:pt idx="50">
                  <c:v>2.8503699999999998</c:v>
                </c:pt>
                <c:pt idx="51">
                  <c:v>2.8398499999999998</c:v>
                </c:pt>
                <c:pt idx="52">
                  <c:v>2.8319100000000001</c:v>
                </c:pt>
                <c:pt idx="53">
                  <c:v>2.8233299999999999</c:v>
                </c:pt>
                <c:pt idx="54">
                  <c:v>2.8134900000000003</c:v>
                </c:pt>
                <c:pt idx="55">
                  <c:v>2.8049200000000001</c:v>
                </c:pt>
                <c:pt idx="56">
                  <c:v>2.7973599999999998</c:v>
                </c:pt>
                <c:pt idx="57">
                  <c:v>2.7916099999999999</c:v>
                </c:pt>
                <c:pt idx="58">
                  <c:v>2.7883900000000001</c:v>
                </c:pt>
                <c:pt idx="59">
                  <c:v>2.7855699999999999</c:v>
                </c:pt>
                <c:pt idx="60">
                  <c:v>2.7875800000000002</c:v>
                </c:pt>
                <c:pt idx="61">
                  <c:v>2.7909600000000001</c:v>
                </c:pt>
                <c:pt idx="62">
                  <c:v>2.7931499999999998</c:v>
                </c:pt>
                <c:pt idx="63">
                  <c:v>2.7950699999999999</c:v>
                </c:pt>
                <c:pt idx="64">
                  <c:v>2.7908400000000002</c:v>
                </c:pt>
                <c:pt idx="65">
                  <c:v>2.7913900000000003</c:v>
                </c:pt>
                <c:pt idx="66">
                  <c:v>2.7888299999999999</c:v>
                </c:pt>
                <c:pt idx="67">
                  <c:v>2.78241</c:v>
                </c:pt>
                <c:pt idx="68">
                  <c:v>2.7811300000000001</c:v>
                </c:pt>
                <c:pt idx="69">
                  <c:v>2.7814399999999999</c:v>
                </c:pt>
                <c:pt idx="70">
                  <c:v>2.7801199999999997</c:v>
                </c:pt>
                <c:pt idx="71">
                  <c:v>2.7927800000000005</c:v>
                </c:pt>
                <c:pt idx="72">
                  <c:v>2.8165200000000001</c:v>
                </c:pt>
                <c:pt idx="73">
                  <c:v>2.8407200000000001</c:v>
                </c:pt>
                <c:pt idx="74">
                  <c:v>2.8425699999999998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14.941649999999999</c:v>
                </c:pt>
                <c:pt idx="1">
                  <c:v>44.824950000000001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2.842750675675676</c:v>
                </c:pt>
                <c:pt idx="1">
                  <c:v>3.0796514864864872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  <c:pt idx="74">
                  <c:v>30.063700000000001</c:v>
                </c:pt>
                <c:pt idx="75">
                  <c:v>30.528400000000001</c:v>
                </c:pt>
                <c:pt idx="76">
                  <c:v>30.923400000000001</c:v>
                </c:pt>
                <c:pt idx="77">
                  <c:v>31.327400000000001</c:v>
                </c:pt>
                <c:pt idx="78">
                  <c:v>31.7333</c:v>
                </c:pt>
                <c:pt idx="79">
                  <c:v>32.141199999999998</c:v>
                </c:pt>
                <c:pt idx="80">
                  <c:v>32.545200000000001</c:v>
                </c:pt>
                <c:pt idx="81">
                  <c:v>32.954000000000001</c:v>
                </c:pt>
                <c:pt idx="82">
                  <c:v>33.358899999999998</c:v>
                </c:pt>
                <c:pt idx="83">
                  <c:v>33.765000000000001</c:v>
                </c:pt>
                <c:pt idx="84">
                  <c:v>34.172699999999999</c:v>
                </c:pt>
                <c:pt idx="85">
                  <c:v>34.577800000000003</c:v>
                </c:pt>
                <c:pt idx="86">
                  <c:v>34.9876</c:v>
                </c:pt>
                <c:pt idx="87">
                  <c:v>35.390500000000003</c:v>
                </c:pt>
                <c:pt idx="88">
                  <c:v>35.796399999999998</c:v>
                </c:pt>
                <c:pt idx="89">
                  <c:v>36.201599999999999</c:v>
                </c:pt>
                <c:pt idx="90">
                  <c:v>36.610199999999999</c:v>
                </c:pt>
                <c:pt idx="91">
                  <c:v>37.017299999999999</c:v>
                </c:pt>
                <c:pt idx="92">
                  <c:v>37.420900000000003</c:v>
                </c:pt>
                <c:pt idx="93">
                  <c:v>37.826999999999998</c:v>
                </c:pt>
                <c:pt idx="94">
                  <c:v>38.235500000000002</c:v>
                </c:pt>
                <c:pt idx="95">
                  <c:v>38.642800000000001</c:v>
                </c:pt>
                <c:pt idx="96">
                  <c:v>39.046700000000001</c:v>
                </c:pt>
                <c:pt idx="97">
                  <c:v>39.452599999999997</c:v>
                </c:pt>
                <c:pt idx="98">
                  <c:v>39.858600000000003</c:v>
                </c:pt>
                <c:pt idx="99">
                  <c:v>40.265599999999999</c:v>
                </c:pt>
                <c:pt idx="100">
                  <c:v>40.674300000000002</c:v>
                </c:pt>
                <c:pt idx="101">
                  <c:v>41.080300000000001</c:v>
                </c:pt>
                <c:pt idx="102">
                  <c:v>41.4831</c:v>
                </c:pt>
                <c:pt idx="103">
                  <c:v>41.888300000000001</c:v>
                </c:pt>
                <c:pt idx="104">
                  <c:v>42.301299999999998</c:v>
                </c:pt>
                <c:pt idx="105">
                  <c:v>42.7059</c:v>
                </c:pt>
                <c:pt idx="106">
                  <c:v>43.111800000000002</c:v>
                </c:pt>
                <c:pt idx="107">
                  <c:v>43.5167</c:v>
                </c:pt>
                <c:pt idx="108">
                  <c:v>43.9206</c:v>
                </c:pt>
                <c:pt idx="109">
                  <c:v>44.325699999999998</c:v>
                </c:pt>
                <c:pt idx="110">
                  <c:v>44.737499999999997</c:v>
                </c:pt>
                <c:pt idx="111">
                  <c:v>45.141300000000001</c:v>
                </c:pt>
                <c:pt idx="112">
                  <c:v>45.546300000000002</c:v>
                </c:pt>
                <c:pt idx="113">
                  <c:v>45.953200000000002</c:v>
                </c:pt>
                <c:pt idx="114">
                  <c:v>46.358199999999997</c:v>
                </c:pt>
                <c:pt idx="115">
                  <c:v>46.765999999999998</c:v>
                </c:pt>
                <c:pt idx="116">
                  <c:v>47.1721</c:v>
                </c:pt>
                <c:pt idx="117">
                  <c:v>47.575000000000003</c:v>
                </c:pt>
                <c:pt idx="118">
                  <c:v>47.985700000000001</c:v>
                </c:pt>
                <c:pt idx="119">
                  <c:v>48.390799999999999</c:v>
                </c:pt>
                <c:pt idx="120">
                  <c:v>48.797600000000003</c:v>
                </c:pt>
                <c:pt idx="121">
                  <c:v>49.201599999999999</c:v>
                </c:pt>
                <c:pt idx="122">
                  <c:v>49.6066</c:v>
                </c:pt>
                <c:pt idx="123">
                  <c:v>50.018599999999999</c:v>
                </c:pt>
                <c:pt idx="124">
                  <c:v>50.423299999999998</c:v>
                </c:pt>
                <c:pt idx="125">
                  <c:v>50.829099999999997</c:v>
                </c:pt>
                <c:pt idx="126">
                  <c:v>51.236699999999999</c:v>
                </c:pt>
                <c:pt idx="127">
                  <c:v>51.641100000000002</c:v>
                </c:pt>
                <c:pt idx="128">
                  <c:v>52.049900000000001</c:v>
                </c:pt>
                <c:pt idx="129">
                  <c:v>52.452800000000003</c:v>
                </c:pt>
                <c:pt idx="130">
                  <c:v>52.857700000000001</c:v>
                </c:pt>
                <c:pt idx="131">
                  <c:v>53.264699999999998</c:v>
                </c:pt>
                <c:pt idx="132">
                  <c:v>53.671700000000001</c:v>
                </c:pt>
                <c:pt idx="133">
                  <c:v>54.078400000000002</c:v>
                </c:pt>
                <c:pt idx="134">
                  <c:v>54.4846</c:v>
                </c:pt>
                <c:pt idx="135">
                  <c:v>54.891300000000001</c:v>
                </c:pt>
                <c:pt idx="136">
                  <c:v>55.2973</c:v>
                </c:pt>
                <c:pt idx="137">
                  <c:v>55.7042</c:v>
                </c:pt>
                <c:pt idx="138">
                  <c:v>56.11</c:v>
                </c:pt>
                <c:pt idx="139">
                  <c:v>56.517000000000003</c:v>
                </c:pt>
                <c:pt idx="140">
                  <c:v>56.922899999999998</c:v>
                </c:pt>
                <c:pt idx="141">
                  <c:v>57.324800000000003</c:v>
                </c:pt>
                <c:pt idx="142">
                  <c:v>57.734099999999998</c:v>
                </c:pt>
                <c:pt idx="143">
                  <c:v>58.142499999999998</c:v>
                </c:pt>
                <c:pt idx="144">
                  <c:v>58.5456</c:v>
                </c:pt>
                <c:pt idx="145">
                  <c:v>58.955500000000001</c:v>
                </c:pt>
                <c:pt idx="146">
                  <c:v>59.359299999999998</c:v>
                </c:pt>
                <c:pt idx="147">
                  <c:v>59.766599999999997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  <c:pt idx="74">
                  <c:v>33.616800000000005</c:v>
                </c:pt>
                <c:pt idx="75">
                  <c:v>33.583200000000005</c:v>
                </c:pt>
                <c:pt idx="76">
                  <c:v>33.522800000000004</c:v>
                </c:pt>
                <c:pt idx="77">
                  <c:v>33.421900000000001</c:v>
                </c:pt>
                <c:pt idx="78">
                  <c:v>33.304499999999997</c:v>
                </c:pt>
                <c:pt idx="79">
                  <c:v>33.2027</c:v>
                </c:pt>
                <c:pt idx="80">
                  <c:v>33.121600000000001</c:v>
                </c:pt>
                <c:pt idx="81">
                  <c:v>33.040199999999999</c:v>
                </c:pt>
                <c:pt idx="82">
                  <c:v>32.993499999999997</c:v>
                </c:pt>
                <c:pt idx="83">
                  <c:v>33.001399999999997</c:v>
                </c:pt>
                <c:pt idx="84">
                  <c:v>32.953500000000005</c:v>
                </c:pt>
                <c:pt idx="85">
                  <c:v>32.887</c:v>
                </c:pt>
                <c:pt idx="86">
                  <c:v>32.7652</c:v>
                </c:pt>
                <c:pt idx="87">
                  <c:v>32.660600000000002</c:v>
                </c:pt>
                <c:pt idx="88">
                  <c:v>32.587600000000002</c:v>
                </c:pt>
                <c:pt idx="89">
                  <c:v>32.470300000000002</c:v>
                </c:pt>
                <c:pt idx="90">
                  <c:v>32.3994</c:v>
                </c:pt>
                <c:pt idx="91">
                  <c:v>32.439599999999999</c:v>
                </c:pt>
                <c:pt idx="92">
                  <c:v>32.531100000000002</c:v>
                </c:pt>
                <c:pt idx="93">
                  <c:v>32.570100000000004</c:v>
                </c:pt>
                <c:pt idx="94">
                  <c:v>32.622700000000002</c:v>
                </c:pt>
                <c:pt idx="95">
                  <c:v>32.727000000000004</c:v>
                </c:pt>
                <c:pt idx="96">
                  <c:v>32.757799999999996</c:v>
                </c:pt>
                <c:pt idx="97">
                  <c:v>32.7151</c:v>
                </c:pt>
                <c:pt idx="98">
                  <c:v>32.575700000000005</c:v>
                </c:pt>
                <c:pt idx="99">
                  <c:v>32.36</c:v>
                </c:pt>
                <c:pt idx="100">
                  <c:v>32.086300000000001</c:v>
                </c:pt>
                <c:pt idx="101">
                  <c:v>31.878800000000002</c:v>
                </c:pt>
                <c:pt idx="102">
                  <c:v>31.697300000000002</c:v>
                </c:pt>
                <c:pt idx="103">
                  <c:v>31.521999999999998</c:v>
                </c:pt>
                <c:pt idx="104">
                  <c:v>31.365300000000001</c:v>
                </c:pt>
                <c:pt idx="105">
                  <c:v>31.2239</c:v>
                </c:pt>
                <c:pt idx="106">
                  <c:v>31.026300000000003</c:v>
                </c:pt>
                <c:pt idx="107">
                  <c:v>30.797200000000004</c:v>
                </c:pt>
                <c:pt idx="108">
                  <c:v>30.5245</c:v>
                </c:pt>
                <c:pt idx="109">
                  <c:v>30.285</c:v>
                </c:pt>
                <c:pt idx="110">
                  <c:v>30.102800000000002</c:v>
                </c:pt>
                <c:pt idx="111">
                  <c:v>30.0579</c:v>
                </c:pt>
                <c:pt idx="112">
                  <c:v>29.979099999999999</c:v>
                </c:pt>
                <c:pt idx="113">
                  <c:v>29.912499999999998</c:v>
                </c:pt>
                <c:pt idx="114">
                  <c:v>29.909799999999997</c:v>
                </c:pt>
                <c:pt idx="115">
                  <c:v>29.813600000000001</c:v>
                </c:pt>
                <c:pt idx="116">
                  <c:v>29.663499999999999</c:v>
                </c:pt>
                <c:pt idx="117">
                  <c:v>29.478700000000003</c:v>
                </c:pt>
                <c:pt idx="118">
                  <c:v>29.255399999999998</c:v>
                </c:pt>
                <c:pt idx="119">
                  <c:v>29.051900000000003</c:v>
                </c:pt>
                <c:pt idx="120">
                  <c:v>28.855499999999999</c:v>
                </c:pt>
                <c:pt idx="121">
                  <c:v>28.7258</c:v>
                </c:pt>
                <c:pt idx="122">
                  <c:v>28.635899999999996</c:v>
                </c:pt>
                <c:pt idx="123">
                  <c:v>28.573700000000002</c:v>
                </c:pt>
                <c:pt idx="124">
                  <c:v>28.505999999999997</c:v>
                </c:pt>
                <c:pt idx="125">
                  <c:v>28.382099999999998</c:v>
                </c:pt>
                <c:pt idx="126">
                  <c:v>28.219799999999999</c:v>
                </c:pt>
                <c:pt idx="127">
                  <c:v>28.082899999999999</c:v>
                </c:pt>
                <c:pt idx="128">
                  <c:v>27.923100000000002</c:v>
                </c:pt>
                <c:pt idx="129">
                  <c:v>27.722999999999999</c:v>
                </c:pt>
                <c:pt idx="130">
                  <c:v>27.522099999999998</c:v>
                </c:pt>
                <c:pt idx="131">
                  <c:v>27.411200000000001</c:v>
                </c:pt>
                <c:pt idx="132">
                  <c:v>27.363700000000001</c:v>
                </c:pt>
                <c:pt idx="133">
                  <c:v>27.364100000000001</c:v>
                </c:pt>
                <c:pt idx="134">
                  <c:v>27.424300000000002</c:v>
                </c:pt>
                <c:pt idx="135">
                  <c:v>27.416200000000003</c:v>
                </c:pt>
                <c:pt idx="136">
                  <c:v>27.3644</c:v>
                </c:pt>
                <c:pt idx="137">
                  <c:v>27.404899999999998</c:v>
                </c:pt>
                <c:pt idx="138">
                  <c:v>27.356999999999999</c:v>
                </c:pt>
                <c:pt idx="139">
                  <c:v>27.434599999999996</c:v>
                </c:pt>
                <c:pt idx="140">
                  <c:v>27.7517</c:v>
                </c:pt>
                <c:pt idx="141">
                  <c:v>28.023900000000001</c:v>
                </c:pt>
                <c:pt idx="142">
                  <c:v>28.229900000000001</c:v>
                </c:pt>
                <c:pt idx="143">
                  <c:v>28.646999999999998</c:v>
                </c:pt>
                <c:pt idx="144">
                  <c:v>28.8568</c:v>
                </c:pt>
                <c:pt idx="145">
                  <c:v>28.640500000000003</c:v>
                </c:pt>
                <c:pt idx="146">
                  <c:v>28.521400000000003</c:v>
                </c:pt>
                <c:pt idx="147">
                  <c:v>28.480499999999999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0.40398099999999998</c:v>
                </c:pt>
                <c:pt idx="2">
                  <c:v>0.81384500000000004</c:v>
                </c:pt>
                <c:pt idx="3">
                  <c:v>1.2206999999999999</c:v>
                </c:pt>
                <c:pt idx="4">
                  <c:v>1.6246799999999999</c:v>
                </c:pt>
                <c:pt idx="5">
                  <c:v>2.0315300000000001</c:v>
                </c:pt>
                <c:pt idx="6">
                  <c:v>2.4397199999999999</c:v>
                </c:pt>
                <c:pt idx="7">
                  <c:v>2.8454000000000002</c:v>
                </c:pt>
                <c:pt idx="8">
                  <c:v>3.2502900000000001</c:v>
                </c:pt>
                <c:pt idx="9">
                  <c:v>3.6581899999999998</c:v>
                </c:pt>
                <c:pt idx="10">
                  <c:v>4.0621099999999997</c:v>
                </c:pt>
                <c:pt idx="11">
                  <c:v>4.4691900000000002</c:v>
                </c:pt>
                <c:pt idx="12">
                  <c:v>4.87296</c:v>
                </c:pt>
                <c:pt idx="13">
                  <c:v>5.2818800000000001</c:v>
                </c:pt>
                <c:pt idx="14">
                  <c:v>5.6839500000000003</c:v>
                </c:pt>
                <c:pt idx="15">
                  <c:v>6.09239</c:v>
                </c:pt>
                <c:pt idx="16">
                  <c:v>6.5021399999999998</c:v>
                </c:pt>
                <c:pt idx="17">
                  <c:v>6.9047099999999997</c:v>
                </c:pt>
                <c:pt idx="18">
                  <c:v>7.3156600000000003</c:v>
                </c:pt>
                <c:pt idx="19">
                  <c:v>7.7233299999999998</c:v>
                </c:pt>
                <c:pt idx="20">
                  <c:v>8.1263699999999996</c:v>
                </c:pt>
                <c:pt idx="21">
                  <c:v>8.5291399999999999</c:v>
                </c:pt>
                <c:pt idx="22">
                  <c:v>8.9400700000000004</c:v>
                </c:pt>
                <c:pt idx="23">
                  <c:v>9.3460999999999999</c:v>
                </c:pt>
                <c:pt idx="24">
                  <c:v>9.7489299999999997</c:v>
                </c:pt>
                <c:pt idx="25">
                  <c:v>10.1548</c:v>
                </c:pt>
                <c:pt idx="26">
                  <c:v>10.562799999999999</c:v>
                </c:pt>
                <c:pt idx="27">
                  <c:v>10.9696</c:v>
                </c:pt>
                <c:pt idx="28">
                  <c:v>11.3726</c:v>
                </c:pt>
                <c:pt idx="29">
                  <c:v>11.781499999999999</c:v>
                </c:pt>
                <c:pt idx="30">
                  <c:v>12.1884</c:v>
                </c:pt>
                <c:pt idx="31">
                  <c:v>12.593299999999999</c:v>
                </c:pt>
                <c:pt idx="32">
                  <c:v>13.000299999999999</c:v>
                </c:pt>
                <c:pt idx="33">
                  <c:v>13.4072</c:v>
                </c:pt>
                <c:pt idx="34">
                  <c:v>13.814</c:v>
                </c:pt>
                <c:pt idx="35">
                  <c:v>14.2182</c:v>
                </c:pt>
                <c:pt idx="36">
                  <c:v>14.621700000000001</c:v>
                </c:pt>
                <c:pt idx="37">
                  <c:v>15.030900000000001</c:v>
                </c:pt>
                <c:pt idx="38">
                  <c:v>15.4367</c:v>
                </c:pt>
                <c:pt idx="39">
                  <c:v>15.8466</c:v>
                </c:pt>
                <c:pt idx="40">
                  <c:v>16.2485</c:v>
                </c:pt>
                <c:pt idx="41">
                  <c:v>16.6554</c:v>
                </c:pt>
                <c:pt idx="42">
                  <c:v>17.063500000000001</c:v>
                </c:pt>
                <c:pt idx="43">
                  <c:v>17.466000000000001</c:v>
                </c:pt>
                <c:pt idx="44">
                  <c:v>17.8782</c:v>
                </c:pt>
                <c:pt idx="45">
                  <c:v>18.281199999999998</c:v>
                </c:pt>
                <c:pt idx="46">
                  <c:v>18.688199999999998</c:v>
                </c:pt>
                <c:pt idx="47">
                  <c:v>19.095099999999999</c:v>
                </c:pt>
                <c:pt idx="48">
                  <c:v>19.498100000000001</c:v>
                </c:pt>
                <c:pt idx="49">
                  <c:v>19.908799999999999</c:v>
                </c:pt>
                <c:pt idx="50">
                  <c:v>20.312799999999999</c:v>
                </c:pt>
                <c:pt idx="51">
                  <c:v>20.715699999999998</c:v>
                </c:pt>
                <c:pt idx="52">
                  <c:v>21.123899999999999</c:v>
                </c:pt>
                <c:pt idx="53">
                  <c:v>21.529499999999999</c:v>
                </c:pt>
                <c:pt idx="54">
                  <c:v>21.939499999999999</c:v>
                </c:pt>
                <c:pt idx="55">
                  <c:v>22.344200000000001</c:v>
                </c:pt>
                <c:pt idx="56">
                  <c:v>22.749700000000001</c:v>
                </c:pt>
                <c:pt idx="57">
                  <c:v>23.152200000000001</c:v>
                </c:pt>
                <c:pt idx="58">
                  <c:v>23.562100000000001</c:v>
                </c:pt>
                <c:pt idx="59">
                  <c:v>23.966899999999999</c:v>
                </c:pt>
                <c:pt idx="60">
                  <c:v>24.374300000000002</c:v>
                </c:pt>
                <c:pt idx="61">
                  <c:v>24.782800000000002</c:v>
                </c:pt>
                <c:pt idx="62">
                  <c:v>25.191700000000001</c:v>
                </c:pt>
                <c:pt idx="63">
                  <c:v>25.5945</c:v>
                </c:pt>
                <c:pt idx="64">
                  <c:v>25.999600000000001</c:v>
                </c:pt>
                <c:pt idx="65">
                  <c:v>26.4056</c:v>
                </c:pt>
                <c:pt idx="66">
                  <c:v>26.814299999999999</c:v>
                </c:pt>
                <c:pt idx="67">
                  <c:v>27.2212</c:v>
                </c:pt>
                <c:pt idx="68">
                  <c:v>27.624099999999999</c:v>
                </c:pt>
                <c:pt idx="69">
                  <c:v>28.030999999999999</c:v>
                </c:pt>
                <c:pt idx="70">
                  <c:v>28.434200000000001</c:v>
                </c:pt>
                <c:pt idx="71">
                  <c:v>28.844899999999999</c:v>
                </c:pt>
                <c:pt idx="72">
                  <c:v>29.252800000000001</c:v>
                </c:pt>
                <c:pt idx="73">
                  <c:v>29.653700000000001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30.063700000000001</c:v>
                </c:pt>
                <c:pt idx="2">
                  <c:v>30.528400000000001</c:v>
                </c:pt>
                <c:pt idx="3">
                  <c:v>30.923400000000001</c:v>
                </c:pt>
                <c:pt idx="4">
                  <c:v>31.327400000000001</c:v>
                </c:pt>
                <c:pt idx="5">
                  <c:v>31.7333</c:v>
                </c:pt>
                <c:pt idx="6">
                  <c:v>32.141199999999998</c:v>
                </c:pt>
                <c:pt idx="7">
                  <c:v>32.545200000000001</c:v>
                </c:pt>
                <c:pt idx="8">
                  <c:v>32.954000000000001</c:v>
                </c:pt>
                <c:pt idx="9">
                  <c:v>33.358899999999998</c:v>
                </c:pt>
                <c:pt idx="10">
                  <c:v>33.765000000000001</c:v>
                </c:pt>
                <c:pt idx="11">
                  <c:v>34.172699999999999</c:v>
                </c:pt>
                <c:pt idx="12">
                  <c:v>34.577800000000003</c:v>
                </c:pt>
                <c:pt idx="13">
                  <c:v>34.9876</c:v>
                </c:pt>
                <c:pt idx="14">
                  <c:v>35.390500000000003</c:v>
                </c:pt>
                <c:pt idx="15">
                  <c:v>35.796399999999998</c:v>
                </c:pt>
                <c:pt idx="16">
                  <c:v>36.201599999999999</c:v>
                </c:pt>
                <c:pt idx="17">
                  <c:v>36.610199999999999</c:v>
                </c:pt>
                <c:pt idx="18">
                  <c:v>37.017299999999999</c:v>
                </c:pt>
                <c:pt idx="19">
                  <c:v>37.420900000000003</c:v>
                </c:pt>
                <c:pt idx="20">
                  <c:v>37.826999999999998</c:v>
                </c:pt>
                <c:pt idx="21">
                  <c:v>38.235500000000002</c:v>
                </c:pt>
                <c:pt idx="22">
                  <c:v>38.642800000000001</c:v>
                </c:pt>
                <c:pt idx="23">
                  <c:v>39.046700000000001</c:v>
                </c:pt>
                <c:pt idx="24">
                  <c:v>39.452599999999997</c:v>
                </c:pt>
                <c:pt idx="25">
                  <c:v>39.858600000000003</c:v>
                </c:pt>
                <c:pt idx="26">
                  <c:v>40.265599999999999</c:v>
                </c:pt>
                <c:pt idx="27">
                  <c:v>40.674300000000002</c:v>
                </c:pt>
                <c:pt idx="28">
                  <c:v>41.080300000000001</c:v>
                </c:pt>
                <c:pt idx="29">
                  <c:v>41.4831</c:v>
                </c:pt>
                <c:pt idx="30">
                  <c:v>41.888300000000001</c:v>
                </c:pt>
                <c:pt idx="31">
                  <c:v>42.301299999999998</c:v>
                </c:pt>
                <c:pt idx="32">
                  <c:v>42.7059</c:v>
                </c:pt>
                <c:pt idx="33">
                  <c:v>43.111800000000002</c:v>
                </c:pt>
                <c:pt idx="34">
                  <c:v>43.5167</c:v>
                </c:pt>
                <c:pt idx="35">
                  <c:v>43.9206</c:v>
                </c:pt>
                <c:pt idx="36">
                  <c:v>44.325699999999998</c:v>
                </c:pt>
                <c:pt idx="37">
                  <c:v>44.737499999999997</c:v>
                </c:pt>
                <c:pt idx="38">
                  <c:v>45.141300000000001</c:v>
                </c:pt>
                <c:pt idx="39">
                  <c:v>45.546300000000002</c:v>
                </c:pt>
                <c:pt idx="40">
                  <c:v>45.953200000000002</c:v>
                </c:pt>
                <c:pt idx="41">
                  <c:v>46.358199999999997</c:v>
                </c:pt>
                <c:pt idx="42">
                  <c:v>46.765999999999998</c:v>
                </c:pt>
                <c:pt idx="43">
                  <c:v>47.1721</c:v>
                </c:pt>
                <c:pt idx="44">
                  <c:v>47.575000000000003</c:v>
                </c:pt>
                <c:pt idx="45">
                  <c:v>47.985700000000001</c:v>
                </c:pt>
                <c:pt idx="46">
                  <c:v>48.390799999999999</c:v>
                </c:pt>
                <c:pt idx="47">
                  <c:v>48.797600000000003</c:v>
                </c:pt>
                <c:pt idx="48">
                  <c:v>49.201599999999999</c:v>
                </c:pt>
                <c:pt idx="49">
                  <c:v>49.6066</c:v>
                </c:pt>
                <c:pt idx="50">
                  <c:v>50.018599999999999</c:v>
                </c:pt>
                <c:pt idx="51">
                  <c:v>50.423299999999998</c:v>
                </c:pt>
                <c:pt idx="52">
                  <c:v>50.829099999999997</c:v>
                </c:pt>
                <c:pt idx="53">
                  <c:v>51.236699999999999</c:v>
                </c:pt>
                <c:pt idx="54">
                  <c:v>51.641100000000002</c:v>
                </c:pt>
                <c:pt idx="55">
                  <c:v>52.049900000000001</c:v>
                </c:pt>
                <c:pt idx="56">
                  <c:v>52.452800000000003</c:v>
                </c:pt>
                <c:pt idx="57">
                  <c:v>52.857700000000001</c:v>
                </c:pt>
                <c:pt idx="58">
                  <c:v>53.264699999999998</c:v>
                </c:pt>
                <c:pt idx="59">
                  <c:v>53.671700000000001</c:v>
                </c:pt>
                <c:pt idx="60">
                  <c:v>54.078400000000002</c:v>
                </c:pt>
                <c:pt idx="61">
                  <c:v>54.4846</c:v>
                </c:pt>
                <c:pt idx="62">
                  <c:v>54.891300000000001</c:v>
                </c:pt>
                <c:pt idx="63">
                  <c:v>55.2973</c:v>
                </c:pt>
                <c:pt idx="64">
                  <c:v>55.7042</c:v>
                </c:pt>
                <c:pt idx="65">
                  <c:v>56.11</c:v>
                </c:pt>
                <c:pt idx="66">
                  <c:v>56.517000000000003</c:v>
                </c:pt>
                <c:pt idx="67">
                  <c:v>56.922899999999998</c:v>
                </c:pt>
                <c:pt idx="68">
                  <c:v>57.324800000000003</c:v>
                </c:pt>
                <c:pt idx="69">
                  <c:v>57.734099999999998</c:v>
                </c:pt>
                <c:pt idx="70">
                  <c:v>58.142499999999998</c:v>
                </c:pt>
                <c:pt idx="71">
                  <c:v>58.5456</c:v>
                </c:pt>
                <c:pt idx="72">
                  <c:v>58.955500000000001</c:v>
                </c:pt>
                <c:pt idx="73">
                  <c:v>59.359299999999998</c:v>
                </c:pt>
                <c:pt idx="74">
                  <c:v>59.766599999999997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33.710099999999997</c:v>
                </c:pt>
                <c:pt idx="1">
                  <c:v>33.616800000000005</c:v>
                </c:pt>
                <c:pt idx="2">
                  <c:v>33.583200000000005</c:v>
                </c:pt>
                <c:pt idx="3">
                  <c:v>33.522800000000004</c:v>
                </c:pt>
                <c:pt idx="4">
                  <c:v>33.421900000000001</c:v>
                </c:pt>
                <c:pt idx="5">
                  <c:v>33.304499999999997</c:v>
                </c:pt>
                <c:pt idx="6">
                  <c:v>33.2027</c:v>
                </c:pt>
                <c:pt idx="7">
                  <c:v>33.121600000000001</c:v>
                </c:pt>
                <c:pt idx="8">
                  <c:v>33.040199999999999</c:v>
                </c:pt>
                <c:pt idx="9">
                  <c:v>32.993499999999997</c:v>
                </c:pt>
                <c:pt idx="10">
                  <c:v>33.001399999999997</c:v>
                </c:pt>
                <c:pt idx="11">
                  <c:v>32.953500000000005</c:v>
                </c:pt>
                <c:pt idx="12">
                  <c:v>32.887</c:v>
                </c:pt>
                <c:pt idx="13">
                  <c:v>32.7652</c:v>
                </c:pt>
                <c:pt idx="14">
                  <c:v>32.660600000000002</c:v>
                </c:pt>
                <c:pt idx="15">
                  <c:v>32.587600000000002</c:v>
                </c:pt>
                <c:pt idx="16">
                  <c:v>32.470300000000002</c:v>
                </c:pt>
                <c:pt idx="17">
                  <c:v>32.3994</c:v>
                </c:pt>
                <c:pt idx="18">
                  <c:v>32.439599999999999</c:v>
                </c:pt>
                <c:pt idx="19">
                  <c:v>32.531100000000002</c:v>
                </c:pt>
                <c:pt idx="20">
                  <c:v>32.570100000000004</c:v>
                </c:pt>
                <c:pt idx="21">
                  <c:v>32.622700000000002</c:v>
                </c:pt>
                <c:pt idx="22">
                  <c:v>32.727000000000004</c:v>
                </c:pt>
                <c:pt idx="23">
                  <c:v>32.757799999999996</c:v>
                </c:pt>
                <c:pt idx="24">
                  <c:v>32.7151</c:v>
                </c:pt>
                <c:pt idx="25">
                  <c:v>32.575700000000005</c:v>
                </c:pt>
                <c:pt idx="26">
                  <c:v>32.36</c:v>
                </c:pt>
                <c:pt idx="27">
                  <c:v>32.086300000000001</c:v>
                </c:pt>
                <c:pt idx="28">
                  <c:v>31.878800000000002</c:v>
                </c:pt>
                <c:pt idx="29">
                  <c:v>31.697300000000002</c:v>
                </c:pt>
                <c:pt idx="30">
                  <c:v>31.521999999999998</c:v>
                </c:pt>
                <c:pt idx="31">
                  <c:v>31.365300000000001</c:v>
                </c:pt>
                <c:pt idx="32">
                  <c:v>31.2239</c:v>
                </c:pt>
                <c:pt idx="33">
                  <c:v>31.026300000000003</c:v>
                </c:pt>
                <c:pt idx="34">
                  <c:v>30.797200000000004</c:v>
                </c:pt>
                <c:pt idx="35">
                  <c:v>30.5245</c:v>
                </c:pt>
                <c:pt idx="36">
                  <c:v>30.285</c:v>
                </c:pt>
                <c:pt idx="37">
                  <c:v>30.102800000000002</c:v>
                </c:pt>
                <c:pt idx="38">
                  <c:v>30.0579</c:v>
                </c:pt>
                <c:pt idx="39">
                  <c:v>29.979099999999999</c:v>
                </c:pt>
                <c:pt idx="40">
                  <c:v>29.912499999999998</c:v>
                </c:pt>
                <c:pt idx="41">
                  <c:v>29.909799999999997</c:v>
                </c:pt>
                <c:pt idx="42">
                  <c:v>29.813600000000001</c:v>
                </c:pt>
                <c:pt idx="43">
                  <c:v>29.663499999999999</c:v>
                </c:pt>
                <c:pt idx="44">
                  <c:v>29.478700000000003</c:v>
                </c:pt>
                <c:pt idx="45">
                  <c:v>29.255399999999998</c:v>
                </c:pt>
                <c:pt idx="46">
                  <c:v>29.051900000000003</c:v>
                </c:pt>
                <c:pt idx="47">
                  <c:v>28.855499999999999</c:v>
                </c:pt>
                <c:pt idx="48">
                  <c:v>28.7258</c:v>
                </c:pt>
                <c:pt idx="49">
                  <c:v>28.635899999999996</c:v>
                </c:pt>
                <c:pt idx="50">
                  <c:v>28.573700000000002</c:v>
                </c:pt>
                <c:pt idx="51">
                  <c:v>28.505999999999997</c:v>
                </c:pt>
                <c:pt idx="52">
                  <c:v>28.382099999999998</c:v>
                </c:pt>
                <c:pt idx="53">
                  <c:v>28.219799999999999</c:v>
                </c:pt>
                <c:pt idx="54">
                  <c:v>28.082899999999999</c:v>
                </c:pt>
                <c:pt idx="55">
                  <c:v>27.923100000000002</c:v>
                </c:pt>
                <c:pt idx="56">
                  <c:v>27.722999999999999</c:v>
                </c:pt>
                <c:pt idx="57">
                  <c:v>27.522099999999998</c:v>
                </c:pt>
                <c:pt idx="58">
                  <c:v>27.411200000000001</c:v>
                </c:pt>
                <c:pt idx="59">
                  <c:v>27.363700000000001</c:v>
                </c:pt>
                <c:pt idx="60">
                  <c:v>27.364100000000001</c:v>
                </c:pt>
                <c:pt idx="61">
                  <c:v>27.424300000000002</c:v>
                </c:pt>
                <c:pt idx="62">
                  <c:v>27.416200000000003</c:v>
                </c:pt>
                <c:pt idx="63">
                  <c:v>27.3644</c:v>
                </c:pt>
                <c:pt idx="64">
                  <c:v>27.404899999999998</c:v>
                </c:pt>
                <c:pt idx="65">
                  <c:v>27.356999999999999</c:v>
                </c:pt>
                <c:pt idx="66">
                  <c:v>27.434599999999996</c:v>
                </c:pt>
                <c:pt idx="67">
                  <c:v>27.7517</c:v>
                </c:pt>
                <c:pt idx="68">
                  <c:v>28.023900000000001</c:v>
                </c:pt>
                <c:pt idx="69">
                  <c:v>28.229900000000001</c:v>
                </c:pt>
                <c:pt idx="70">
                  <c:v>28.646999999999998</c:v>
                </c:pt>
                <c:pt idx="71">
                  <c:v>28.8568</c:v>
                </c:pt>
                <c:pt idx="72">
                  <c:v>28.640500000000003</c:v>
                </c:pt>
                <c:pt idx="73">
                  <c:v>28.521400000000003</c:v>
                </c:pt>
                <c:pt idx="74">
                  <c:v>28.480499999999999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14.941649999999999</c:v>
                </c:pt>
                <c:pt idx="1">
                  <c:v>44.824950000000001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36.059466216216215</c:v>
                </c:pt>
                <c:pt idx="1">
                  <c:v>30.396014864864867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  <c:pt idx="74">
                  <c:v>3.27922</c:v>
                </c:pt>
                <c:pt idx="75">
                  <c:v>3.27928</c:v>
                </c:pt>
                <c:pt idx="76">
                  <c:v>3.27861</c:v>
                </c:pt>
                <c:pt idx="77">
                  <c:v>3.2796099999999999</c:v>
                </c:pt>
                <c:pt idx="78">
                  <c:v>3.2818399999999999</c:v>
                </c:pt>
                <c:pt idx="79">
                  <c:v>3.2873999999999999</c:v>
                </c:pt>
                <c:pt idx="80">
                  <c:v>3.2966899999999999</c:v>
                </c:pt>
                <c:pt idx="81">
                  <c:v>3.3058199999999998</c:v>
                </c:pt>
                <c:pt idx="82">
                  <c:v>3.31609</c:v>
                </c:pt>
                <c:pt idx="83">
                  <c:v>3.3283499999999999</c:v>
                </c:pt>
                <c:pt idx="84">
                  <c:v>3.3421000000000003</c:v>
                </c:pt>
                <c:pt idx="85">
                  <c:v>3.3540100000000002</c:v>
                </c:pt>
                <c:pt idx="86">
                  <c:v>3.3673700000000002</c:v>
                </c:pt>
                <c:pt idx="87">
                  <c:v>3.3788200000000002</c:v>
                </c:pt>
                <c:pt idx="88">
                  <c:v>3.38626</c:v>
                </c:pt>
                <c:pt idx="89">
                  <c:v>3.3910900000000002</c:v>
                </c:pt>
                <c:pt idx="90">
                  <c:v>3.3939900000000001</c:v>
                </c:pt>
                <c:pt idx="91">
                  <c:v>3.3935700000000004</c:v>
                </c:pt>
                <c:pt idx="92">
                  <c:v>3.3883099999999997</c:v>
                </c:pt>
                <c:pt idx="93">
                  <c:v>3.3796200000000001</c:v>
                </c:pt>
                <c:pt idx="94">
                  <c:v>3.3676699999999999</c:v>
                </c:pt>
                <c:pt idx="95">
                  <c:v>3.3510299999999997</c:v>
                </c:pt>
                <c:pt idx="96">
                  <c:v>3.33691</c:v>
                </c:pt>
                <c:pt idx="97">
                  <c:v>3.3244499999999997</c:v>
                </c:pt>
                <c:pt idx="98">
                  <c:v>3.3145899999999999</c:v>
                </c:pt>
                <c:pt idx="99">
                  <c:v>3.3048300000000004</c:v>
                </c:pt>
                <c:pt idx="100">
                  <c:v>3.2964100000000003</c:v>
                </c:pt>
                <c:pt idx="101">
                  <c:v>3.28939</c:v>
                </c:pt>
                <c:pt idx="102">
                  <c:v>3.2816800000000002</c:v>
                </c:pt>
                <c:pt idx="103">
                  <c:v>3.2714400000000001</c:v>
                </c:pt>
                <c:pt idx="104">
                  <c:v>3.2570900000000003</c:v>
                </c:pt>
                <c:pt idx="105">
                  <c:v>3.23902</c:v>
                </c:pt>
                <c:pt idx="106">
                  <c:v>3.2183000000000002</c:v>
                </c:pt>
                <c:pt idx="107">
                  <c:v>3.1968899999999998</c:v>
                </c:pt>
                <c:pt idx="108">
                  <c:v>3.1714799999999999</c:v>
                </c:pt>
                <c:pt idx="109">
                  <c:v>3.1445600000000002</c:v>
                </c:pt>
                <c:pt idx="110">
                  <c:v>3.1197499999999998</c:v>
                </c:pt>
                <c:pt idx="111">
                  <c:v>3.0918899999999998</c:v>
                </c:pt>
                <c:pt idx="112">
                  <c:v>3.0677599999999998</c:v>
                </c:pt>
                <c:pt idx="113">
                  <c:v>3.0436299999999998</c:v>
                </c:pt>
                <c:pt idx="114">
                  <c:v>3.0194199999999998</c:v>
                </c:pt>
                <c:pt idx="115">
                  <c:v>2.9965599999999997</c:v>
                </c:pt>
                <c:pt idx="116">
                  <c:v>2.9722200000000001</c:v>
                </c:pt>
                <c:pt idx="117">
                  <c:v>2.95004</c:v>
                </c:pt>
                <c:pt idx="118">
                  <c:v>2.9307600000000003</c:v>
                </c:pt>
                <c:pt idx="119">
                  <c:v>2.9115500000000001</c:v>
                </c:pt>
                <c:pt idx="120">
                  <c:v>2.89351</c:v>
                </c:pt>
                <c:pt idx="121">
                  <c:v>2.8774600000000001</c:v>
                </c:pt>
                <c:pt idx="122">
                  <c:v>2.8635600000000001</c:v>
                </c:pt>
                <c:pt idx="123">
                  <c:v>2.8503699999999998</c:v>
                </c:pt>
                <c:pt idx="124">
                  <c:v>2.8398499999999998</c:v>
                </c:pt>
                <c:pt idx="125">
                  <c:v>2.8319100000000001</c:v>
                </c:pt>
                <c:pt idx="126">
                  <c:v>2.8233299999999999</c:v>
                </c:pt>
                <c:pt idx="127">
                  <c:v>2.8134900000000003</c:v>
                </c:pt>
                <c:pt idx="128">
                  <c:v>2.8049200000000001</c:v>
                </c:pt>
                <c:pt idx="129">
                  <c:v>2.7973599999999998</c:v>
                </c:pt>
                <c:pt idx="130">
                  <c:v>2.7916099999999999</c:v>
                </c:pt>
                <c:pt idx="131">
                  <c:v>2.7883900000000001</c:v>
                </c:pt>
                <c:pt idx="132">
                  <c:v>2.7855699999999999</c:v>
                </c:pt>
                <c:pt idx="133">
                  <c:v>2.7875800000000002</c:v>
                </c:pt>
                <c:pt idx="134">
                  <c:v>2.7909600000000001</c:v>
                </c:pt>
                <c:pt idx="135">
                  <c:v>2.7931499999999998</c:v>
                </c:pt>
                <c:pt idx="136">
                  <c:v>2.7950699999999999</c:v>
                </c:pt>
                <c:pt idx="137">
                  <c:v>2.7908400000000002</c:v>
                </c:pt>
                <c:pt idx="138">
                  <c:v>2.7913900000000003</c:v>
                </c:pt>
                <c:pt idx="139">
                  <c:v>2.7888299999999999</c:v>
                </c:pt>
                <c:pt idx="140">
                  <c:v>2.78241</c:v>
                </c:pt>
                <c:pt idx="141">
                  <c:v>2.7811300000000001</c:v>
                </c:pt>
                <c:pt idx="142">
                  <c:v>2.7814399999999999</c:v>
                </c:pt>
                <c:pt idx="143">
                  <c:v>2.7801199999999997</c:v>
                </c:pt>
                <c:pt idx="144">
                  <c:v>2.7927800000000005</c:v>
                </c:pt>
                <c:pt idx="145">
                  <c:v>2.8165200000000001</c:v>
                </c:pt>
                <c:pt idx="146">
                  <c:v>2.8407200000000001</c:v>
                </c:pt>
                <c:pt idx="147">
                  <c:v>2.8425699999999998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  <c:pt idx="74">
                  <c:v>33.616800000000005</c:v>
                </c:pt>
                <c:pt idx="75">
                  <c:v>33.583200000000005</c:v>
                </c:pt>
                <c:pt idx="76">
                  <c:v>33.522800000000004</c:v>
                </c:pt>
                <c:pt idx="77">
                  <c:v>33.421900000000001</c:v>
                </c:pt>
                <c:pt idx="78">
                  <c:v>33.304499999999997</c:v>
                </c:pt>
                <c:pt idx="79">
                  <c:v>33.2027</c:v>
                </c:pt>
                <c:pt idx="80">
                  <c:v>33.121600000000001</c:v>
                </c:pt>
                <c:pt idx="81">
                  <c:v>33.040199999999999</c:v>
                </c:pt>
                <c:pt idx="82">
                  <c:v>32.993499999999997</c:v>
                </c:pt>
                <c:pt idx="83">
                  <c:v>33.001399999999997</c:v>
                </c:pt>
                <c:pt idx="84">
                  <c:v>32.953500000000005</c:v>
                </c:pt>
                <c:pt idx="85">
                  <c:v>32.887</c:v>
                </c:pt>
                <c:pt idx="86">
                  <c:v>32.7652</c:v>
                </c:pt>
                <c:pt idx="87">
                  <c:v>32.660600000000002</c:v>
                </c:pt>
                <c:pt idx="88">
                  <c:v>32.587600000000002</c:v>
                </c:pt>
                <c:pt idx="89">
                  <c:v>32.470300000000002</c:v>
                </c:pt>
                <c:pt idx="90">
                  <c:v>32.3994</c:v>
                </c:pt>
                <c:pt idx="91">
                  <c:v>32.439599999999999</c:v>
                </c:pt>
                <c:pt idx="92">
                  <c:v>32.531100000000002</c:v>
                </c:pt>
                <c:pt idx="93">
                  <c:v>32.570100000000004</c:v>
                </c:pt>
                <c:pt idx="94">
                  <c:v>32.622700000000002</c:v>
                </c:pt>
                <c:pt idx="95">
                  <c:v>32.727000000000004</c:v>
                </c:pt>
                <c:pt idx="96">
                  <c:v>32.757799999999996</c:v>
                </c:pt>
                <c:pt idx="97">
                  <c:v>32.7151</c:v>
                </c:pt>
                <c:pt idx="98">
                  <c:v>32.575700000000005</c:v>
                </c:pt>
                <c:pt idx="99">
                  <c:v>32.36</c:v>
                </c:pt>
                <c:pt idx="100">
                  <c:v>32.086300000000001</c:v>
                </c:pt>
                <c:pt idx="101">
                  <c:v>31.878800000000002</c:v>
                </c:pt>
                <c:pt idx="102">
                  <c:v>31.697300000000002</c:v>
                </c:pt>
                <c:pt idx="103">
                  <c:v>31.521999999999998</c:v>
                </c:pt>
                <c:pt idx="104">
                  <c:v>31.365300000000001</c:v>
                </c:pt>
                <c:pt idx="105">
                  <c:v>31.2239</c:v>
                </c:pt>
                <c:pt idx="106">
                  <c:v>31.026300000000003</c:v>
                </c:pt>
                <c:pt idx="107">
                  <c:v>30.797200000000004</c:v>
                </c:pt>
                <c:pt idx="108">
                  <c:v>30.5245</c:v>
                </c:pt>
                <c:pt idx="109">
                  <c:v>30.285</c:v>
                </c:pt>
                <c:pt idx="110">
                  <c:v>30.102800000000002</c:v>
                </c:pt>
                <c:pt idx="111">
                  <c:v>30.0579</c:v>
                </c:pt>
                <c:pt idx="112">
                  <c:v>29.979099999999999</c:v>
                </c:pt>
                <c:pt idx="113">
                  <c:v>29.912499999999998</c:v>
                </c:pt>
                <c:pt idx="114">
                  <c:v>29.909799999999997</c:v>
                </c:pt>
                <c:pt idx="115">
                  <c:v>29.813600000000001</c:v>
                </c:pt>
                <c:pt idx="116">
                  <c:v>29.663499999999999</c:v>
                </c:pt>
                <c:pt idx="117">
                  <c:v>29.478700000000003</c:v>
                </c:pt>
                <c:pt idx="118">
                  <c:v>29.255399999999998</c:v>
                </c:pt>
                <c:pt idx="119">
                  <c:v>29.051900000000003</c:v>
                </c:pt>
                <c:pt idx="120">
                  <c:v>28.855499999999999</c:v>
                </c:pt>
                <c:pt idx="121">
                  <c:v>28.7258</c:v>
                </c:pt>
                <c:pt idx="122">
                  <c:v>28.635899999999996</c:v>
                </c:pt>
                <c:pt idx="123">
                  <c:v>28.573700000000002</c:v>
                </c:pt>
                <c:pt idx="124">
                  <c:v>28.505999999999997</c:v>
                </c:pt>
                <c:pt idx="125">
                  <c:v>28.382099999999998</c:v>
                </c:pt>
                <c:pt idx="126">
                  <c:v>28.219799999999999</c:v>
                </c:pt>
                <c:pt idx="127">
                  <c:v>28.082899999999999</c:v>
                </c:pt>
                <c:pt idx="128">
                  <c:v>27.923100000000002</c:v>
                </c:pt>
                <c:pt idx="129">
                  <c:v>27.722999999999999</c:v>
                </c:pt>
                <c:pt idx="130">
                  <c:v>27.522099999999998</c:v>
                </c:pt>
                <c:pt idx="131">
                  <c:v>27.411200000000001</c:v>
                </c:pt>
                <c:pt idx="132">
                  <c:v>27.363700000000001</c:v>
                </c:pt>
                <c:pt idx="133">
                  <c:v>27.364100000000001</c:v>
                </c:pt>
                <c:pt idx="134">
                  <c:v>27.424300000000002</c:v>
                </c:pt>
                <c:pt idx="135">
                  <c:v>27.416200000000003</c:v>
                </c:pt>
                <c:pt idx="136">
                  <c:v>27.3644</c:v>
                </c:pt>
                <c:pt idx="137">
                  <c:v>27.404899999999998</c:v>
                </c:pt>
                <c:pt idx="138">
                  <c:v>27.356999999999999</c:v>
                </c:pt>
                <c:pt idx="139">
                  <c:v>27.434599999999996</c:v>
                </c:pt>
                <c:pt idx="140">
                  <c:v>27.7517</c:v>
                </c:pt>
                <c:pt idx="141">
                  <c:v>28.023900000000001</c:v>
                </c:pt>
                <c:pt idx="142">
                  <c:v>28.229900000000001</c:v>
                </c:pt>
                <c:pt idx="143">
                  <c:v>28.646999999999998</c:v>
                </c:pt>
                <c:pt idx="144">
                  <c:v>28.8568</c:v>
                </c:pt>
                <c:pt idx="145">
                  <c:v>28.640500000000003</c:v>
                </c:pt>
                <c:pt idx="146">
                  <c:v>28.521400000000003</c:v>
                </c:pt>
                <c:pt idx="147">
                  <c:v>28.480499999999999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1.6654</c:v>
                </c:pt>
                <c:pt idx="1">
                  <c:v>1.7220199999999999</c:v>
                </c:pt>
                <c:pt idx="2">
                  <c:v>1.77878</c:v>
                </c:pt>
                <c:pt idx="3">
                  <c:v>1.8350200000000001</c:v>
                </c:pt>
                <c:pt idx="4">
                  <c:v>1.8932799999999999</c:v>
                </c:pt>
                <c:pt idx="5">
                  <c:v>1.95346</c:v>
                </c:pt>
                <c:pt idx="6">
                  <c:v>2.0125699999999997</c:v>
                </c:pt>
                <c:pt idx="7">
                  <c:v>2.0705399999999998</c:v>
                </c:pt>
                <c:pt idx="8">
                  <c:v>2.1285699999999999</c:v>
                </c:pt>
                <c:pt idx="9">
                  <c:v>2.1859500000000001</c:v>
                </c:pt>
                <c:pt idx="10">
                  <c:v>2.2414999999999998</c:v>
                </c:pt>
                <c:pt idx="11">
                  <c:v>2.2954400000000001</c:v>
                </c:pt>
                <c:pt idx="12">
                  <c:v>2.3471800000000003</c:v>
                </c:pt>
                <c:pt idx="13">
                  <c:v>2.39636</c:v>
                </c:pt>
                <c:pt idx="14">
                  <c:v>2.4409900000000002</c:v>
                </c:pt>
                <c:pt idx="15">
                  <c:v>2.4849600000000001</c:v>
                </c:pt>
                <c:pt idx="16">
                  <c:v>2.5250899999999996</c:v>
                </c:pt>
                <c:pt idx="17">
                  <c:v>2.56128</c:v>
                </c:pt>
                <c:pt idx="18">
                  <c:v>2.5966399999999998</c:v>
                </c:pt>
                <c:pt idx="19">
                  <c:v>2.6269</c:v>
                </c:pt>
                <c:pt idx="20">
                  <c:v>2.65334</c:v>
                </c:pt>
                <c:pt idx="21">
                  <c:v>2.6753300000000002</c:v>
                </c:pt>
                <c:pt idx="22">
                  <c:v>2.6953899999999997</c:v>
                </c:pt>
                <c:pt idx="23">
                  <c:v>2.7162100000000002</c:v>
                </c:pt>
                <c:pt idx="24">
                  <c:v>2.7374199999999997</c:v>
                </c:pt>
                <c:pt idx="25">
                  <c:v>2.76342</c:v>
                </c:pt>
                <c:pt idx="26">
                  <c:v>2.7920699999999998</c:v>
                </c:pt>
                <c:pt idx="27">
                  <c:v>2.8208899999999999</c:v>
                </c:pt>
                <c:pt idx="28">
                  <c:v>2.84558</c:v>
                </c:pt>
                <c:pt idx="29">
                  <c:v>2.8670600000000004</c:v>
                </c:pt>
                <c:pt idx="30">
                  <c:v>2.88564</c:v>
                </c:pt>
                <c:pt idx="31">
                  <c:v>2.90279</c:v>
                </c:pt>
                <c:pt idx="32">
                  <c:v>2.9167199999999998</c:v>
                </c:pt>
                <c:pt idx="33">
                  <c:v>2.9298899999999999</c:v>
                </c:pt>
                <c:pt idx="34">
                  <c:v>2.94136</c:v>
                </c:pt>
                <c:pt idx="35">
                  <c:v>2.9554299999999998</c:v>
                </c:pt>
                <c:pt idx="36">
                  <c:v>2.9701300000000002</c:v>
                </c:pt>
                <c:pt idx="37">
                  <c:v>2.9838399999999998</c:v>
                </c:pt>
                <c:pt idx="38">
                  <c:v>2.9993399999999997</c:v>
                </c:pt>
                <c:pt idx="39">
                  <c:v>3.01566</c:v>
                </c:pt>
                <c:pt idx="40">
                  <c:v>3.0324900000000001</c:v>
                </c:pt>
                <c:pt idx="41">
                  <c:v>3.05159</c:v>
                </c:pt>
                <c:pt idx="42">
                  <c:v>3.0764000000000005</c:v>
                </c:pt>
                <c:pt idx="43">
                  <c:v>3.1040700000000001</c:v>
                </c:pt>
                <c:pt idx="44">
                  <c:v>3.1307099999999997</c:v>
                </c:pt>
                <c:pt idx="45">
                  <c:v>3.15361</c:v>
                </c:pt>
                <c:pt idx="46">
                  <c:v>3.1756699999999998</c:v>
                </c:pt>
                <c:pt idx="47">
                  <c:v>3.1946300000000001</c:v>
                </c:pt>
                <c:pt idx="48">
                  <c:v>3.20852</c:v>
                </c:pt>
                <c:pt idx="49">
                  <c:v>3.2201999999999997</c:v>
                </c:pt>
                <c:pt idx="50">
                  <c:v>3.2269999999999999</c:v>
                </c:pt>
                <c:pt idx="51">
                  <c:v>3.2376</c:v>
                </c:pt>
                <c:pt idx="52">
                  <c:v>3.2443</c:v>
                </c:pt>
                <c:pt idx="53">
                  <c:v>3.2511099999999997</c:v>
                </c:pt>
                <c:pt idx="54">
                  <c:v>3.2580199999999997</c:v>
                </c:pt>
                <c:pt idx="55">
                  <c:v>3.2624199999999997</c:v>
                </c:pt>
                <c:pt idx="56">
                  <c:v>3.2662499999999999</c:v>
                </c:pt>
                <c:pt idx="57">
                  <c:v>3.2700899999999997</c:v>
                </c:pt>
                <c:pt idx="58">
                  <c:v>3.2687300000000001</c:v>
                </c:pt>
                <c:pt idx="59">
                  <c:v>3.2723600000000004</c:v>
                </c:pt>
                <c:pt idx="60">
                  <c:v>3.2698399999999999</c:v>
                </c:pt>
                <c:pt idx="61">
                  <c:v>3.2626300000000001</c:v>
                </c:pt>
                <c:pt idx="62">
                  <c:v>3.2587799999999998</c:v>
                </c:pt>
                <c:pt idx="63">
                  <c:v>3.25529</c:v>
                </c:pt>
                <c:pt idx="64">
                  <c:v>3.2551000000000001</c:v>
                </c:pt>
                <c:pt idx="65">
                  <c:v>3.2548300000000001</c:v>
                </c:pt>
                <c:pt idx="66">
                  <c:v>3.2545600000000001</c:v>
                </c:pt>
                <c:pt idx="67">
                  <c:v>3.2523299999999997</c:v>
                </c:pt>
                <c:pt idx="68">
                  <c:v>3.2496900000000002</c:v>
                </c:pt>
                <c:pt idx="69">
                  <c:v>3.2480399999999996</c:v>
                </c:pt>
                <c:pt idx="70">
                  <c:v>3.2532699999999997</c:v>
                </c:pt>
                <c:pt idx="71">
                  <c:v>3.26675</c:v>
                </c:pt>
                <c:pt idx="72">
                  <c:v>3.2721899999999997</c:v>
                </c:pt>
                <c:pt idx="73">
                  <c:v>3.2750400000000002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56.991199999999999</c:v>
                </c:pt>
                <c:pt idx="1">
                  <c:v>55.712899999999998</c:v>
                </c:pt>
                <c:pt idx="2">
                  <c:v>54.376400000000004</c:v>
                </c:pt>
                <c:pt idx="3">
                  <c:v>53.064500000000002</c:v>
                </c:pt>
                <c:pt idx="4">
                  <c:v>51.722000000000001</c:v>
                </c:pt>
                <c:pt idx="5">
                  <c:v>50.299499999999995</c:v>
                </c:pt>
                <c:pt idx="6">
                  <c:v>48.9178</c:v>
                </c:pt>
                <c:pt idx="7">
                  <c:v>47.613299999999995</c:v>
                </c:pt>
                <c:pt idx="8">
                  <c:v>46.298299999999998</c:v>
                </c:pt>
                <c:pt idx="9">
                  <c:v>44.979400000000005</c:v>
                </c:pt>
                <c:pt idx="10">
                  <c:v>43.750999999999998</c:v>
                </c:pt>
                <c:pt idx="11">
                  <c:v>42.5137</c:v>
                </c:pt>
                <c:pt idx="12">
                  <c:v>41.321300000000001</c:v>
                </c:pt>
                <c:pt idx="13">
                  <c:v>40.128399999999999</c:v>
                </c:pt>
                <c:pt idx="14">
                  <c:v>39.177499999999995</c:v>
                </c:pt>
                <c:pt idx="15">
                  <c:v>38.2517</c:v>
                </c:pt>
                <c:pt idx="16">
                  <c:v>37.397100000000002</c:v>
                </c:pt>
                <c:pt idx="17">
                  <c:v>36.638199999999998</c:v>
                </c:pt>
                <c:pt idx="18">
                  <c:v>35.905999999999999</c:v>
                </c:pt>
                <c:pt idx="19">
                  <c:v>35.2515</c:v>
                </c:pt>
                <c:pt idx="20">
                  <c:v>34.644000000000005</c:v>
                </c:pt>
                <c:pt idx="21">
                  <c:v>34.1023</c:v>
                </c:pt>
                <c:pt idx="22">
                  <c:v>33.519399999999997</c:v>
                </c:pt>
                <c:pt idx="23">
                  <c:v>32.914500000000004</c:v>
                </c:pt>
                <c:pt idx="24">
                  <c:v>32.283200000000001</c:v>
                </c:pt>
                <c:pt idx="25">
                  <c:v>31.598199999999999</c:v>
                </c:pt>
                <c:pt idx="26">
                  <c:v>31.191000000000003</c:v>
                </c:pt>
                <c:pt idx="27">
                  <c:v>30.8079</c:v>
                </c:pt>
                <c:pt idx="28">
                  <c:v>30.531500000000001</c:v>
                </c:pt>
                <c:pt idx="29">
                  <c:v>30.302099999999999</c:v>
                </c:pt>
                <c:pt idx="30">
                  <c:v>30.154799999999998</c:v>
                </c:pt>
                <c:pt idx="31">
                  <c:v>30.020999999999997</c:v>
                </c:pt>
                <c:pt idx="32">
                  <c:v>29.9742</c:v>
                </c:pt>
                <c:pt idx="33">
                  <c:v>29.961500000000001</c:v>
                </c:pt>
                <c:pt idx="34">
                  <c:v>29.981799999999996</c:v>
                </c:pt>
                <c:pt idx="35">
                  <c:v>30.034800000000001</c:v>
                </c:pt>
                <c:pt idx="36">
                  <c:v>30.156600000000001</c:v>
                </c:pt>
                <c:pt idx="37">
                  <c:v>30.359199999999998</c:v>
                </c:pt>
                <c:pt idx="38">
                  <c:v>30.6081</c:v>
                </c:pt>
                <c:pt idx="39">
                  <c:v>30.843599999999999</c:v>
                </c:pt>
                <c:pt idx="40">
                  <c:v>31.057099999999998</c:v>
                </c:pt>
                <c:pt idx="41">
                  <c:v>31.213899999999999</c:v>
                </c:pt>
                <c:pt idx="42">
                  <c:v>31.293700000000001</c:v>
                </c:pt>
                <c:pt idx="43">
                  <c:v>31.348599999999998</c:v>
                </c:pt>
                <c:pt idx="44">
                  <c:v>31.464199999999998</c:v>
                </c:pt>
                <c:pt idx="45">
                  <c:v>31.644499999999997</c:v>
                </c:pt>
                <c:pt idx="46">
                  <c:v>31.854300000000002</c:v>
                </c:pt>
                <c:pt idx="47">
                  <c:v>32.134599999999999</c:v>
                </c:pt>
                <c:pt idx="48">
                  <c:v>32.548000000000002</c:v>
                </c:pt>
                <c:pt idx="49">
                  <c:v>32.994700000000002</c:v>
                </c:pt>
                <c:pt idx="50">
                  <c:v>33.319700000000005</c:v>
                </c:pt>
                <c:pt idx="51">
                  <c:v>33.650100000000002</c:v>
                </c:pt>
                <c:pt idx="52">
                  <c:v>33.9544</c:v>
                </c:pt>
                <c:pt idx="53">
                  <c:v>34.235799999999998</c:v>
                </c:pt>
                <c:pt idx="54">
                  <c:v>34.508699999999997</c:v>
                </c:pt>
                <c:pt idx="55">
                  <c:v>34.677999999999997</c:v>
                </c:pt>
                <c:pt idx="56">
                  <c:v>34.819000000000003</c:v>
                </c:pt>
                <c:pt idx="57">
                  <c:v>34.894100000000002</c:v>
                </c:pt>
                <c:pt idx="58">
                  <c:v>34.877800000000001</c:v>
                </c:pt>
                <c:pt idx="59">
                  <c:v>34.944900000000004</c:v>
                </c:pt>
                <c:pt idx="60">
                  <c:v>34.971600000000002</c:v>
                </c:pt>
                <c:pt idx="61">
                  <c:v>34.9467</c:v>
                </c:pt>
                <c:pt idx="62">
                  <c:v>34.919699999999999</c:v>
                </c:pt>
                <c:pt idx="63">
                  <c:v>34.829799999999999</c:v>
                </c:pt>
                <c:pt idx="64">
                  <c:v>34.746000000000002</c:v>
                </c:pt>
                <c:pt idx="65">
                  <c:v>34.655200000000001</c:v>
                </c:pt>
                <c:pt idx="66">
                  <c:v>34.572000000000003</c:v>
                </c:pt>
                <c:pt idx="67">
                  <c:v>34.454799999999999</c:v>
                </c:pt>
                <c:pt idx="68">
                  <c:v>34.417700000000004</c:v>
                </c:pt>
                <c:pt idx="69">
                  <c:v>34.370100000000001</c:v>
                </c:pt>
                <c:pt idx="70">
                  <c:v>34.207500000000003</c:v>
                </c:pt>
                <c:pt idx="71">
                  <c:v>33.989399999999996</c:v>
                </c:pt>
                <c:pt idx="72">
                  <c:v>33.872399999999999</c:v>
                </c:pt>
                <c:pt idx="73">
                  <c:v>33.710099999999997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3.2750400000000002</c:v>
                </c:pt>
                <c:pt idx="1">
                  <c:v>3.27922</c:v>
                </c:pt>
                <c:pt idx="2">
                  <c:v>3.27928</c:v>
                </c:pt>
                <c:pt idx="3">
                  <c:v>3.27861</c:v>
                </c:pt>
                <c:pt idx="4">
                  <c:v>3.2796099999999999</c:v>
                </c:pt>
                <c:pt idx="5">
                  <c:v>3.2818399999999999</c:v>
                </c:pt>
                <c:pt idx="6">
                  <c:v>3.2873999999999999</c:v>
                </c:pt>
                <c:pt idx="7">
                  <c:v>3.2966899999999999</c:v>
                </c:pt>
                <c:pt idx="8">
                  <c:v>3.3058199999999998</c:v>
                </c:pt>
                <c:pt idx="9">
                  <c:v>3.31609</c:v>
                </c:pt>
                <c:pt idx="10">
                  <c:v>3.3283499999999999</c:v>
                </c:pt>
                <c:pt idx="11">
                  <c:v>3.3421000000000003</c:v>
                </c:pt>
                <c:pt idx="12">
                  <c:v>3.3540100000000002</c:v>
                </c:pt>
                <c:pt idx="13">
                  <c:v>3.3673700000000002</c:v>
                </c:pt>
                <c:pt idx="14">
                  <c:v>3.3788200000000002</c:v>
                </c:pt>
                <c:pt idx="15">
                  <c:v>3.38626</c:v>
                </c:pt>
                <c:pt idx="16">
                  <c:v>3.3910900000000002</c:v>
                </c:pt>
                <c:pt idx="17">
                  <c:v>3.3939900000000001</c:v>
                </c:pt>
                <c:pt idx="18">
                  <c:v>3.3935700000000004</c:v>
                </c:pt>
                <c:pt idx="19">
                  <c:v>3.3883099999999997</c:v>
                </c:pt>
                <c:pt idx="20">
                  <c:v>3.3796200000000001</c:v>
                </c:pt>
                <c:pt idx="21">
                  <c:v>3.3676699999999999</c:v>
                </c:pt>
                <c:pt idx="22">
                  <c:v>3.3510299999999997</c:v>
                </c:pt>
                <c:pt idx="23">
                  <c:v>3.33691</c:v>
                </c:pt>
                <c:pt idx="24">
                  <c:v>3.3244499999999997</c:v>
                </c:pt>
                <c:pt idx="25">
                  <c:v>3.3145899999999999</c:v>
                </c:pt>
                <c:pt idx="26">
                  <c:v>3.3048300000000004</c:v>
                </c:pt>
                <c:pt idx="27">
                  <c:v>3.2964100000000003</c:v>
                </c:pt>
                <c:pt idx="28">
                  <c:v>3.28939</c:v>
                </c:pt>
                <c:pt idx="29">
                  <c:v>3.2816800000000002</c:v>
                </c:pt>
                <c:pt idx="30">
                  <c:v>3.2714400000000001</c:v>
                </c:pt>
                <c:pt idx="31">
                  <c:v>3.2570900000000003</c:v>
                </c:pt>
                <c:pt idx="32">
                  <c:v>3.23902</c:v>
                </c:pt>
                <c:pt idx="33">
                  <c:v>3.2183000000000002</c:v>
                </c:pt>
                <c:pt idx="34">
                  <c:v>3.1968899999999998</c:v>
                </c:pt>
                <c:pt idx="35">
                  <c:v>3.1714799999999999</c:v>
                </c:pt>
                <c:pt idx="36">
                  <c:v>3.1445600000000002</c:v>
                </c:pt>
                <c:pt idx="37">
                  <c:v>3.1197499999999998</c:v>
                </c:pt>
                <c:pt idx="38">
                  <c:v>3.0918899999999998</c:v>
                </c:pt>
                <c:pt idx="39">
                  <c:v>3.0677599999999998</c:v>
                </c:pt>
                <c:pt idx="40">
                  <c:v>3.0436299999999998</c:v>
                </c:pt>
                <c:pt idx="41">
                  <c:v>3.0194199999999998</c:v>
                </c:pt>
                <c:pt idx="42">
                  <c:v>2.9965599999999997</c:v>
                </c:pt>
                <c:pt idx="43">
                  <c:v>2.9722200000000001</c:v>
                </c:pt>
                <c:pt idx="44">
                  <c:v>2.95004</c:v>
                </c:pt>
                <c:pt idx="45">
                  <c:v>2.9307600000000003</c:v>
                </c:pt>
                <c:pt idx="46">
                  <c:v>2.9115500000000001</c:v>
                </c:pt>
                <c:pt idx="47">
                  <c:v>2.89351</c:v>
                </c:pt>
                <c:pt idx="48">
                  <c:v>2.8774600000000001</c:v>
                </c:pt>
                <c:pt idx="49">
                  <c:v>2.8635600000000001</c:v>
                </c:pt>
                <c:pt idx="50">
                  <c:v>2.8503699999999998</c:v>
                </c:pt>
                <c:pt idx="51">
                  <c:v>2.8398499999999998</c:v>
                </c:pt>
                <c:pt idx="52">
                  <c:v>2.8319100000000001</c:v>
                </c:pt>
                <c:pt idx="53">
                  <c:v>2.8233299999999999</c:v>
                </c:pt>
                <c:pt idx="54">
                  <c:v>2.8134900000000003</c:v>
                </c:pt>
                <c:pt idx="55">
                  <c:v>2.8049200000000001</c:v>
                </c:pt>
                <c:pt idx="56">
                  <c:v>2.7973599999999998</c:v>
                </c:pt>
                <c:pt idx="57">
                  <c:v>2.7916099999999999</c:v>
                </c:pt>
                <c:pt idx="58">
                  <c:v>2.7883900000000001</c:v>
                </c:pt>
                <c:pt idx="59">
                  <c:v>2.7855699999999999</c:v>
                </c:pt>
                <c:pt idx="60">
                  <c:v>2.7875800000000002</c:v>
                </c:pt>
                <c:pt idx="61">
                  <c:v>2.7909600000000001</c:v>
                </c:pt>
                <c:pt idx="62">
                  <c:v>2.7931499999999998</c:v>
                </c:pt>
                <c:pt idx="63">
                  <c:v>2.7950699999999999</c:v>
                </c:pt>
                <c:pt idx="64">
                  <c:v>2.7908400000000002</c:v>
                </c:pt>
                <c:pt idx="65">
                  <c:v>2.7913900000000003</c:v>
                </c:pt>
                <c:pt idx="66">
                  <c:v>2.7888299999999999</c:v>
                </c:pt>
                <c:pt idx="67">
                  <c:v>2.78241</c:v>
                </c:pt>
                <c:pt idx="68">
                  <c:v>2.7811300000000001</c:v>
                </c:pt>
                <c:pt idx="69">
                  <c:v>2.7814399999999999</c:v>
                </c:pt>
                <c:pt idx="70">
                  <c:v>2.7801199999999997</c:v>
                </c:pt>
                <c:pt idx="71">
                  <c:v>2.7927800000000005</c:v>
                </c:pt>
                <c:pt idx="72">
                  <c:v>2.8165200000000001</c:v>
                </c:pt>
                <c:pt idx="73">
                  <c:v>2.8407200000000001</c:v>
                </c:pt>
                <c:pt idx="74">
                  <c:v>2.8425699999999998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33.710099999999997</c:v>
                </c:pt>
                <c:pt idx="1">
                  <c:v>33.616800000000005</c:v>
                </c:pt>
                <c:pt idx="2">
                  <c:v>33.583200000000005</c:v>
                </c:pt>
                <c:pt idx="3">
                  <c:v>33.522800000000004</c:v>
                </c:pt>
                <c:pt idx="4">
                  <c:v>33.421900000000001</c:v>
                </c:pt>
                <c:pt idx="5">
                  <c:v>33.304499999999997</c:v>
                </c:pt>
                <c:pt idx="6">
                  <c:v>33.2027</c:v>
                </c:pt>
                <c:pt idx="7">
                  <c:v>33.121600000000001</c:v>
                </c:pt>
                <c:pt idx="8">
                  <c:v>33.040199999999999</c:v>
                </c:pt>
                <c:pt idx="9">
                  <c:v>32.993499999999997</c:v>
                </c:pt>
                <c:pt idx="10">
                  <c:v>33.001399999999997</c:v>
                </c:pt>
                <c:pt idx="11">
                  <c:v>32.953500000000005</c:v>
                </c:pt>
                <c:pt idx="12">
                  <c:v>32.887</c:v>
                </c:pt>
                <c:pt idx="13">
                  <c:v>32.7652</c:v>
                </c:pt>
                <c:pt idx="14">
                  <c:v>32.660600000000002</c:v>
                </c:pt>
                <c:pt idx="15">
                  <c:v>32.587600000000002</c:v>
                </c:pt>
                <c:pt idx="16">
                  <c:v>32.470300000000002</c:v>
                </c:pt>
                <c:pt idx="17">
                  <c:v>32.3994</c:v>
                </c:pt>
                <c:pt idx="18">
                  <c:v>32.439599999999999</c:v>
                </c:pt>
                <c:pt idx="19">
                  <c:v>32.531100000000002</c:v>
                </c:pt>
                <c:pt idx="20">
                  <c:v>32.570100000000004</c:v>
                </c:pt>
                <c:pt idx="21">
                  <c:v>32.622700000000002</c:v>
                </c:pt>
                <c:pt idx="22">
                  <c:v>32.727000000000004</c:v>
                </c:pt>
                <c:pt idx="23">
                  <c:v>32.757799999999996</c:v>
                </c:pt>
                <c:pt idx="24">
                  <c:v>32.7151</c:v>
                </c:pt>
                <c:pt idx="25">
                  <c:v>32.575700000000005</c:v>
                </c:pt>
                <c:pt idx="26">
                  <c:v>32.36</c:v>
                </c:pt>
                <c:pt idx="27">
                  <c:v>32.086300000000001</c:v>
                </c:pt>
                <c:pt idx="28">
                  <c:v>31.878800000000002</c:v>
                </c:pt>
                <c:pt idx="29">
                  <c:v>31.697300000000002</c:v>
                </c:pt>
                <c:pt idx="30">
                  <c:v>31.521999999999998</c:v>
                </c:pt>
                <c:pt idx="31">
                  <c:v>31.365300000000001</c:v>
                </c:pt>
                <c:pt idx="32">
                  <c:v>31.2239</c:v>
                </c:pt>
                <c:pt idx="33">
                  <c:v>31.026300000000003</c:v>
                </c:pt>
                <c:pt idx="34">
                  <c:v>30.797200000000004</c:v>
                </c:pt>
                <c:pt idx="35">
                  <c:v>30.5245</c:v>
                </c:pt>
                <c:pt idx="36">
                  <c:v>30.285</c:v>
                </c:pt>
                <c:pt idx="37">
                  <c:v>30.102800000000002</c:v>
                </c:pt>
                <c:pt idx="38">
                  <c:v>30.0579</c:v>
                </c:pt>
                <c:pt idx="39">
                  <c:v>29.979099999999999</c:v>
                </c:pt>
                <c:pt idx="40">
                  <c:v>29.912499999999998</c:v>
                </c:pt>
                <c:pt idx="41">
                  <c:v>29.909799999999997</c:v>
                </c:pt>
                <c:pt idx="42">
                  <c:v>29.813600000000001</c:v>
                </c:pt>
                <c:pt idx="43">
                  <c:v>29.663499999999999</c:v>
                </c:pt>
                <c:pt idx="44">
                  <c:v>29.478700000000003</c:v>
                </c:pt>
                <c:pt idx="45">
                  <c:v>29.255399999999998</c:v>
                </c:pt>
                <c:pt idx="46">
                  <c:v>29.051900000000003</c:v>
                </c:pt>
                <c:pt idx="47">
                  <c:v>28.855499999999999</c:v>
                </c:pt>
                <c:pt idx="48">
                  <c:v>28.7258</c:v>
                </c:pt>
                <c:pt idx="49">
                  <c:v>28.635899999999996</c:v>
                </c:pt>
                <c:pt idx="50">
                  <c:v>28.573700000000002</c:v>
                </c:pt>
                <c:pt idx="51">
                  <c:v>28.505999999999997</c:v>
                </c:pt>
                <c:pt idx="52">
                  <c:v>28.382099999999998</c:v>
                </c:pt>
                <c:pt idx="53">
                  <c:v>28.219799999999999</c:v>
                </c:pt>
                <c:pt idx="54">
                  <c:v>28.082899999999999</c:v>
                </c:pt>
                <c:pt idx="55">
                  <c:v>27.923100000000002</c:v>
                </c:pt>
                <c:pt idx="56">
                  <c:v>27.722999999999999</c:v>
                </c:pt>
                <c:pt idx="57">
                  <c:v>27.522099999999998</c:v>
                </c:pt>
                <c:pt idx="58">
                  <c:v>27.411200000000001</c:v>
                </c:pt>
                <c:pt idx="59">
                  <c:v>27.363700000000001</c:v>
                </c:pt>
                <c:pt idx="60">
                  <c:v>27.364100000000001</c:v>
                </c:pt>
                <c:pt idx="61">
                  <c:v>27.424300000000002</c:v>
                </c:pt>
                <c:pt idx="62">
                  <c:v>27.416200000000003</c:v>
                </c:pt>
                <c:pt idx="63">
                  <c:v>27.3644</c:v>
                </c:pt>
                <c:pt idx="64">
                  <c:v>27.404899999999998</c:v>
                </c:pt>
                <c:pt idx="65">
                  <c:v>27.356999999999999</c:v>
                </c:pt>
                <c:pt idx="66">
                  <c:v>27.434599999999996</c:v>
                </c:pt>
                <c:pt idx="67">
                  <c:v>27.7517</c:v>
                </c:pt>
                <c:pt idx="68">
                  <c:v>28.023900000000001</c:v>
                </c:pt>
                <c:pt idx="69">
                  <c:v>28.229900000000001</c:v>
                </c:pt>
                <c:pt idx="70">
                  <c:v>28.646999999999998</c:v>
                </c:pt>
                <c:pt idx="71">
                  <c:v>28.8568</c:v>
                </c:pt>
                <c:pt idx="72">
                  <c:v>28.640500000000003</c:v>
                </c:pt>
                <c:pt idx="73">
                  <c:v>28.521400000000003</c:v>
                </c:pt>
                <c:pt idx="74">
                  <c:v>28.480499999999999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1.6654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56.991199999999999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2.842750675675676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36.059466216216215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3.0796514864864872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30.396014864864867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3.0796514864864872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30.396014864864867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3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519</v>
      </c>
      <c r="D5" s="191"/>
      <c r="E5" s="191"/>
      <c r="F5" s="192"/>
      <c r="G5" s="48" t="str">
        <f>lang!B27</f>
        <v>编号</v>
      </c>
      <c r="H5" s="190">
        <v>4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518</v>
      </c>
      <c r="D6" s="145"/>
      <c r="E6" s="145"/>
      <c r="F6" s="146"/>
      <c r="G6" s="49" t="str">
        <f>lang!B28</f>
        <v xml:space="preserve"> 日期</v>
      </c>
      <c r="H6" s="129">
        <f>FH_info!A2</f>
        <v>43606.417743055557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43</v>
      </c>
      <c r="D7" s="148"/>
      <c r="E7" s="148"/>
      <c r="F7" s="149"/>
      <c r="G7" s="50" t="str">
        <f>lang!B29</f>
        <v>误差率（%）</v>
      </c>
      <c r="H7" s="132">
        <f>M!B17*1</f>
        <v>21.660399999999999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39.416899999999998</v>
      </c>
      <c r="O8" s="59">
        <f>M!C5*1</f>
        <v>9.0956499999999991</v>
      </c>
      <c r="P8" s="59">
        <f>M!D5*1</f>
        <v>23.075500000000002</v>
      </c>
      <c r="Q8" s="59">
        <f>M!E5*1</f>
        <v>20</v>
      </c>
      <c r="R8" s="59">
        <f>M!F5*1</f>
        <v>10.171200000000001</v>
      </c>
      <c r="S8" s="59">
        <f>M!G5*1</f>
        <v>50</v>
      </c>
      <c r="T8" s="59">
        <f>M!H5*1</f>
        <v>50.96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41.7883</v>
      </c>
      <c r="O9" s="59">
        <f>M!C6*1</f>
        <v>5.4150099999999997</v>
      </c>
      <c r="P9" s="59">
        <f>M!D6*1</f>
        <v>12.9582</v>
      </c>
      <c r="Q9" s="59">
        <f>M!E6*1</f>
        <v>20</v>
      </c>
      <c r="R9" s="59">
        <f>M!F6*1</f>
        <v>27.209099999999999</v>
      </c>
      <c r="S9" s="59">
        <f>M!G6*1</f>
        <v>40</v>
      </c>
      <c r="T9" s="59">
        <f>M!H6*1</f>
        <v>47.940100000000001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10.171200000000001</v>
      </c>
      <c r="D10" s="99">
        <f>N8</f>
        <v>39.416899999999998</v>
      </c>
      <c r="E10" s="100">
        <f>T8</f>
        <v>50.96</v>
      </c>
      <c r="F10" s="91">
        <f>P8</f>
        <v>23.075500000000002</v>
      </c>
      <c r="G10" s="81" t="str">
        <f>CONCATENATE(M9,"
(20 ~ 40)")</f>
        <v>压力
(20 ~ 40)</v>
      </c>
      <c r="H10" s="98">
        <f>R9</f>
        <v>27.209099999999999</v>
      </c>
      <c r="I10" s="108">
        <f>N9</f>
        <v>41.7883</v>
      </c>
      <c r="J10" s="98">
        <f>T9</f>
        <v>47.940100000000001</v>
      </c>
      <c r="K10" s="92">
        <f>P9</f>
        <v>12.9582</v>
      </c>
      <c r="L10" s="6"/>
      <c r="M10" s="27" t="str">
        <f>lang!B16</f>
        <v>焦虑</v>
      </c>
      <c r="N10" s="59">
        <f>M!B7*1</f>
        <v>19.420200000000001</v>
      </c>
      <c r="O10" s="59">
        <f>M!C7*1</f>
        <v>9.7847299999999997</v>
      </c>
      <c r="P10" s="59">
        <f>M!D7*1</f>
        <v>50.384300000000003</v>
      </c>
      <c r="Q10" s="59">
        <f>M!E7*1</f>
        <v>15</v>
      </c>
      <c r="R10" s="59">
        <f>M!F7*1</f>
        <v>10.992900000000001</v>
      </c>
      <c r="S10" s="59">
        <f>M!G7*1</f>
        <v>40</v>
      </c>
      <c r="T10" s="59">
        <f>M!H7*1</f>
        <v>54.643000000000001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10.992900000000001</v>
      </c>
      <c r="D11" s="102">
        <f>N10</f>
        <v>19.420200000000001</v>
      </c>
      <c r="E11" s="103">
        <f>T10</f>
        <v>54.643000000000001</v>
      </c>
      <c r="F11" s="94">
        <f>P10</f>
        <v>50.384300000000003</v>
      </c>
      <c r="G11" s="52" t="str">
        <f>CONCATENATE(M11,"
(20 ~ 50)")</f>
        <v>可疑
(20 ~ 50)</v>
      </c>
      <c r="H11" s="101">
        <f>R11</f>
        <v>21.668099999999999</v>
      </c>
      <c r="I11" s="104">
        <f>N11</f>
        <v>34.283999999999999</v>
      </c>
      <c r="J11" s="101">
        <f>T11</f>
        <v>38.596499999999999</v>
      </c>
      <c r="K11" s="95">
        <f>P11</f>
        <v>10.1297</v>
      </c>
      <c r="L11" s="4"/>
      <c r="M11" s="27" t="str">
        <f>lang!B17</f>
        <v>可疑</v>
      </c>
      <c r="N11" s="59">
        <f>M!B8*1</f>
        <v>34.283999999999999</v>
      </c>
      <c r="O11" s="59">
        <f>M!C8*1</f>
        <v>3.47288</v>
      </c>
      <c r="P11" s="59">
        <f>M!D8*1</f>
        <v>10.1297</v>
      </c>
      <c r="Q11" s="59">
        <f>M!E8*1</f>
        <v>20</v>
      </c>
      <c r="R11" s="59">
        <f>M!F8*1</f>
        <v>21.668099999999999</v>
      </c>
      <c r="S11" s="59">
        <f>M!G8*1</f>
        <v>50</v>
      </c>
      <c r="T11" s="59">
        <f>M!H8*1</f>
        <v>38.596499999999999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46.199199999999998</v>
      </c>
      <c r="D12" s="104">
        <f>N12</f>
        <v>64.103399999999993</v>
      </c>
      <c r="E12" s="101">
        <f>T12</f>
        <v>77.878600000000006</v>
      </c>
      <c r="F12" s="93">
        <f>P12</f>
        <v>10.719799999999999</v>
      </c>
      <c r="G12" s="52" t="str">
        <f>CONCATENATE(M13,"
(40 ~ 100)")</f>
        <v>自信
(40 ~ 100)</v>
      </c>
      <c r="H12" s="101">
        <f>R13</f>
        <v>40.557000000000002</v>
      </c>
      <c r="I12" s="104">
        <f>N13</f>
        <v>49.436500000000002</v>
      </c>
      <c r="J12" s="101">
        <f>T13</f>
        <v>88.222899999999996</v>
      </c>
      <c r="K12" s="95">
        <f>P13</f>
        <v>28.4513</v>
      </c>
      <c r="L12" s="4"/>
      <c r="M12" s="27" t="str">
        <f>lang!B18</f>
        <v>平衡</v>
      </c>
      <c r="N12" s="59">
        <f>M!B9*1</f>
        <v>64.103399999999993</v>
      </c>
      <c r="O12" s="59">
        <f>M!C9*1</f>
        <v>6.8717199999999998</v>
      </c>
      <c r="P12" s="59">
        <f>M!D9*1</f>
        <v>10.719799999999999</v>
      </c>
      <c r="Q12" s="59">
        <f>M!E9*1</f>
        <v>50</v>
      </c>
      <c r="R12" s="59">
        <f>M!F9*1</f>
        <v>46.199199999999998</v>
      </c>
      <c r="S12" s="59">
        <f>M!G9*1</f>
        <v>100</v>
      </c>
      <c r="T12" s="59">
        <f>M!H9*1</f>
        <v>77.878600000000006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5.5362900000000002</v>
      </c>
      <c r="D13" s="102">
        <f>N14</f>
        <v>16.306999999999999</v>
      </c>
      <c r="E13" s="103">
        <f>T14</f>
        <v>22.050599999999999</v>
      </c>
      <c r="F13" s="94">
        <f>P14</f>
        <v>25.3218</v>
      </c>
      <c r="G13" s="52" t="str">
        <f>CONCATENATE(M15,"
(50 ~ 100)")</f>
        <v>自我调节
(50 ~ 100)</v>
      </c>
      <c r="H13" s="101">
        <f>R15</f>
        <v>47.889299999999999</v>
      </c>
      <c r="I13" s="104">
        <f>N15</f>
        <v>59.522100000000002</v>
      </c>
      <c r="J13" s="101">
        <f>T15</f>
        <v>76.585099999999997</v>
      </c>
      <c r="K13" s="95">
        <f>P15</f>
        <v>11.884</v>
      </c>
      <c r="L13" s="4"/>
      <c r="M13" s="27" t="str">
        <f>lang!B19</f>
        <v>自信</v>
      </c>
      <c r="N13" s="59">
        <f>M!B10*1</f>
        <v>49.436500000000002</v>
      </c>
      <c r="O13" s="59">
        <f>M!C10*1</f>
        <v>14.065300000000001</v>
      </c>
      <c r="P13" s="59">
        <f>M!D10*1</f>
        <v>28.4513</v>
      </c>
      <c r="Q13" s="59">
        <f>M!E10*1</f>
        <v>40</v>
      </c>
      <c r="R13" s="59">
        <f>M!F10*1</f>
        <v>40.557000000000002</v>
      </c>
      <c r="S13" s="59">
        <f>M!G10*1</f>
        <v>100</v>
      </c>
      <c r="T13" s="59">
        <f>M!H10*1</f>
        <v>88.222899999999996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15.188499999999999</v>
      </c>
      <c r="D14" s="106">
        <f>N16</f>
        <v>18.305299999999999</v>
      </c>
      <c r="E14" s="107">
        <f>T16</f>
        <v>24.4438</v>
      </c>
      <c r="F14" s="96">
        <f>P16</f>
        <v>10.129099999999999</v>
      </c>
      <c r="G14" s="112" t="str">
        <f>CONCATENATE(M17,"
(10 ~ 50)")</f>
        <v>神经质
(10 ~ 50)</v>
      </c>
      <c r="H14" s="105">
        <f>R17</f>
        <v>1.4622599999999999</v>
      </c>
      <c r="I14" s="106">
        <f>N17</f>
        <v>18.541599999999999</v>
      </c>
      <c r="J14" s="107">
        <f>T17</f>
        <v>23.508400000000002</v>
      </c>
      <c r="K14" s="97">
        <f>P17</f>
        <v>33.550899999999999</v>
      </c>
      <c r="M14" s="27" t="str">
        <f>lang!B20</f>
        <v>活力</v>
      </c>
      <c r="N14" s="59">
        <f>M!B11*1</f>
        <v>16.306999999999999</v>
      </c>
      <c r="O14" s="59">
        <f>M!C11*1</f>
        <v>4.1292200000000001</v>
      </c>
      <c r="P14" s="59">
        <f>M!D11*1</f>
        <v>25.3218</v>
      </c>
      <c r="Q14" s="59">
        <f>M!E11*1</f>
        <v>10</v>
      </c>
      <c r="R14" s="59">
        <f>M!F11*1</f>
        <v>5.5362900000000002</v>
      </c>
      <c r="S14" s="59">
        <f>M!G11*1</f>
        <v>50</v>
      </c>
      <c r="T14" s="59">
        <f>M!H11*1</f>
        <v>22.050599999999999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59.522100000000002</v>
      </c>
      <c r="O15" s="59">
        <f>M!C12*1</f>
        <v>7.0735999999999999</v>
      </c>
      <c r="P15" s="59">
        <f>M!D12*1</f>
        <v>11.884</v>
      </c>
      <c r="Q15" s="59">
        <f>M!E12*1</f>
        <v>50</v>
      </c>
      <c r="R15" s="59">
        <f>M!F12*1</f>
        <v>47.889299999999999</v>
      </c>
      <c r="S15" s="59">
        <f>M!G12*1</f>
        <v>100</v>
      </c>
      <c r="T15" s="59">
        <f>M!H12*1</f>
        <v>76.585099999999997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18.305299999999999</v>
      </c>
      <c r="O16" s="59">
        <f>M!C13*1</f>
        <v>1.85416</v>
      </c>
      <c r="P16" s="59">
        <f>M!D13*1</f>
        <v>10.129099999999999</v>
      </c>
      <c r="Q16" s="59">
        <f>M!E13*1</f>
        <v>10</v>
      </c>
      <c r="R16" s="59">
        <f>M!F13*1</f>
        <v>15.188499999999999</v>
      </c>
      <c r="S16" s="59">
        <f>M!G13*1</f>
        <v>25</v>
      </c>
      <c r="T16" s="59">
        <f>M!H13*1</f>
        <v>24.4438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18.541599999999999</v>
      </c>
      <c r="O17" s="59">
        <f>M!C14*1</f>
        <v>6.2208699999999997</v>
      </c>
      <c r="P17" s="59">
        <f>M!D14*1</f>
        <v>33.550899999999999</v>
      </c>
      <c r="Q17" s="59">
        <f>M!E14*1</f>
        <v>10</v>
      </c>
      <c r="R17" s="59">
        <f>M!F14*1</f>
        <v>1.4622599999999999</v>
      </c>
      <c r="S17" s="59">
        <f>M!G14*1</f>
        <v>50</v>
      </c>
      <c r="T17" s="59">
        <f>M!H14*1</f>
        <v>23.508400000000002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47.342249999999993</v>
      </c>
      <c r="O18" s="22">
        <f>N18/(N18+N19+N20)</f>
        <v>0.47583474423590394</v>
      </c>
      <c r="P18" s="65">
        <f>SUM(P12:P15)/4</f>
        <v>19.094224999999998</v>
      </c>
      <c r="Q18" s="22">
        <f>P18/(P18+P19+P20)</f>
        <v>0.29343610801407377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33.727349999999994</v>
      </c>
      <c r="O19" s="22">
        <f>N19/(N18+N19+N20)</f>
        <v>0.33899202004562129</v>
      </c>
      <c r="P19" s="18">
        <f>SUM(P8:P11)/4</f>
        <v>24.136925000000002</v>
      </c>
      <c r="Q19" s="22">
        <f>P19/(P18+P19+P20)</f>
        <v>0.3709312806059214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18.423449999999999</v>
      </c>
      <c r="O20" s="22">
        <f>N20/(N18+N19+N20)</f>
        <v>0.18517323571847483</v>
      </c>
      <c r="P20" s="18">
        <f>(P16+P17)/2</f>
        <v>21.84</v>
      </c>
      <c r="Q20" s="22">
        <f>P20/(P18+P19+P20)</f>
        <v>0.33563261138000478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-8.0324594594594567E-2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1.482745684329509</v>
      </c>
      <c r="D25" s="44" t="str">
        <f>lang!B11</f>
        <v>频率方差</v>
      </c>
      <c r="E25" s="182">
        <f ca="1">FH!L3</f>
        <v>0.68831393414964115</v>
      </c>
      <c r="F25" s="183"/>
      <c r="G25" s="174" t="str">
        <f>lang!B12</f>
        <v>生理变化率</v>
      </c>
      <c r="H25" s="175"/>
      <c r="I25" s="62" t="str">
        <f ca="1">CONCATENATE(info!M7,"-",info!M8)</f>
        <v>27.4-57</v>
      </c>
      <c r="J25" s="42" t="str">
        <f>lang!B13</f>
        <v>千卡l/分钟</v>
      </c>
      <c r="K25" s="41" t="str">
        <f ca="1">CONCATENATE(info!M5,"-",info!M6)</f>
        <v>1.7-3.4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41.577999999999996</v>
      </c>
      <c r="F28" s="121"/>
      <c r="G28" s="135" t="str">
        <f>lang!B33</f>
        <v>稳定性</v>
      </c>
      <c r="H28" s="136"/>
      <c r="I28" s="137"/>
      <c r="J28" s="138">
        <f>M!B19*100</f>
        <v>69.321999999999989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43606.417743055557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3.715600000000002</v>
      </c>
      <c r="O7" s="59">
        <f t="shared" ref="O7:T7" si="2">AG7-X7</f>
        <v>-7.89419</v>
      </c>
      <c r="P7" s="59">
        <f t="shared" si="2"/>
        <v>-21.703780000000002</v>
      </c>
      <c r="Q7" s="59">
        <f t="shared" si="2"/>
        <v>0</v>
      </c>
      <c r="R7" s="59">
        <f t="shared" si="2"/>
        <v>26.526800000000001</v>
      </c>
      <c r="S7" s="59">
        <f t="shared" si="2"/>
        <v>0</v>
      </c>
      <c r="T7" s="59">
        <f t="shared" si="2"/>
        <v>3.5418000000000021</v>
      </c>
      <c r="U7" s="14"/>
      <c r="V7" s="27" t="str">
        <f>M7</f>
        <v>攻击性</v>
      </c>
      <c r="W7" s="59">
        <f>'M1'!B5*1</f>
        <v>37.597799999999999</v>
      </c>
      <c r="X7" s="59">
        <f>'M1'!C5*1</f>
        <v>10.8505</v>
      </c>
      <c r="Y7" s="59">
        <f>'M1'!D5*1</f>
        <v>28.8596</v>
      </c>
      <c r="Z7" s="59">
        <f>'M1'!E5*1</f>
        <v>20</v>
      </c>
      <c r="AA7" s="59">
        <f>'M1'!F5*1</f>
        <v>10.171200000000001</v>
      </c>
      <c r="AB7" s="59">
        <f>'M1'!G5*1</f>
        <v>50</v>
      </c>
      <c r="AC7" s="59">
        <f>'M1'!H5*1</f>
        <v>47.418199999999999</v>
      </c>
      <c r="AE7" s="27" t="str">
        <f>V7</f>
        <v>攻击性</v>
      </c>
      <c r="AF7" s="59">
        <f>'M2'!B5*1</f>
        <v>41.313400000000001</v>
      </c>
      <c r="AG7" s="59">
        <f>'M2'!C5*1</f>
        <v>2.9563100000000002</v>
      </c>
      <c r="AH7" s="59">
        <f>'M2'!D5*1</f>
        <v>7.1558200000000003</v>
      </c>
      <c r="AI7" s="59">
        <f>'M2'!E5*1</f>
        <v>20</v>
      </c>
      <c r="AJ7" s="59">
        <f>'M2'!F5*1</f>
        <v>36.698</v>
      </c>
      <c r="AK7" s="59">
        <f>'M2'!G5*1</f>
        <v>50</v>
      </c>
      <c r="AL7" s="59">
        <f>'M2'!H5*1</f>
        <v>50.96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7.4585000000000008</v>
      </c>
      <c r="O8" s="59">
        <f t="shared" ref="O8:O16" si="5">AG8-X8</f>
        <v>-2.6517499999999998</v>
      </c>
      <c r="P8" s="59">
        <f t="shared" ref="P8:P16" si="6">AH8-Y8</f>
        <v>-7.83249</v>
      </c>
      <c r="Q8" s="59">
        <f t="shared" ref="Q8:Q16" si="7">AI8-Z8</f>
        <v>0</v>
      </c>
      <c r="R8" s="59">
        <f t="shared" ref="R8:R16" si="8">AJ8-AA8</f>
        <v>14.0169</v>
      </c>
      <c r="S8" s="59">
        <f t="shared" ref="S8:S16" si="9">AK8-AB8</f>
        <v>0</v>
      </c>
      <c r="T8" s="59">
        <f t="shared" ref="T8:T16" si="10">AL8-AC8</f>
        <v>0.89739999999999753</v>
      </c>
      <c r="U8" s="15"/>
      <c r="V8" s="27" t="str">
        <f t="shared" ref="V8:V16" si="11">M8</f>
        <v>压力</v>
      </c>
      <c r="W8" s="59">
        <f>'M1'!B6*1</f>
        <v>37.328600000000002</v>
      </c>
      <c r="X8" s="59">
        <f>'M1'!C6*1</f>
        <v>4.2850099999999998</v>
      </c>
      <c r="Y8" s="59">
        <f>'M1'!D6*1</f>
        <v>11.479200000000001</v>
      </c>
      <c r="Z8" s="59">
        <f>'M1'!E6*1</f>
        <v>20</v>
      </c>
      <c r="AA8" s="59">
        <f>'M1'!F6*1</f>
        <v>27.209099999999999</v>
      </c>
      <c r="AB8" s="59">
        <f>'M1'!G6*1</f>
        <v>40</v>
      </c>
      <c r="AC8" s="59">
        <f>'M1'!H6*1</f>
        <v>47.042700000000004</v>
      </c>
      <c r="AE8" s="27" t="str">
        <f t="shared" ref="AE8:AE16" si="12">V8</f>
        <v>压力</v>
      </c>
      <c r="AF8" s="59">
        <f>'M2'!B6*1</f>
        <v>44.787100000000002</v>
      </c>
      <c r="AG8" s="59">
        <f>'M2'!C6*1</f>
        <v>1.6332599999999999</v>
      </c>
      <c r="AH8" s="59">
        <f>'M2'!D6*1</f>
        <v>3.6467100000000001</v>
      </c>
      <c r="AI8" s="59">
        <f>'M2'!E6*1</f>
        <v>20</v>
      </c>
      <c r="AJ8" s="59">
        <f>'M2'!F6*1</f>
        <v>41.225999999999999</v>
      </c>
      <c r="AK8" s="59">
        <f>'M2'!G6*1</f>
        <v>40</v>
      </c>
      <c r="AL8" s="59">
        <f>'M2'!H6*1</f>
        <v>47.940100000000001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26.526800000000001</v>
      </c>
      <c r="D9" s="78">
        <f>N7</f>
        <v>3.715600000000002</v>
      </c>
      <c r="E9" s="79">
        <f>T7</f>
        <v>3.5418000000000021</v>
      </c>
      <c r="F9" s="79">
        <f>P7</f>
        <v>-21.703780000000002</v>
      </c>
      <c r="G9" s="80" t="str">
        <f>CONCATENATE(M8,"
(20 ~ 40)")</f>
        <v>压力
(20 ~ 40)</v>
      </c>
      <c r="H9" s="77">
        <f>R8</f>
        <v>14.0169</v>
      </c>
      <c r="I9" s="81">
        <f>N8</f>
        <v>7.4585000000000008</v>
      </c>
      <c r="J9" s="77">
        <f>T8</f>
        <v>0.89739999999999753</v>
      </c>
      <c r="K9" s="82">
        <f>P8</f>
        <v>-7.83249</v>
      </c>
      <c r="L9" s="6"/>
      <c r="M9" s="27" t="str">
        <f>lang!B16</f>
        <v>焦虑</v>
      </c>
      <c r="N9" s="59">
        <f t="shared" si="4"/>
        <v>-0.46659999999999968</v>
      </c>
      <c r="O9" s="59">
        <f t="shared" si="5"/>
        <v>-9.5352300000000003</v>
      </c>
      <c r="P9" s="59">
        <f t="shared" si="6"/>
        <v>-47.723800000000004</v>
      </c>
      <c r="Q9" s="59">
        <f t="shared" si="7"/>
        <v>0</v>
      </c>
      <c r="R9" s="59">
        <f t="shared" si="8"/>
        <v>0.88659999999999961</v>
      </c>
      <c r="S9" s="59">
        <f t="shared" si="9"/>
        <v>0</v>
      </c>
      <c r="T9" s="59">
        <f t="shared" si="10"/>
        <v>-11.673999999999999</v>
      </c>
      <c r="U9" s="14"/>
      <c r="V9" s="27" t="str">
        <f t="shared" si="11"/>
        <v>焦虑</v>
      </c>
      <c r="W9" s="59">
        <f>'M1'!B7*1</f>
        <v>19.805</v>
      </c>
      <c r="X9" s="59">
        <f>'M1'!C7*1</f>
        <v>12.996</v>
      </c>
      <c r="Y9" s="59">
        <f>'M1'!D7*1</f>
        <v>65.619600000000005</v>
      </c>
      <c r="Z9" s="59">
        <f>'M1'!E7*1</f>
        <v>15</v>
      </c>
      <c r="AA9" s="59">
        <f>'M1'!F7*1</f>
        <v>10.992900000000001</v>
      </c>
      <c r="AB9" s="59">
        <f>'M1'!G7*1</f>
        <v>40</v>
      </c>
      <c r="AC9" s="59">
        <f>'M1'!H7*1</f>
        <v>54.643000000000001</v>
      </c>
      <c r="AE9" s="27" t="str">
        <f t="shared" si="12"/>
        <v>焦虑</v>
      </c>
      <c r="AF9" s="59">
        <f>'M2'!B7*1</f>
        <v>19.3384</v>
      </c>
      <c r="AG9" s="59">
        <f>'M2'!C7*1</f>
        <v>3.4607700000000001</v>
      </c>
      <c r="AH9" s="59">
        <f>'M2'!D7*1</f>
        <v>17.895800000000001</v>
      </c>
      <c r="AI9" s="59">
        <f>'M2'!E7*1</f>
        <v>15</v>
      </c>
      <c r="AJ9" s="59">
        <f>'M2'!F7*1</f>
        <v>11.8795</v>
      </c>
      <c r="AK9" s="59">
        <f>'M2'!G7*1</f>
        <v>40</v>
      </c>
      <c r="AL9" s="59">
        <f>'M2'!H7*1</f>
        <v>42.969000000000001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0.88659999999999961</v>
      </c>
      <c r="D10" s="51">
        <f>N9</f>
        <v>-0.46659999999999968</v>
      </c>
      <c r="E10" s="53">
        <f>T9</f>
        <v>-11.673999999999999</v>
      </c>
      <c r="F10" s="53">
        <f>P9</f>
        <v>-47.723800000000004</v>
      </c>
      <c r="G10" s="73" t="str">
        <f>CONCATENATE(M10,"
(20 ~ 50)")</f>
        <v>可疑
(20 ~ 50)</v>
      </c>
      <c r="H10" s="24">
        <f>R10</f>
        <v>10.599100000000004</v>
      </c>
      <c r="I10" s="52">
        <f>N10</f>
        <v>3.5309999999999988</v>
      </c>
      <c r="J10" s="24">
        <f>T10</f>
        <v>2.5827999999999989</v>
      </c>
      <c r="K10" s="25">
        <f>P10</f>
        <v>-7.3432300000000001</v>
      </c>
      <c r="L10" s="4"/>
      <c r="M10" s="27" t="str">
        <f>lang!B17</f>
        <v>可疑</v>
      </c>
      <c r="N10" s="59">
        <f t="shared" si="4"/>
        <v>3.5309999999999988</v>
      </c>
      <c r="O10" s="59">
        <f t="shared" si="5"/>
        <v>-2.2039300000000002</v>
      </c>
      <c r="P10" s="59">
        <f t="shared" si="6"/>
        <v>-7.3432300000000001</v>
      </c>
      <c r="Q10" s="59">
        <f t="shared" si="7"/>
        <v>0</v>
      </c>
      <c r="R10" s="59">
        <f t="shared" si="8"/>
        <v>10.599100000000004</v>
      </c>
      <c r="S10" s="59">
        <f t="shared" si="9"/>
        <v>0</v>
      </c>
      <c r="T10" s="59">
        <f t="shared" si="10"/>
        <v>2.5827999999999989</v>
      </c>
      <c r="U10" s="14"/>
      <c r="V10" s="27" t="str">
        <f t="shared" si="11"/>
        <v>可疑</v>
      </c>
      <c r="W10" s="59">
        <f>'M1'!B8*1</f>
        <v>31.707000000000001</v>
      </c>
      <c r="X10" s="59">
        <f>'M1'!C8*1</f>
        <v>3.4450400000000001</v>
      </c>
      <c r="Y10" s="59">
        <f>'M1'!D8*1</f>
        <v>10.8653</v>
      </c>
      <c r="Z10" s="59">
        <f>'M1'!E8*1</f>
        <v>20</v>
      </c>
      <c r="AA10" s="59">
        <f>'M1'!F8*1</f>
        <v>21.668099999999999</v>
      </c>
      <c r="AB10" s="59">
        <f>'M1'!G8*1</f>
        <v>50</v>
      </c>
      <c r="AC10" s="59">
        <f>'M1'!H8*1</f>
        <v>36.0137</v>
      </c>
      <c r="AE10" s="27" t="str">
        <f t="shared" si="12"/>
        <v>可疑</v>
      </c>
      <c r="AF10" s="59">
        <f>'M2'!B8*1</f>
        <v>35.238</v>
      </c>
      <c r="AG10" s="59">
        <f>'M2'!C8*1</f>
        <v>1.2411099999999999</v>
      </c>
      <c r="AH10" s="59">
        <f>'M2'!D8*1</f>
        <v>3.5220699999999998</v>
      </c>
      <c r="AI10" s="59">
        <f>'M2'!E8*1</f>
        <v>20</v>
      </c>
      <c r="AJ10" s="59">
        <f>'M2'!F8*1</f>
        <v>32.267200000000003</v>
      </c>
      <c r="AK10" s="59">
        <f>'M2'!G8*1</f>
        <v>50</v>
      </c>
      <c r="AL10" s="59">
        <f>'M2'!H8*1</f>
        <v>38.596499999999999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3.1465999999999994</v>
      </c>
      <c r="D11" s="52">
        <f>N11</f>
        <v>2.4750000000000014</v>
      </c>
      <c r="E11" s="24">
        <f>T11</f>
        <v>3.143100000000004</v>
      </c>
      <c r="F11" s="24">
        <f>P11</f>
        <v>0.25309999999999988</v>
      </c>
      <c r="G11" s="73" t="str">
        <f>CONCATENATE(M12,"
(40 ~ 100)")</f>
        <v>自信
(40 ~ 100)</v>
      </c>
      <c r="H11" s="24">
        <f>R12</f>
        <v>-8.8795000000000002</v>
      </c>
      <c r="I11" s="52">
        <f>N12</f>
        <v>-28.409200000000006</v>
      </c>
      <c r="J11" s="24">
        <f>T12</f>
        <v>-38.807899999999997</v>
      </c>
      <c r="K11" s="25">
        <f>P12</f>
        <v>-5.4918199999999997</v>
      </c>
      <c r="L11" s="4"/>
      <c r="M11" s="27" t="str">
        <f>lang!B18</f>
        <v>平衡</v>
      </c>
      <c r="N11" s="59">
        <f t="shared" si="4"/>
        <v>2.4750000000000014</v>
      </c>
      <c r="O11" s="59">
        <f t="shared" si="5"/>
        <v>0.42138000000000009</v>
      </c>
      <c r="P11" s="59">
        <f t="shared" si="6"/>
        <v>0.25309999999999988</v>
      </c>
      <c r="Q11" s="59">
        <f t="shared" si="7"/>
        <v>0</v>
      </c>
      <c r="R11" s="59">
        <f t="shared" si="8"/>
        <v>3.1465999999999994</v>
      </c>
      <c r="S11" s="59">
        <f t="shared" si="9"/>
        <v>0</v>
      </c>
      <c r="T11" s="59">
        <f t="shared" si="10"/>
        <v>3.143100000000004</v>
      </c>
      <c r="U11" s="14"/>
      <c r="V11" s="27" t="str">
        <f t="shared" si="11"/>
        <v>平衡</v>
      </c>
      <c r="W11" s="59">
        <f>'M1'!B9*1</f>
        <v>63.113300000000002</v>
      </c>
      <c r="X11" s="59">
        <f>'M1'!C9*1</f>
        <v>6.5119699999999998</v>
      </c>
      <c r="Y11" s="59">
        <f>'M1'!D9*1</f>
        <v>10.3179</v>
      </c>
      <c r="Z11" s="59">
        <f>'M1'!E9*1</f>
        <v>50</v>
      </c>
      <c r="AA11" s="59">
        <f>'M1'!F9*1</f>
        <v>46.199199999999998</v>
      </c>
      <c r="AB11" s="59">
        <f>'M1'!G9*1</f>
        <v>100</v>
      </c>
      <c r="AC11" s="59">
        <f>'M1'!H9*1</f>
        <v>74.735500000000002</v>
      </c>
      <c r="AE11" s="27" t="str">
        <f t="shared" si="12"/>
        <v>平衡</v>
      </c>
      <c r="AF11" s="59">
        <f>'M2'!B9*1</f>
        <v>65.588300000000004</v>
      </c>
      <c r="AG11" s="59">
        <f>'M2'!C9*1</f>
        <v>6.9333499999999999</v>
      </c>
      <c r="AH11" s="59">
        <f>'M2'!D9*1</f>
        <v>10.571</v>
      </c>
      <c r="AI11" s="59">
        <f>'M2'!E9*1</f>
        <v>50</v>
      </c>
      <c r="AJ11" s="59">
        <f>'M2'!F9*1</f>
        <v>49.345799999999997</v>
      </c>
      <c r="AK11" s="59">
        <f>'M2'!G9*1</f>
        <v>100</v>
      </c>
      <c r="AL11" s="59">
        <f>'M2'!H9*1</f>
        <v>77.878600000000006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7.1246099999999997</v>
      </c>
      <c r="D12" s="51">
        <f>N13</f>
        <v>4.4714999999999989</v>
      </c>
      <c r="E12" s="53">
        <f>T13</f>
        <v>4.2300000000000892E-2</v>
      </c>
      <c r="F12" s="53">
        <f>P13</f>
        <v>-15.936300000000001</v>
      </c>
      <c r="G12" s="73" t="str">
        <f>CONCATENATE(M14,"
(50 ~ 100)")</f>
        <v>自我调节
(50 ~ 100)</v>
      </c>
      <c r="H12" s="24">
        <f>R14</f>
        <v>-7.9517999999999986</v>
      </c>
      <c r="I12" s="52">
        <f>N14</f>
        <v>-10.902799999999999</v>
      </c>
      <c r="J12" s="24">
        <f>T14</f>
        <v>-15.337199999999996</v>
      </c>
      <c r="K12" s="25">
        <f>P14</f>
        <v>-1.2074299999999996</v>
      </c>
      <c r="L12" s="4"/>
      <c r="M12" s="27" t="str">
        <f>lang!B19</f>
        <v>自信</v>
      </c>
      <c r="N12" s="59">
        <f t="shared" si="4"/>
        <v>-28.409200000000006</v>
      </c>
      <c r="O12" s="59">
        <f t="shared" si="5"/>
        <v>-5.1368500000000008</v>
      </c>
      <c r="P12" s="59">
        <f t="shared" si="6"/>
        <v>-5.4918199999999997</v>
      </c>
      <c r="Q12" s="59">
        <f t="shared" si="7"/>
        <v>0</v>
      </c>
      <c r="R12" s="59">
        <f t="shared" si="8"/>
        <v>-8.8795000000000002</v>
      </c>
      <c r="S12" s="59">
        <f t="shared" si="9"/>
        <v>0</v>
      </c>
      <c r="T12" s="59">
        <f t="shared" si="10"/>
        <v>-38.807899999999997</v>
      </c>
      <c r="U12" s="15"/>
      <c r="V12" s="27" t="str">
        <f t="shared" si="11"/>
        <v>自信</v>
      </c>
      <c r="W12" s="59">
        <f>'M1'!B10*1</f>
        <v>73.417900000000003</v>
      </c>
      <c r="X12" s="59">
        <f>'M1'!C10*1</f>
        <v>6.8873100000000003</v>
      </c>
      <c r="Y12" s="59">
        <f>'M1'!D10*1</f>
        <v>9.3809699999999996</v>
      </c>
      <c r="Z12" s="59">
        <f>'M1'!E10*1</f>
        <v>40</v>
      </c>
      <c r="AA12" s="59">
        <f>'M1'!F10*1</f>
        <v>49.436500000000002</v>
      </c>
      <c r="AB12" s="59">
        <f>'M1'!G10*1</f>
        <v>100</v>
      </c>
      <c r="AC12" s="59">
        <f>'M1'!H10*1</f>
        <v>88.222899999999996</v>
      </c>
      <c r="AE12" s="27" t="str">
        <f t="shared" si="12"/>
        <v>自信</v>
      </c>
      <c r="AF12" s="59">
        <f>'M2'!B10*1</f>
        <v>45.008699999999997</v>
      </c>
      <c r="AG12" s="59">
        <f>'M2'!C10*1</f>
        <v>1.7504599999999999</v>
      </c>
      <c r="AH12" s="59">
        <f>'M2'!D10*1</f>
        <v>3.8891499999999999</v>
      </c>
      <c r="AI12" s="59">
        <f>'M2'!E10*1</f>
        <v>40</v>
      </c>
      <c r="AJ12" s="59">
        <f>'M2'!F10*1</f>
        <v>40.557000000000002</v>
      </c>
      <c r="AK12" s="59">
        <f>'M2'!G10*1</f>
        <v>100</v>
      </c>
      <c r="AL12" s="59">
        <f>'M2'!H10*1</f>
        <v>49.414999999999999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-4.4200000000000017E-2</v>
      </c>
      <c r="D13" s="55">
        <f>N15</f>
        <v>0.62920000000000087</v>
      </c>
      <c r="E13" s="56">
        <f>T15</f>
        <v>-0.69359999999999999</v>
      </c>
      <c r="F13" s="56">
        <f>P15</f>
        <v>-1.1556300000000004</v>
      </c>
      <c r="G13" s="74" t="str">
        <f>CONCATENATE(M16,"
(10 ~ 50)")</f>
        <v>神经质
(10 ~ 50)</v>
      </c>
      <c r="H13" s="54">
        <f>R16</f>
        <v>0.99920999999999993</v>
      </c>
      <c r="I13" s="55">
        <f>N16</f>
        <v>-1.4694000000000003</v>
      </c>
      <c r="J13" s="56">
        <f>T16</f>
        <v>-3.820800000000002</v>
      </c>
      <c r="K13" s="57">
        <f>P16</f>
        <v>-4.9213999999999984</v>
      </c>
      <c r="M13" s="27" t="str">
        <f>lang!B20</f>
        <v>活力</v>
      </c>
      <c r="N13" s="59">
        <f t="shared" si="4"/>
        <v>4.4714999999999989</v>
      </c>
      <c r="O13" s="59">
        <f t="shared" si="5"/>
        <v>-1.5513900000000005</v>
      </c>
      <c r="P13" s="59">
        <f t="shared" si="6"/>
        <v>-15.936300000000001</v>
      </c>
      <c r="Q13" s="59">
        <f t="shared" si="7"/>
        <v>0</v>
      </c>
      <c r="R13" s="59">
        <f t="shared" si="8"/>
        <v>7.1246099999999997</v>
      </c>
      <c r="S13" s="59">
        <f t="shared" si="9"/>
        <v>0</v>
      </c>
      <c r="T13" s="59">
        <f t="shared" si="10"/>
        <v>4.2300000000000892E-2</v>
      </c>
      <c r="U13" s="14"/>
      <c r="V13" s="27" t="str">
        <f t="shared" si="11"/>
        <v>活力</v>
      </c>
      <c r="W13" s="59">
        <f>'M1'!B11*1</f>
        <v>13.9984</v>
      </c>
      <c r="X13" s="59">
        <f>'M1'!C11*1</f>
        <v>4.3577700000000004</v>
      </c>
      <c r="Y13" s="59">
        <f>'M1'!D11*1</f>
        <v>31.130600000000001</v>
      </c>
      <c r="Z13" s="59">
        <f>'M1'!E11*1</f>
        <v>10</v>
      </c>
      <c r="AA13" s="59">
        <f>'M1'!F11*1</f>
        <v>5.5362900000000002</v>
      </c>
      <c r="AB13" s="59">
        <f>'M1'!G11*1</f>
        <v>50</v>
      </c>
      <c r="AC13" s="59">
        <f>'M1'!H11*1</f>
        <v>22.008299999999998</v>
      </c>
      <c r="AE13" s="27" t="str">
        <f t="shared" si="12"/>
        <v>活力</v>
      </c>
      <c r="AF13" s="59">
        <f>'M2'!B11*1</f>
        <v>18.469899999999999</v>
      </c>
      <c r="AG13" s="59">
        <f>'M2'!C11*1</f>
        <v>2.8063799999999999</v>
      </c>
      <c r="AH13" s="59">
        <f>'M2'!D11*1</f>
        <v>15.1943</v>
      </c>
      <c r="AI13" s="59">
        <f>'M2'!E11*1</f>
        <v>10</v>
      </c>
      <c r="AJ13" s="59">
        <f>'M2'!F11*1</f>
        <v>12.6609</v>
      </c>
      <c r="AK13" s="59">
        <f>'M2'!G11*1</f>
        <v>50</v>
      </c>
      <c r="AL13" s="59">
        <f>'M2'!H11*1</f>
        <v>22.050599999999999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-10.902799999999999</v>
      </c>
      <c r="O14" s="59">
        <f t="shared" si="5"/>
        <v>-1.4262899999999998</v>
      </c>
      <c r="P14" s="59">
        <f t="shared" si="6"/>
        <v>-1.2074299999999996</v>
      </c>
      <c r="Q14" s="59">
        <f t="shared" si="7"/>
        <v>0</v>
      </c>
      <c r="R14" s="59">
        <f t="shared" si="8"/>
        <v>-7.9517999999999986</v>
      </c>
      <c r="S14" s="59">
        <f t="shared" si="9"/>
        <v>0</v>
      </c>
      <c r="T14" s="59">
        <f t="shared" si="10"/>
        <v>-15.337199999999996</v>
      </c>
      <c r="U14" s="14"/>
      <c r="V14" s="27" t="str">
        <f t="shared" si="11"/>
        <v>自我调节</v>
      </c>
      <c r="W14" s="59">
        <f>'M1'!B12*1</f>
        <v>66.351100000000002</v>
      </c>
      <c r="X14" s="59">
        <f>'M1'!C12*1</f>
        <v>4.6055999999999999</v>
      </c>
      <c r="Y14" s="59">
        <f>'M1'!D12*1</f>
        <v>6.9412599999999998</v>
      </c>
      <c r="Z14" s="59">
        <f>'M1'!E12*1</f>
        <v>50</v>
      </c>
      <c r="AA14" s="59">
        <f>'M1'!F12*1</f>
        <v>55.841099999999997</v>
      </c>
      <c r="AB14" s="59">
        <f>'M1'!G12*1</f>
        <v>100</v>
      </c>
      <c r="AC14" s="59">
        <f>'M1'!H12*1</f>
        <v>76.585099999999997</v>
      </c>
      <c r="AE14" s="27" t="str">
        <f t="shared" si="12"/>
        <v>自我调节</v>
      </c>
      <c r="AF14" s="59">
        <f>'M2'!B12*1</f>
        <v>55.448300000000003</v>
      </c>
      <c r="AG14" s="59">
        <f>'M2'!C12*1</f>
        <v>3.1793100000000001</v>
      </c>
      <c r="AH14" s="59">
        <f>'M2'!D12*1</f>
        <v>5.7338300000000002</v>
      </c>
      <c r="AI14" s="59">
        <f>'M2'!E12*1</f>
        <v>50</v>
      </c>
      <c r="AJ14" s="59">
        <f>'M2'!F12*1</f>
        <v>47.889299999999999</v>
      </c>
      <c r="AK14" s="59">
        <f>'M2'!G12*1</f>
        <v>100</v>
      </c>
      <c r="AL14" s="59">
        <f>'M2'!H12*1</f>
        <v>61.247900000000001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0.62920000000000087</v>
      </c>
      <c r="O15" s="59">
        <f t="shared" si="5"/>
        <v>-0.14693999999999985</v>
      </c>
      <c r="P15" s="59">
        <f t="shared" si="6"/>
        <v>-1.1556300000000004</v>
      </c>
      <c r="Q15" s="59">
        <f t="shared" si="7"/>
        <v>0</v>
      </c>
      <c r="R15" s="59">
        <f t="shared" si="8"/>
        <v>-4.4200000000000017E-2</v>
      </c>
      <c r="S15" s="59">
        <f t="shared" si="9"/>
        <v>0</v>
      </c>
      <c r="T15" s="59">
        <f t="shared" si="10"/>
        <v>-0.69359999999999999</v>
      </c>
      <c r="U15" s="14"/>
      <c r="V15" s="27" t="str">
        <f t="shared" si="11"/>
        <v>抑郁</v>
      </c>
      <c r="W15" s="59">
        <f>'M1'!B13*1</f>
        <v>17.911899999999999</v>
      </c>
      <c r="X15" s="59">
        <f>'M1'!C13*1</f>
        <v>1.9166799999999999</v>
      </c>
      <c r="Y15" s="59">
        <f>'M1'!D13*1</f>
        <v>10.7006</v>
      </c>
      <c r="Z15" s="59">
        <f>'M1'!E13*1</f>
        <v>10</v>
      </c>
      <c r="AA15" s="59">
        <f>'M1'!F13*1</f>
        <v>15.232699999999999</v>
      </c>
      <c r="AB15" s="59">
        <f>'M1'!G13*1</f>
        <v>25</v>
      </c>
      <c r="AC15" s="59">
        <f>'M1'!H13*1</f>
        <v>24.4438</v>
      </c>
      <c r="AE15" s="27" t="str">
        <f t="shared" si="12"/>
        <v>抑郁</v>
      </c>
      <c r="AF15" s="59">
        <f>'M2'!B13*1</f>
        <v>18.5411</v>
      </c>
      <c r="AG15" s="59">
        <f>'M2'!C13*1</f>
        <v>1.7697400000000001</v>
      </c>
      <c r="AH15" s="59">
        <f>'M2'!D13*1</f>
        <v>9.5449699999999993</v>
      </c>
      <c r="AI15" s="59">
        <f>'M2'!E13*1</f>
        <v>10</v>
      </c>
      <c r="AJ15" s="59">
        <f>'M2'!F13*1</f>
        <v>15.188499999999999</v>
      </c>
      <c r="AK15" s="59">
        <f>'M2'!G13*1</f>
        <v>25</v>
      </c>
      <c r="AL15" s="59">
        <f>'M2'!H13*1</f>
        <v>23.7502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-1.4694000000000003</v>
      </c>
      <c r="O16" s="59">
        <f t="shared" si="5"/>
        <v>-1.3981399999999997</v>
      </c>
      <c r="P16" s="59">
        <f t="shared" si="6"/>
        <v>-4.9213999999999984</v>
      </c>
      <c r="Q16" s="59">
        <f t="shared" si="7"/>
        <v>0</v>
      </c>
      <c r="R16" s="59">
        <f t="shared" si="8"/>
        <v>0.99920999999999993</v>
      </c>
      <c r="S16" s="59">
        <f t="shared" si="9"/>
        <v>0</v>
      </c>
      <c r="T16" s="59">
        <f t="shared" si="10"/>
        <v>-3.820800000000002</v>
      </c>
      <c r="U16" s="15"/>
      <c r="V16" s="27" t="str">
        <f t="shared" si="11"/>
        <v>神经质</v>
      </c>
      <c r="W16" s="59">
        <f>'M1'!B14*1</f>
        <v>19.166799999999999</v>
      </c>
      <c r="X16" s="59">
        <f>'M1'!C14*1</f>
        <v>6.8768099999999999</v>
      </c>
      <c r="Y16" s="59">
        <f>'M1'!D14*1</f>
        <v>35.878799999999998</v>
      </c>
      <c r="Z16" s="59">
        <f>'M1'!E14*1</f>
        <v>10</v>
      </c>
      <c r="AA16" s="59">
        <f>'M1'!F14*1</f>
        <v>1.4622599999999999</v>
      </c>
      <c r="AB16" s="59">
        <f>'M1'!G14*1</f>
        <v>50</v>
      </c>
      <c r="AC16" s="59">
        <f>'M1'!H14*1</f>
        <v>23.508400000000002</v>
      </c>
      <c r="AE16" s="27" t="str">
        <f t="shared" si="12"/>
        <v>神经质</v>
      </c>
      <c r="AF16" s="59">
        <f>'M2'!B14*1</f>
        <v>17.697399999999998</v>
      </c>
      <c r="AG16" s="59">
        <f>'M2'!C14*1</f>
        <v>5.4786700000000002</v>
      </c>
      <c r="AH16" s="59">
        <f>'M2'!D14*1</f>
        <v>30.9574</v>
      </c>
      <c r="AI16" s="59">
        <f>'M2'!E14*1</f>
        <v>10</v>
      </c>
      <c r="AJ16" s="59">
        <f>'M2'!F14*1</f>
        <v>2.4614699999999998</v>
      </c>
      <c r="AK16" s="59">
        <f>'M2'!G14*1</f>
        <v>50</v>
      </c>
      <c r="AL16" s="59">
        <f>'M2'!H14*1</f>
        <v>19.6876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-8.0913750000000011</v>
      </c>
      <c r="O17" s="22">
        <f>N17/(N17+N18+N19)</f>
        <v>1.6340105213203147</v>
      </c>
      <c r="P17" s="65">
        <f>SUM(P11:P14)/4</f>
        <v>-5.5956124999999997</v>
      </c>
      <c r="Q17" s="22">
        <f>P17/(P17+P18+P19)</f>
        <v>0.18786709497018667</v>
      </c>
      <c r="R17" s="14"/>
      <c r="S17" s="14"/>
      <c r="T17" s="14"/>
      <c r="U17" s="14"/>
      <c r="V17" s="21" t="str">
        <f>M17</f>
        <v>Positive</v>
      </c>
      <c r="W17" s="65">
        <f>SUM(W11:W14)/4</f>
        <v>54.220175000000005</v>
      </c>
      <c r="X17" s="22">
        <f>W17/(W17+W18+W19)</f>
        <v>0.51950397207986554</v>
      </c>
      <c r="Y17" s="65">
        <f>SUM(Y11:Y14)/4</f>
        <v>14.4426825</v>
      </c>
      <c r="Z17" s="22">
        <f>Y17/(Y17+Y18+Y19)</f>
        <v>0.2157610946467387</v>
      </c>
      <c r="AA17" s="14"/>
      <c r="AB17" s="14"/>
      <c r="AC17" s="14"/>
      <c r="AE17" s="21" t="str">
        <f>V17</f>
        <v>Positive</v>
      </c>
      <c r="AF17" s="65">
        <f>SUM(AF11:AF14)/4</f>
        <v>46.128799999999998</v>
      </c>
      <c r="AG17" s="22">
        <f>AF17/(AF17+AF18+AF19)</f>
        <v>0.4639917961943737</v>
      </c>
      <c r="AH17" s="65">
        <f>SUM(AH11:AH14)/4</f>
        <v>8.8470699999999987</v>
      </c>
      <c r="AI17" s="22">
        <f>AH17/(AH17+AH18+AH19)</f>
        <v>0.23812304433879522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3.5596250000000005</v>
      </c>
      <c r="O18" s="22">
        <f>N18/(N17+N18+N19)</f>
        <v>-0.71884750143885623</v>
      </c>
      <c r="P18" s="18">
        <f>SUM(P7:P10)/4</f>
        <v>-21.150825000000005</v>
      </c>
      <c r="Q18" s="22">
        <f>P18/(P17+P18+P19)</f>
        <v>0.71011780193371132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31.6096</v>
      </c>
      <c r="X18" s="22">
        <f>W18/(W17+W18+W19)</f>
        <v>0.3028635144732697</v>
      </c>
      <c r="Y18" s="18">
        <f>SUM(Y7:Y10)/4</f>
        <v>29.205925000000004</v>
      </c>
      <c r="Z18" s="22">
        <f>Y18/(Y17+Y18+Y19)</f>
        <v>0.4363110764340733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35.169225000000004</v>
      </c>
      <c r="AG18" s="22">
        <f>AF18/(AF17+AF18+AF19)</f>
        <v>0.35375366102118577</v>
      </c>
      <c r="AH18" s="18">
        <f>SUM(AH7:AH10)/4</f>
        <v>8.0551000000000013</v>
      </c>
      <c r="AI18" s="22">
        <f>AH18/(AH17+AH18+AH19)</f>
        <v>0.21680679981659803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-0.4200999999999997</v>
      </c>
      <c r="O19" s="22">
        <f>N19/(N17+N18+N19)</f>
        <v>8.4836980118541488E-2</v>
      </c>
      <c r="P19" s="18">
        <f>(P15+P16)/2</f>
        <v>-3.0385149999999994</v>
      </c>
      <c r="Q19" s="22">
        <f>P19/(P17+P18+P19)</f>
        <v>0.10201510309610193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18.539349999999999</v>
      </c>
      <c r="X19" s="22">
        <f>W19/(W17+W18+W19)</f>
        <v>0.17763251344686465</v>
      </c>
      <c r="Y19" s="18">
        <f>(Y15+Y16)/2</f>
        <v>23.2897</v>
      </c>
      <c r="Z19" s="22">
        <f>Y19/(Y17+Y18+Y19)</f>
        <v>0.347927828919188</v>
      </c>
      <c r="AA19" s="14"/>
      <c r="AB19" s="14"/>
      <c r="AC19" s="14"/>
      <c r="AE19" s="21" t="str">
        <f t="shared" si="14"/>
        <v>Physiological</v>
      </c>
      <c r="AF19" s="18">
        <f>(AF15+AF16)/2</f>
        <v>18.119250000000001</v>
      </c>
      <c r="AG19" s="22">
        <f>AF19/(AF17+AF18+AF19)</f>
        <v>0.18225454278444067</v>
      </c>
      <c r="AH19" s="18">
        <f>(AH15+AH16)/2</f>
        <v>20.251185</v>
      </c>
      <c r="AI19" s="22">
        <f>AH19/(AH17+AH18+AH19)</f>
        <v>0.54507015584460683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1.36/1.56</v>
      </c>
      <c r="D24" s="44" t="str">
        <f>lang!B11</f>
        <v>频率方差</v>
      </c>
      <c r="E24" s="182" t="str">
        <f ca="1">CONCATENATE(ROUND('FH1'!L3,2),"/",ROUND('FH2'!L3,2))</f>
        <v>0.69/0.68</v>
      </c>
      <c r="F24" s="183"/>
      <c r="G24" s="174" t="str">
        <f>lang!B12</f>
        <v>生理变化率</v>
      </c>
      <c r="H24" s="175"/>
      <c r="I24" s="62" t="str">
        <f ca="1">CONCATENATE(info!M7,"-",info!M8)</f>
        <v>27.4-57</v>
      </c>
      <c r="J24" s="42" t="str">
        <f>lang!B13</f>
        <v>千卡l/分钟</v>
      </c>
      <c r="K24" s="41" t="str">
        <f ca="1">CONCATENATE(info!M5,"-",info!M6)</f>
        <v>1.7-3.4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3.4147999999999956</v>
      </c>
      <c r="F27" s="121"/>
      <c r="G27" s="135" t="str">
        <f>lang!B33</f>
        <v>稳定性</v>
      </c>
      <c r="H27" s="136"/>
      <c r="I27" s="137"/>
      <c r="J27" s="138">
        <f>dM!B19*100</f>
        <v>7.9565000000000001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-0.83687999071589514</v>
      </c>
      <c r="C2">
        <f t="array" aca="1" ref="C2" ca="1">CORREL(FT_E02,FT_PH02)</f>
        <v>0.96380237401545032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1.6654</v>
      </c>
      <c r="G2" s="61">
        <f>IF(FT!B2&lt;&gt;"",FT!B2*100,"")</f>
        <v>56.991199999999999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1.7220199999999999</v>
      </c>
      <c r="G3" s="61">
        <f>IF(FT!B3&lt;&gt;"",FT!B3*100,"")</f>
        <v>55.712899999999998</v>
      </c>
      <c r="H3" s="61">
        <f t="shared" ref="H3:H66" si="1">(IF(F3&lt;&gt;"",1,""))</f>
        <v>1</v>
      </c>
      <c r="I3" t="str">
        <f>IF(FT!B3&lt;&gt;"",FT!E3,"")</f>
        <v>1 [0.403981]</v>
      </c>
      <c r="J3">
        <f>IF(FT!B3&lt;&gt;"",FT!C3,"")</f>
        <v>0.40398099999999998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0.36059466216216213</v>
      </c>
      <c r="V3">
        <f ca="1">AVERAGE(OFFSET(FT!B2,info!$L$3/2,0,info!$L$3/2,1))</f>
        <v>0.30396014864864868</v>
      </c>
      <c r="W3">
        <f ca="1">AVERAGE(OFFSET(FT!A2,0,0,info!$L$3/2,1))</f>
        <v>0.2842750675675676</v>
      </c>
      <c r="X3">
        <f ca="1">AVERAGE(OFFSET(FT!A2,info!$L$3/2,0,info!$L$3/2,1))</f>
        <v>0.30796514864864871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1.77878</v>
      </c>
      <c r="G4" s="61">
        <f>IF(FT!B4&lt;&gt;"",FT!B4*100,"")</f>
        <v>54.376400000000004</v>
      </c>
      <c r="H4" s="61">
        <f t="shared" si="1"/>
        <v>1</v>
      </c>
      <c r="I4" t="str">
        <f>IF(FT!B4&lt;&gt;"",FT!E4,"")</f>
        <v>1 [0.813845]</v>
      </c>
      <c r="J4">
        <f>IF(FT!B4&lt;&gt;"",FT!C4,"")</f>
        <v>0.81384500000000004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14.941649999999999</v>
      </c>
      <c r="V4">
        <f>U4*3</f>
        <v>44.824950000000001</v>
      </c>
      <c r="W4">
        <f>U4</f>
        <v>14.941649999999999</v>
      </c>
      <c r="X4">
        <f>V4</f>
        <v>44.824950000000001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1.8350200000000001</v>
      </c>
      <c r="G5" s="61">
        <f>IF(FT!B5&lt;&gt;"",FT!B5*100,"")</f>
        <v>53.064500000000002</v>
      </c>
      <c r="H5" s="61">
        <f t="shared" si="1"/>
        <v>1</v>
      </c>
      <c r="I5" t="str">
        <f>IF(FT!B5&lt;&gt;"",FT!E5,"")</f>
        <v>1 [1.220703]</v>
      </c>
      <c r="J5">
        <f>IF(FT!B5&lt;&gt;"",FT!C5,"")</f>
        <v>1.2206999999999999</v>
      </c>
      <c r="K5" t="s">
        <v>53</v>
      </c>
      <c r="L5" s="63">
        <f ca="1">MIN(FT_E)</f>
        <v>1.6654</v>
      </c>
      <c r="M5" s="63">
        <f ca="1">ROUND(L5,1)</f>
        <v>1.7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36.059466216216215</v>
      </c>
      <c r="V5">
        <f ca="1">V3*100</f>
        <v>30.396014864864867</v>
      </c>
      <c r="W5">
        <f ca="1">W3*10</f>
        <v>2.842750675675676</v>
      </c>
      <c r="X5">
        <f ca="1">X3*10</f>
        <v>3.0796514864864872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1.8932799999999999</v>
      </c>
      <c r="G6" s="61">
        <f>IF(FT!B6&lt;&gt;"",FT!B6*100,"")</f>
        <v>51.722000000000001</v>
      </c>
      <c r="H6" s="61">
        <f t="shared" si="1"/>
        <v>1</v>
      </c>
      <c r="I6" t="str">
        <f>IF(FT!B6&lt;&gt;"",FT!E6,"")</f>
        <v>1 [1.624676]</v>
      </c>
      <c r="J6">
        <f>IF(FT!B6&lt;&gt;"",FT!C6,"")</f>
        <v>1.6246799999999999</v>
      </c>
      <c r="K6" t="s">
        <v>54</v>
      </c>
      <c r="L6" s="63">
        <f ca="1">MAX(FT_E)</f>
        <v>3.3939900000000001</v>
      </c>
      <c r="M6" s="63">
        <f ca="1">ROUND(L6,1)</f>
        <v>3.4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1.95346</v>
      </c>
      <c r="G7" s="61">
        <f>IF(FT!B7&lt;&gt;"",FT!B7*100,"")</f>
        <v>50.299499999999995</v>
      </c>
      <c r="H7" s="61">
        <f t="shared" si="1"/>
        <v>1</v>
      </c>
      <c r="I7" t="str">
        <f>IF(FT!B7&lt;&gt;"",FT!E7,"")</f>
        <v>1 [2.031533]</v>
      </c>
      <c r="J7">
        <f>IF(FT!B7&lt;&gt;"",FT!C7,"")</f>
        <v>2.0315300000000001</v>
      </c>
      <c r="K7" t="s">
        <v>55</v>
      </c>
      <c r="L7" s="63">
        <f ca="1">MIN(FT_PH)</f>
        <v>27.356999999999999</v>
      </c>
      <c r="M7" s="63">
        <f ca="1">ROUND(L7,1)</f>
        <v>27.4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12610</v>
      </c>
      <c r="D8" s="61">
        <f>FH!B8*1</f>
        <v>12610</v>
      </c>
      <c r="E8">
        <f t="shared" si="3"/>
        <v>6</v>
      </c>
      <c r="F8" s="61">
        <f>IF(FT!A8&lt;&gt;"",FT!A8*10,"")</f>
        <v>2.0125699999999997</v>
      </c>
      <c r="G8" s="61">
        <f>IF(FT!B8&lt;&gt;"",FT!B8*100,"")</f>
        <v>48.9178</v>
      </c>
      <c r="H8" s="61">
        <f t="shared" si="1"/>
        <v>1</v>
      </c>
      <c r="I8" t="str">
        <f>IF(FT!B8&lt;&gt;"",FT!E8,"")</f>
        <v>1 [2.439721]</v>
      </c>
      <c r="J8">
        <f>IF(FT!B8&lt;&gt;"",FT!C8,"")</f>
        <v>2.4397199999999999</v>
      </c>
      <c r="K8" t="s">
        <v>56</v>
      </c>
      <c r="L8" s="63">
        <f ca="1">MAX(FT_PH)</f>
        <v>56.991199999999999</v>
      </c>
      <c r="M8" s="63">
        <f ca="1">ROUND(L8,1)</f>
        <v>57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2.0705399999999998</v>
      </c>
      <c r="G9" s="61">
        <f>IF(FT!B9&lt;&gt;"",FT!B9*100,"")</f>
        <v>47.613299999999995</v>
      </c>
      <c r="H9" s="61">
        <f t="shared" si="1"/>
        <v>1</v>
      </c>
      <c r="I9" t="str">
        <f>IF(FT!B9&lt;&gt;"",FT!E9,"")</f>
        <v>1 [2.845403]</v>
      </c>
      <c r="J9">
        <f>IF(FT!B9&lt;&gt;"",FT!C9,"")</f>
        <v>2.8454000000000002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22019</v>
      </c>
      <c r="D10" s="61">
        <f>FH!B10*1</f>
        <v>22019</v>
      </c>
      <c r="E10">
        <f t="shared" si="3"/>
        <v>8</v>
      </c>
      <c r="F10" s="61">
        <f>IF(FT!A10&lt;&gt;"",FT!A10*10,"")</f>
        <v>2.1285699999999999</v>
      </c>
      <c r="G10" s="61">
        <f>IF(FT!B10&lt;&gt;"",FT!B10*100,"")</f>
        <v>46.298299999999998</v>
      </c>
      <c r="H10" s="61">
        <f t="shared" si="1"/>
        <v>1</v>
      </c>
      <c r="I10" t="str">
        <f>IF(FT!B10&lt;&gt;"",FT!E10,"")</f>
        <v>1 [3.250289]</v>
      </c>
      <c r="J10">
        <f>IF(FT!B10&lt;&gt;"",FT!C10,"")</f>
        <v>3.2502900000000001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2.1859500000000001</v>
      </c>
      <c r="G11" s="61">
        <f>IF(FT!B11&lt;&gt;"",FT!B11*100,"")</f>
        <v>44.979400000000005</v>
      </c>
      <c r="H11" s="61">
        <f t="shared" si="1"/>
        <v>1</v>
      </c>
      <c r="I11" t="str">
        <f>IF(FT!B11&lt;&gt;"",FT!E11,"")</f>
        <v>1 [3.658192]</v>
      </c>
      <c r="J11">
        <f>IF(FT!B11&lt;&gt;"",FT!C11,"")</f>
        <v>3.6581899999999998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2.2414999999999998</v>
      </c>
      <c r="G12" s="61">
        <f>IF(FT!B12&lt;&gt;"",FT!B12*100,"")</f>
        <v>43.750999999999998</v>
      </c>
      <c r="H12" s="61">
        <f t="shared" si="1"/>
        <v>1</v>
      </c>
      <c r="I12" t="str">
        <f>IF(FT!B12&lt;&gt;"",FT!E12,"")</f>
        <v>1 [4.062110]</v>
      </c>
      <c r="J12">
        <f>IF(FT!B12&lt;&gt;"",FT!C12,"")</f>
        <v>4.0621099999999997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28890</v>
      </c>
      <c r="D13" s="61">
        <f>FH!B13*1</f>
        <v>28890</v>
      </c>
      <c r="E13">
        <f t="shared" si="3"/>
        <v>11</v>
      </c>
      <c r="F13" s="61">
        <f>IF(FT!A13&lt;&gt;"",FT!A13*10,"")</f>
        <v>2.2954400000000001</v>
      </c>
      <c r="G13" s="61">
        <f>IF(FT!B13&lt;&gt;"",FT!B13*100,"")</f>
        <v>42.5137</v>
      </c>
      <c r="H13" s="61">
        <f t="shared" si="1"/>
        <v>1</v>
      </c>
      <c r="I13" t="str">
        <f>IF(FT!B13&lt;&gt;"",FT!E13,"")</f>
        <v>1 [4.469193]</v>
      </c>
      <c r="J13">
        <f>IF(FT!B13&lt;&gt;"",FT!C13,"")</f>
        <v>4.4691900000000002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2.3471800000000003</v>
      </c>
      <c r="G14" s="61">
        <f>IF(FT!B14&lt;&gt;"",FT!B14*100,"")</f>
        <v>41.321300000000001</v>
      </c>
      <c r="H14" s="61">
        <f t="shared" si="1"/>
        <v>1</v>
      </c>
      <c r="I14" t="str">
        <f>IF(FT!B14&lt;&gt;"",FT!E14,"")</f>
        <v>1 [4.872961]</v>
      </c>
      <c r="J14">
        <f>IF(FT!B14&lt;&gt;"",FT!C14,"")</f>
        <v>4.87296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52819</v>
      </c>
      <c r="D15" s="61">
        <f>FH!B15*1</f>
        <v>52819</v>
      </c>
      <c r="E15">
        <f t="shared" si="3"/>
        <v>13</v>
      </c>
      <c r="F15" s="61">
        <f>IF(FT!A15&lt;&gt;"",FT!A15*10,"")</f>
        <v>2.39636</v>
      </c>
      <c r="G15" s="61">
        <f>IF(FT!B15&lt;&gt;"",FT!B15*100,"")</f>
        <v>40.128399999999999</v>
      </c>
      <c r="H15" s="61">
        <f t="shared" si="1"/>
        <v>1</v>
      </c>
      <c r="I15" t="str">
        <f>IF(FT!B15&lt;&gt;"",FT!E15,"")</f>
        <v>1 [5.281885]</v>
      </c>
      <c r="J15">
        <f>IF(FT!B15&lt;&gt;"",FT!C15,"")</f>
        <v>5.2818800000000001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2.4409900000000002</v>
      </c>
      <c r="G16" s="61">
        <f>IF(FT!B16&lt;&gt;"",FT!B16*100,"")</f>
        <v>39.177499999999995</v>
      </c>
      <c r="H16" s="61">
        <f t="shared" si="1"/>
        <v>1</v>
      </c>
      <c r="I16" t="str">
        <f>IF(FT!B16&lt;&gt;"",FT!E16,"")</f>
        <v>1 [5.683948]</v>
      </c>
      <c r="J16">
        <f>IF(FT!B16&lt;&gt;"",FT!C16,"")</f>
        <v>5.6839500000000003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2.4849600000000001</v>
      </c>
      <c r="G17" s="61">
        <f>IF(FT!B17&lt;&gt;"",FT!B17*100,"")</f>
        <v>38.2517</v>
      </c>
      <c r="H17" s="61">
        <f t="shared" si="1"/>
        <v>1</v>
      </c>
      <c r="I17" t="str">
        <f>IF(FT!B17&lt;&gt;"",FT!E17,"")</f>
        <v>1 [6.092387]</v>
      </c>
      <c r="J17">
        <f>IF(FT!B17&lt;&gt;"",FT!C17,"")</f>
        <v>6.09239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46056</v>
      </c>
      <c r="D18" s="61">
        <f>FH!B18*1</f>
        <v>46056</v>
      </c>
      <c r="E18">
        <f t="shared" si="3"/>
        <v>16</v>
      </c>
      <c r="F18" s="61">
        <f>IF(FT!A18&lt;&gt;"",FT!A18*10,"")</f>
        <v>2.5250899999999996</v>
      </c>
      <c r="G18" s="61">
        <f>IF(FT!B18&lt;&gt;"",FT!B18*100,"")</f>
        <v>37.397100000000002</v>
      </c>
      <c r="H18" s="61">
        <f t="shared" si="1"/>
        <v>1</v>
      </c>
      <c r="I18" t="str">
        <f>IF(FT!B18&lt;&gt;"",FT!E18,"")</f>
        <v>1 [6.502139]</v>
      </c>
      <c r="J18">
        <f>IF(FT!B18&lt;&gt;"",FT!C18,"")</f>
        <v>6.5021399999999998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2.56128</v>
      </c>
      <c r="G19" s="61">
        <f>IF(FT!B19&lt;&gt;"",FT!B19*100,"")</f>
        <v>36.638199999999998</v>
      </c>
      <c r="H19" s="61">
        <f t="shared" si="1"/>
        <v>1</v>
      </c>
      <c r="I19" t="str">
        <f>IF(FT!B19&lt;&gt;"",FT!E19,"")</f>
        <v>1 [6.904710]</v>
      </c>
      <c r="J19">
        <f>IF(FT!B19&lt;&gt;"",FT!C19,"")</f>
        <v>6.9047099999999997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2.5966399999999998</v>
      </c>
      <c r="G20" s="61">
        <f>IF(FT!B20&lt;&gt;"",FT!B20*100,"")</f>
        <v>35.905999999999999</v>
      </c>
      <c r="H20" s="61">
        <f t="shared" si="1"/>
        <v>1</v>
      </c>
      <c r="I20" t="str">
        <f>IF(FT!B20&lt;&gt;"",FT!E20,"")</f>
        <v>1 [7.315658]</v>
      </c>
      <c r="J20">
        <f>IF(FT!B20&lt;&gt;"",FT!C20,"")</f>
        <v>7.3156600000000003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39702</v>
      </c>
      <c r="D21" s="61">
        <f>FH!B21*1</f>
        <v>39702</v>
      </c>
      <c r="E21">
        <f t="shared" si="3"/>
        <v>19</v>
      </c>
      <c r="F21" s="61">
        <f>IF(FT!A21&lt;&gt;"",FT!A21*10,"")</f>
        <v>2.6269</v>
      </c>
      <c r="G21" s="61">
        <f>IF(FT!B21&lt;&gt;"",FT!B21*100,"")</f>
        <v>35.2515</v>
      </c>
      <c r="H21" s="61">
        <f t="shared" si="1"/>
        <v>1</v>
      </c>
      <c r="I21" t="str">
        <f>IF(FT!B21&lt;&gt;"",FT!E21,"")</f>
        <v>1 [7.723327]</v>
      </c>
      <c r="J21">
        <f>IF(FT!B21&lt;&gt;"",FT!C21,"")</f>
        <v>7.7233299999999998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2.65334</v>
      </c>
      <c r="G22" s="61">
        <f>IF(FT!B22&lt;&gt;"",FT!B22*100,"")</f>
        <v>34.644000000000005</v>
      </c>
      <c r="H22" s="61">
        <f t="shared" si="1"/>
        <v>1</v>
      </c>
      <c r="I22" t="str">
        <f>IF(FT!B22&lt;&gt;"",FT!E22,"")</f>
        <v>1 [8.126370]</v>
      </c>
      <c r="J22">
        <f>IF(FT!B22&lt;&gt;"",FT!C22,"")</f>
        <v>8.1263699999999996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47571</v>
      </c>
      <c r="D23" s="61">
        <f>FH!B23*1</f>
        <v>47571</v>
      </c>
      <c r="E23">
        <f t="shared" si="3"/>
        <v>21</v>
      </c>
      <c r="F23" s="61">
        <f>IF(FT!A23&lt;&gt;"",FT!A23*10,"")</f>
        <v>2.6753300000000002</v>
      </c>
      <c r="G23" s="61">
        <f>IF(FT!B23&lt;&gt;"",FT!B23*100,"")</f>
        <v>34.1023</v>
      </c>
      <c r="H23" s="61">
        <f t="shared" si="1"/>
        <v>1</v>
      </c>
      <c r="I23" t="str">
        <f>IF(FT!B23&lt;&gt;"",FT!E23,"")</f>
        <v>1 [8.529137]</v>
      </c>
      <c r="J23">
        <f>IF(FT!B23&lt;&gt;"",FT!C23,"")</f>
        <v>8.5291399999999999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2.6953899999999997</v>
      </c>
      <c r="G24" s="61">
        <f>IF(FT!B24&lt;&gt;"",FT!B24*100,"")</f>
        <v>33.519399999999997</v>
      </c>
      <c r="H24" s="61">
        <f t="shared" si="1"/>
        <v>1</v>
      </c>
      <c r="I24" t="str">
        <f>IF(FT!B24&lt;&gt;"",FT!E24,"")</f>
        <v>1 [8.940067]</v>
      </c>
      <c r="J24">
        <f>IF(FT!B24&lt;&gt;"",FT!C24,"")</f>
        <v>8.9400700000000004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2.7162100000000002</v>
      </c>
      <c r="G25" s="61">
        <f>IF(FT!B25&lt;&gt;"",FT!B25*100,"")</f>
        <v>32.914500000000004</v>
      </c>
      <c r="H25" s="61">
        <f t="shared" si="1"/>
        <v>1</v>
      </c>
      <c r="I25" t="str">
        <f>IF(FT!B25&lt;&gt;"",FT!E25,"")</f>
        <v>1 [9.346095]</v>
      </c>
      <c r="J25">
        <f>IF(FT!B25&lt;&gt;"",FT!C25,"")</f>
        <v>9.3460999999999999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59306</v>
      </c>
      <c r="D26" s="61">
        <f>FH!B26*1</f>
        <v>59306</v>
      </c>
      <c r="E26">
        <f t="shared" si="3"/>
        <v>24</v>
      </c>
      <c r="F26" s="61">
        <f>IF(FT!A26&lt;&gt;"",FT!A26*10,"")</f>
        <v>2.7374199999999997</v>
      </c>
      <c r="G26" s="61">
        <f>IF(FT!B26&lt;&gt;"",FT!B26*100,"")</f>
        <v>32.283200000000001</v>
      </c>
      <c r="H26" s="61">
        <f t="shared" si="1"/>
        <v>1</v>
      </c>
      <c r="I26" t="str">
        <f>IF(FT!B26&lt;&gt;"",FT!E26,"")</f>
        <v>1 [9.748932]</v>
      </c>
      <c r="J26">
        <f>IF(FT!B26&lt;&gt;"",FT!C26,"")</f>
        <v>9.7489299999999997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2.76342</v>
      </c>
      <c r="G27" s="61">
        <f>IF(FT!B27&lt;&gt;"",FT!B27*100,"")</f>
        <v>31.598199999999999</v>
      </c>
      <c r="H27" s="61">
        <f t="shared" si="1"/>
        <v>1</v>
      </c>
      <c r="I27" t="str">
        <f>IF(FT!B27&lt;&gt;"",FT!E27,"")</f>
        <v>1 [10.154838]</v>
      </c>
      <c r="J27">
        <f>IF(FT!B27&lt;&gt;"",FT!C27,"")</f>
        <v>10.1548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54036</v>
      </c>
      <c r="D28" s="61">
        <f>FH!B28*1</f>
        <v>54036</v>
      </c>
      <c r="E28">
        <f t="shared" si="3"/>
        <v>26</v>
      </c>
      <c r="F28" s="61">
        <f>IF(FT!A28&lt;&gt;"",FT!A28*10,"")</f>
        <v>2.7920699999999998</v>
      </c>
      <c r="G28" s="61">
        <f>IF(FT!B28&lt;&gt;"",FT!B28*100,"")</f>
        <v>31.191000000000003</v>
      </c>
      <c r="H28" s="61">
        <f t="shared" si="1"/>
        <v>1</v>
      </c>
      <c r="I28" t="str">
        <f>IF(FT!B28&lt;&gt;"",FT!E28,"")</f>
        <v>1 [10.562766]</v>
      </c>
      <c r="J28">
        <f>IF(FT!B28&lt;&gt;"",FT!C28,"")</f>
        <v>10.562799999999999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2.8208899999999999</v>
      </c>
      <c r="G29" s="61">
        <f>IF(FT!B29&lt;&gt;"",FT!B29*100,"")</f>
        <v>30.8079</v>
      </c>
      <c r="H29" s="61">
        <f t="shared" si="1"/>
        <v>1</v>
      </c>
      <c r="I29" t="str">
        <f>IF(FT!B29&lt;&gt;"",FT!E29,"")</f>
        <v>1 [10.969605]</v>
      </c>
      <c r="J29">
        <f>IF(FT!B29&lt;&gt;"",FT!C29,"")</f>
        <v>10.9696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2.84558</v>
      </c>
      <c r="G30" s="61">
        <f>IF(FT!B30&lt;&gt;"",FT!B30*100,"")</f>
        <v>30.531500000000001</v>
      </c>
      <c r="H30" s="61">
        <f t="shared" si="1"/>
        <v>1</v>
      </c>
      <c r="I30" t="str">
        <f>IF(FT!B30&lt;&gt;"",FT!E30,"")</f>
        <v>1 [11.372562]</v>
      </c>
      <c r="J30">
        <f>IF(FT!B30&lt;&gt;"",FT!C30,"")</f>
        <v>11.3726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56123</v>
      </c>
      <c r="D31" s="61">
        <f>FH!B31*1</f>
        <v>56123</v>
      </c>
      <c r="E31">
        <f t="shared" si="3"/>
        <v>29</v>
      </c>
      <c r="F31" s="61">
        <f>IF(FT!A31&lt;&gt;"",FT!A31*10,"")</f>
        <v>2.8670600000000004</v>
      </c>
      <c r="G31" s="61">
        <f>IF(FT!B31&lt;&gt;"",FT!B31*100,"")</f>
        <v>30.302099999999999</v>
      </c>
      <c r="H31" s="61">
        <f t="shared" si="1"/>
        <v>1</v>
      </c>
      <c r="I31" t="str">
        <f>IF(FT!B31&lt;&gt;"",FT!E31,"")</f>
        <v>1 [11.781512]</v>
      </c>
      <c r="J31">
        <f>IF(FT!B31&lt;&gt;"",FT!C31,"")</f>
        <v>11.781499999999999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2.88564</v>
      </c>
      <c r="G32" s="61">
        <f>IF(FT!B32&lt;&gt;"",FT!B32*100,"")</f>
        <v>30.154799999999998</v>
      </c>
      <c r="H32" s="61">
        <f t="shared" si="1"/>
        <v>1</v>
      </c>
      <c r="I32" t="str">
        <f>IF(FT!B32&lt;&gt;"",FT!E32,"")</f>
        <v>1 [12.188352]</v>
      </c>
      <c r="J32">
        <f>IF(FT!B32&lt;&gt;"",FT!C32,"")</f>
        <v>12.1884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57166</v>
      </c>
      <c r="D33" s="61">
        <f>FH!B33*1</f>
        <v>57166</v>
      </c>
      <c r="E33">
        <f t="shared" si="3"/>
        <v>31</v>
      </c>
      <c r="F33" s="61">
        <f>IF(FT!A33&lt;&gt;"",FT!A33*10,"")</f>
        <v>2.90279</v>
      </c>
      <c r="G33" s="61">
        <f>IF(FT!B33&lt;&gt;"",FT!B33*100,"")</f>
        <v>30.020999999999997</v>
      </c>
      <c r="H33" s="61">
        <f t="shared" si="1"/>
        <v>1</v>
      </c>
      <c r="I33" t="str">
        <f>IF(FT!B33&lt;&gt;"",FT!E33,"")</f>
        <v>1 [12.593281]</v>
      </c>
      <c r="J33">
        <f>IF(FT!B33&lt;&gt;"",FT!C33,"")</f>
        <v>12.593299999999999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2.9167199999999998</v>
      </c>
      <c r="G34" s="61">
        <f>IF(FT!B34&lt;&gt;"",FT!B34*100,"")</f>
        <v>29.9742</v>
      </c>
      <c r="H34" s="61">
        <f t="shared" si="1"/>
        <v>1</v>
      </c>
      <c r="I34" t="str">
        <f>IF(FT!B34&lt;&gt;"",FT!E34,"")</f>
        <v>1 [13.000262]</v>
      </c>
      <c r="J34">
        <f>IF(FT!B34&lt;&gt;"",FT!C34,"")</f>
        <v>13.000299999999999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2.9298899999999999</v>
      </c>
      <c r="G35" s="61">
        <f>IF(FT!B35&lt;&gt;"",FT!B35*100,"")</f>
        <v>29.961500000000001</v>
      </c>
      <c r="H35" s="61">
        <f t="shared" si="1"/>
        <v>1</v>
      </c>
      <c r="I35" t="str">
        <f>IF(FT!B35&lt;&gt;"",FT!E35,"")</f>
        <v>1 [13.407213]</v>
      </c>
      <c r="J35">
        <f>IF(FT!B35&lt;&gt;"",FT!C35,"")</f>
        <v>13.4072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62850</v>
      </c>
      <c r="D36" s="61">
        <f>FH!B36*1</f>
        <v>62850</v>
      </c>
      <c r="E36">
        <f t="shared" si="3"/>
        <v>34</v>
      </c>
      <c r="F36" s="61">
        <f>IF(FT!A36&lt;&gt;"",FT!A36*10,"")</f>
        <v>2.94136</v>
      </c>
      <c r="G36" s="61">
        <f>IF(FT!B36&lt;&gt;"",FT!B36*100,"")</f>
        <v>29.981799999999996</v>
      </c>
      <c r="H36" s="61">
        <f t="shared" si="1"/>
        <v>1</v>
      </c>
      <c r="I36" t="str">
        <f>IF(FT!B36&lt;&gt;"",FT!E36,"")</f>
        <v>1 [13.814022]</v>
      </c>
      <c r="J36">
        <f>IF(FT!B36&lt;&gt;"",FT!C36,"")</f>
        <v>13.814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2.9554299999999998</v>
      </c>
      <c r="G37" s="61">
        <f>IF(FT!B37&lt;&gt;"",FT!B37*100,"")</f>
        <v>30.034800000000001</v>
      </c>
      <c r="H37" s="61">
        <f t="shared" si="1"/>
        <v>1</v>
      </c>
      <c r="I37" t="str">
        <f>IF(FT!B37&lt;&gt;"",FT!E37,"")</f>
        <v>1 [14.218245]</v>
      </c>
      <c r="J37">
        <f>IF(FT!B37&lt;&gt;"",FT!C37,"")</f>
        <v>14.2182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2.9701300000000002</v>
      </c>
      <c r="G38" s="61">
        <f>IF(FT!B38&lt;&gt;"",FT!B38*100,"")</f>
        <v>30.156600000000001</v>
      </c>
      <c r="H38" s="61">
        <f t="shared" si="1"/>
        <v>1</v>
      </c>
      <c r="I38" t="str">
        <f>IF(FT!B38&lt;&gt;"",FT!E38,"")</f>
        <v>1 [14.621713]</v>
      </c>
      <c r="J38">
        <f>IF(FT!B38&lt;&gt;"",FT!C38,"")</f>
        <v>14.621700000000001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64340</v>
      </c>
      <c r="D39" s="61">
        <f>FH!B39*1</f>
        <v>64340</v>
      </c>
      <c r="E39">
        <f t="shared" si="3"/>
        <v>37</v>
      </c>
      <c r="F39" s="61">
        <f>IF(FT!A39&lt;&gt;"",FT!A39*10,"")</f>
        <v>2.9838399999999998</v>
      </c>
      <c r="G39" s="61">
        <f>IF(FT!B39&lt;&gt;"",FT!B39*100,"")</f>
        <v>30.359199999999998</v>
      </c>
      <c r="H39" s="61">
        <f t="shared" si="1"/>
        <v>1</v>
      </c>
      <c r="I39" t="str">
        <f>IF(FT!B39&lt;&gt;"",FT!E39,"")</f>
        <v>1 [15.030899]</v>
      </c>
      <c r="J39">
        <f>IF(FT!B39&lt;&gt;"",FT!C39,"")</f>
        <v>15.030900000000001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2.9993399999999997</v>
      </c>
      <c r="G40" s="61">
        <f>IF(FT!B40&lt;&gt;"",FT!B40*100,"")</f>
        <v>30.6081</v>
      </c>
      <c r="H40" s="61">
        <f t="shared" si="1"/>
        <v>1</v>
      </c>
      <c r="I40" t="str">
        <f>IF(FT!B40&lt;&gt;"",FT!E40,"")</f>
        <v>1 [15.436714]</v>
      </c>
      <c r="J40">
        <f>IF(FT!B40&lt;&gt;"",FT!C40,"")</f>
        <v>15.4367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73136</v>
      </c>
      <c r="D41" s="61">
        <f>FH!B41*1</f>
        <v>73136</v>
      </c>
      <c r="E41">
        <f t="shared" si="3"/>
        <v>39</v>
      </c>
      <c r="F41" s="61">
        <f>IF(FT!A41&lt;&gt;"",FT!A41*10,"")</f>
        <v>3.01566</v>
      </c>
      <c r="G41" s="61">
        <f>IF(FT!B41&lt;&gt;"",FT!B41*100,"")</f>
        <v>30.843599999999999</v>
      </c>
      <c r="H41" s="61">
        <f t="shared" si="1"/>
        <v>1</v>
      </c>
      <c r="I41" t="str">
        <f>IF(FT!B41&lt;&gt;"",FT!E41,"")</f>
        <v>1 [15.846569]</v>
      </c>
      <c r="J41">
        <f>IF(FT!B41&lt;&gt;"",FT!C41,"")</f>
        <v>15.8466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3.0324900000000001</v>
      </c>
      <c r="G42" s="61">
        <f>IF(FT!B42&lt;&gt;"",FT!B42*100,"")</f>
        <v>31.057099999999998</v>
      </c>
      <c r="H42" s="61">
        <f t="shared" si="1"/>
        <v>1</v>
      </c>
      <c r="I42" t="str">
        <f>IF(FT!B42&lt;&gt;"",FT!E42,"")</f>
        <v>1 [16.248495]</v>
      </c>
      <c r="J42">
        <f>IF(FT!B42&lt;&gt;"",FT!C42,"")</f>
        <v>16.2485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3.05159</v>
      </c>
      <c r="G43" s="61">
        <f>IF(FT!B43&lt;&gt;"",FT!B43*100,"")</f>
        <v>31.213899999999999</v>
      </c>
      <c r="H43" s="61">
        <f t="shared" si="1"/>
        <v>1</v>
      </c>
      <c r="I43" t="str">
        <f>IF(FT!B43&lt;&gt;"",FT!E43,"")</f>
        <v>1 [16.655427]</v>
      </c>
      <c r="J43">
        <f>IF(FT!B43&lt;&gt;"",FT!C43,"")</f>
        <v>16.6554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79693</v>
      </c>
      <c r="D44" s="61">
        <f>FH!B44*1</f>
        <v>79693</v>
      </c>
      <c r="E44">
        <f t="shared" si="3"/>
        <v>42</v>
      </c>
      <c r="F44" s="61">
        <f>IF(FT!A44&lt;&gt;"",FT!A44*10,"")</f>
        <v>3.0764000000000005</v>
      </c>
      <c r="G44" s="61">
        <f>IF(FT!B44&lt;&gt;"",FT!B44*100,"")</f>
        <v>31.293700000000001</v>
      </c>
      <c r="H44" s="61">
        <f t="shared" si="1"/>
        <v>1</v>
      </c>
      <c r="I44" t="str">
        <f>IF(FT!B44&lt;&gt;"",FT!E44,"")</f>
        <v>1 [17.063543]</v>
      </c>
      <c r="J44">
        <f>IF(FT!B44&lt;&gt;"",FT!C44,"")</f>
        <v>17.063500000000001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3.1040700000000001</v>
      </c>
      <c r="G45" s="61">
        <f>IF(FT!B45&lt;&gt;"",FT!B45*100,"")</f>
        <v>31.348599999999998</v>
      </c>
      <c r="H45" s="61">
        <f t="shared" si="1"/>
        <v>1</v>
      </c>
      <c r="I45" t="str">
        <f>IF(FT!B45&lt;&gt;"",FT!E45,"")</f>
        <v>1 [17.466004]</v>
      </c>
      <c r="J45">
        <f>IF(FT!B45&lt;&gt;"",FT!C45,"")</f>
        <v>17.466000000000001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83714</v>
      </c>
      <c r="D46" s="61">
        <f>FH!B46*1</f>
        <v>83714</v>
      </c>
      <c r="E46">
        <f t="shared" si="3"/>
        <v>44</v>
      </c>
      <c r="F46" s="61">
        <f>IF(FT!A46&lt;&gt;"",FT!A46*10,"")</f>
        <v>3.1307099999999997</v>
      </c>
      <c r="G46" s="61">
        <f>IF(FT!B46&lt;&gt;"",FT!B46*100,"")</f>
        <v>31.464199999999998</v>
      </c>
      <c r="H46" s="61">
        <f t="shared" si="1"/>
        <v>1</v>
      </c>
      <c r="I46" t="str">
        <f>IF(FT!B46&lt;&gt;"",FT!E46,"")</f>
        <v>1 [17.878166]</v>
      </c>
      <c r="J46">
        <f>IF(FT!B46&lt;&gt;"",FT!C46,"")</f>
        <v>17.8782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3.15361</v>
      </c>
      <c r="G47" s="61">
        <f>IF(FT!B47&lt;&gt;"",FT!B47*100,"")</f>
        <v>31.644499999999997</v>
      </c>
      <c r="H47" s="61">
        <f t="shared" si="1"/>
        <v>1</v>
      </c>
      <c r="I47" t="str">
        <f>IF(FT!B47&lt;&gt;"",FT!E47,"")</f>
        <v>1 [18.281155]</v>
      </c>
      <c r="J47">
        <f>IF(FT!B47&lt;&gt;"",FT!C47,"")</f>
        <v>18.281199999999998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3.1756699999999998</v>
      </c>
      <c r="G48" s="61">
        <f>IF(FT!B48&lt;&gt;"",FT!B48*100,"")</f>
        <v>31.854300000000002</v>
      </c>
      <c r="H48" s="61">
        <f t="shared" si="1"/>
        <v>1</v>
      </c>
      <c r="I48" t="str">
        <f>IF(FT!B48&lt;&gt;"",FT!E48,"")</f>
        <v>1 [18.688186]</v>
      </c>
      <c r="J48">
        <f>IF(FT!B48&lt;&gt;"",FT!C48,"")</f>
        <v>18.688199999999998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94923</v>
      </c>
      <c r="D49" s="61">
        <f>FH!B49*1</f>
        <v>94923</v>
      </c>
      <c r="E49">
        <f t="shared" si="3"/>
        <v>47</v>
      </c>
      <c r="F49" s="61">
        <f>IF(FT!A49&lt;&gt;"",FT!A49*10,"")</f>
        <v>3.1946300000000001</v>
      </c>
      <c r="G49" s="61">
        <f>IF(FT!B49&lt;&gt;"",FT!B49*100,"")</f>
        <v>32.134599999999999</v>
      </c>
      <c r="H49" s="61">
        <f t="shared" si="1"/>
        <v>1</v>
      </c>
      <c r="I49" t="str">
        <f>IF(FT!B49&lt;&gt;"",FT!E49,"")</f>
        <v>1 [19.095096]</v>
      </c>
      <c r="J49">
        <f>IF(FT!B49&lt;&gt;"",FT!C49,"")</f>
        <v>19.095099999999999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3.20852</v>
      </c>
      <c r="G50" s="61">
        <f>IF(FT!B50&lt;&gt;"",FT!B50*100,"")</f>
        <v>32.548000000000002</v>
      </c>
      <c r="H50" s="61">
        <f t="shared" si="1"/>
        <v>1</v>
      </c>
      <c r="I50" t="str">
        <f>IF(FT!B50&lt;&gt;"",FT!E50,"")</f>
        <v>1 [19.498057]</v>
      </c>
      <c r="J50">
        <f>IF(FT!B50&lt;&gt;"",FT!C50,"")</f>
        <v>19.498100000000001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103422</v>
      </c>
      <c r="D51" s="61">
        <f>FH!B51*1</f>
        <v>103422</v>
      </c>
      <c r="E51">
        <f t="shared" si="3"/>
        <v>49</v>
      </c>
      <c r="F51" s="61">
        <f>IF(FT!A51&lt;&gt;"",FT!A51*10,"")</f>
        <v>3.2201999999999997</v>
      </c>
      <c r="G51" s="61">
        <f>IF(FT!B51&lt;&gt;"",FT!B51*100,"")</f>
        <v>32.994700000000002</v>
      </c>
      <c r="H51" s="61">
        <f t="shared" si="1"/>
        <v>1</v>
      </c>
      <c r="I51" t="str">
        <f>IF(FT!B51&lt;&gt;"",FT!E51,"")</f>
        <v>1 [19.908774]</v>
      </c>
      <c r="J51">
        <f>IF(FT!B51&lt;&gt;"",FT!C51,"")</f>
        <v>19.908799999999999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3.2269999999999999</v>
      </c>
      <c r="G52" s="61">
        <f>IF(FT!B52&lt;&gt;"",FT!B52*100,"")</f>
        <v>33.319700000000005</v>
      </c>
      <c r="H52" s="61">
        <f t="shared" si="1"/>
        <v>1</v>
      </c>
      <c r="I52" t="str">
        <f>IF(FT!B52&lt;&gt;"",FT!E52,"")</f>
        <v>1 [20.312780]</v>
      </c>
      <c r="J52">
        <f>IF(FT!B52&lt;&gt;"",FT!C52,"")</f>
        <v>20.312799999999999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3.2376</v>
      </c>
      <c r="G53" s="61">
        <f>IF(FT!B53&lt;&gt;"",FT!B53*100,"")</f>
        <v>33.650100000000002</v>
      </c>
      <c r="H53" s="61">
        <f t="shared" si="1"/>
        <v>1</v>
      </c>
      <c r="I53" t="str">
        <f>IF(FT!B53&lt;&gt;"",FT!E53,"")</f>
        <v>1 [20.715694]</v>
      </c>
      <c r="J53">
        <f>IF(FT!B53&lt;&gt;"",FT!C53,"")</f>
        <v>20.715699999999998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117940</v>
      </c>
      <c r="D54" s="61">
        <f>FH!B54*1</f>
        <v>117940</v>
      </c>
      <c r="E54">
        <f t="shared" si="3"/>
        <v>52</v>
      </c>
      <c r="F54" s="61">
        <f>IF(FT!A54&lt;&gt;"",FT!A54*10,"")</f>
        <v>3.2443</v>
      </c>
      <c r="G54" s="61">
        <f>IF(FT!B54&lt;&gt;"",FT!B54*100,"")</f>
        <v>33.9544</v>
      </c>
      <c r="H54" s="61">
        <f t="shared" si="1"/>
        <v>1</v>
      </c>
      <c r="I54" t="str">
        <f>IF(FT!B54&lt;&gt;"",FT!E54,"")</f>
        <v>1 [21.123857]</v>
      </c>
      <c r="J54">
        <f>IF(FT!B54&lt;&gt;"",FT!C54,"")</f>
        <v>21.123899999999999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3.2511099999999997</v>
      </c>
      <c r="G55" s="61">
        <f>IF(FT!B55&lt;&gt;"",FT!B55*100,"")</f>
        <v>34.235799999999998</v>
      </c>
      <c r="H55" s="61">
        <f t="shared" si="1"/>
        <v>1</v>
      </c>
      <c r="I55" t="str">
        <f>IF(FT!B55&lt;&gt;"",FT!E55,"")</f>
        <v>1 [21.529517]</v>
      </c>
      <c r="J55">
        <f>IF(FT!B55&lt;&gt;"",FT!C55,"")</f>
        <v>21.529499999999999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3.2580199999999997</v>
      </c>
      <c r="G56" s="61">
        <f>IF(FT!B56&lt;&gt;"",FT!B56*100,"")</f>
        <v>34.508699999999997</v>
      </c>
      <c r="H56" s="61">
        <f t="shared" si="1"/>
        <v>1</v>
      </c>
      <c r="I56" t="str">
        <f>IF(FT!B56&lt;&gt;"",FT!E56,"")</f>
        <v>1 [21.939538]</v>
      </c>
      <c r="J56">
        <f>IF(FT!B56&lt;&gt;"",FT!C56,"")</f>
        <v>21.939499999999999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111743</v>
      </c>
      <c r="D57" s="61">
        <f>FH!B57*1</f>
        <v>111743</v>
      </c>
      <c r="E57">
        <f t="shared" si="3"/>
        <v>55</v>
      </c>
      <c r="F57" s="61">
        <f>IF(FT!A57&lt;&gt;"",FT!A57*10,"")</f>
        <v>3.2624199999999997</v>
      </c>
      <c r="G57" s="61">
        <f>IF(FT!B57&lt;&gt;"",FT!B57*100,"")</f>
        <v>34.677999999999997</v>
      </c>
      <c r="H57" s="61">
        <f t="shared" si="1"/>
        <v>1</v>
      </c>
      <c r="I57" t="str">
        <f>IF(FT!B57&lt;&gt;"",FT!E57,"")</f>
        <v>1 [22.344238]</v>
      </c>
      <c r="J57">
        <f>IF(FT!B57&lt;&gt;"",FT!C57,"")</f>
        <v>22.344200000000001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3.2662499999999999</v>
      </c>
      <c r="G58" s="61">
        <f>IF(FT!B58&lt;&gt;"",FT!B58*100,"")</f>
        <v>34.819000000000003</v>
      </c>
      <c r="H58" s="61">
        <f t="shared" si="1"/>
        <v>1</v>
      </c>
      <c r="I58" t="str">
        <f>IF(FT!B58&lt;&gt;"",FT!E58,"")</f>
        <v>1 [22.749669]</v>
      </c>
      <c r="J58">
        <f>IF(FT!B58&lt;&gt;"",FT!C58,"")</f>
        <v>22.749700000000001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116308</v>
      </c>
      <c r="D59" s="61">
        <f>FH!B59*1</f>
        <v>116308</v>
      </c>
      <c r="E59">
        <f t="shared" si="3"/>
        <v>57</v>
      </c>
      <c r="F59" s="61">
        <f>IF(FT!A59&lt;&gt;"",FT!A59*10,"")</f>
        <v>3.2700899999999997</v>
      </c>
      <c r="G59" s="61">
        <f>IF(FT!B59&lt;&gt;"",FT!B59*100,"")</f>
        <v>34.894100000000002</v>
      </c>
      <c r="H59" s="61">
        <f t="shared" si="1"/>
        <v>1</v>
      </c>
      <c r="I59" t="str">
        <f>IF(FT!B59&lt;&gt;"",FT!E59,"")</f>
        <v>1 [23.152230]</v>
      </c>
      <c r="J59">
        <f>IF(FT!B59&lt;&gt;"",FT!C59,"")</f>
        <v>23.152200000000001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3.2687300000000001</v>
      </c>
      <c r="G60" s="61">
        <f>IF(FT!B60&lt;&gt;"",FT!B60*100,"")</f>
        <v>34.877800000000001</v>
      </c>
      <c r="H60" s="61">
        <f t="shared" si="1"/>
        <v>1</v>
      </c>
      <c r="I60" t="str">
        <f>IF(FT!B60&lt;&gt;"",FT!E60,"")</f>
        <v>1 [23.562079]</v>
      </c>
      <c r="J60">
        <f>IF(FT!B60&lt;&gt;"",FT!C60,"")</f>
        <v>23.562100000000001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3.2723600000000004</v>
      </c>
      <c r="G61" s="61">
        <f>IF(FT!B61&lt;&gt;"",FT!B61*100,"")</f>
        <v>34.944900000000004</v>
      </c>
      <c r="H61" s="61">
        <f t="shared" si="1"/>
        <v>1</v>
      </c>
      <c r="I61" t="str">
        <f>IF(FT!B61&lt;&gt;"",FT!E61,"")</f>
        <v>1 [23.966876]</v>
      </c>
      <c r="J61">
        <f>IF(FT!B61&lt;&gt;"",FT!C61,"")</f>
        <v>23.966899999999999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118654</v>
      </c>
      <c r="D62" s="61">
        <f>FH!B62*1</f>
        <v>118654</v>
      </c>
      <c r="E62">
        <f t="shared" si="3"/>
        <v>60</v>
      </c>
      <c r="F62" s="61">
        <f>IF(FT!A62&lt;&gt;"",FT!A62*10,"")</f>
        <v>3.2698399999999999</v>
      </c>
      <c r="G62" s="61">
        <f>IF(FT!B62&lt;&gt;"",FT!B62*100,"")</f>
        <v>34.971600000000002</v>
      </c>
      <c r="H62" s="61">
        <f t="shared" si="1"/>
        <v>1</v>
      </c>
      <c r="I62" t="str">
        <f>IF(FT!B62&lt;&gt;"",FT!E62,"")</f>
        <v>1 [24.374314]</v>
      </c>
      <c r="J62">
        <f>IF(FT!B62&lt;&gt;"",FT!C62,"")</f>
        <v>24.374300000000002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3.2626300000000001</v>
      </c>
      <c r="G63" s="61">
        <f>IF(FT!B63&lt;&gt;"",FT!B63*100,"")</f>
        <v>34.9467</v>
      </c>
      <c r="H63" s="61">
        <f t="shared" si="1"/>
        <v>1</v>
      </c>
      <c r="I63" t="str">
        <f>IF(FT!B63&lt;&gt;"",FT!E63,"")</f>
        <v>1 [24.782825]</v>
      </c>
      <c r="J63">
        <f>IF(FT!B63&lt;&gt;"",FT!C63,"")</f>
        <v>24.782800000000002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117759</v>
      </c>
      <c r="D64" s="61">
        <f>FH!B64*1</f>
        <v>117759</v>
      </c>
      <c r="E64">
        <f t="shared" si="3"/>
        <v>62</v>
      </c>
      <c r="F64" s="61">
        <f>IF(FT!A64&lt;&gt;"",FT!A64*10,"")</f>
        <v>3.2587799999999998</v>
      </c>
      <c r="G64" s="61">
        <f>IF(FT!B64&lt;&gt;"",FT!B64*100,"")</f>
        <v>34.919699999999999</v>
      </c>
      <c r="H64" s="61">
        <f t="shared" si="1"/>
        <v>1</v>
      </c>
      <c r="I64" t="str">
        <f>IF(FT!B64&lt;&gt;"",FT!E64,"")</f>
        <v>1 [25.191664]</v>
      </c>
      <c r="J64">
        <f>IF(FT!B64&lt;&gt;"",FT!C64,"")</f>
        <v>25.191700000000001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3.25529</v>
      </c>
      <c r="G65" s="61">
        <f>IF(FT!B65&lt;&gt;"",FT!B65*100,"")</f>
        <v>34.829799999999999</v>
      </c>
      <c r="H65" s="61">
        <f t="shared" si="1"/>
        <v>1</v>
      </c>
      <c r="I65" t="str">
        <f>IF(FT!B65&lt;&gt;"",FT!E65,"")</f>
        <v>1 [25.594546]</v>
      </c>
      <c r="J65">
        <f>IF(FT!B65&lt;&gt;"",FT!C65,"")</f>
        <v>25.5945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3.2551000000000001</v>
      </c>
      <c r="G66" s="61">
        <f>IF(FT!B66&lt;&gt;"",FT!B66*100,"")</f>
        <v>34.746000000000002</v>
      </c>
      <c r="H66" s="61">
        <f t="shared" si="1"/>
        <v>1</v>
      </c>
      <c r="I66" t="str">
        <f>IF(FT!B66&lt;&gt;"",FT!E66,"")</f>
        <v>1 [25.999554]</v>
      </c>
      <c r="J66">
        <f>IF(FT!B66&lt;&gt;"",FT!C66,"")</f>
        <v>25.999600000000001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125009</v>
      </c>
      <c r="D67" s="61">
        <f>FH!B67*1</f>
        <v>125009</v>
      </c>
      <c r="E67">
        <f t="shared" si="3"/>
        <v>65</v>
      </c>
      <c r="F67" s="61">
        <f>IF(FT!A67&lt;&gt;"",FT!A67*10,"")</f>
        <v>3.2548300000000001</v>
      </c>
      <c r="G67" s="61">
        <f>IF(FT!B67&lt;&gt;"",FT!B67*100,"")</f>
        <v>34.655200000000001</v>
      </c>
      <c r="H67" s="61">
        <f t="shared" ref="H67:H130" si="9">(IF(F67&lt;&gt;"",1,""))</f>
        <v>1</v>
      </c>
      <c r="I67" t="str">
        <f>IF(FT!B67&lt;&gt;"",FT!E67,"")</f>
        <v>1 [26.405582]</v>
      </c>
      <c r="J67">
        <f>IF(FT!B67&lt;&gt;"",FT!C67,"")</f>
        <v>26.4056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3.2545600000000001</v>
      </c>
      <c r="G68" s="61">
        <f>IF(FT!B68&lt;&gt;"",FT!B68*100,"")</f>
        <v>34.572000000000003</v>
      </c>
      <c r="H68" s="61">
        <f t="shared" si="9"/>
        <v>1</v>
      </c>
      <c r="I68" t="str">
        <f>IF(FT!B68&lt;&gt;"",FT!E68,"")</f>
        <v>1 [26.814346]</v>
      </c>
      <c r="J68">
        <f>IF(FT!B68&lt;&gt;"",FT!C68,"")</f>
        <v>26.814299999999999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132961</v>
      </c>
      <c r="D69" s="61">
        <f>FH!B69*1</f>
        <v>132961</v>
      </c>
      <c r="E69">
        <f t="shared" si="11"/>
        <v>67</v>
      </c>
      <c r="F69" s="61">
        <f>IF(FT!A69&lt;&gt;"",FT!A69*10,"")</f>
        <v>3.2523299999999997</v>
      </c>
      <c r="G69" s="61">
        <f>IF(FT!B69&lt;&gt;"",FT!B69*100,"")</f>
        <v>34.454799999999999</v>
      </c>
      <c r="H69" s="61">
        <f t="shared" si="9"/>
        <v>1</v>
      </c>
      <c r="I69" t="str">
        <f>IF(FT!B69&lt;&gt;"",FT!E69,"")</f>
        <v>1 [27.221212]</v>
      </c>
      <c r="J69">
        <f>IF(FT!B69&lt;&gt;"",FT!C69,"")</f>
        <v>27.2212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3.2496900000000002</v>
      </c>
      <c r="G70" s="61">
        <f>IF(FT!B70&lt;&gt;"",FT!B70*100,"")</f>
        <v>34.417700000000004</v>
      </c>
      <c r="H70" s="61">
        <f t="shared" si="9"/>
        <v>1</v>
      </c>
      <c r="I70" t="str">
        <f>IF(FT!B70&lt;&gt;"",FT!E70,"")</f>
        <v>1 [27.624146]</v>
      </c>
      <c r="J70">
        <f>IF(FT!B70&lt;&gt;"",FT!C70,"")</f>
        <v>27.624099999999999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3.2480399999999996</v>
      </c>
      <c r="G71" s="61">
        <f>IF(FT!B71&lt;&gt;"",FT!B71*100,"")</f>
        <v>34.370100000000001</v>
      </c>
      <c r="H71" s="61">
        <f t="shared" si="9"/>
        <v>1</v>
      </c>
      <c r="I71" t="str">
        <f>IF(FT!B71&lt;&gt;"",FT!E71,"")</f>
        <v>1 [28.031050]</v>
      </c>
      <c r="J71">
        <f>IF(FT!B71&lt;&gt;"",FT!C71,"")</f>
        <v>28.030999999999999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129589</v>
      </c>
      <c r="D72" s="61">
        <f>FH!B72*1</f>
        <v>129589</v>
      </c>
      <c r="E72">
        <f t="shared" si="11"/>
        <v>70</v>
      </c>
      <c r="F72" s="61">
        <f>IF(FT!A72&lt;&gt;"",FT!A72*10,"")</f>
        <v>3.2532699999999997</v>
      </c>
      <c r="G72" s="61">
        <f>IF(FT!B72&lt;&gt;"",FT!B72*100,"")</f>
        <v>34.207500000000003</v>
      </c>
      <c r="H72" s="61">
        <f t="shared" si="9"/>
        <v>1</v>
      </c>
      <c r="I72" t="str">
        <f>IF(FT!B72&lt;&gt;"",FT!E72,"")</f>
        <v>1 [28.434243]</v>
      </c>
      <c r="J72">
        <f>IF(FT!B72&lt;&gt;"",FT!C72,"")</f>
        <v>28.434200000000001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3.26675</v>
      </c>
      <c r="G73" s="61">
        <f>IF(FT!B73&lt;&gt;"",FT!B73*100,"")</f>
        <v>33.989399999999996</v>
      </c>
      <c r="H73" s="61">
        <f t="shared" si="9"/>
        <v>1</v>
      </c>
      <c r="I73" t="str">
        <f>IF(FT!B73&lt;&gt;"",FT!E73,"")</f>
        <v>1 [28.844891]</v>
      </c>
      <c r="J73">
        <f>IF(FT!B73&lt;&gt;"",FT!C73,"")</f>
        <v>28.844899999999999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3.2721899999999997</v>
      </c>
      <c r="G74" s="61">
        <f>IF(FT!B74&lt;&gt;"",FT!B74*100,"")</f>
        <v>33.872399999999999</v>
      </c>
      <c r="H74" s="61">
        <f t="shared" si="9"/>
        <v>1</v>
      </c>
      <c r="I74" t="str">
        <f>IF(FT!B74&lt;&gt;"",FT!E74,"")</f>
        <v>1 [29.252842]</v>
      </c>
      <c r="J74">
        <f>IF(FT!B74&lt;&gt;"",FT!C74,"")</f>
        <v>29.252800000000001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127242</v>
      </c>
      <c r="D75" s="61">
        <f>FH!B75*1</f>
        <v>127242</v>
      </c>
      <c r="E75">
        <f t="shared" si="11"/>
        <v>73</v>
      </c>
      <c r="F75" s="61">
        <f>IF(FT!A75&lt;&gt;"",FT!A75*10,"")</f>
        <v>3.2750400000000002</v>
      </c>
      <c r="G75" s="61">
        <f>IF(FT!B75&lt;&gt;"",FT!B75*100,"")</f>
        <v>33.710099999999997</v>
      </c>
      <c r="H75" s="61">
        <f t="shared" si="9"/>
        <v>1</v>
      </c>
      <c r="I75" t="str">
        <f>IF(FT!B75&lt;&gt;"",FT!E75,"")</f>
        <v>1 [29.653745]</v>
      </c>
      <c r="J75">
        <f>IF(FT!B75&lt;&gt;"",FT!C75,"")</f>
        <v>29.653700000000001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3.27922</v>
      </c>
      <c r="G76" s="61">
        <f>IF(FT!B76&lt;&gt;"",FT!B76*100,"")</f>
        <v>33.616800000000005</v>
      </c>
      <c r="H76" s="61">
        <f t="shared" si="9"/>
        <v>1</v>
      </c>
      <c r="I76" t="str">
        <f>IF(FT!B76&lt;&gt;"",FT!E76,"")</f>
        <v>2 [30.063740]</v>
      </c>
      <c r="J76">
        <f>IF(FT!B76&lt;&gt;"",FT!C76,"")</f>
        <v>30.063700000000001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126579</v>
      </c>
      <c r="D77" s="61">
        <f>FH!B77*1</f>
        <v>126579</v>
      </c>
      <c r="E77">
        <f t="shared" si="11"/>
        <v>75</v>
      </c>
      <c r="F77" s="61">
        <f>IF(FT!A77&lt;&gt;"",FT!A77*10,"")</f>
        <v>3.27928</v>
      </c>
      <c r="G77" s="61">
        <f>IF(FT!B77&lt;&gt;"",FT!B77*100,"")</f>
        <v>33.583200000000005</v>
      </c>
      <c r="H77" s="61">
        <f t="shared" si="9"/>
        <v>1</v>
      </c>
      <c r="I77" t="str">
        <f>IF(FT!B77&lt;&gt;"",FT!E77,"")</f>
        <v>2 [30.528448]</v>
      </c>
      <c r="J77">
        <f>IF(FT!B77&lt;&gt;"",FT!C77,"")</f>
        <v>30.528400000000001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3.27861</v>
      </c>
      <c r="G78" s="61">
        <f>IF(FT!B78&lt;&gt;"",FT!B78*100,"")</f>
        <v>33.522800000000004</v>
      </c>
      <c r="H78" s="61">
        <f t="shared" si="9"/>
        <v>1</v>
      </c>
      <c r="I78" t="str">
        <f>IF(FT!B78&lt;&gt;"",FT!E78,"")</f>
        <v>2 [30.923375]</v>
      </c>
      <c r="J78">
        <f>IF(FT!B78&lt;&gt;"",FT!C78,"")</f>
        <v>30.923400000000001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3.2796099999999999</v>
      </c>
      <c r="G79" s="61">
        <f>IF(FT!B79&lt;&gt;"",FT!B79*100,"")</f>
        <v>33.421900000000001</v>
      </c>
      <c r="H79" s="61">
        <f t="shared" si="9"/>
        <v>1</v>
      </c>
      <c r="I79" t="str">
        <f>IF(FT!B79&lt;&gt;"",FT!E79,"")</f>
        <v>2 [31.327370]</v>
      </c>
      <c r="J79">
        <f>IF(FT!B79&lt;&gt;"",FT!C79,"")</f>
        <v>31.327400000000001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119737</v>
      </c>
      <c r="D80" s="61">
        <f>FH!B80*1</f>
        <v>119737</v>
      </c>
      <c r="E80">
        <f t="shared" si="11"/>
        <v>78</v>
      </c>
      <c r="F80" s="61">
        <f>IF(FT!A80&lt;&gt;"",FT!A80*10,"")</f>
        <v>3.2818399999999999</v>
      </c>
      <c r="G80" s="61">
        <f>IF(FT!B80&lt;&gt;"",FT!B80*100,"")</f>
        <v>33.304499999999997</v>
      </c>
      <c r="H80" s="61">
        <f t="shared" si="9"/>
        <v>1</v>
      </c>
      <c r="I80" t="str">
        <f>IF(FT!B80&lt;&gt;"",FT!E80,"")</f>
        <v>2 [31.733293]</v>
      </c>
      <c r="J80">
        <f>IF(FT!B80&lt;&gt;"",FT!C80,"")</f>
        <v>31.7333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3.2873999999999999</v>
      </c>
      <c r="G81" s="61">
        <f>IF(FT!B81&lt;&gt;"",FT!B81*100,"")</f>
        <v>33.2027</v>
      </c>
      <c r="H81" s="61">
        <f t="shared" si="9"/>
        <v>1</v>
      </c>
      <c r="I81" t="str">
        <f>IF(FT!B81&lt;&gt;"",FT!E81,"")</f>
        <v>2 [32.141161]</v>
      </c>
      <c r="J81">
        <f>IF(FT!B81&lt;&gt;"",FT!C81,"")</f>
        <v>32.141199999999998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119132</v>
      </c>
      <c r="D82" s="61">
        <f>FH!B82*1</f>
        <v>119132</v>
      </c>
      <c r="E82">
        <f t="shared" si="11"/>
        <v>80</v>
      </c>
      <c r="F82" s="61">
        <f>IF(FT!A82&lt;&gt;"",FT!A82*10,"")</f>
        <v>3.2966899999999999</v>
      </c>
      <c r="G82" s="61">
        <f>IF(FT!B82&lt;&gt;"",FT!B82*100,"")</f>
        <v>33.121600000000001</v>
      </c>
      <c r="H82" s="61">
        <f t="shared" si="9"/>
        <v>1</v>
      </c>
      <c r="I82" t="str">
        <f>IF(FT!B82&lt;&gt;"",FT!E82,"")</f>
        <v>2 [32.545153]</v>
      </c>
      <c r="J82">
        <f>IF(FT!B82&lt;&gt;"",FT!C82,"")</f>
        <v>32.545200000000001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3.3058199999999998</v>
      </c>
      <c r="G83" s="61">
        <f>IF(FT!B83&lt;&gt;"",FT!B83*100,"")</f>
        <v>33.040199999999999</v>
      </c>
      <c r="H83" s="61">
        <f t="shared" si="9"/>
        <v>1</v>
      </c>
      <c r="I83" t="str">
        <f>IF(FT!B83&lt;&gt;"",FT!E83,"")</f>
        <v>2 [32.953952]</v>
      </c>
      <c r="J83">
        <f>IF(FT!B83&lt;&gt;"",FT!C83,"")</f>
        <v>32.954000000000001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3.31609</v>
      </c>
      <c r="G84" s="61">
        <f>IF(FT!B84&lt;&gt;"",FT!B84*100,"")</f>
        <v>32.993499999999997</v>
      </c>
      <c r="H84" s="61">
        <f t="shared" si="9"/>
        <v>1</v>
      </c>
      <c r="I84" t="str">
        <f>IF(FT!B84&lt;&gt;"",FT!E84,"")</f>
        <v>2 [33.358923]</v>
      </c>
      <c r="J84">
        <f>IF(FT!B84&lt;&gt;"",FT!C84,"")</f>
        <v>33.358899999999998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115514</v>
      </c>
      <c r="D85" s="61">
        <f>FH!B85*1</f>
        <v>115514</v>
      </c>
      <c r="E85">
        <f t="shared" si="11"/>
        <v>83</v>
      </c>
      <c r="F85" s="61">
        <f>IF(FT!A85&lt;&gt;"",FT!A85*10,"")</f>
        <v>3.3283499999999999</v>
      </c>
      <c r="G85" s="61">
        <f>IF(FT!B85&lt;&gt;"",FT!B85*100,"")</f>
        <v>33.001399999999997</v>
      </c>
      <c r="H85" s="61">
        <f t="shared" si="9"/>
        <v>1</v>
      </c>
      <c r="I85" t="str">
        <f>IF(FT!B85&lt;&gt;"",FT!E85,"")</f>
        <v>2 [33.764976]</v>
      </c>
      <c r="J85">
        <f>IF(FT!B85&lt;&gt;"",FT!C85,"")</f>
        <v>33.765000000000001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3.3421000000000003</v>
      </c>
      <c r="G86" s="61">
        <f>IF(FT!B86&lt;&gt;"",FT!B86*100,"")</f>
        <v>32.953500000000005</v>
      </c>
      <c r="H86" s="61">
        <f t="shared" si="9"/>
        <v>1</v>
      </c>
      <c r="I86" t="str">
        <f>IF(FT!B86&lt;&gt;"",FT!E86,"")</f>
        <v>2 [34.172734]</v>
      </c>
      <c r="J86">
        <f>IF(FT!B86&lt;&gt;"",FT!C86,"")</f>
        <v>34.172699999999999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3.3540100000000002</v>
      </c>
      <c r="G87" s="61">
        <f>IF(FT!B87&lt;&gt;"",FT!B87*100,"")</f>
        <v>32.887</v>
      </c>
      <c r="H87" s="61">
        <f t="shared" si="9"/>
        <v>1</v>
      </c>
      <c r="I87" t="str">
        <f>IF(FT!B87&lt;&gt;"",FT!E87,"")</f>
        <v>2 [34.577796]</v>
      </c>
      <c r="J87">
        <f>IF(FT!B87&lt;&gt;"",FT!C87,"")</f>
        <v>34.577800000000003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112377</v>
      </c>
      <c r="D88" s="61">
        <f>FH!B88*1</f>
        <v>112377</v>
      </c>
      <c r="E88">
        <f t="shared" si="11"/>
        <v>86</v>
      </c>
      <c r="F88" s="61">
        <f>IF(FT!A88&lt;&gt;"",FT!A88*10,"")</f>
        <v>3.3673700000000002</v>
      </c>
      <c r="G88" s="61">
        <f>IF(FT!B88&lt;&gt;"",FT!B88*100,"")</f>
        <v>32.7652</v>
      </c>
      <c r="H88" s="61">
        <f t="shared" si="9"/>
        <v>1</v>
      </c>
      <c r="I88" t="str">
        <f>IF(FT!B88&lt;&gt;"",FT!E88,"")</f>
        <v>2 [34.987637]</v>
      </c>
      <c r="J88">
        <f>IF(FT!B88&lt;&gt;"",FT!C88,"")</f>
        <v>34.9876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3.3788200000000002</v>
      </c>
      <c r="G89" s="61">
        <f>IF(FT!B89&lt;&gt;"",FT!B89*100,"")</f>
        <v>32.660600000000002</v>
      </c>
      <c r="H89" s="61">
        <f t="shared" si="9"/>
        <v>1</v>
      </c>
      <c r="I89" t="str">
        <f>IF(FT!B89&lt;&gt;"",FT!E89,"")</f>
        <v>2 [35.390488]</v>
      </c>
      <c r="J89">
        <f>IF(FT!B89&lt;&gt;"",FT!C89,"")</f>
        <v>35.390500000000003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110599</v>
      </c>
      <c r="D90" s="61">
        <f>FH!B90*1</f>
        <v>110599</v>
      </c>
      <c r="E90">
        <f t="shared" si="11"/>
        <v>88</v>
      </c>
      <c r="F90" s="61">
        <f>IF(FT!A90&lt;&gt;"",FT!A90*10,"")</f>
        <v>3.38626</v>
      </c>
      <c r="G90" s="61">
        <f>IF(FT!B90&lt;&gt;"",FT!B90*100,"")</f>
        <v>32.587600000000002</v>
      </c>
      <c r="H90" s="61">
        <f t="shared" si="9"/>
        <v>1</v>
      </c>
      <c r="I90" t="str">
        <f>IF(FT!B90&lt;&gt;"",FT!E90,"")</f>
        <v>2 [35.796403]</v>
      </c>
      <c r="J90">
        <f>IF(FT!B90&lt;&gt;"",FT!C90,"")</f>
        <v>35.796399999999998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3.3910900000000002</v>
      </c>
      <c r="G91" s="61">
        <f>IF(FT!B91&lt;&gt;"",FT!B91*100,"")</f>
        <v>32.470300000000002</v>
      </c>
      <c r="H91" s="61">
        <f t="shared" si="9"/>
        <v>1</v>
      </c>
      <c r="I91" t="str">
        <f>IF(FT!B91&lt;&gt;"",FT!E91,"")</f>
        <v>2 [36.201593]</v>
      </c>
      <c r="J91">
        <f>IF(FT!B91&lt;&gt;"",FT!C91,"")</f>
        <v>36.201599999999999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3.3939900000000001</v>
      </c>
      <c r="G92" s="61">
        <f>IF(FT!B92&lt;&gt;"",FT!B92*100,"")</f>
        <v>32.3994</v>
      </c>
      <c r="H92" s="61">
        <f t="shared" si="9"/>
        <v>1</v>
      </c>
      <c r="I92" t="str">
        <f>IF(FT!B92&lt;&gt;"",FT!E92,"")</f>
        <v>2 [36.610220]</v>
      </c>
      <c r="J92">
        <f>IF(FT!B92&lt;&gt;"",FT!C92,"")</f>
        <v>36.610199999999999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112257</v>
      </c>
      <c r="D93" s="61">
        <f>FH!B93*1</f>
        <v>112257</v>
      </c>
      <c r="E93">
        <f t="shared" si="11"/>
        <v>91</v>
      </c>
      <c r="F93" s="61">
        <f>IF(FT!A93&lt;&gt;"",FT!A93*10,"")</f>
        <v>3.3935700000000004</v>
      </c>
      <c r="G93" s="61">
        <f>IF(FT!B93&lt;&gt;"",FT!B93*100,"")</f>
        <v>32.439599999999999</v>
      </c>
      <c r="H93" s="61">
        <f t="shared" si="9"/>
        <v>1</v>
      </c>
      <c r="I93" t="str">
        <f>IF(FT!B93&lt;&gt;"",FT!E93,"")</f>
        <v>2 [37.017256]</v>
      </c>
      <c r="J93">
        <f>IF(FT!B93&lt;&gt;"",FT!C93,"")</f>
        <v>37.017299999999999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3.3883099999999997</v>
      </c>
      <c r="G94" s="61">
        <f>IF(FT!B94&lt;&gt;"",FT!B94*100,"")</f>
        <v>32.531100000000002</v>
      </c>
      <c r="H94" s="61">
        <f t="shared" si="9"/>
        <v>1</v>
      </c>
      <c r="I94" t="str">
        <f>IF(FT!B94&lt;&gt;"",FT!E94,"")</f>
        <v>2 [37.420934]</v>
      </c>
      <c r="J94">
        <f>IF(FT!B94&lt;&gt;"",FT!C94,"")</f>
        <v>37.420900000000003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108806</v>
      </c>
      <c r="D95" s="61">
        <f>FH!B95*1</f>
        <v>108806</v>
      </c>
      <c r="E95">
        <f t="shared" si="11"/>
        <v>93</v>
      </c>
      <c r="F95" s="61">
        <f>IF(FT!A95&lt;&gt;"",FT!A95*10,"")</f>
        <v>3.3796200000000001</v>
      </c>
      <c r="G95" s="61">
        <f>IF(FT!B95&lt;&gt;"",FT!B95*100,"")</f>
        <v>32.570100000000004</v>
      </c>
      <c r="H95" s="61">
        <f t="shared" si="9"/>
        <v>1</v>
      </c>
      <c r="I95" t="str">
        <f>IF(FT!B95&lt;&gt;"",FT!E95,"")</f>
        <v>2 [37.826988]</v>
      </c>
      <c r="J95">
        <f>IF(FT!B95&lt;&gt;"",FT!C95,"")</f>
        <v>37.826999999999998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3.3676699999999999</v>
      </c>
      <c r="G96" s="61">
        <f>IF(FT!B96&lt;&gt;"",FT!B96*100,"")</f>
        <v>32.622700000000002</v>
      </c>
      <c r="H96" s="61">
        <f t="shared" si="9"/>
        <v>1</v>
      </c>
      <c r="I96" t="str">
        <f>IF(FT!B96&lt;&gt;"",FT!E96,"")</f>
        <v>2 [38.235460]</v>
      </c>
      <c r="J96">
        <f>IF(FT!B96&lt;&gt;"",FT!C96,"")</f>
        <v>38.235500000000002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3.3510299999999997</v>
      </c>
      <c r="G97" s="61">
        <f>IF(FT!B97&lt;&gt;"",FT!B97*100,"")</f>
        <v>32.727000000000004</v>
      </c>
      <c r="H97" s="61">
        <f t="shared" si="9"/>
        <v>1</v>
      </c>
      <c r="I97" t="str">
        <f>IF(FT!B97&lt;&gt;"",FT!E97,"")</f>
        <v>2 [38.642772]</v>
      </c>
      <c r="J97">
        <f>IF(FT!B97&lt;&gt;"",FT!C97,"")</f>
        <v>38.642800000000001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103556</v>
      </c>
      <c r="D98" s="61">
        <f>FH!B98*1</f>
        <v>103556</v>
      </c>
      <c r="E98">
        <f t="shared" si="11"/>
        <v>96</v>
      </c>
      <c r="F98" s="61">
        <f>IF(FT!A98&lt;&gt;"",FT!A98*10,"")</f>
        <v>3.33691</v>
      </c>
      <c r="G98" s="61">
        <f>IF(FT!B98&lt;&gt;"",FT!B98*100,"")</f>
        <v>32.757799999999996</v>
      </c>
      <c r="H98" s="61">
        <f t="shared" si="9"/>
        <v>1</v>
      </c>
      <c r="I98" t="str">
        <f>IF(FT!B98&lt;&gt;"",FT!E98,"")</f>
        <v>2 [39.046671]</v>
      </c>
      <c r="J98">
        <f>IF(FT!B98&lt;&gt;"",FT!C98,"")</f>
        <v>39.046700000000001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3.3244499999999997</v>
      </c>
      <c r="G99" s="61">
        <f>IF(FT!B99&lt;&gt;"",FT!B99*100,"")</f>
        <v>32.7151</v>
      </c>
      <c r="H99" s="61">
        <f t="shared" si="9"/>
        <v>1</v>
      </c>
      <c r="I99" t="str">
        <f>IF(FT!B99&lt;&gt;"",FT!E99,"")</f>
        <v>2 [39.452609]</v>
      </c>
      <c r="J99">
        <f>IF(FT!B99&lt;&gt;"",FT!C99,"")</f>
        <v>39.452599999999997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107067</v>
      </c>
      <c r="D100" s="61">
        <f>FH!B100*1</f>
        <v>107067</v>
      </c>
      <c r="E100">
        <f t="shared" si="11"/>
        <v>98</v>
      </c>
      <c r="F100" s="61">
        <f>IF(FT!A100&lt;&gt;"",FT!A100*10,"")</f>
        <v>3.3145899999999999</v>
      </c>
      <c r="G100" s="61">
        <f>IF(FT!B100&lt;&gt;"",FT!B100*100,"")</f>
        <v>32.575700000000005</v>
      </c>
      <c r="H100" s="61">
        <f t="shared" si="9"/>
        <v>1</v>
      </c>
      <c r="I100" t="str">
        <f>IF(FT!B100&lt;&gt;"",FT!E100,"")</f>
        <v>2 [39.858573]</v>
      </c>
      <c r="J100">
        <f>IF(FT!B100&lt;&gt;"",FT!C100,"")</f>
        <v>39.858600000000003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3.3048300000000004</v>
      </c>
      <c r="G101" s="61">
        <f>IF(FT!B101&lt;&gt;"",FT!B101*100,"")</f>
        <v>32.36</v>
      </c>
      <c r="H101" s="61">
        <f t="shared" si="9"/>
        <v>1</v>
      </c>
      <c r="I101" t="str">
        <f>IF(FT!B101&lt;&gt;"",FT!E101,"")</f>
        <v>2 [40.265581]</v>
      </c>
      <c r="J101">
        <f>IF(FT!B101&lt;&gt;"",FT!C101,"")</f>
        <v>40.265599999999999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3.2964100000000003</v>
      </c>
      <c r="G102" s="61">
        <f>IF(FT!B102&lt;&gt;"",FT!B102*100,"")</f>
        <v>32.086300000000001</v>
      </c>
      <c r="H102" s="61">
        <f t="shared" si="9"/>
        <v>1</v>
      </c>
      <c r="I102" t="str">
        <f>IF(FT!B102&lt;&gt;"",FT!E102,"")</f>
        <v>2 [40.674268]</v>
      </c>
      <c r="J102">
        <f>IF(FT!B102&lt;&gt;"",FT!C102,"")</f>
        <v>40.674300000000002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93436</v>
      </c>
      <c r="D103" s="61">
        <f>FH!B103*1</f>
        <v>93436</v>
      </c>
      <c r="E103">
        <f t="shared" si="11"/>
        <v>101</v>
      </c>
      <c r="F103" s="61">
        <f>IF(FT!A103&lt;&gt;"",FT!A103*10,"")</f>
        <v>3.28939</v>
      </c>
      <c r="G103" s="61">
        <f>IF(FT!B103&lt;&gt;"",FT!B103*100,"")</f>
        <v>31.878800000000002</v>
      </c>
      <c r="H103" s="61">
        <f t="shared" si="9"/>
        <v>1</v>
      </c>
      <c r="I103" t="str">
        <f>IF(FT!B103&lt;&gt;"",FT!E103,"")</f>
        <v>2 [41.080277]</v>
      </c>
      <c r="J103">
        <f>IF(FT!B103&lt;&gt;"",FT!C103,"")</f>
        <v>41.080300000000001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3.2816800000000002</v>
      </c>
      <c r="G104" s="61">
        <f>IF(FT!B104&lt;&gt;"",FT!B104*100,"")</f>
        <v>31.697300000000002</v>
      </c>
      <c r="H104" s="61">
        <f t="shared" si="9"/>
        <v>1</v>
      </c>
      <c r="I104" t="str">
        <f>IF(FT!B104&lt;&gt;"",FT!E104,"")</f>
        <v>2 [41.483136]</v>
      </c>
      <c r="J104">
        <f>IF(FT!B104&lt;&gt;"",FT!C104,"")</f>
        <v>41.4831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3.2714400000000001</v>
      </c>
      <c r="G105" s="61">
        <f>IF(FT!B105&lt;&gt;"",FT!B105*100,"")</f>
        <v>31.521999999999998</v>
      </c>
      <c r="H105" s="61">
        <f t="shared" si="9"/>
        <v>1</v>
      </c>
      <c r="I105" t="str">
        <f>IF(FT!B105&lt;&gt;"",FT!E105,"")</f>
        <v>2 [41.888251]</v>
      </c>
      <c r="J105">
        <f>IF(FT!B105&lt;&gt;"",FT!C105,"")</f>
        <v>41.888300000000001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83278</v>
      </c>
      <c r="D106" s="61">
        <f>FH!B106*1</f>
        <v>83278</v>
      </c>
      <c r="E106">
        <f t="shared" si="11"/>
        <v>104</v>
      </c>
      <c r="F106" s="61">
        <f>IF(FT!A106&lt;&gt;"",FT!A106*10,"")</f>
        <v>3.2570900000000003</v>
      </c>
      <c r="G106" s="61">
        <f>IF(FT!B106&lt;&gt;"",FT!B106*100,"")</f>
        <v>31.365300000000001</v>
      </c>
      <c r="H106" s="61">
        <f t="shared" si="9"/>
        <v>1</v>
      </c>
      <c r="I106" t="str">
        <f>IF(FT!B106&lt;&gt;"",FT!E106,"")</f>
        <v>2 [42.301343]</v>
      </c>
      <c r="J106">
        <f>IF(FT!B106&lt;&gt;"",FT!C106,"")</f>
        <v>42.301299999999998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3.23902</v>
      </c>
      <c r="G107" s="61">
        <f>IF(FT!B107&lt;&gt;"",FT!B107*100,"")</f>
        <v>31.2239</v>
      </c>
      <c r="H107" s="61">
        <f t="shared" si="9"/>
        <v>1</v>
      </c>
      <c r="I107" t="str">
        <f>IF(FT!B107&lt;&gt;"",FT!E107,"")</f>
        <v>2 [42.705902]</v>
      </c>
      <c r="J107">
        <f>IF(FT!B107&lt;&gt;"",FT!C107,"")</f>
        <v>42.7059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79745</v>
      </c>
      <c r="D108" s="61">
        <f>FH!B108*1</f>
        <v>79745</v>
      </c>
      <c r="E108">
        <f t="shared" si="11"/>
        <v>106</v>
      </c>
      <c r="F108" s="61">
        <f>IF(FT!A108&lt;&gt;"",FT!A108*10,"")</f>
        <v>3.2183000000000002</v>
      </c>
      <c r="G108" s="61">
        <f>IF(FT!B108&lt;&gt;"",FT!B108*100,"")</f>
        <v>31.026300000000003</v>
      </c>
      <c r="H108" s="61">
        <f t="shared" si="9"/>
        <v>1</v>
      </c>
      <c r="I108" t="str">
        <f>IF(FT!B108&lt;&gt;"",FT!E108,"")</f>
        <v>2 [43.111795]</v>
      </c>
      <c r="J108">
        <f>IF(FT!B108&lt;&gt;"",FT!C108,"")</f>
        <v>43.111800000000002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3.1968899999999998</v>
      </c>
      <c r="G109" s="61">
        <f>IF(FT!B109&lt;&gt;"",FT!B109*100,"")</f>
        <v>30.797200000000004</v>
      </c>
      <c r="H109" s="61">
        <f t="shared" si="9"/>
        <v>1</v>
      </c>
      <c r="I109" t="str">
        <f>IF(FT!B109&lt;&gt;"",FT!E109,"")</f>
        <v>2 [43.516672]</v>
      </c>
      <c r="J109">
        <f>IF(FT!B109&lt;&gt;"",FT!C109,"")</f>
        <v>43.5167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3.1714799999999999</v>
      </c>
      <c r="G110" s="61">
        <f>IF(FT!B110&lt;&gt;"",FT!B110*100,"")</f>
        <v>30.5245</v>
      </c>
      <c r="H110" s="61">
        <f t="shared" si="9"/>
        <v>1</v>
      </c>
      <c r="I110" t="str">
        <f>IF(FT!B110&lt;&gt;"",FT!E110,"")</f>
        <v>2 [43.920633]</v>
      </c>
      <c r="J110">
        <f>IF(FT!B110&lt;&gt;"",FT!C110,"")</f>
        <v>43.9206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70269</v>
      </c>
      <c r="D111" s="61">
        <f>FH!B111*1</f>
        <v>70269</v>
      </c>
      <c r="E111">
        <f t="shared" si="11"/>
        <v>109</v>
      </c>
      <c r="F111" s="61">
        <f>IF(FT!A111&lt;&gt;"",FT!A111*10,"")</f>
        <v>3.1445600000000002</v>
      </c>
      <c r="G111" s="61">
        <f>IF(FT!B111&lt;&gt;"",FT!B111*100,"")</f>
        <v>30.285</v>
      </c>
      <c r="H111" s="61">
        <f t="shared" si="9"/>
        <v>1</v>
      </c>
      <c r="I111" t="str">
        <f>IF(FT!B111&lt;&gt;"",FT!E111,"")</f>
        <v>2 [44.325725]</v>
      </c>
      <c r="J111">
        <f>IF(FT!B111&lt;&gt;"",FT!C111,"")</f>
        <v>44.325699999999998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3.1197499999999998</v>
      </c>
      <c r="G112" s="61">
        <f>IF(FT!B112&lt;&gt;"",FT!B112*100,"")</f>
        <v>30.102800000000002</v>
      </c>
      <c r="H112" s="61">
        <f t="shared" si="9"/>
        <v>1</v>
      </c>
      <c r="I112" t="str">
        <f>IF(FT!B112&lt;&gt;"",FT!E112,"")</f>
        <v>2 [44.737523]</v>
      </c>
      <c r="J112">
        <f>IF(FT!B112&lt;&gt;"",FT!C112,"")</f>
        <v>44.737499999999997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68887</v>
      </c>
      <c r="D113" s="61">
        <f>FH!B113*1</f>
        <v>68887</v>
      </c>
      <c r="E113">
        <f t="shared" si="11"/>
        <v>111</v>
      </c>
      <c r="F113" s="61">
        <f>IF(FT!A113&lt;&gt;"",FT!A113*10,"")</f>
        <v>3.0918899999999998</v>
      </c>
      <c r="G113" s="61">
        <f>IF(FT!B113&lt;&gt;"",FT!B113*100,"")</f>
        <v>30.0579</v>
      </c>
      <c r="H113" s="61">
        <f t="shared" si="9"/>
        <v>1</v>
      </c>
      <c r="I113" t="str">
        <f>IF(FT!B113&lt;&gt;"",FT!E113,"")</f>
        <v>2 [45.141334]</v>
      </c>
      <c r="J113">
        <f>IF(FT!B113&lt;&gt;"",FT!C113,"")</f>
        <v>45.141300000000001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3.0677599999999998</v>
      </c>
      <c r="G114" s="61">
        <f>IF(FT!B114&lt;&gt;"",FT!B114*100,"")</f>
        <v>29.979099999999999</v>
      </c>
      <c r="H114" s="61">
        <f t="shared" si="9"/>
        <v>1</v>
      </c>
      <c r="I114" t="str">
        <f>IF(FT!B114&lt;&gt;"",FT!E114,"")</f>
        <v>2 [45.546317]</v>
      </c>
      <c r="J114">
        <f>IF(FT!B114&lt;&gt;"",FT!C114,"")</f>
        <v>45.546300000000002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3.0436299999999998</v>
      </c>
      <c r="G115" s="61">
        <f>IF(FT!B115&lt;&gt;"",FT!B115*100,"")</f>
        <v>29.912499999999998</v>
      </c>
      <c r="H115" s="61">
        <f t="shared" si="9"/>
        <v>1</v>
      </c>
      <c r="I115" t="str">
        <f>IF(FT!B115&lt;&gt;"",FT!E115,"")</f>
        <v>2 [45.953205]</v>
      </c>
      <c r="J115">
        <f>IF(FT!B115&lt;&gt;"",FT!C115,"")</f>
        <v>45.953200000000002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54902</v>
      </c>
      <c r="D116" s="61">
        <f>FH!B116*1</f>
        <v>54902</v>
      </c>
      <c r="E116">
        <f t="shared" si="11"/>
        <v>114</v>
      </c>
      <c r="F116" s="61">
        <f>IF(FT!A116&lt;&gt;"",FT!A116*10,"")</f>
        <v>3.0194199999999998</v>
      </c>
      <c r="G116" s="61">
        <f>IF(FT!B116&lt;&gt;"",FT!B116*100,"")</f>
        <v>29.909799999999997</v>
      </c>
      <c r="H116" s="61">
        <f t="shared" si="9"/>
        <v>1</v>
      </c>
      <c r="I116" t="str">
        <f>IF(FT!B116&lt;&gt;"",FT!E116,"")</f>
        <v>2 [46.358191]</v>
      </c>
      <c r="J116">
        <f>IF(FT!B116&lt;&gt;"",FT!C116,"")</f>
        <v>46.358199999999997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2.9965599999999997</v>
      </c>
      <c r="G117" s="61">
        <f>IF(FT!B117&lt;&gt;"",FT!B117*100,"")</f>
        <v>29.813600000000001</v>
      </c>
      <c r="H117" s="61">
        <f t="shared" si="9"/>
        <v>1</v>
      </c>
      <c r="I117" t="str">
        <f>IF(FT!B117&lt;&gt;"",FT!E117,"")</f>
        <v>2 [46.765986]</v>
      </c>
      <c r="J117">
        <f>IF(FT!B117&lt;&gt;"",FT!C117,"")</f>
        <v>46.765999999999998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45598</v>
      </c>
      <c r="D118" s="61">
        <f>FH!B118*1</f>
        <v>45598</v>
      </c>
      <c r="E118">
        <f t="shared" si="11"/>
        <v>116</v>
      </c>
      <c r="F118" s="61">
        <f>IF(FT!A118&lt;&gt;"",FT!A118*10,"")</f>
        <v>2.9722200000000001</v>
      </c>
      <c r="G118" s="61">
        <f>IF(FT!B118&lt;&gt;"",FT!B118*100,"")</f>
        <v>29.663499999999999</v>
      </c>
      <c r="H118" s="61">
        <f t="shared" si="9"/>
        <v>1</v>
      </c>
      <c r="I118" t="str">
        <f>IF(FT!B118&lt;&gt;"",FT!E118,"")</f>
        <v>2 [47.172130]</v>
      </c>
      <c r="J118">
        <f>IF(FT!B118&lt;&gt;"",FT!C118,"")</f>
        <v>47.1721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2.95004</v>
      </c>
      <c r="G119" s="61">
        <f>IF(FT!B119&lt;&gt;"",FT!B119*100,"")</f>
        <v>29.478700000000003</v>
      </c>
      <c r="H119" s="61">
        <f t="shared" si="9"/>
        <v>1</v>
      </c>
      <c r="I119" t="str">
        <f>IF(FT!B119&lt;&gt;"",FT!E119,"")</f>
        <v>2 [47.575028]</v>
      </c>
      <c r="J119">
        <f>IF(FT!B119&lt;&gt;"",FT!C119,"")</f>
        <v>47.575000000000003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2.9307600000000003</v>
      </c>
      <c r="G120" s="61">
        <f>IF(FT!B120&lt;&gt;"",FT!B120*100,"")</f>
        <v>29.255399999999998</v>
      </c>
      <c r="H120" s="61">
        <f t="shared" si="9"/>
        <v>1</v>
      </c>
      <c r="I120" t="str">
        <f>IF(FT!B120&lt;&gt;"",FT!E120,"")</f>
        <v>2 [47.985739]</v>
      </c>
      <c r="J120">
        <f>IF(FT!B120&lt;&gt;"",FT!C120,"")</f>
        <v>47.985700000000001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43602</v>
      </c>
      <c r="D121" s="61">
        <f>FH!B121*1</f>
        <v>43602</v>
      </c>
      <c r="E121">
        <f t="shared" si="11"/>
        <v>119</v>
      </c>
      <c r="F121" s="61">
        <f>IF(FT!A121&lt;&gt;"",FT!A121*10,"")</f>
        <v>2.9115500000000001</v>
      </c>
      <c r="G121" s="61">
        <f>IF(FT!B121&lt;&gt;"",FT!B121*100,"")</f>
        <v>29.051900000000003</v>
      </c>
      <c r="H121" s="61">
        <f t="shared" si="9"/>
        <v>1</v>
      </c>
      <c r="I121" t="str">
        <f>IF(FT!B121&lt;&gt;"",FT!E121,"")</f>
        <v>2 [48.390752]</v>
      </c>
      <c r="J121">
        <f>IF(FT!B121&lt;&gt;"",FT!C121,"")</f>
        <v>48.390799999999999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2.89351</v>
      </c>
      <c r="G122" s="61">
        <f>IF(FT!B122&lt;&gt;"",FT!B122*100,"")</f>
        <v>28.855499999999999</v>
      </c>
      <c r="H122" s="61">
        <f t="shared" si="9"/>
        <v>1</v>
      </c>
      <c r="I122" t="str">
        <f>IF(FT!B122&lt;&gt;"",FT!E122,"")</f>
        <v>2 [48.797635]</v>
      </c>
      <c r="J122">
        <f>IF(FT!B122&lt;&gt;"",FT!C122,"")</f>
        <v>48.797600000000003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2.8774600000000001</v>
      </c>
      <c r="G123" s="61">
        <f>IF(FT!B123&lt;&gt;"",FT!B123*100,"")</f>
        <v>28.7258</v>
      </c>
      <c r="H123" s="61">
        <f t="shared" si="9"/>
        <v>1</v>
      </c>
      <c r="I123" t="str">
        <f>IF(FT!B123&lt;&gt;"",FT!E123,"")</f>
        <v>2 [49.201570]</v>
      </c>
      <c r="J123">
        <f>IF(FT!B123&lt;&gt;"",FT!C123,"")</f>
        <v>49.201599999999999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43423</v>
      </c>
      <c r="D124" s="61">
        <f>FH!B124*1</f>
        <v>43423</v>
      </c>
      <c r="E124">
        <f t="shared" si="11"/>
        <v>122</v>
      </c>
      <c r="F124" s="61">
        <f>IF(FT!A124&lt;&gt;"",FT!A124*10,"")</f>
        <v>2.8635600000000001</v>
      </c>
      <c r="G124" s="61">
        <f>IF(FT!B124&lt;&gt;"",FT!B124*100,"")</f>
        <v>28.635899999999996</v>
      </c>
      <c r="H124" s="61">
        <f t="shared" si="9"/>
        <v>1</v>
      </c>
      <c r="I124" t="str">
        <f>IF(FT!B124&lt;&gt;"",FT!E124,"")</f>
        <v>2 [49.606650]</v>
      </c>
      <c r="J124">
        <f>IF(FT!B124&lt;&gt;"",FT!C124,"")</f>
        <v>49.6066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2.8503699999999998</v>
      </c>
      <c r="G125" s="61">
        <f>IF(FT!B125&lt;&gt;"",FT!B125*100,"")</f>
        <v>28.573700000000002</v>
      </c>
      <c r="H125" s="61">
        <f t="shared" si="9"/>
        <v>1</v>
      </c>
      <c r="I125" t="str">
        <f>IF(FT!B125&lt;&gt;"",FT!E125,"")</f>
        <v>2 [50.018574]</v>
      </c>
      <c r="J125">
        <f>IF(FT!B125&lt;&gt;"",FT!C125,"")</f>
        <v>50.018599999999999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38622</v>
      </c>
      <c r="D126" s="61">
        <f>FH!B126*1</f>
        <v>38622</v>
      </c>
      <c r="E126">
        <f t="shared" si="11"/>
        <v>124</v>
      </c>
      <c r="F126" s="61">
        <f>IF(FT!A126&lt;&gt;"",FT!A126*10,"")</f>
        <v>2.8398499999999998</v>
      </c>
      <c r="G126" s="61">
        <f>IF(FT!B126&lt;&gt;"",FT!B126*100,"")</f>
        <v>28.505999999999997</v>
      </c>
      <c r="H126" s="61">
        <f t="shared" si="9"/>
        <v>1</v>
      </c>
      <c r="I126" t="str">
        <f>IF(FT!B126&lt;&gt;"",FT!E126,"")</f>
        <v>2 [50.423288]</v>
      </c>
      <c r="J126">
        <f>IF(FT!B126&lt;&gt;"",FT!C126,"")</f>
        <v>50.423299999999998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2.8319100000000001</v>
      </c>
      <c r="G127" s="61">
        <f>IF(FT!B127&lt;&gt;"",FT!B127*100,"")</f>
        <v>28.382099999999998</v>
      </c>
      <c r="H127" s="61">
        <f t="shared" si="9"/>
        <v>1</v>
      </c>
      <c r="I127" t="str">
        <f>IF(FT!B127&lt;&gt;"",FT!E127,"")</f>
        <v>2 [50.829118]</v>
      </c>
      <c r="J127">
        <f>IF(FT!B127&lt;&gt;"",FT!C127,"")</f>
        <v>50.829099999999997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2.8233299999999999</v>
      </c>
      <c r="G128" s="61">
        <f>IF(FT!B128&lt;&gt;"",FT!B128*100,"")</f>
        <v>28.219799999999999</v>
      </c>
      <c r="H128" s="61">
        <f t="shared" si="9"/>
        <v>1</v>
      </c>
      <c r="I128" t="str">
        <f>IF(FT!B128&lt;&gt;"",FT!E128,"")</f>
        <v>2 [51.236698]</v>
      </c>
      <c r="J128">
        <f>IF(FT!B128&lt;&gt;"",FT!C128,"")</f>
        <v>51.236699999999999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36360</v>
      </c>
      <c r="D129" s="61">
        <f>FH!B129*1</f>
        <v>36360</v>
      </c>
      <c r="E129">
        <f t="shared" si="11"/>
        <v>127</v>
      </c>
      <c r="F129" s="61">
        <f>IF(FT!A129&lt;&gt;"",FT!A129*10,"")</f>
        <v>2.8134900000000003</v>
      </c>
      <c r="G129" s="61">
        <f>IF(FT!B129&lt;&gt;"",FT!B129*100,"")</f>
        <v>28.082899999999999</v>
      </c>
      <c r="H129" s="61">
        <f t="shared" si="9"/>
        <v>1</v>
      </c>
      <c r="I129" t="str">
        <f>IF(FT!B129&lt;&gt;"",FT!E129,"")</f>
        <v>2 [51.641133]</v>
      </c>
      <c r="J129">
        <f>IF(FT!B129&lt;&gt;"",FT!C129,"")</f>
        <v>51.641100000000002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2.8049200000000001</v>
      </c>
      <c r="G130" s="61">
        <f>IF(FT!B130&lt;&gt;"",FT!B130*100,"")</f>
        <v>27.923100000000002</v>
      </c>
      <c r="H130" s="61">
        <f t="shared" si="9"/>
        <v>1</v>
      </c>
      <c r="I130" t="str">
        <f>IF(FT!B130&lt;&gt;"",FT!E130,"")</f>
        <v>2 [52.049897]</v>
      </c>
      <c r="J130">
        <f>IF(FT!B130&lt;&gt;"",FT!C130,"")</f>
        <v>52.049900000000001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32267</v>
      </c>
      <c r="D131" s="61">
        <f>FH!B131*1</f>
        <v>32267</v>
      </c>
      <c r="E131">
        <f t="shared" si="11"/>
        <v>129</v>
      </c>
      <c r="F131" s="61">
        <f>IF(FT!A131&lt;&gt;"",FT!A131*10,"")</f>
        <v>2.7973599999999998</v>
      </c>
      <c r="G131" s="61">
        <f>IF(FT!B131&lt;&gt;"",FT!B131*100,"")</f>
        <v>27.722999999999999</v>
      </c>
      <c r="H131" s="61">
        <f t="shared" ref="H131:H194" si="13">(IF(F131&lt;&gt;"",1,""))</f>
        <v>1</v>
      </c>
      <c r="I131" t="str">
        <f>IF(FT!B131&lt;&gt;"",FT!E131,"")</f>
        <v>2 [52.452827]</v>
      </c>
      <c r="J131">
        <f>IF(FT!B131&lt;&gt;"",FT!C131,"")</f>
        <v>52.452800000000003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2.7916099999999999</v>
      </c>
      <c r="G132" s="61">
        <f>IF(FT!B132&lt;&gt;"",FT!B132*100,"")</f>
        <v>27.522099999999998</v>
      </c>
      <c r="H132" s="61">
        <f t="shared" si="13"/>
        <v>1</v>
      </c>
      <c r="I132" t="str">
        <f>IF(FT!B132&lt;&gt;"",FT!E132,"")</f>
        <v>2 [52.857742]</v>
      </c>
      <c r="J132">
        <f>IF(FT!B132&lt;&gt;"",FT!C132,"")</f>
        <v>52.857700000000001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2.7883900000000001</v>
      </c>
      <c r="G133" s="61">
        <f>IF(FT!B133&lt;&gt;"",FT!B133*100,"")</f>
        <v>27.411200000000001</v>
      </c>
      <c r="H133" s="61">
        <f t="shared" si="13"/>
        <v>1</v>
      </c>
      <c r="I133" t="str">
        <f>IF(FT!B133&lt;&gt;"",FT!E133,"")</f>
        <v>2 [53.264664]</v>
      </c>
      <c r="J133">
        <f>IF(FT!B133&lt;&gt;"",FT!C133,"")</f>
        <v>53.264699999999998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28230</v>
      </c>
      <c r="D134" s="61">
        <f>FH!B134*1</f>
        <v>28230</v>
      </c>
      <c r="E134">
        <f t="shared" si="15"/>
        <v>132</v>
      </c>
      <c r="F134" s="61">
        <f>IF(FT!A134&lt;&gt;"",FT!A134*10,"")</f>
        <v>2.7855699999999999</v>
      </c>
      <c r="G134" s="61">
        <f>IF(FT!B134&lt;&gt;"",FT!B134*100,"")</f>
        <v>27.363700000000001</v>
      </c>
      <c r="H134" s="61">
        <f t="shared" si="13"/>
        <v>1</v>
      </c>
      <c r="I134" t="str">
        <f>IF(FT!B134&lt;&gt;"",FT!E134,"")</f>
        <v>2 [53.671661]</v>
      </c>
      <c r="J134">
        <f>IF(FT!B134&lt;&gt;"",FT!C134,"")</f>
        <v>53.671700000000001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2.7875800000000002</v>
      </c>
      <c r="G135" s="61">
        <f>IF(FT!B135&lt;&gt;"",FT!B135*100,"")</f>
        <v>27.364100000000001</v>
      </c>
      <c r="H135" s="61">
        <f t="shared" si="13"/>
        <v>1</v>
      </c>
      <c r="I135" t="str">
        <f>IF(FT!B135&lt;&gt;"",FT!E135,"")</f>
        <v>2 [54.078431]</v>
      </c>
      <c r="J135">
        <f>IF(FT!B135&lt;&gt;"",FT!C135,"")</f>
        <v>54.078400000000002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27840</v>
      </c>
      <c r="D136" s="61">
        <f>FH!B136*1</f>
        <v>27840</v>
      </c>
      <c r="E136">
        <f t="shared" si="15"/>
        <v>134</v>
      </c>
      <c r="F136" s="61">
        <f>IF(FT!A136&lt;&gt;"",FT!A136*10,"")</f>
        <v>2.7909600000000001</v>
      </c>
      <c r="G136" s="61">
        <f>IF(FT!B136&lt;&gt;"",FT!B136*100,"")</f>
        <v>27.424300000000002</v>
      </c>
      <c r="H136" s="61">
        <f t="shared" si="13"/>
        <v>1</v>
      </c>
      <c r="I136" t="str">
        <f>IF(FT!B136&lt;&gt;"",FT!E136,"")</f>
        <v>2 [54.484633]</v>
      </c>
      <c r="J136">
        <f>IF(FT!B136&lt;&gt;"",FT!C136,"")</f>
        <v>54.4846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2.7931499999999998</v>
      </c>
      <c r="G137" s="61">
        <f>IF(FT!B137&lt;&gt;"",FT!B137*100,"")</f>
        <v>27.416200000000003</v>
      </c>
      <c r="H137" s="61">
        <f t="shared" si="13"/>
        <v>1</v>
      </c>
      <c r="I137" t="str">
        <f>IF(FT!B137&lt;&gt;"",FT!E137,"")</f>
        <v>2 [54.891326]</v>
      </c>
      <c r="J137">
        <f>IF(FT!B137&lt;&gt;"",FT!C137,"")</f>
        <v>54.891300000000001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2.7950699999999999</v>
      </c>
      <c r="G138" s="61">
        <f>IF(FT!B138&lt;&gt;"",FT!B138*100,"")</f>
        <v>27.3644</v>
      </c>
      <c r="H138" s="61">
        <f t="shared" si="13"/>
        <v>1</v>
      </c>
      <c r="I138" t="str">
        <f>IF(FT!B138&lt;&gt;"",FT!E138,"")</f>
        <v>2 [55.297295]</v>
      </c>
      <c r="J138">
        <f>IF(FT!B138&lt;&gt;"",FT!C138,"")</f>
        <v>55.2973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25975</v>
      </c>
      <c r="D139" s="61">
        <f>FH!B139*1</f>
        <v>25975</v>
      </c>
      <c r="E139">
        <f t="shared" si="15"/>
        <v>137</v>
      </c>
      <c r="F139" s="61">
        <f>IF(FT!A139&lt;&gt;"",FT!A139*10,"")</f>
        <v>2.7908400000000002</v>
      </c>
      <c r="G139" s="61">
        <f>IF(FT!B139&lt;&gt;"",FT!B139*100,"")</f>
        <v>27.404899999999998</v>
      </c>
      <c r="H139" s="61">
        <f t="shared" si="13"/>
        <v>1</v>
      </c>
      <c r="I139" t="str">
        <f>IF(FT!B139&lt;&gt;"",FT!E139,"")</f>
        <v>2 [55.704241]</v>
      </c>
      <c r="J139">
        <f>IF(FT!B139&lt;&gt;"",FT!C139,"")</f>
        <v>55.7042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2.7913900000000003</v>
      </c>
      <c r="G140" s="61">
        <f>IF(FT!B140&lt;&gt;"",FT!B140*100,"")</f>
        <v>27.356999999999999</v>
      </c>
      <c r="H140" s="61">
        <f t="shared" si="13"/>
        <v>1</v>
      </c>
      <c r="I140" t="str">
        <f>IF(FT!B140&lt;&gt;"",FT!E140,"")</f>
        <v>2 [56.110008]</v>
      </c>
      <c r="J140">
        <f>IF(FT!B140&lt;&gt;"",FT!C140,"")</f>
        <v>56.11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2.7888299999999999</v>
      </c>
      <c r="G141" s="61">
        <f>IF(FT!B141&lt;&gt;"",FT!B141*100,"")</f>
        <v>27.434599999999996</v>
      </c>
      <c r="H141" s="61">
        <f t="shared" si="13"/>
        <v>1</v>
      </c>
      <c r="I141" t="str">
        <f>IF(FT!B141&lt;&gt;"",FT!E141,"")</f>
        <v>2 [56.517005]</v>
      </c>
      <c r="J141">
        <f>IF(FT!B141&lt;&gt;"",FT!C141,"")</f>
        <v>56.517000000000003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25635</v>
      </c>
      <c r="D142" s="61">
        <f>FH!B142*1</f>
        <v>25635</v>
      </c>
      <c r="E142">
        <f t="shared" si="15"/>
        <v>140</v>
      </c>
      <c r="F142" s="61">
        <f>IF(FT!A142&lt;&gt;"",FT!A142*10,"")</f>
        <v>2.78241</v>
      </c>
      <c r="G142" s="61">
        <f>IF(FT!B142&lt;&gt;"",FT!B142*100,"")</f>
        <v>27.7517</v>
      </c>
      <c r="H142" s="61">
        <f t="shared" si="13"/>
        <v>1</v>
      </c>
      <c r="I142" t="str">
        <f>IF(FT!B142&lt;&gt;"",FT!E142,"")</f>
        <v>2 [56.922904]</v>
      </c>
      <c r="J142">
        <f>IF(FT!B142&lt;&gt;"",FT!C142,"")</f>
        <v>56.922899999999998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2.7811300000000001</v>
      </c>
      <c r="G143" s="61">
        <f>IF(FT!B143&lt;&gt;"",FT!B143*100,"")</f>
        <v>28.023900000000001</v>
      </c>
      <c r="H143" s="61">
        <f t="shared" si="13"/>
        <v>1</v>
      </c>
      <c r="I143" t="str">
        <f>IF(FT!B143&lt;&gt;"",FT!E143,"")</f>
        <v>2 [57.324798]</v>
      </c>
      <c r="J143">
        <f>IF(FT!B143&lt;&gt;"",FT!C143,"")</f>
        <v>57.324800000000003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27916</v>
      </c>
      <c r="D144" s="61">
        <f>FH!B144*1</f>
        <v>27916</v>
      </c>
      <c r="E144">
        <f t="shared" si="15"/>
        <v>142</v>
      </c>
      <c r="F144" s="61">
        <f>IF(FT!A144&lt;&gt;"",FT!A144*10,"")</f>
        <v>2.7814399999999999</v>
      </c>
      <c r="G144" s="61">
        <f>IF(FT!B144&lt;&gt;"",FT!B144*100,"")</f>
        <v>28.229900000000001</v>
      </c>
      <c r="H144" s="61">
        <f t="shared" si="13"/>
        <v>1</v>
      </c>
      <c r="I144" t="str">
        <f>IF(FT!B144&lt;&gt;"",FT!E144,"")</f>
        <v>2 [57.734057]</v>
      </c>
      <c r="J144">
        <f>IF(FT!B144&lt;&gt;"",FT!C144,"")</f>
        <v>57.734099999999998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2.7801199999999997</v>
      </c>
      <c r="G145" s="61">
        <f>IF(FT!B145&lt;&gt;"",FT!B145*100,"")</f>
        <v>28.646999999999998</v>
      </c>
      <c r="H145" s="61">
        <f t="shared" si="13"/>
        <v>1</v>
      </c>
      <c r="I145" t="str">
        <f>IF(FT!B145&lt;&gt;"",FT!E145,"")</f>
        <v>2 [58.142549]</v>
      </c>
      <c r="J145">
        <f>IF(FT!B145&lt;&gt;"",FT!C145,"")</f>
        <v>58.142499999999998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2.7927800000000005</v>
      </c>
      <c r="G146" s="61">
        <f>IF(FT!B146&lt;&gt;"",FT!B146*100,"")</f>
        <v>28.8568</v>
      </c>
      <c r="H146" s="61">
        <f t="shared" si="13"/>
        <v>1</v>
      </c>
      <c r="I146" t="str">
        <f>IF(FT!B146&lt;&gt;"",FT!E146,"")</f>
        <v>2 [58.545579]</v>
      </c>
      <c r="J146">
        <f>IF(FT!B146&lt;&gt;"",FT!C146,"")</f>
        <v>58.5456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28484</v>
      </c>
      <c r="D147" s="61">
        <f>FH!B147*1</f>
        <v>28484</v>
      </c>
      <c r="E147">
        <f t="shared" si="15"/>
        <v>145</v>
      </c>
      <c r="F147" s="61">
        <f>IF(FT!A147&lt;&gt;"",FT!A147*10,"")</f>
        <v>2.8165200000000001</v>
      </c>
      <c r="G147" s="61">
        <f>IF(FT!B147&lt;&gt;"",FT!B147*100,"")</f>
        <v>28.640500000000003</v>
      </c>
      <c r="H147" s="61">
        <f t="shared" si="13"/>
        <v>1</v>
      </c>
      <c r="I147" t="str">
        <f>IF(FT!B147&lt;&gt;"",FT!E147,"")</f>
        <v>2 [58.955519]</v>
      </c>
      <c r="J147">
        <f>IF(FT!B147&lt;&gt;"",FT!C147,"")</f>
        <v>58.955500000000001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2.8407200000000001</v>
      </c>
      <c r="G148" s="61">
        <f>IF(FT!B148&lt;&gt;"",FT!B148*100,"")</f>
        <v>28.521400000000003</v>
      </c>
      <c r="H148" s="61">
        <f t="shared" si="13"/>
        <v>1</v>
      </c>
      <c r="I148" t="str">
        <f>IF(FT!B148&lt;&gt;"",FT!E148,"")</f>
        <v>2 [59.359253]</v>
      </c>
      <c r="J148">
        <f>IF(FT!B148&lt;&gt;"",FT!C148,"")</f>
        <v>59.359299999999998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25212</v>
      </c>
      <c r="D149" s="61">
        <f>FH!B149*1</f>
        <v>25212</v>
      </c>
      <c r="E149">
        <f t="shared" si="15"/>
        <v>147</v>
      </c>
      <c r="F149" s="61">
        <f>IF(FT!A149&lt;&gt;"",FT!A149*10,"")</f>
        <v>2.8425699999999998</v>
      </c>
      <c r="G149" s="61">
        <f>IF(FT!B149&lt;&gt;"",FT!B149*100,"")</f>
        <v>28.480499999999999</v>
      </c>
      <c r="H149" s="61">
        <f t="shared" si="13"/>
        <v>1</v>
      </c>
      <c r="I149" t="str">
        <f>IF(FT!B149&lt;&gt;"",FT!E149,"")</f>
        <v>2 [59.766579]</v>
      </c>
      <c r="J149">
        <f>IF(FT!B149&lt;&gt;"",FT!C149,"")</f>
        <v>59.766599999999997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24739</v>
      </c>
      <c r="D152" s="61">
        <f>FH!B152*1</f>
        <v>24739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24416</v>
      </c>
      <c r="D154" s="61">
        <f>FH!B154*1</f>
        <v>24416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21271</v>
      </c>
      <c r="D157" s="61">
        <f>FH!B157*1</f>
        <v>21271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19499</v>
      </c>
      <c r="D160" s="61">
        <f>FH!B160*1</f>
        <v>19499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14841</v>
      </c>
      <c r="D162" s="61">
        <f>FH!B162*1</f>
        <v>14841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11905</v>
      </c>
      <c r="D165" s="61">
        <f>FH!B165*1</f>
        <v>11905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9199</v>
      </c>
      <c r="D167" s="61">
        <f>FH!B167*1</f>
        <v>9199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9940</v>
      </c>
      <c r="D170" s="61">
        <f>FH!B170*1</f>
        <v>9940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9041</v>
      </c>
      <c r="D173" s="61">
        <f>FH!B173*1</f>
        <v>9041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6522</v>
      </c>
      <c r="D175" s="61">
        <f>FH!B175*1</f>
        <v>6522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5346</v>
      </c>
      <c r="D178" s="61">
        <f>FH!B178*1</f>
        <v>5346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4433</v>
      </c>
      <c r="D180" s="61">
        <f>FH!B180*1</f>
        <v>4433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2457</v>
      </c>
      <c r="D183" s="61">
        <f>FH!B183*1</f>
        <v>2457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1120</v>
      </c>
      <c r="D185" s="61">
        <f>FH!B185*1</f>
        <v>1120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590</v>
      </c>
      <c r="D188" s="61">
        <f>FH!B188*1</f>
        <v>590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670</v>
      </c>
      <c r="D191" s="61">
        <f>FH!B191*1</f>
        <v>670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1431</v>
      </c>
      <c r="D193" s="61">
        <f>FH!B193*1</f>
        <v>1431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182</v>
      </c>
      <c r="D196" s="61">
        <f>FH!B196*1</f>
        <v>182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424</v>
      </c>
      <c r="D198" s="61">
        <f>FH!B198*1</f>
        <v>424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123</v>
      </c>
      <c r="D201" s="61">
        <f>FH!B201*1</f>
        <v>123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555</v>
      </c>
      <c r="D203" s="61">
        <f>FH!B203*1</f>
        <v>555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39.416899999999998</v>
      </c>
      <c r="C5" s="66">
        <v>9.0956499999999991</v>
      </c>
      <c r="D5" s="66">
        <v>23.075500000000002</v>
      </c>
      <c r="E5" s="66">
        <v>20</v>
      </c>
      <c r="F5" s="66">
        <v>10.171200000000001</v>
      </c>
      <c r="G5" s="66">
        <v>50</v>
      </c>
      <c r="H5" s="66">
        <v>50.96</v>
      </c>
    </row>
    <row r="6" spans="1:8">
      <c r="A6" s="58" t="s">
        <v>303</v>
      </c>
      <c r="B6" s="66">
        <v>41.7883</v>
      </c>
      <c r="C6" s="66">
        <v>5.4150099999999997</v>
      </c>
      <c r="D6" s="66">
        <v>12.9582</v>
      </c>
      <c r="E6" s="66">
        <v>20</v>
      </c>
      <c r="F6" s="66">
        <v>27.209099999999999</v>
      </c>
      <c r="G6" s="66">
        <v>40</v>
      </c>
      <c r="H6" s="66">
        <v>47.940100000000001</v>
      </c>
    </row>
    <row r="7" spans="1:8">
      <c r="A7" s="58" t="s">
        <v>304</v>
      </c>
      <c r="B7" s="66">
        <v>19.420200000000001</v>
      </c>
      <c r="C7" s="66">
        <v>9.7847299999999997</v>
      </c>
      <c r="D7" s="66">
        <v>50.384300000000003</v>
      </c>
      <c r="E7" s="66">
        <v>15</v>
      </c>
      <c r="F7" s="66">
        <v>10.992900000000001</v>
      </c>
      <c r="G7" s="66">
        <v>40</v>
      </c>
      <c r="H7" s="66">
        <v>54.643000000000001</v>
      </c>
    </row>
    <row r="8" spans="1:8">
      <c r="A8" s="58" t="s">
        <v>305</v>
      </c>
      <c r="B8" s="66">
        <v>34.283999999999999</v>
      </c>
      <c r="C8" s="66">
        <v>3.47288</v>
      </c>
      <c r="D8" s="66">
        <v>10.1297</v>
      </c>
      <c r="E8" s="66">
        <v>20</v>
      </c>
      <c r="F8" s="66">
        <v>21.668099999999999</v>
      </c>
      <c r="G8" s="66">
        <v>50</v>
      </c>
      <c r="H8" s="66">
        <v>38.596499999999999</v>
      </c>
    </row>
    <row r="9" spans="1:8">
      <c r="A9" s="58" t="s">
        <v>306</v>
      </c>
      <c r="B9" s="66">
        <v>64.103399999999993</v>
      </c>
      <c r="C9" s="66">
        <v>6.8717199999999998</v>
      </c>
      <c r="D9" s="66">
        <v>10.719799999999999</v>
      </c>
      <c r="E9" s="66">
        <v>50</v>
      </c>
      <c r="F9" s="66">
        <v>46.199199999999998</v>
      </c>
      <c r="G9" s="66">
        <v>100</v>
      </c>
      <c r="H9" s="66">
        <v>77.878600000000006</v>
      </c>
    </row>
    <row r="10" spans="1:8">
      <c r="A10" s="58" t="s">
        <v>307</v>
      </c>
      <c r="B10" s="66">
        <v>49.436500000000002</v>
      </c>
      <c r="C10" s="66">
        <v>14.065300000000001</v>
      </c>
      <c r="D10" s="66">
        <v>28.4513</v>
      </c>
      <c r="E10" s="66">
        <v>40</v>
      </c>
      <c r="F10" s="66">
        <v>40.557000000000002</v>
      </c>
      <c r="G10" s="66">
        <v>100</v>
      </c>
      <c r="H10" s="66">
        <v>88.222899999999996</v>
      </c>
    </row>
    <row r="11" spans="1:8">
      <c r="A11" s="58" t="s">
        <v>308</v>
      </c>
      <c r="B11" s="66">
        <v>16.306999999999999</v>
      </c>
      <c r="C11" s="66">
        <v>4.1292200000000001</v>
      </c>
      <c r="D11" s="66">
        <v>25.3218</v>
      </c>
      <c r="E11" s="66">
        <v>10</v>
      </c>
      <c r="F11" s="66">
        <v>5.5362900000000002</v>
      </c>
      <c r="G11" s="66">
        <v>50</v>
      </c>
      <c r="H11" s="66">
        <v>22.050599999999999</v>
      </c>
    </row>
    <row r="12" spans="1:8">
      <c r="A12" s="58" t="s">
        <v>309</v>
      </c>
      <c r="B12" s="66">
        <v>59.522100000000002</v>
      </c>
      <c r="C12" s="66">
        <v>7.0735999999999999</v>
      </c>
      <c r="D12" s="66">
        <v>11.884</v>
      </c>
      <c r="E12" s="66">
        <v>50</v>
      </c>
      <c r="F12" s="66">
        <v>47.889299999999999</v>
      </c>
      <c r="G12" s="66">
        <v>100</v>
      </c>
      <c r="H12" s="66">
        <v>76.585099999999997</v>
      </c>
    </row>
    <row r="13" spans="1:8">
      <c r="A13" s="58" t="s">
        <v>310</v>
      </c>
      <c r="B13" s="66">
        <v>18.305299999999999</v>
      </c>
      <c r="C13" s="66">
        <v>1.85416</v>
      </c>
      <c r="D13" s="66">
        <v>10.129099999999999</v>
      </c>
      <c r="E13" s="66">
        <v>10</v>
      </c>
      <c r="F13" s="66">
        <v>15.188499999999999</v>
      </c>
      <c r="G13" s="66">
        <v>25</v>
      </c>
      <c r="H13" s="66">
        <v>24.4438</v>
      </c>
    </row>
    <row r="14" spans="1:8">
      <c r="A14" s="58" t="s">
        <v>311</v>
      </c>
      <c r="B14" s="66">
        <v>18.541599999999999</v>
      </c>
      <c r="C14" s="66">
        <v>6.2208699999999997</v>
      </c>
      <c r="D14" s="66">
        <v>33.550899999999999</v>
      </c>
      <c r="E14" s="66">
        <v>10</v>
      </c>
      <c r="F14" s="66">
        <v>1.4622599999999999</v>
      </c>
      <c r="G14" s="66">
        <v>50</v>
      </c>
      <c r="H14" s="66">
        <v>23.508400000000002</v>
      </c>
    </row>
    <row r="15" spans="1:8">
      <c r="A15" s="58" t="s">
        <v>312</v>
      </c>
      <c r="B15" s="66">
        <v>6.6853700000000002E-2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0.221915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21.660399999999999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0.41577999999999998</v>
      </c>
      <c r="C18" s="66">
        <v>3.7962700000000002E-2</v>
      </c>
      <c r="D18" s="66">
        <v>9.1304700000000003E-2</v>
      </c>
      <c r="E18" s="66">
        <v>0</v>
      </c>
      <c r="F18" s="66">
        <v>0.37781799999999999</v>
      </c>
      <c r="G18" s="66">
        <v>0</v>
      </c>
      <c r="H18" s="66">
        <v>0.45374300000000001</v>
      </c>
    </row>
    <row r="19" spans="1:8">
      <c r="A19" s="58" t="s">
        <v>316</v>
      </c>
      <c r="B19" s="66">
        <v>0.69321999999999995</v>
      </c>
      <c r="C19" s="66">
        <v>5.1877800000000002E-2</v>
      </c>
      <c r="D19" s="66">
        <v>7.4835899999999997E-2</v>
      </c>
      <c r="E19" s="66">
        <v>0</v>
      </c>
      <c r="F19" s="66">
        <v>0.641343</v>
      </c>
      <c r="G19" s="66">
        <v>0</v>
      </c>
      <c r="H19" s="66">
        <v>0.74509800000000004</v>
      </c>
    </row>
    <row r="20" spans="1:8">
      <c r="A20" s="58" t="s">
        <v>317</v>
      </c>
      <c r="B20" s="66">
        <v>1.9828000000000001E-4</v>
      </c>
      <c r="C20" s="66">
        <v>5.7649699999999998E-2</v>
      </c>
      <c r="D20" s="66">
        <v>290.74900000000002</v>
      </c>
      <c r="E20" s="66">
        <v>0</v>
      </c>
      <c r="F20" s="66">
        <v>0</v>
      </c>
      <c r="G20" s="66">
        <v>0</v>
      </c>
      <c r="H20" s="66">
        <v>2.2506900000000001</v>
      </c>
    </row>
    <row r="21" spans="1:8">
      <c r="A21" s="58" t="s">
        <v>318</v>
      </c>
      <c r="B21" s="66">
        <v>2.79271E-2</v>
      </c>
      <c r="C21" s="66">
        <v>0.17646000000000001</v>
      </c>
      <c r="D21" s="66">
        <v>6.3185900000000004</v>
      </c>
      <c r="E21" s="66">
        <v>0</v>
      </c>
      <c r="F21" s="196">
        <v>6.7963699999999994E-5</v>
      </c>
      <c r="G21" s="66">
        <v>0</v>
      </c>
      <c r="H21" s="66">
        <v>2.5313599999999998</v>
      </c>
    </row>
    <row r="22" spans="1:8">
      <c r="A22" s="58" t="s">
        <v>319</v>
      </c>
      <c r="B22" s="66">
        <v>56.257599999999996</v>
      </c>
      <c r="C22" s="66">
        <v>25.1556</v>
      </c>
      <c r="D22" s="66">
        <v>0.44714999999999999</v>
      </c>
      <c r="E22" s="66">
        <v>0</v>
      </c>
      <c r="F22" s="66">
        <v>15.451000000000001</v>
      </c>
      <c r="G22" s="66">
        <v>0</v>
      </c>
      <c r="H22" s="66">
        <v>123.812</v>
      </c>
    </row>
    <row r="23" spans="1:8">
      <c r="A23" s="58" t="s">
        <v>320</v>
      </c>
      <c r="B23" s="66">
        <v>22.707799999999999</v>
      </c>
      <c r="C23" s="66">
        <v>10.7064</v>
      </c>
      <c r="D23" s="66">
        <v>0.47148499999999999</v>
      </c>
      <c r="E23" s="66">
        <v>0</v>
      </c>
      <c r="F23" s="66">
        <v>5.4300600000000001</v>
      </c>
      <c r="G23" s="66">
        <v>0</v>
      </c>
      <c r="H23" s="66">
        <v>39.009300000000003</v>
      </c>
    </row>
    <row r="24" spans="1:8">
      <c r="A24" s="58" t="s">
        <v>321</v>
      </c>
      <c r="B24" s="66">
        <v>3.4381199999999998E-4</v>
      </c>
      <c r="C24" s="66">
        <v>2.7111300000000001E-2</v>
      </c>
      <c r="D24" s="66">
        <v>78.855099999999993</v>
      </c>
      <c r="E24" s="66">
        <v>0</v>
      </c>
      <c r="F24" s="196">
        <v>3.1530499999999999E-5</v>
      </c>
      <c r="G24" s="66">
        <v>0</v>
      </c>
      <c r="H24" s="66">
        <v>0.407443</v>
      </c>
    </row>
    <row r="25" spans="1:8">
      <c r="A25" s="58" t="s">
        <v>322</v>
      </c>
      <c r="B25" s="66">
        <v>7.46666E-2</v>
      </c>
      <c r="C25" s="66">
        <v>0.101622</v>
      </c>
      <c r="D25" s="66">
        <v>1.3610100000000001</v>
      </c>
      <c r="E25" s="66">
        <v>0</v>
      </c>
      <c r="F25" s="66">
        <v>9.0400500000000009E-3</v>
      </c>
      <c r="G25" s="66">
        <v>0</v>
      </c>
      <c r="H25" s="66">
        <v>0.635625</v>
      </c>
    </row>
    <row r="26" spans="1:8">
      <c r="A26" s="58" t="s">
        <v>323</v>
      </c>
      <c r="B26" s="196">
        <v>8.5346599999999994E-5</v>
      </c>
      <c r="C26" s="66">
        <v>6.5379399999999999E-3</v>
      </c>
      <c r="D26" s="66">
        <v>76.604500000000002</v>
      </c>
      <c r="E26" s="66">
        <v>0</v>
      </c>
      <c r="F26" s="66">
        <v>0</v>
      </c>
      <c r="G26" s="66">
        <v>0</v>
      </c>
      <c r="H26" s="66">
        <v>0.27316499999999999</v>
      </c>
    </row>
    <row r="27" spans="1:8">
      <c r="A27" s="58" t="s">
        <v>324</v>
      </c>
      <c r="B27" s="196">
        <v>-3.2825599999999999E-6</v>
      </c>
      <c r="C27" s="66">
        <v>9.1242000000000007E-3</v>
      </c>
      <c r="D27" s="66">
        <v>-2779.59</v>
      </c>
      <c r="E27" s="66">
        <v>0</v>
      </c>
      <c r="F27" s="66">
        <v>-0.27305699999999999</v>
      </c>
      <c r="G27" s="66">
        <v>0</v>
      </c>
      <c r="H27" s="66">
        <v>0.27304</v>
      </c>
    </row>
    <row r="28" spans="1:8">
      <c r="A28" s="58" t="s">
        <v>325</v>
      </c>
      <c r="B28" s="66">
        <v>4.9869800000000002E-3</v>
      </c>
      <c r="C28" s="66">
        <v>1.8643199999999999E-2</v>
      </c>
      <c r="D28" s="66">
        <v>3.7383799999999998</v>
      </c>
      <c r="E28" s="66">
        <v>0</v>
      </c>
      <c r="F28" s="196">
        <v>2.6041699999999998E-5</v>
      </c>
      <c r="G28" s="66">
        <v>0</v>
      </c>
      <c r="H28" s="66">
        <v>0.30047499999999999</v>
      </c>
    </row>
    <row r="29" spans="1:8">
      <c r="A29" s="58" t="s">
        <v>326</v>
      </c>
      <c r="B29" s="66">
        <v>70.995599999999996</v>
      </c>
      <c r="C29" s="66">
        <v>10.782299999999999</v>
      </c>
      <c r="D29" s="66">
        <v>0.15187300000000001</v>
      </c>
      <c r="E29" s="66">
        <v>0</v>
      </c>
      <c r="F29" s="66">
        <v>34.222299999999997</v>
      </c>
      <c r="G29" s="66">
        <v>0</v>
      </c>
      <c r="H29" s="66">
        <v>99.803799999999995</v>
      </c>
    </row>
    <row r="30" spans="1:8">
      <c r="A30" s="58" t="s">
        <v>327</v>
      </c>
      <c r="B30" s="66">
        <v>24.3811</v>
      </c>
      <c r="C30" s="66">
        <v>8.5174099999999999</v>
      </c>
      <c r="D30" s="66">
        <v>0.34934500000000002</v>
      </c>
      <c r="E30" s="66">
        <v>0</v>
      </c>
      <c r="F30" s="66">
        <v>6.5284000000000004</v>
      </c>
      <c r="G30" s="66">
        <v>0</v>
      </c>
      <c r="H30" s="66">
        <v>35.176400000000001</v>
      </c>
    </row>
    <row r="31" spans="1:8">
      <c r="A31" s="58" t="s">
        <v>328</v>
      </c>
      <c r="B31" s="66">
        <v>244.05500000000001</v>
      </c>
      <c r="C31" s="66">
        <v>99.0137</v>
      </c>
      <c r="D31" s="66">
        <v>0.40570299999999998</v>
      </c>
      <c r="E31" s="66">
        <v>0</v>
      </c>
      <c r="F31" s="66">
        <v>47.1</v>
      </c>
      <c r="G31" s="66">
        <v>0</v>
      </c>
      <c r="H31" s="66">
        <v>397.65800000000002</v>
      </c>
    </row>
    <row r="32" spans="1:8">
      <c r="A32" s="58" t="s">
        <v>329</v>
      </c>
      <c r="B32" s="66">
        <v>0.19420200000000001</v>
      </c>
      <c r="C32" s="66">
        <v>9.7847299999999998E-2</v>
      </c>
      <c r="D32" s="66">
        <v>0.50384300000000004</v>
      </c>
      <c r="E32" s="66">
        <v>0.15</v>
      </c>
      <c r="F32" s="66">
        <v>0.109929</v>
      </c>
      <c r="G32" s="66">
        <v>0.4</v>
      </c>
      <c r="H32" s="66">
        <v>0.54642999999999997</v>
      </c>
    </row>
    <row r="33" spans="1:8">
      <c r="A33" s="58" t="s">
        <v>330</v>
      </c>
      <c r="B33" s="66">
        <v>0.382351</v>
      </c>
      <c r="C33" s="66">
        <v>5.1163800000000002E-2</v>
      </c>
      <c r="D33" s="66">
        <v>0.13381399999999999</v>
      </c>
      <c r="E33" s="66">
        <v>0</v>
      </c>
      <c r="F33" s="66">
        <v>0.28449999999999998</v>
      </c>
      <c r="G33" s="66">
        <v>0</v>
      </c>
      <c r="H33" s="66">
        <v>0.49846699999999999</v>
      </c>
    </row>
    <row r="34" spans="1:8">
      <c r="A34" s="58" t="s">
        <v>331</v>
      </c>
      <c r="B34" s="66">
        <v>0.18305299999999999</v>
      </c>
      <c r="C34" s="66">
        <v>1.8541599999999998E-2</v>
      </c>
      <c r="D34" s="66">
        <v>0.10129100000000001</v>
      </c>
      <c r="E34" s="66">
        <v>0.1</v>
      </c>
      <c r="F34" s="66">
        <v>0.15188499999999999</v>
      </c>
      <c r="G34" s="66">
        <v>0.25</v>
      </c>
      <c r="H34" s="66">
        <v>0.24443799999999999</v>
      </c>
    </row>
    <row r="35" spans="1:8">
      <c r="A35" s="58" t="s">
        <v>332</v>
      </c>
      <c r="B35" s="66">
        <v>7.4751899999999996E-2</v>
      </c>
      <c r="C35" s="66">
        <v>2.1135000000000001E-2</v>
      </c>
      <c r="D35" s="66">
        <v>0.28273599999999999</v>
      </c>
      <c r="E35" s="66">
        <v>0</v>
      </c>
      <c r="F35" s="66">
        <v>3.6830799999999997E-2</v>
      </c>
      <c r="G35" s="66">
        <v>0</v>
      </c>
      <c r="H35" s="66">
        <v>0.14509900000000001</v>
      </c>
    </row>
    <row r="36" spans="1:8">
      <c r="A36" s="58" t="s">
        <v>333</v>
      </c>
      <c r="B36" s="66">
        <v>0.172763</v>
      </c>
      <c r="C36" s="66">
        <v>8.2150899999999999E-2</v>
      </c>
      <c r="D36" s="66">
        <v>0.47551300000000002</v>
      </c>
      <c r="E36" s="66">
        <v>0</v>
      </c>
      <c r="F36" s="66">
        <v>4.5185900000000001E-2</v>
      </c>
      <c r="G36" s="66">
        <v>0</v>
      </c>
      <c r="H36" s="66">
        <v>0.47761300000000001</v>
      </c>
    </row>
    <row r="37" spans="1:8">
      <c r="A37" s="58" t="s">
        <v>334</v>
      </c>
      <c r="B37" s="66">
        <v>0.185416</v>
      </c>
      <c r="C37" s="66">
        <v>6.2208699999999999E-2</v>
      </c>
      <c r="D37" s="66">
        <v>0.335509</v>
      </c>
      <c r="E37" s="66">
        <v>0.1</v>
      </c>
      <c r="F37" s="66">
        <v>1.4622599999999999E-2</v>
      </c>
      <c r="G37" s="66">
        <v>0.5</v>
      </c>
      <c r="H37" s="66">
        <v>0.23508399999999999</v>
      </c>
    </row>
    <row r="38" spans="1:8">
      <c r="A38" s="58" t="s">
        <v>335</v>
      </c>
      <c r="B38" s="66">
        <v>-5.2658500000000004</v>
      </c>
      <c r="C38" s="66">
        <v>45.276800000000001</v>
      </c>
      <c r="D38" s="66">
        <v>-8.5982000000000003</v>
      </c>
      <c r="E38" s="66">
        <v>0</v>
      </c>
      <c r="F38" s="66">
        <v>-149.864</v>
      </c>
      <c r="G38" s="66">
        <v>0</v>
      </c>
      <c r="H38" s="66">
        <v>192.31399999999999</v>
      </c>
    </row>
    <row r="39" spans="1:8">
      <c r="A39" s="58" t="s">
        <v>336</v>
      </c>
      <c r="B39" s="66">
        <v>-5.4714099999999997</v>
      </c>
      <c r="C39" s="66">
        <v>7.1660000000000004</v>
      </c>
      <c r="D39" s="66">
        <v>-1.30972</v>
      </c>
      <c r="E39" s="66">
        <v>0</v>
      </c>
      <c r="F39" s="66">
        <v>-27.494</v>
      </c>
      <c r="G39" s="66">
        <v>0</v>
      </c>
      <c r="H39" s="66">
        <v>6.6550700000000003</v>
      </c>
    </row>
    <row r="40" spans="1:8">
      <c r="A40" s="58" t="s">
        <v>337</v>
      </c>
      <c r="B40" s="66">
        <v>-1.32812</v>
      </c>
      <c r="C40" s="66">
        <v>2.13219</v>
      </c>
      <c r="D40" s="66">
        <v>-1.6054200000000001</v>
      </c>
      <c r="E40" s="66">
        <v>0</v>
      </c>
      <c r="F40" s="66">
        <v>-4.4937899999999997</v>
      </c>
      <c r="G40" s="66">
        <v>0</v>
      </c>
      <c r="H40" s="66">
        <v>4.2562600000000002</v>
      </c>
    </row>
    <row r="41" spans="1:8">
      <c r="A41" s="58" t="s">
        <v>338</v>
      </c>
      <c r="B41" s="66">
        <v>-3.0188699999999999E-2</v>
      </c>
      <c r="C41" s="66">
        <v>0.36341499999999999</v>
      </c>
      <c r="D41" s="66">
        <v>-12.0381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4.5066899999999998E-3</v>
      </c>
      <c r="C42" s="66">
        <v>0.12820799999999999</v>
      </c>
      <c r="D42" s="66">
        <v>28.4483</v>
      </c>
      <c r="E42" s="66">
        <v>0</v>
      </c>
      <c r="F42" s="66">
        <v>-0.47922100000000001</v>
      </c>
      <c r="G42" s="66">
        <v>0</v>
      </c>
      <c r="H42" s="66">
        <v>0.21196000000000001</v>
      </c>
    </row>
    <row r="43" spans="1:8">
      <c r="A43" s="58" t="s">
        <v>340</v>
      </c>
      <c r="B43" s="66">
        <v>2.7685299999999999E-2</v>
      </c>
      <c r="C43" s="66">
        <v>5.9562200000000003E-2</v>
      </c>
      <c r="D43" s="66">
        <v>2.1514000000000002</v>
      </c>
      <c r="E43" s="66">
        <v>0</v>
      </c>
      <c r="F43" s="66">
        <v>-0.171129</v>
      </c>
      <c r="G43" s="66">
        <v>0</v>
      </c>
      <c r="H43" s="66">
        <v>0.11147899999999999</v>
      </c>
    </row>
    <row r="44" spans="1:8">
      <c r="A44" s="58" t="s">
        <v>341</v>
      </c>
      <c r="B44" s="66">
        <v>-41.684899999999999</v>
      </c>
      <c r="C44" s="66">
        <v>44.321399999999997</v>
      </c>
      <c r="D44" s="66">
        <v>-1.06325</v>
      </c>
      <c r="E44" s="66">
        <v>0</v>
      </c>
      <c r="F44" s="66">
        <v>-65.872900000000001</v>
      </c>
      <c r="G44" s="66">
        <v>0</v>
      </c>
      <c r="H44" s="66">
        <v>159.75700000000001</v>
      </c>
    </row>
    <row r="45" spans="1:8">
      <c r="A45" s="58" t="s">
        <v>342</v>
      </c>
      <c r="B45" s="66">
        <v>57.194600000000001</v>
      </c>
      <c r="C45" s="66">
        <v>6.47525</v>
      </c>
      <c r="D45" s="66">
        <v>0.113214</v>
      </c>
      <c r="E45" s="66">
        <v>0</v>
      </c>
      <c r="F45" s="66">
        <v>34.491599999999998</v>
      </c>
      <c r="G45" s="66">
        <v>0</v>
      </c>
      <c r="H45" s="66">
        <v>70.730800000000002</v>
      </c>
    </row>
    <row r="46" spans="1:8">
      <c r="A46" s="58" t="s">
        <v>343</v>
      </c>
      <c r="B46" s="66">
        <v>34.413499999999999</v>
      </c>
      <c r="C46" s="66">
        <v>6.8883799999999997</v>
      </c>
      <c r="D46" s="66">
        <v>0.20016500000000001</v>
      </c>
      <c r="E46" s="66">
        <v>0</v>
      </c>
      <c r="F46" s="66">
        <v>9.5326400000000007</v>
      </c>
      <c r="G46" s="66">
        <v>0</v>
      </c>
      <c r="H46" s="66">
        <v>39.142600000000002</v>
      </c>
    </row>
    <row r="47" spans="1:8">
      <c r="A47" s="58" t="s">
        <v>344</v>
      </c>
      <c r="B47" s="66">
        <v>0.55567500000000003</v>
      </c>
      <c r="C47" s="66">
        <v>0.30499700000000002</v>
      </c>
      <c r="D47" s="66">
        <v>0.54887699999999995</v>
      </c>
      <c r="E47" s="66">
        <v>0</v>
      </c>
      <c r="F47" s="66">
        <v>0.27245999999999998</v>
      </c>
      <c r="G47" s="66">
        <v>0</v>
      </c>
      <c r="H47" s="66">
        <v>2.0398100000000001</v>
      </c>
    </row>
    <row r="48" spans="1:8">
      <c r="A48" s="58" t="s">
        <v>345</v>
      </c>
      <c r="B48" s="66">
        <v>0.560836</v>
      </c>
      <c r="C48" s="66">
        <v>8.9702199999999996E-2</v>
      </c>
      <c r="D48" s="66">
        <v>0.159944</v>
      </c>
      <c r="E48" s="66">
        <v>0</v>
      </c>
      <c r="F48" s="66">
        <v>0.38138300000000003</v>
      </c>
      <c r="G48" s="66">
        <v>0</v>
      </c>
      <c r="H48" s="66">
        <v>0.78441300000000003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3.715600000000002</v>
      </c>
      <c r="C5" s="66">
        <f>'M2'!C5-'M1'!C5</f>
        <v>-7.89419</v>
      </c>
      <c r="D5" s="66">
        <f>'M2'!D5-'M1'!D5</f>
        <v>-21.703780000000002</v>
      </c>
      <c r="E5" s="66">
        <f>'M2'!E5-'M1'!E5</f>
        <v>0</v>
      </c>
      <c r="F5" s="66">
        <f>'M2'!F5-'M1'!F5</f>
        <v>26.526800000000001</v>
      </c>
      <c r="G5" s="66">
        <f>'M2'!G5-'M1'!G5</f>
        <v>0</v>
      </c>
      <c r="H5" s="66">
        <f>'M2'!H5-'M1'!H5</f>
        <v>3.5418000000000021</v>
      </c>
    </row>
    <row r="6" spans="1:8">
      <c r="A6" s="66" t="s">
        <v>244</v>
      </c>
      <c r="B6" s="66">
        <f>'M2'!B6-'M1'!B6</f>
        <v>7.4585000000000008</v>
      </c>
      <c r="C6" s="66">
        <f>'M2'!C6-'M1'!C6</f>
        <v>-2.6517499999999998</v>
      </c>
      <c r="D6" s="66">
        <f>'M2'!D6-'M1'!D6</f>
        <v>-7.83249</v>
      </c>
      <c r="E6" s="66">
        <f>'M2'!E6-'M1'!E6</f>
        <v>0</v>
      </c>
      <c r="F6" s="66">
        <f>'M2'!F6-'M1'!F6</f>
        <v>14.0169</v>
      </c>
      <c r="G6" s="66">
        <f>'M2'!G6-'M1'!G6</f>
        <v>0</v>
      </c>
      <c r="H6" s="66">
        <f>'M2'!H6-'M1'!H6</f>
        <v>0.89739999999999753</v>
      </c>
    </row>
    <row r="7" spans="1:8">
      <c r="A7" s="66" t="s">
        <v>245</v>
      </c>
      <c r="B7" s="66">
        <f>'M2'!B7-'M1'!B7</f>
        <v>-0.46659999999999968</v>
      </c>
      <c r="C7" s="66">
        <f>'M2'!C7-'M1'!C7</f>
        <v>-9.5352300000000003</v>
      </c>
      <c r="D7" s="66">
        <f>'M2'!D7-'M1'!D7</f>
        <v>-47.723800000000004</v>
      </c>
      <c r="E7" s="66">
        <f>'M2'!E7-'M1'!E7</f>
        <v>0</v>
      </c>
      <c r="F7" s="66">
        <f>'M2'!F7-'M1'!F7</f>
        <v>0.88659999999999961</v>
      </c>
      <c r="G7" s="66">
        <f>'M2'!G7-'M1'!G7</f>
        <v>0</v>
      </c>
      <c r="H7" s="66">
        <f>'M2'!H7-'M1'!H7</f>
        <v>-11.673999999999999</v>
      </c>
    </row>
    <row r="8" spans="1:8">
      <c r="A8" s="66" t="s">
        <v>246</v>
      </c>
      <c r="B8" s="66">
        <f>'M2'!B8-'M1'!B8</f>
        <v>3.5309999999999988</v>
      </c>
      <c r="C8" s="66">
        <f>'M2'!C8-'M1'!C8</f>
        <v>-2.2039300000000002</v>
      </c>
      <c r="D8" s="66">
        <f>'M2'!D8-'M1'!D8</f>
        <v>-7.3432300000000001</v>
      </c>
      <c r="E8" s="66">
        <f>'M2'!E8-'M1'!E8</f>
        <v>0</v>
      </c>
      <c r="F8" s="66">
        <f>'M2'!F8-'M1'!F8</f>
        <v>10.599100000000004</v>
      </c>
      <c r="G8" s="66">
        <f>'M2'!G8-'M1'!G8</f>
        <v>0</v>
      </c>
      <c r="H8" s="66">
        <f>'M2'!H8-'M1'!H8</f>
        <v>2.5827999999999989</v>
      </c>
    </row>
    <row r="9" spans="1:8">
      <c r="A9" s="66" t="s">
        <v>247</v>
      </c>
      <c r="B9" s="66">
        <f>'M2'!B9-'M1'!B9</f>
        <v>2.4750000000000014</v>
      </c>
      <c r="C9" s="66">
        <f>'M2'!C9-'M1'!C9</f>
        <v>0.42138000000000009</v>
      </c>
      <c r="D9" s="66">
        <f>'M2'!D9-'M1'!D9</f>
        <v>0.25309999999999988</v>
      </c>
      <c r="E9" s="66">
        <f>'M2'!E9-'M1'!E9</f>
        <v>0</v>
      </c>
      <c r="F9" s="66">
        <f>'M2'!F9-'M1'!F9</f>
        <v>3.1465999999999994</v>
      </c>
      <c r="G9" s="66">
        <f>'M2'!G9-'M1'!G9</f>
        <v>0</v>
      </c>
      <c r="H9" s="66">
        <f>'M2'!H9-'M1'!H9</f>
        <v>3.143100000000004</v>
      </c>
    </row>
    <row r="10" spans="1:8">
      <c r="A10" s="66" t="s">
        <v>248</v>
      </c>
      <c r="B10" s="66">
        <f>'M2'!B10-'M1'!B10</f>
        <v>-28.409200000000006</v>
      </c>
      <c r="C10" s="66">
        <f>'M2'!C10-'M1'!C10</f>
        <v>-5.1368500000000008</v>
      </c>
      <c r="D10" s="66">
        <f>'M2'!D10-'M1'!D10</f>
        <v>-5.4918199999999997</v>
      </c>
      <c r="E10" s="66">
        <f>'M2'!E10-'M1'!E10</f>
        <v>0</v>
      </c>
      <c r="F10" s="66">
        <f>'M2'!F10-'M1'!F10</f>
        <v>-8.8795000000000002</v>
      </c>
      <c r="G10" s="66">
        <f>'M2'!G10-'M1'!G10</f>
        <v>0</v>
      </c>
      <c r="H10" s="66">
        <f>'M2'!H10-'M1'!H10</f>
        <v>-38.807899999999997</v>
      </c>
    </row>
    <row r="11" spans="1:8">
      <c r="A11" s="66" t="s">
        <v>249</v>
      </c>
      <c r="B11" s="66">
        <f>'M2'!B11-'M1'!B11</f>
        <v>4.4714999999999989</v>
      </c>
      <c r="C11" s="66">
        <f>'M2'!C11-'M1'!C11</f>
        <v>-1.5513900000000005</v>
      </c>
      <c r="D11" s="66">
        <f>'M2'!D11-'M1'!D11</f>
        <v>-15.936300000000001</v>
      </c>
      <c r="E11" s="66">
        <f>'M2'!E11-'M1'!E11</f>
        <v>0</v>
      </c>
      <c r="F11" s="66">
        <f>'M2'!F11-'M1'!F11</f>
        <v>7.1246099999999997</v>
      </c>
      <c r="G11" s="66">
        <f>'M2'!G11-'M1'!G11</f>
        <v>0</v>
      </c>
      <c r="H11" s="66">
        <f>'M2'!H11-'M1'!H11</f>
        <v>4.2300000000000892E-2</v>
      </c>
    </row>
    <row r="12" spans="1:8">
      <c r="A12" s="66" t="s">
        <v>250</v>
      </c>
      <c r="B12" s="66">
        <f>'M2'!B12-'M1'!B12</f>
        <v>-10.902799999999999</v>
      </c>
      <c r="C12" s="66">
        <f>'M2'!C12-'M1'!C12</f>
        <v>-1.4262899999999998</v>
      </c>
      <c r="D12" s="66">
        <f>'M2'!D12-'M1'!D12</f>
        <v>-1.2074299999999996</v>
      </c>
      <c r="E12" s="66">
        <f>'M2'!E12-'M1'!E12</f>
        <v>0</v>
      </c>
      <c r="F12" s="66">
        <f>'M2'!F12-'M1'!F12</f>
        <v>-7.9517999999999986</v>
      </c>
      <c r="G12" s="66">
        <f>'M2'!G12-'M1'!G12</f>
        <v>0</v>
      </c>
      <c r="H12" s="66">
        <f>'M2'!H12-'M1'!H12</f>
        <v>-15.337199999999996</v>
      </c>
    </row>
    <row r="13" spans="1:8">
      <c r="A13" s="66" t="s">
        <v>251</v>
      </c>
      <c r="B13" s="66">
        <f>'M2'!B13-'M1'!B13</f>
        <v>0.62920000000000087</v>
      </c>
      <c r="C13" s="66">
        <f>'M2'!C13-'M1'!C13</f>
        <v>-0.14693999999999985</v>
      </c>
      <c r="D13" s="66">
        <f>'M2'!D13-'M1'!D13</f>
        <v>-1.1556300000000004</v>
      </c>
      <c r="E13" s="66">
        <f>'M2'!E13-'M1'!E13</f>
        <v>0</v>
      </c>
      <c r="F13" s="66">
        <f>'M2'!F13-'M1'!F13</f>
        <v>-4.4200000000000017E-2</v>
      </c>
      <c r="G13" s="66">
        <f>'M2'!G13-'M1'!G13</f>
        <v>0</v>
      </c>
      <c r="H13" s="66">
        <f>'M2'!H13-'M1'!H13</f>
        <v>-0.69359999999999999</v>
      </c>
    </row>
    <row r="14" spans="1:8">
      <c r="A14" s="66" t="s">
        <v>252</v>
      </c>
      <c r="B14" s="66">
        <f>'M2'!B14-'M1'!B14</f>
        <v>-1.4694000000000003</v>
      </c>
      <c r="C14" s="66">
        <f>'M2'!C14-'M1'!C14</f>
        <v>-1.3981399999999997</v>
      </c>
      <c r="D14" s="66">
        <f>'M2'!D14-'M1'!D14</f>
        <v>-4.9213999999999984</v>
      </c>
      <c r="E14" s="66">
        <f>'M2'!E14-'M1'!E14</f>
        <v>0</v>
      </c>
      <c r="F14" s="66">
        <f>'M2'!F14-'M1'!F14</f>
        <v>0.99920999999999993</v>
      </c>
      <c r="G14" s="66">
        <f>'M2'!G14-'M1'!G14</f>
        <v>0</v>
      </c>
      <c r="H14" s="66">
        <f>'M2'!H14-'M1'!H14</f>
        <v>-3.820800000000002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3.4147999999999956E-2</v>
      </c>
      <c r="C18" s="66">
        <f>'M2'!C18-'M1'!C18</f>
        <v>3.7962700000000002E-2</v>
      </c>
      <c r="D18" s="66">
        <f>'M2'!D18-'M1'!D18</f>
        <v>9.1304700000000003E-2</v>
      </c>
      <c r="E18" s="66">
        <f>'M2'!E18-'M1'!E18</f>
        <v>0</v>
      </c>
      <c r="F18" s="66">
        <f>'M2'!F18-'M1'!F18</f>
        <v>0.37781799999999999</v>
      </c>
      <c r="G18" s="66">
        <f>'M2'!G18-'M1'!G18</f>
        <v>0</v>
      </c>
      <c r="H18" s="66">
        <f>'M2'!H18-'M1'!H18</f>
        <v>0.45374300000000001</v>
      </c>
    </row>
    <row r="19" spans="1:8">
      <c r="A19" s="66" t="s">
        <v>256</v>
      </c>
      <c r="B19" s="66">
        <f>'M2'!B19-'M1'!B19</f>
        <v>7.9564999999999997E-2</v>
      </c>
      <c r="C19" s="66">
        <f>'M2'!C19-'M1'!C19</f>
        <v>5.1877800000000002E-2</v>
      </c>
      <c r="D19" s="66">
        <f>'M2'!D19-'M1'!D19</f>
        <v>7.4835899999999997E-2</v>
      </c>
      <c r="E19" s="66">
        <f>'M2'!E19-'M1'!E19</f>
        <v>0</v>
      </c>
      <c r="F19" s="66">
        <f>'M2'!F19-'M1'!F19</f>
        <v>0.641343</v>
      </c>
      <c r="G19" s="66">
        <f>'M2'!G19-'M1'!G19</f>
        <v>0</v>
      </c>
      <c r="H19" s="66">
        <f>'M2'!H19-'M1'!H19</f>
        <v>0.74509800000000004</v>
      </c>
    </row>
    <row r="20" spans="1:8">
      <c r="A20" s="66" t="s">
        <v>63</v>
      </c>
      <c r="B20" s="66">
        <f>'M2'!B20-'M1'!B20</f>
        <v>-9.1461000000000011E-5</v>
      </c>
      <c r="C20" s="66">
        <f>'M2'!C20-'M1'!C20</f>
        <v>-5.131970000000001E-2</v>
      </c>
      <c r="D20" s="66">
        <f>'M2'!D20-'M1'!D20</f>
        <v>-145.00700000000001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-2.071123</v>
      </c>
    </row>
    <row r="21" spans="1:8">
      <c r="A21" s="66" t="s">
        <v>64</v>
      </c>
      <c r="B21" s="66">
        <f>'M2'!B21-'M1'!B21</f>
        <v>-8.2882999999999984E-3</v>
      </c>
      <c r="C21" s="66">
        <f>'M2'!C21-'M1'!C21</f>
        <v>-0.1276417</v>
      </c>
      <c r="D21" s="66">
        <f>'M2'!D21-'M1'!D21</f>
        <v>-2.8741399999999997</v>
      </c>
      <c r="E21" s="66">
        <f>'M2'!E21-'M1'!E21</f>
        <v>0</v>
      </c>
      <c r="F21" s="66">
        <f>'M2'!F21-'M1'!F21</f>
        <v>-4.6397530000000004E-4</v>
      </c>
      <c r="G21" s="66">
        <f>'M2'!G21-'M1'!G21</f>
        <v>0</v>
      </c>
      <c r="H21" s="66">
        <f>'M2'!H21-'M1'!H21</f>
        <v>-2.1651699999999998</v>
      </c>
    </row>
    <row r="22" spans="1:8">
      <c r="A22" s="66" t="s">
        <v>65</v>
      </c>
      <c r="B22" s="66">
        <f>'M2'!B22-'M1'!B22</f>
        <v>21.294699999999999</v>
      </c>
      <c r="C22" s="66">
        <f>'M2'!C22-'M1'!C22</f>
        <v>8.9614000000000011</v>
      </c>
      <c r="D22" s="66">
        <f>'M2'!D22-'M1'!D22</f>
        <v>7.8560000000000296E-3</v>
      </c>
      <c r="E22" s="66">
        <f>'M2'!E22-'M1'!E22</f>
        <v>0</v>
      </c>
      <c r="F22" s="66">
        <f>'M2'!F22-'M1'!F22</f>
        <v>-2.1136999999999979</v>
      </c>
      <c r="G22" s="66">
        <f>'M2'!G22-'M1'!G22</f>
        <v>0</v>
      </c>
      <c r="H22" s="66">
        <f>'M2'!H22-'M1'!H22</f>
        <v>33.113</v>
      </c>
    </row>
    <row r="23" spans="1:8">
      <c r="A23" s="66" t="s">
        <v>66</v>
      </c>
      <c r="B23" s="66">
        <f>'M2'!B23-'M1'!B23</f>
        <v>19.963290000000001</v>
      </c>
      <c r="C23" s="66">
        <f>'M2'!C23-'M1'!C23</f>
        <v>-1.1467099999999997</v>
      </c>
      <c r="D23" s="66">
        <f>'M2'!D23-'M1'!D23</f>
        <v>-0.45606999999999998</v>
      </c>
      <c r="E23" s="66">
        <f>'M2'!E23-'M1'!E23</f>
        <v>0</v>
      </c>
      <c r="F23" s="66">
        <f>'M2'!F23-'M1'!F23</f>
        <v>17.277739999999998</v>
      </c>
      <c r="G23" s="66">
        <f>'M2'!G23-'M1'!G23</f>
        <v>0</v>
      </c>
      <c r="H23" s="66">
        <f>'M2'!H23-'M1'!H23</f>
        <v>16.289100000000005</v>
      </c>
    </row>
    <row r="24" spans="1:8">
      <c r="A24" s="66" t="s">
        <v>67</v>
      </c>
      <c r="B24" s="66">
        <f>'M2'!B24-'M1'!B24</f>
        <v>-1.0301400000000001E-4</v>
      </c>
      <c r="C24" s="66">
        <f>'M2'!C24-'M1'!C24</f>
        <v>-1.9017699999999998E-2</v>
      </c>
      <c r="D24" s="66">
        <f>'M2'!D24-'M1'!D24</f>
        <v>-33.6051</v>
      </c>
      <c r="E24" s="66">
        <f>'M2'!E24-'M1'!E24</f>
        <v>0</v>
      </c>
      <c r="F24" s="66">
        <f>'M2'!F24-'M1'!F24</f>
        <v>1.0192600000000001E-5</v>
      </c>
      <c r="G24" s="66">
        <f>'M2'!G24-'M1'!G24</f>
        <v>0</v>
      </c>
      <c r="H24" s="66">
        <f>'M2'!H24-'M1'!H24</f>
        <v>-0.3503599</v>
      </c>
    </row>
    <row r="25" spans="1:8">
      <c r="A25" s="66" t="s">
        <v>68</v>
      </c>
      <c r="B25" s="66">
        <f>'M2'!B25-'M1'!B25</f>
        <v>-1.0832899999999993E-2</v>
      </c>
      <c r="C25" s="66">
        <f>'M2'!C25-'M1'!C25</f>
        <v>-0.1040256</v>
      </c>
      <c r="D25" s="66">
        <f>'M2'!D25-'M1'!D25</f>
        <v>-1.230842</v>
      </c>
      <c r="E25" s="66">
        <f>'M2'!E25-'M1'!E25</f>
        <v>0</v>
      </c>
      <c r="F25" s="66">
        <f>'M2'!F25-'M1'!F25</f>
        <v>-5.0803499999999991E-3</v>
      </c>
      <c r="G25" s="66">
        <f>'M2'!G25-'M1'!G25</f>
        <v>0</v>
      </c>
      <c r="H25" s="66">
        <f>'M2'!H25-'M1'!H25</f>
        <v>-0.477439</v>
      </c>
    </row>
    <row r="26" spans="1:8">
      <c r="A26" s="66" t="s">
        <v>69</v>
      </c>
      <c r="B26" s="66">
        <f>'M2'!B26-'M1'!B26</f>
        <v>-4.7596699999999991E-5</v>
      </c>
      <c r="C26" s="66">
        <f>'M2'!C26-'M1'!C26</f>
        <v>-7.7909000000000008E-3</v>
      </c>
      <c r="D26" s="66">
        <f>'M2'!D26-'M1'!D26</f>
        <v>-60.141500000000008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-0.26608123</v>
      </c>
    </row>
    <row r="27" spans="1:8">
      <c r="A27" s="66" t="s">
        <v>70</v>
      </c>
      <c r="B27" s="66">
        <f>'M2'!B27-'M1'!B27</f>
        <v>-3.2825699999999997E-6</v>
      </c>
      <c r="C27" s="66">
        <f>'M2'!C27-'M1'!C27</f>
        <v>-1.2066331999999999E-2</v>
      </c>
      <c r="D27" s="66">
        <f>'M2'!D27-'M1'!D27</f>
        <v>3799.0190000000002</v>
      </c>
      <c r="E27" s="66">
        <f>'M2'!E27-'M1'!E27</f>
        <v>0</v>
      </c>
      <c r="F27" s="66">
        <f>'M2'!F27-'M1'!F27</f>
        <v>0.26952167999999999</v>
      </c>
      <c r="G27" s="66">
        <f>'M2'!G27-'M1'!G27</f>
        <v>0</v>
      </c>
      <c r="H27" s="66">
        <f>'M2'!H27-'M1'!H27</f>
        <v>-0.26852648000000001</v>
      </c>
    </row>
    <row r="28" spans="1:8">
      <c r="A28" s="66" t="s">
        <v>71</v>
      </c>
      <c r="B28" s="66">
        <f>'M2'!B28-'M1'!B28</f>
        <v>-1.4550800000000001E-3</v>
      </c>
      <c r="C28" s="66">
        <f>'M2'!C28-'M1'!C28</f>
        <v>-1.993847E-2</v>
      </c>
      <c r="D28" s="66">
        <f>'M2'!D28-'M1'!D28</f>
        <v>-3.0492100000000004</v>
      </c>
      <c r="E28" s="66">
        <f>'M2'!E28-'M1'!E28</f>
        <v>0</v>
      </c>
      <c r="F28" s="66">
        <f>'M2'!F28-'M1'!F28</f>
        <v>-1.8554730000000001E-4</v>
      </c>
      <c r="G28" s="66">
        <f>'M2'!G28-'M1'!G28</f>
        <v>0</v>
      </c>
      <c r="H28" s="66">
        <f>'M2'!H28-'M1'!H28</f>
        <v>-0.2689125</v>
      </c>
    </row>
    <row r="29" spans="1:8">
      <c r="A29" s="66" t="s">
        <v>72</v>
      </c>
      <c r="B29" s="66">
        <f>'M2'!B29-'M1'!B29</f>
        <v>1.6216000000000008</v>
      </c>
      <c r="C29" s="66">
        <f>'M2'!C29-'M1'!C29</f>
        <v>0.28460000000000107</v>
      </c>
      <c r="D29" s="66">
        <f>'M2'!D29-'M1'!D29</f>
        <v>5.5899999999997618E-4</v>
      </c>
      <c r="E29" s="66">
        <f>'M2'!E29-'M1'!E29</f>
        <v>0</v>
      </c>
      <c r="F29" s="66">
        <f>'M2'!F29-'M1'!F29</f>
        <v>7.7551000000000059</v>
      </c>
      <c r="G29" s="66">
        <f>'M2'!G29-'M1'!G29</f>
        <v>0</v>
      </c>
      <c r="H29" s="66">
        <f>'M2'!H29-'M1'!H29</f>
        <v>9.9737999999999971</v>
      </c>
    </row>
    <row r="30" spans="1:8">
      <c r="A30" s="66" t="s">
        <v>73</v>
      </c>
      <c r="B30" s="66">
        <f>'M2'!B30-'M1'!B30</f>
        <v>15.351199999999999</v>
      </c>
      <c r="C30" s="66">
        <f>'M2'!C30-'M1'!C30</f>
        <v>-3.1696500000000003</v>
      </c>
      <c r="D30" s="66">
        <f>'M2'!D30-'M1'!D30</f>
        <v>-0.40041200000000005</v>
      </c>
      <c r="E30" s="66">
        <f>'M2'!E30-'M1'!E30</f>
        <v>0</v>
      </c>
      <c r="F30" s="66">
        <f>'M2'!F30-'M1'!F30</f>
        <v>15.513199999999998</v>
      </c>
      <c r="G30" s="66">
        <f>'M2'!G30-'M1'!G30</f>
        <v>0</v>
      </c>
      <c r="H30" s="66">
        <f>'M2'!H30-'M1'!H30</f>
        <v>8.6288000000000018</v>
      </c>
    </row>
    <row r="31" spans="1:8">
      <c r="A31" s="66" t="s">
        <v>74</v>
      </c>
      <c r="B31" s="66">
        <f>'M2'!B31-'M1'!B31</f>
        <v>140.97300000000001</v>
      </c>
      <c r="C31" s="66">
        <f>'M2'!C31-'M1'!C31</f>
        <v>-19.8249</v>
      </c>
      <c r="D31" s="66">
        <f>'M2'!D31-'M1'!D31</f>
        <v>-0.23099</v>
      </c>
      <c r="E31" s="66">
        <f>'M2'!E31-'M1'!E31</f>
        <v>0</v>
      </c>
      <c r="F31" s="66">
        <f>'M2'!F31-'M1'!F31</f>
        <v>188.214</v>
      </c>
      <c r="G31" s="66">
        <f>'M2'!G31-'M1'!G31</f>
        <v>0</v>
      </c>
      <c r="H31" s="66">
        <f>'M2'!H31-'M1'!H31</f>
        <v>146.55700000000002</v>
      </c>
    </row>
    <row r="32" spans="1:8">
      <c r="A32" s="66" t="s">
        <v>75</v>
      </c>
      <c r="B32" s="66">
        <f>'M2'!B32-'M1'!B32</f>
        <v>-4.6660000000000035E-3</v>
      </c>
      <c r="C32" s="66">
        <f>'M2'!C32-'M1'!C32</f>
        <v>-9.5352300000000001E-2</v>
      </c>
      <c r="D32" s="66">
        <f>'M2'!D32-'M1'!D32</f>
        <v>-0.477238</v>
      </c>
      <c r="E32" s="66">
        <f>'M2'!E32-'M1'!E32</f>
        <v>0</v>
      </c>
      <c r="F32" s="66">
        <f>'M2'!F32-'M1'!F32</f>
        <v>8.8659999999999989E-3</v>
      </c>
      <c r="G32" s="66">
        <f>'M2'!G32-'M1'!G32</f>
        <v>0</v>
      </c>
      <c r="H32" s="66">
        <f>'M2'!H32-'M1'!H32</f>
        <v>-0.11673999999999995</v>
      </c>
    </row>
    <row r="33" spans="1:8">
      <c r="A33" s="66" t="s">
        <v>76</v>
      </c>
      <c r="B33" s="66">
        <f>'M2'!B33-'M1'!B33</f>
        <v>-6.5713000000000021E-2</v>
      </c>
      <c r="C33" s="66">
        <f>'M2'!C33-'M1'!C33</f>
        <v>-2.2954499999999999E-2</v>
      </c>
      <c r="D33" s="66">
        <f>'M2'!D33-'M1'!D33</f>
        <v>-4.116729999999999E-2</v>
      </c>
      <c r="E33" s="66">
        <f>'M2'!E33-'M1'!E33</f>
        <v>0</v>
      </c>
      <c r="F33" s="66">
        <f>'M2'!F33-'M1'!F33</f>
        <v>-2.141000000000004E-3</v>
      </c>
      <c r="G33" s="66">
        <f>'M2'!G33-'M1'!G33</f>
        <v>0</v>
      </c>
      <c r="H33" s="66">
        <f>'M2'!H33-'M1'!H33</f>
        <v>-8.8314999999999977E-2</v>
      </c>
    </row>
    <row r="34" spans="1:8">
      <c r="A34" s="66" t="s">
        <v>77</v>
      </c>
      <c r="B34" s="66">
        <f>'M2'!B34-'M1'!B34</f>
        <v>6.291999999999992E-3</v>
      </c>
      <c r="C34" s="66">
        <f>'M2'!C34-'M1'!C34</f>
        <v>-1.4694000000000026E-3</v>
      </c>
      <c r="D34" s="66">
        <f>'M2'!D34-'M1'!D34</f>
        <v>-1.1556300000000005E-2</v>
      </c>
      <c r="E34" s="66">
        <f>'M2'!E34-'M1'!E34</f>
        <v>0</v>
      </c>
      <c r="F34" s="66">
        <f>'M2'!F34-'M1'!F34</f>
        <v>-4.4199999999999795E-4</v>
      </c>
      <c r="G34" s="66">
        <f>'M2'!G34-'M1'!G34</f>
        <v>0</v>
      </c>
      <c r="H34" s="66">
        <f>'M2'!H34-'M1'!H34</f>
        <v>-6.9359999999999977E-3</v>
      </c>
    </row>
    <row r="35" spans="1:8">
      <c r="A35" s="66" t="s">
        <v>78</v>
      </c>
      <c r="B35" s="66">
        <f>'M2'!B35-'M1'!B35</f>
        <v>7.7104999999999951E-3</v>
      </c>
      <c r="C35" s="66">
        <f>'M2'!C35-'M1'!C35</f>
        <v>1.2128E-3</v>
      </c>
      <c r="D35" s="66">
        <f>'M2'!D35-'M1'!D35</f>
        <v>-1.1672999999999989E-2</v>
      </c>
      <c r="E35" s="66">
        <f>'M2'!E35-'M1'!E35</f>
        <v>0</v>
      </c>
      <c r="F35" s="66">
        <f>'M2'!F35-'M1'!F35</f>
        <v>3.8904000000000022E-3</v>
      </c>
      <c r="G35" s="66">
        <f>'M2'!G35-'M1'!G35</f>
        <v>0</v>
      </c>
      <c r="H35" s="66">
        <f>'M2'!H35-'M1'!H35</f>
        <v>1.4050000000000007E-2</v>
      </c>
    </row>
    <row r="36" spans="1:8">
      <c r="A36" s="66" t="s">
        <v>79</v>
      </c>
      <c r="B36" s="66">
        <f>'M2'!B36-'M1'!B36</f>
        <v>8.7239999999999818E-3</v>
      </c>
      <c r="C36" s="66">
        <f>'M2'!C36-'M1'!C36</f>
        <v>6.7977999999999927E-3</v>
      </c>
      <c r="D36" s="66">
        <f>'M2'!D36-'M1'!D36</f>
        <v>1.5244000000000035E-2</v>
      </c>
      <c r="E36" s="66">
        <f>'M2'!E36-'M1'!E36</f>
        <v>0</v>
      </c>
      <c r="F36" s="66">
        <f>'M2'!F36-'M1'!F36</f>
        <v>4.6830999999999956E-3</v>
      </c>
      <c r="G36" s="66">
        <f>'M2'!G36-'M1'!G36</f>
        <v>0</v>
      </c>
      <c r="H36" s="66">
        <f>'M2'!H36-'M1'!H36</f>
        <v>3.5117999999999983E-2</v>
      </c>
    </row>
    <row r="37" spans="1:8">
      <c r="A37" s="66" t="s">
        <v>80</v>
      </c>
      <c r="B37" s="66">
        <f>'M2'!B37-'M1'!B37</f>
        <v>-1.4694000000000013E-2</v>
      </c>
      <c r="C37" s="66">
        <f>'M2'!C37-'M1'!C37</f>
        <v>-1.3981399999999998E-2</v>
      </c>
      <c r="D37" s="66">
        <f>'M2'!D37-'M1'!D37</f>
        <v>-4.921399999999998E-2</v>
      </c>
      <c r="E37" s="66">
        <f>'M2'!E37-'M1'!E37</f>
        <v>0</v>
      </c>
      <c r="F37" s="66">
        <f>'M2'!F37-'M1'!F37</f>
        <v>9.9921000000000003E-3</v>
      </c>
      <c r="G37" s="66">
        <f>'M2'!G37-'M1'!G37</f>
        <v>0</v>
      </c>
      <c r="H37" s="66">
        <f>'M2'!H37-'M1'!H37</f>
        <v>-3.8207999999999992E-2</v>
      </c>
    </row>
    <row r="38" spans="1:8">
      <c r="A38" s="66" t="s">
        <v>81</v>
      </c>
      <c r="B38" s="66">
        <f>'M2'!B38-'M1'!B38</f>
        <v>-6.6890400000000003</v>
      </c>
      <c r="C38" s="66">
        <f>'M2'!C38-'M1'!C38</f>
        <v>9.7835999999999999</v>
      </c>
      <c r="D38" s="66">
        <f>'M2'!D38-'M1'!D38</f>
        <v>14.803510000000001</v>
      </c>
      <c r="E38" s="66">
        <f>'M2'!E38-'M1'!E38</f>
        <v>0</v>
      </c>
      <c r="F38" s="66">
        <f>'M2'!F38-'M1'!F38</f>
        <v>20.812000000000012</v>
      </c>
      <c r="G38" s="66">
        <f>'M2'!G38-'M1'!G38</f>
        <v>0</v>
      </c>
      <c r="H38" s="66">
        <f>'M2'!H38-'M1'!H38</f>
        <v>110.54339999999999</v>
      </c>
    </row>
    <row r="39" spans="1:8">
      <c r="A39" s="66" t="s">
        <v>82</v>
      </c>
      <c r="B39" s="66">
        <f>'M2'!B39-'M1'!B39</f>
        <v>-5.3234900000000014</v>
      </c>
      <c r="C39" s="66">
        <f>'M2'!C39-'M1'!C39</f>
        <v>1.51084</v>
      </c>
      <c r="D39" s="66">
        <f>'M2'!D39-'M1'!D39</f>
        <v>1.1368440000000002</v>
      </c>
      <c r="E39" s="66">
        <f>'M2'!E39-'M1'!E39</f>
        <v>0</v>
      </c>
      <c r="F39" s="66">
        <f>'M2'!F39-'M1'!F39</f>
        <v>-8.6222999999999992</v>
      </c>
      <c r="G39" s="66">
        <f>'M2'!G39-'M1'!G39</f>
        <v>0</v>
      </c>
      <c r="H39" s="66">
        <f>'M2'!H39-'M1'!H39</f>
        <v>-0.28016000000000041</v>
      </c>
    </row>
    <row r="40" spans="1:8">
      <c r="A40" s="66" t="s">
        <v>83</v>
      </c>
      <c r="B40" s="66">
        <f>'M2'!B40-'M1'!B40</f>
        <v>-3.9323699999999997</v>
      </c>
      <c r="C40" s="66">
        <f>'M2'!C40-'M1'!C40</f>
        <v>-0.62992999999999999</v>
      </c>
      <c r="D40" s="66">
        <f>'M2'!D40-'M1'!D40</f>
        <v>-1.7675909999999999</v>
      </c>
      <c r="E40" s="66">
        <f>'M2'!E40-'M1'!E40</f>
        <v>0</v>
      </c>
      <c r="F40" s="66">
        <f>'M2'!F40-'M1'!F40</f>
        <v>-2.6031999999999997</v>
      </c>
      <c r="G40" s="66">
        <f>'M2'!G40-'M1'!G40</f>
        <v>0</v>
      </c>
      <c r="H40" s="66">
        <f>'M2'!H40-'M1'!H40</f>
        <v>-4.9116010000000001</v>
      </c>
    </row>
    <row r="41" spans="1:8">
      <c r="A41" s="66" t="s">
        <v>84</v>
      </c>
      <c r="B41" s="66">
        <f>'M2'!B41-'M1'!B41</f>
        <v>-5.3834529999999998E-2</v>
      </c>
      <c r="C41" s="66">
        <f>'M2'!C41-'M1'!C41</f>
        <v>3.5739000000000021E-2</v>
      </c>
      <c r="D41" s="66">
        <f>'M2'!D41-'M1'!D41</f>
        <v>62.710410000000003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-3.7945300000000001E-2</v>
      </c>
      <c r="C42" s="66">
        <f>'M2'!C42-'M1'!C42</f>
        <v>-2.4116999999999986E-2</v>
      </c>
      <c r="D42" s="66">
        <f>'M2'!D42-'M1'!D42</f>
        <v>-13.77936</v>
      </c>
      <c r="E42" s="66">
        <f>'M2'!E42-'M1'!E42</f>
        <v>0</v>
      </c>
      <c r="F42" s="66">
        <f>'M2'!F42-'M1'!F42</f>
        <v>5.136099999999999E-2</v>
      </c>
      <c r="G42" s="66">
        <f>'M2'!G42-'M1'!G42</f>
        <v>0</v>
      </c>
      <c r="H42" s="66">
        <f>'M2'!H42-'M1'!H42</f>
        <v>-8.67900000000002E-3</v>
      </c>
    </row>
    <row r="43" spans="1:8">
      <c r="A43" s="66" t="s">
        <v>86</v>
      </c>
      <c r="B43" s="66">
        <f>'M2'!B43-'M1'!B43</f>
        <v>2.3886000000000011E-3</v>
      </c>
      <c r="C43" s="66">
        <f>'M2'!C43-'M1'!C43</f>
        <v>-3.1996399999999994E-2</v>
      </c>
      <c r="D43" s="66">
        <f>'M2'!D43-'M1'!D43</f>
        <v>-1.3138900000000002</v>
      </c>
      <c r="E43" s="66">
        <f>'M2'!E43-'M1'!E43</f>
        <v>0</v>
      </c>
      <c r="F43" s="66">
        <f>'M2'!F43-'M1'!F43</f>
        <v>0.1155505</v>
      </c>
      <c r="G43" s="66">
        <f>'M2'!G43-'M1'!G43</f>
        <v>0</v>
      </c>
      <c r="H43" s="66">
        <f>'M2'!H43-'M1'!H43</f>
        <v>2.8129699999999994E-2</v>
      </c>
    </row>
    <row r="44" spans="1:8">
      <c r="A44" s="66" t="s">
        <v>87</v>
      </c>
      <c r="B44" s="66">
        <f>'M2'!B44-'M1'!B44</f>
        <v>-55.078290000000003</v>
      </c>
      <c r="C44" s="66">
        <f>'M2'!C44-'M1'!C44</f>
        <v>-36.467300000000002</v>
      </c>
      <c r="D44" s="66">
        <f>'M2'!D44-'M1'!D44</f>
        <v>-9.315156</v>
      </c>
      <c r="E44" s="66">
        <f>'M2'!E44-'M1'!E44</f>
        <v>0</v>
      </c>
      <c r="F44" s="66">
        <f>'M2'!F44-'M1'!F44</f>
        <v>-13.239899999999999</v>
      </c>
      <c r="G44" s="66">
        <f>'M2'!G44-'M1'!G44</f>
        <v>0</v>
      </c>
      <c r="H44" s="66">
        <f>'M2'!H44-'M1'!H44</f>
        <v>-185.78990000000002</v>
      </c>
    </row>
    <row r="45" spans="1:8">
      <c r="A45" s="66" t="s">
        <v>88</v>
      </c>
      <c r="B45" s="66">
        <f>'M2'!B45-'M1'!B45</f>
        <v>0.808400000000006</v>
      </c>
      <c r="C45" s="66">
        <f>'M2'!C45-'M1'!C45</f>
        <v>0.35662000000000038</v>
      </c>
      <c r="D45" s="66">
        <f>'M2'!D45-'M1'!D45</f>
        <v>4.6529999999999905E-3</v>
      </c>
      <c r="E45" s="66">
        <f>'M2'!E45-'M1'!E45</f>
        <v>0</v>
      </c>
      <c r="F45" s="66">
        <f>'M2'!F45-'M1'!F45</f>
        <v>-3.8961000000000041</v>
      </c>
      <c r="G45" s="66">
        <f>'M2'!G45-'M1'!G45</f>
        <v>0</v>
      </c>
      <c r="H45" s="66">
        <f>'M2'!H45-'M1'!H45</f>
        <v>0.77620000000000289</v>
      </c>
    </row>
    <row r="46" spans="1:8">
      <c r="A46" s="66" t="s">
        <v>89</v>
      </c>
      <c r="B46" s="66">
        <f>'M2'!B46-'M1'!B46</f>
        <v>2.9788999999999959</v>
      </c>
      <c r="C46" s="66">
        <f>'M2'!C46-'M1'!C46</f>
        <v>-6.4061699999999995</v>
      </c>
      <c r="D46" s="66">
        <f>'M2'!D46-'M1'!D46</f>
        <v>-0.20005290000000001</v>
      </c>
      <c r="E46" s="66">
        <f>'M2'!E46-'M1'!E46</f>
        <v>0</v>
      </c>
      <c r="F46" s="66">
        <f>'M2'!F46-'M1'!F46</f>
        <v>23.999859999999998</v>
      </c>
      <c r="G46" s="66">
        <f>'M2'!G46-'M1'!G46</f>
        <v>0</v>
      </c>
      <c r="H46" s="66">
        <f>'M2'!H46-'M1'!H46</f>
        <v>2.8430000000000035</v>
      </c>
    </row>
    <row r="47" spans="1:8">
      <c r="A47" s="66" t="s">
        <v>90</v>
      </c>
      <c r="B47" s="66">
        <f>'M2'!B47-'M1'!B47</f>
        <v>-0.10835000000000006</v>
      </c>
      <c r="C47" s="66">
        <f>'M2'!C47-'M1'!C47</f>
        <v>-0.19677900000000004</v>
      </c>
      <c r="D47" s="66">
        <f>'M2'!D47-'M1'!D47</f>
        <v>-0.25776300000000002</v>
      </c>
      <c r="E47" s="66">
        <f>'M2'!E47-'M1'!E47</f>
        <v>0</v>
      </c>
      <c r="F47" s="66">
        <f>'M2'!F47-'M1'!F47</f>
        <v>-1.5169000000000044E-2</v>
      </c>
      <c r="G47" s="66">
        <f>'M2'!G47-'M1'!G47</f>
        <v>0</v>
      </c>
      <c r="H47" s="66">
        <f>'M2'!H47-'M1'!H47</f>
        <v>-0.99574000000000007</v>
      </c>
    </row>
    <row r="48" spans="1:8">
      <c r="A48" s="66" t="s">
        <v>91</v>
      </c>
      <c r="B48" s="66">
        <f>'M2'!B48-'M1'!B48</f>
        <v>-9.372999999999998E-2</v>
      </c>
      <c r="C48" s="66">
        <f>'M2'!C48-'M1'!C48</f>
        <v>5.5100000000002369E-5</v>
      </c>
      <c r="D48" s="66">
        <f>'M2'!D48-'M1'!D48</f>
        <v>2.1684000000000009E-2</v>
      </c>
      <c r="E48" s="66">
        <f>'M2'!E48-'M1'!E48</f>
        <v>0</v>
      </c>
      <c r="F48" s="66">
        <f>'M2'!F48-'M1'!F48</f>
        <v>-0.14679199999999992</v>
      </c>
      <c r="G48" s="66">
        <f>'M2'!G48-'M1'!G48</f>
        <v>0</v>
      </c>
      <c r="H48" s="66">
        <f>'M2'!H48-'M1'!H48</f>
        <v>-0.13802599999999998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37.597799999999999</v>
      </c>
      <c r="C5" s="66">
        <v>10.8505</v>
      </c>
      <c r="D5" s="66">
        <v>28.8596</v>
      </c>
      <c r="E5" s="66">
        <v>20</v>
      </c>
      <c r="F5" s="66">
        <v>10.171200000000001</v>
      </c>
      <c r="G5" s="66">
        <v>50</v>
      </c>
      <c r="H5" s="66">
        <v>47.418199999999999</v>
      </c>
    </row>
    <row r="6" spans="1:8">
      <c r="A6" s="66" t="s">
        <v>303</v>
      </c>
      <c r="B6" s="66">
        <v>37.328600000000002</v>
      </c>
      <c r="C6" s="66">
        <v>4.2850099999999998</v>
      </c>
      <c r="D6" s="66">
        <v>11.479200000000001</v>
      </c>
      <c r="E6" s="66">
        <v>20</v>
      </c>
      <c r="F6" s="66">
        <v>27.209099999999999</v>
      </c>
      <c r="G6" s="66">
        <v>40</v>
      </c>
      <c r="H6" s="66">
        <v>47.042700000000004</v>
      </c>
    </row>
    <row r="7" spans="1:8">
      <c r="A7" s="66" t="s">
        <v>304</v>
      </c>
      <c r="B7" s="66">
        <v>19.805</v>
      </c>
      <c r="C7" s="66">
        <v>12.996</v>
      </c>
      <c r="D7" s="66">
        <v>65.619600000000005</v>
      </c>
      <c r="E7" s="66">
        <v>15</v>
      </c>
      <c r="F7" s="66">
        <v>10.992900000000001</v>
      </c>
      <c r="G7" s="66">
        <v>40</v>
      </c>
      <c r="H7" s="66">
        <v>54.643000000000001</v>
      </c>
    </row>
    <row r="8" spans="1:8">
      <c r="A8" s="66" t="s">
        <v>305</v>
      </c>
      <c r="B8" s="66">
        <v>31.707000000000001</v>
      </c>
      <c r="C8" s="66">
        <v>3.4450400000000001</v>
      </c>
      <c r="D8" s="66">
        <v>10.8653</v>
      </c>
      <c r="E8" s="66">
        <v>20</v>
      </c>
      <c r="F8" s="66">
        <v>21.668099999999999</v>
      </c>
      <c r="G8" s="66">
        <v>50</v>
      </c>
      <c r="H8" s="66">
        <v>36.0137</v>
      </c>
    </row>
    <row r="9" spans="1:8">
      <c r="A9" s="66" t="s">
        <v>306</v>
      </c>
      <c r="B9" s="66">
        <v>63.113300000000002</v>
      </c>
      <c r="C9" s="66">
        <v>6.5119699999999998</v>
      </c>
      <c r="D9" s="66">
        <v>10.3179</v>
      </c>
      <c r="E9" s="66">
        <v>50</v>
      </c>
      <c r="F9" s="66">
        <v>46.199199999999998</v>
      </c>
      <c r="G9" s="66">
        <v>100</v>
      </c>
      <c r="H9" s="66">
        <v>74.735500000000002</v>
      </c>
    </row>
    <row r="10" spans="1:8">
      <c r="A10" s="66" t="s">
        <v>307</v>
      </c>
      <c r="B10" s="66">
        <v>73.417900000000003</v>
      </c>
      <c r="C10" s="66">
        <v>6.8873100000000003</v>
      </c>
      <c r="D10" s="66">
        <v>9.3809699999999996</v>
      </c>
      <c r="E10" s="66">
        <v>40</v>
      </c>
      <c r="F10" s="66">
        <v>49.436500000000002</v>
      </c>
      <c r="G10" s="66">
        <v>100</v>
      </c>
      <c r="H10" s="66">
        <v>88.222899999999996</v>
      </c>
    </row>
    <row r="11" spans="1:8">
      <c r="A11" s="66" t="s">
        <v>308</v>
      </c>
      <c r="B11" s="66">
        <v>13.9984</v>
      </c>
      <c r="C11" s="66">
        <v>4.3577700000000004</v>
      </c>
      <c r="D11" s="66">
        <v>31.130600000000001</v>
      </c>
      <c r="E11" s="66">
        <v>10</v>
      </c>
      <c r="F11" s="66">
        <v>5.5362900000000002</v>
      </c>
      <c r="G11" s="66">
        <v>50</v>
      </c>
      <c r="H11" s="66">
        <v>22.008299999999998</v>
      </c>
    </row>
    <row r="12" spans="1:8">
      <c r="A12" s="66" t="s">
        <v>309</v>
      </c>
      <c r="B12" s="66">
        <v>66.351100000000002</v>
      </c>
      <c r="C12" s="66">
        <v>4.6055999999999999</v>
      </c>
      <c r="D12" s="66">
        <v>6.9412599999999998</v>
      </c>
      <c r="E12" s="66">
        <v>50</v>
      </c>
      <c r="F12" s="66">
        <v>55.841099999999997</v>
      </c>
      <c r="G12" s="66">
        <v>100</v>
      </c>
      <c r="H12" s="66">
        <v>76.585099999999997</v>
      </c>
    </row>
    <row r="13" spans="1:8">
      <c r="A13" s="66" t="s">
        <v>310</v>
      </c>
      <c r="B13" s="66">
        <v>17.911899999999999</v>
      </c>
      <c r="C13" s="66">
        <v>1.9166799999999999</v>
      </c>
      <c r="D13" s="66">
        <v>10.7006</v>
      </c>
      <c r="E13" s="66">
        <v>10</v>
      </c>
      <c r="F13" s="66">
        <v>15.232699999999999</v>
      </c>
      <c r="G13" s="66">
        <v>25</v>
      </c>
      <c r="H13" s="66">
        <v>24.4438</v>
      </c>
    </row>
    <row r="14" spans="1:8">
      <c r="A14" s="66" t="s">
        <v>311</v>
      </c>
      <c r="B14" s="66">
        <v>19.166799999999999</v>
      </c>
      <c r="C14" s="66">
        <v>6.8768099999999999</v>
      </c>
      <c r="D14" s="66">
        <v>35.878799999999998</v>
      </c>
      <c r="E14" s="66">
        <v>10</v>
      </c>
      <c r="F14" s="66">
        <v>1.4622599999999999</v>
      </c>
      <c r="G14" s="66">
        <v>50</v>
      </c>
      <c r="H14" s="66">
        <v>23.508400000000002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0.38163200000000003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0.61365499999999995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2.5185000000000002E-4</v>
      </c>
      <c r="C20" s="66">
        <v>7.7272900000000005E-2</v>
      </c>
      <c r="D20" s="66">
        <v>306.822</v>
      </c>
      <c r="E20" s="66">
        <v>0</v>
      </c>
      <c r="F20" s="66">
        <v>0</v>
      </c>
      <c r="G20" s="66">
        <v>0</v>
      </c>
      <c r="H20" s="66">
        <v>2.2506900000000001</v>
      </c>
    </row>
    <row r="21" spans="1:8">
      <c r="A21" s="66" t="s">
        <v>318</v>
      </c>
      <c r="B21" s="66">
        <v>3.2536599999999999E-2</v>
      </c>
      <c r="C21" s="66">
        <v>0.22748499999999999</v>
      </c>
      <c r="D21" s="66">
        <v>6.9916799999999997</v>
      </c>
      <c r="E21" s="66">
        <v>0</v>
      </c>
      <c r="F21" s="66">
        <v>5.3193900000000004E-4</v>
      </c>
      <c r="G21" s="66">
        <v>0</v>
      </c>
      <c r="H21" s="66">
        <v>2.5313599999999998</v>
      </c>
    </row>
    <row r="22" spans="1:8">
      <c r="A22" s="66" t="s">
        <v>319</v>
      </c>
      <c r="B22" s="66">
        <v>47.173099999999998</v>
      </c>
      <c r="C22" s="66">
        <v>18.6602</v>
      </c>
      <c r="D22" s="66">
        <v>0.39556799999999998</v>
      </c>
      <c r="E22" s="66">
        <v>0</v>
      </c>
      <c r="F22" s="66">
        <v>17.564699999999998</v>
      </c>
      <c r="G22" s="66">
        <v>0</v>
      </c>
      <c r="H22" s="66">
        <v>90.698999999999998</v>
      </c>
    </row>
    <row r="23" spans="1:8">
      <c r="A23" s="66" t="s">
        <v>320</v>
      </c>
      <c r="B23" s="66">
        <v>9.4633099999999999</v>
      </c>
      <c r="C23" s="66">
        <v>5.8182499999999999</v>
      </c>
      <c r="D23" s="66">
        <v>0.61482199999999998</v>
      </c>
      <c r="E23" s="66">
        <v>0</v>
      </c>
      <c r="F23" s="66">
        <v>5.4300600000000001</v>
      </c>
      <c r="G23" s="66">
        <v>0</v>
      </c>
      <c r="H23" s="66">
        <v>22.720199999999998</v>
      </c>
    </row>
    <row r="24" spans="1:8">
      <c r="A24" s="66" t="s">
        <v>321</v>
      </c>
      <c r="B24" s="66">
        <v>4.0475E-4</v>
      </c>
      <c r="C24" s="66">
        <v>3.4881599999999999E-2</v>
      </c>
      <c r="D24" s="66">
        <v>86.180599999999998</v>
      </c>
      <c r="E24" s="66">
        <v>0</v>
      </c>
      <c r="F24" s="196">
        <v>3.1530499999999999E-5</v>
      </c>
      <c r="G24" s="66">
        <v>0</v>
      </c>
      <c r="H24" s="66">
        <v>0.407443</v>
      </c>
    </row>
    <row r="25" spans="1:8">
      <c r="A25" s="66" t="s">
        <v>322</v>
      </c>
      <c r="B25" s="66">
        <v>8.0517099999999994E-2</v>
      </c>
      <c r="C25" s="66">
        <v>0.13569000000000001</v>
      </c>
      <c r="D25" s="66">
        <v>1.6852400000000001</v>
      </c>
      <c r="E25" s="66">
        <v>0</v>
      </c>
      <c r="F25" s="66">
        <v>1.41204E-2</v>
      </c>
      <c r="G25" s="66">
        <v>0</v>
      </c>
      <c r="H25" s="66">
        <v>0.635625</v>
      </c>
    </row>
    <row r="26" spans="1:8">
      <c r="A26" s="66" t="s">
        <v>323</v>
      </c>
      <c r="B26" s="66">
        <v>1.13248E-4</v>
      </c>
      <c r="C26" s="66">
        <v>9.1426000000000007E-3</v>
      </c>
      <c r="D26" s="66">
        <v>80.730500000000006</v>
      </c>
      <c r="E26" s="66">
        <v>0</v>
      </c>
      <c r="F26" s="66">
        <v>0</v>
      </c>
      <c r="G26" s="66">
        <v>0</v>
      </c>
      <c r="H26" s="66">
        <v>0.27316499999999999</v>
      </c>
    </row>
    <row r="27" spans="1:8">
      <c r="A27" s="66" t="s">
        <v>324</v>
      </c>
      <c r="B27" s="196">
        <v>-3.2825599999999999E-6</v>
      </c>
      <c r="C27" s="66">
        <v>1.2874699999999999E-2</v>
      </c>
      <c r="D27" s="66">
        <v>-3922.15</v>
      </c>
      <c r="E27" s="66">
        <v>0</v>
      </c>
      <c r="F27" s="66">
        <v>-0.27305699999999999</v>
      </c>
      <c r="G27" s="66">
        <v>0</v>
      </c>
      <c r="H27" s="66">
        <v>0.27304</v>
      </c>
    </row>
    <row r="28" spans="1:8">
      <c r="A28" s="66" t="s">
        <v>325</v>
      </c>
      <c r="B28" s="66">
        <v>5.9472700000000002E-3</v>
      </c>
      <c r="C28" s="66">
        <v>2.5507999999999999E-2</v>
      </c>
      <c r="D28" s="66">
        <v>4.2890300000000003</v>
      </c>
      <c r="E28" s="66">
        <v>0</v>
      </c>
      <c r="F28" s="66">
        <v>2.1158900000000001E-4</v>
      </c>
      <c r="G28" s="66">
        <v>0</v>
      </c>
      <c r="H28" s="66">
        <v>0.30047499999999999</v>
      </c>
    </row>
    <row r="29" spans="1:8">
      <c r="A29" s="66" t="s">
        <v>326</v>
      </c>
      <c r="B29" s="66">
        <v>70.326499999999996</v>
      </c>
      <c r="C29" s="66">
        <v>10.597</v>
      </c>
      <c r="D29" s="66">
        <v>0.15068300000000001</v>
      </c>
      <c r="E29" s="66">
        <v>0</v>
      </c>
      <c r="F29" s="66">
        <v>34.222299999999997</v>
      </c>
      <c r="G29" s="66">
        <v>0</v>
      </c>
      <c r="H29" s="66">
        <v>89.83</v>
      </c>
    </row>
    <row r="30" spans="1:8">
      <c r="A30" s="66" t="s">
        <v>327</v>
      </c>
      <c r="B30" s="66">
        <v>12.6311</v>
      </c>
      <c r="C30" s="66">
        <v>6.6110800000000003</v>
      </c>
      <c r="D30" s="66">
        <v>0.52339800000000003</v>
      </c>
      <c r="E30" s="66">
        <v>0</v>
      </c>
      <c r="F30" s="66">
        <v>6.5284000000000004</v>
      </c>
      <c r="G30" s="66">
        <v>0</v>
      </c>
      <c r="H30" s="66">
        <v>26.547599999999999</v>
      </c>
    </row>
    <row r="31" spans="1:8">
      <c r="A31" s="66" t="s">
        <v>328</v>
      </c>
      <c r="B31" s="66">
        <v>171.76900000000001</v>
      </c>
      <c r="C31" s="66">
        <v>63.865699999999997</v>
      </c>
      <c r="D31" s="66">
        <v>0.371811</v>
      </c>
      <c r="E31" s="66">
        <v>0</v>
      </c>
      <c r="F31" s="66">
        <v>47.1</v>
      </c>
      <c r="G31" s="66">
        <v>0</v>
      </c>
      <c r="H31" s="66">
        <v>251.101</v>
      </c>
    </row>
    <row r="32" spans="1:8">
      <c r="A32" s="66" t="s">
        <v>329</v>
      </c>
      <c r="B32" s="66">
        <v>0.19805</v>
      </c>
      <c r="C32" s="66">
        <v>0.12995999999999999</v>
      </c>
      <c r="D32" s="66">
        <v>0.656196</v>
      </c>
      <c r="E32" s="66">
        <v>0.15</v>
      </c>
      <c r="F32" s="66">
        <v>0.109929</v>
      </c>
      <c r="G32" s="66">
        <v>0.4</v>
      </c>
      <c r="H32" s="66">
        <v>0.54642999999999997</v>
      </c>
    </row>
    <row r="33" spans="1:8">
      <c r="A33" s="66" t="s">
        <v>330</v>
      </c>
      <c r="B33" s="66">
        <v>0.43423200000000001</v>
      </c>
      <c r="C33" s="66">
        <v>5.1433199999999998E-2</v>
      </c>
      <c r="D33" s="66">
        <v>0.118446</v>
      </c>
      <c r="E33" s="66">
        <v>0</v>
      </c>
      <c r="F33" s="66">
        <v>0.28664099999999998</v>
      </c>
      <c r="G33" s="66">
        <v>0</v>
      </c>
      <c r="H33" s="66">
        <v>0.49846699999999999</v>
      </c>
    </row>
    <row r="34" spans="1:8">
      <c r="A34" s="66" t="s">
        <v>331</v>
      </c>
      <c r="B34" s="66">
        <v>0.179119</v>
      </c>
      <c r="C34" s="66">
        <v>1.9166800000000001E-2</v>
      </c>
      <c r="D34" s="66">
        <v>0.107006</v>
      </c>
      <c r="E34" s="66">
        <v>0.1</v>
      </c>
      <c r="F34" s="66">
        <v>0.15232699999999999</v>
      </c>
      <c r="G34" s="66">
        <v>0.25</v>
      </c>
      <c r="H34" s="66">
        <v>0.24443799999999999</v>
      </c>
    </row>
    <row r="35" spans="1:8">
      <c r="A35" s="66" t="s">
        <v>332</v>
      </c>
      <c r="B35" s="66">
        <v>7.2613999999999998E-2</v>
      </c>
      <c r="C35" s="66">
        <v>2.0250899999999999E-2</v>
      </c>
      <c r="D35" s="66">
        <v>0.27888499999999999</v>
      </c>
      <c r="E35" s="66">
        <v>0</v>
      </c>
      <c r="F35" s="66">
        <v>3.6830799999999997E-2</v>
      </c>
      <c r="G35" s="66">
        <v>0</v>
      </c>
      <c r="H35" s="66">
        <v>0.131049</v>
      </c>
    </row>
    <row r="36" spans="1:8">
      <c r="A36" s="66" t="s">
        <v>333</v>
      </c>
      <c r="B36" s="66">
        <v>0.16619800000000001</v>
      </c>
      <c r="C36" s="66">
        <v>7.8699500000000006E-2</v>
      </c>
      <c r="D36" s="66">
        <v>0.47352899999999998</v>
      </c>
      <c r="E36" s="66">
        <v>0</v>
      </c>
      <c r="F36" s="66">
        <v>4.5185900000000001E-2</v>
      </c>
      <c r="G36" s="66">
        <v>0</v>
      </c>
      <c r="H36" s="66">
        <v>0.44249500000000003</v>
      </c>
    </row>
    <row r="37" spans="1:8">
      <c r="A37" s="66" t="s">
        <v>334</v>
      </c>
      <c r="B37" s="66">
        <v>0.19166800000000001</v>
      </c>
      <c r="C37" s="66">
        <v>6.8768099999999999E-2</v>
      </c>
      <c r="D37" s="66">
        <v>0.358788</v>
      </c>
      <c r="E37" s="66">
        <v>0.1</v>
      </c>
      <c r="F37" s="66">
        <v>1.4622599999999999E-2</v>
      </c>
      <c r="G37" s="66">
        <v>0.5</v>
      </c>
      <c r="H37" s="66">
        <v>0.23508399999999999</v>
      </c>
    </row>
    <row r="38" spans="1:8">
      <c r="A38" s="66" t="s">
        <v>335</v>
      </c>
      <c r="B38" s="66">
        <v>-1.94598</v>
      </c>
      <c r="C38" s="66">
        <v>40.034300000000002</v>
      </c>
      <c r="D38" s="66">
        <v>-20.572800000000001</v>
      </c>
      <c r="E38" s="66">
        <v>0</v>
      </c>
      <c r="F38" s="66">
        <v>-149.864</v>
      </c>
      <c r="G38" s="66">
        <v>0</v>
      </c>
      <c r="H38" s="66">
        <v>81.770600000000002</v>
      </c>
    </row>
    <row r="39" spans="1:8">
      <c r="A39" s="66" t="s">
        <v>336</v>
      </c>
      <c r="B39" s="66">
        <v>-2.9168699999999999</v>
      </c>
      <c r="C39" s="66">
        <v>5.96075</v>
      </c>
      <c r="D39" s="66">
        <v>-2.0435500000000002</v>
      </c>
      <c r="E39" s="66">
        <v>0</v>
      </c>
      <c r="F39" s="66">
        <v>-18.871700000000001</v>
      </c>
      <c r="G39" s="66">
        <v>0</v>
      </c>
      <c r="H39" s="66">
        <v>6.6550700000000003</v>
      </c>
    </row>
    <row r="40" spans="1:8">
      <c r="A40" s="66" t="s">
        <v>337</v>
      </c>
      <c r="B40" s="66">
        <v>1.1103400000000001</v>
      </c>
      <c r="C40" s="66">
        <v>1.58632</v>
      </c>
      <c r="D40" s="66">
        <v>1.42869</v>
      </c>
      <c r="E40" s="66">
        <v>0</v>
      </c>
      <c r="F40" s="66">
        <v>-1.89059</v>
      </c>
      <c r="G40" s="66">
        <v>0</v>
      </c>
      <c r="H40" s="66">
        <v>4.2562600000000002</v>
      </c>
    </row>
    <row r="41" spans="1:8">
      <c r="A41" s="66" t="s">
        <v>338</v>
      </c>
      <c r="B41" s="66">
        <v>-4.9889699999999997E-3</v>
      </c>
      <c r="C41" s="66">
        <v>0.34516599999999997</v>
      </c>
      <c r="D41" s="66">
        <v>-69.1858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2.3286500000000002E-2</v>
      </c>
      <c r="C42" s="66">
        <v>0.13875799999999999</v>
      </c>
      <c r="D42" s="66">
        <v>5.9587399999999997</v>
      </c>
      <c r="E42" s="66">
        <v>0</v>
      </c>
      <c r="F42" s="66">
        <v>-0.47922100000000001</v>
      </c>
      <c r="G42" s="66">
        <v>0</v>
      </c>
      <c r="H42" s="66">
        <v>0.21196000000000001</v>
      </c>
    </row>
    <row r="43" spans="1:8">
      <c r="A43" s="66" t="s">
        <v>340</v>
      </c>
      <c r="B43" s="66">
        <v>2.67757E-2</v>
      </c>
      <c r="C43" s="66">
        <v>7.0873199999999997E-2</v>
      </c>
      <c r="D43" s="66">
        <v>2.6469200000000002</v>
      </c>
      <c r="E43" s="66">
        <v>0</v>
      </c>
      <c r="F43" s="66">
        <v>-0.171129</v>
      </c>
      <c r="G43" s="66">
        <v>0</v>
      </c>
      <c r="H43" s="66">
        <v>8.3349300000000001E-2</v>
      </c>
    </row>
    <row r="44" spans="1:8">
      <c r="A44" s="66" t="s">
        <v>341</v>
      </c>
      <c r="B44" s="66">
        <v>5.0994900000000003</v>
      </c>
      <c r="C44" s="66">
        <v>46.480800000000002</v>
      </c>
      <c r="D44" s="66">
        <v>9.1148000000000007</v>
      </c>
      <c r="E44" s="66">
        <v>0</v>
      </c>
      <c r="F44" s="66">
        <v>-52.633000000000003</v>
      </c>
      <c r="G44" s="66">
        <v>0</v>
      </c>
      <c r="H44" s="66">
        <v>159.75700000000001</v>
      </c>
    </row>
    <row r="45" spans="1:8">
      <c r="A45" s="66" t="s">
        <v>342</v>
      </c>
      <c r="B45" s="66">
        <v>56.595599999999997</v>
      </c>
      <c r="C45" s="66">
        <v>6.2680999999999996</v>
      </c>
      <c r="D45" s="66">
        <v>0.110752</v>
      </c>
      <c r="E45" s="66">
        <v>0</v>
      </c>
      <c r="F45" s="66">
        <v>38.387700000000002</v>
      </c>
      <c r="G45" s="66">
        <v>0</v>
      </c>
      <c r="H45" s="66">
        <v>69.954599999999999</v>
      </c>
    </row>
    <row r="46" spans="1:8">
      <c r="A46" s="66" t="s">
        <v>343</v>
      </c>
      <c r="B46" s="66">
        <v>32.606200000000001</v>
      </c>
      <c r="C46" s="66">
        <v>7.8012899999999998</v>
      </c>
      <c r="D46" s="66">
        <v>0.239258</v>
      </c>
      <c r="E46" s="66">
        <v>0</v>
      </c>
      <c r="F46" s="66">
        <v>9.5326400000000007</v>
      </c>
      <c r="G46" s="66">
        <v>0</v>
      </c>
      <c r="H46" s="66">
        <v>36.299599999999998</v>
      </c>
    </row>
    <row r="47" spans="1:8">
      <c r="A47" s="66" t="s">
        <v>344</v>
      </c>
      <c r="B47" s="66">
        <v>0.62311300000000003</v>
      </c>
      <c r="C47" s="66">
        <v>0.36858800000000003</v>
      </c>
      <c r="D47" s="66">
        <v>0.591526</v>
      </c>
      <c r="E47" s="66">
        <v>0</v>
      </c>
      <c r="F47" s="66">
        <v>0.28762900000000002</v>
      </c>
      <c r="G47" s="66">
        <v>0</v>
      </c>
      <c r="H47" s="66">
        <v>2.0398100000000001</v>
      </c>
    </row>
    <row r="48" spans="1:8">
      <c r="A48" s="66" t="s">
        <v>345</v>
      </c>
      <c r="B48" s="66">
        <v>0.60062099999999996</v>
      </c>
      <c r="C48" s="66">
        <v>7.0079500000000003E-2</v>
      </c>
      <c r="D48" s="66">
        <v>0.116678</v>
      </c>
      <c r="E48" s="66">
        <v>0</v>
      </c>
      <c r="F48" s="66">
        <v>0.52817499999999995</v>
      </c>
      <c r="G48" s="66">
        <v>0</v>
      </c>
      <c r="H48" s="66">
        <v>0.78441300000000003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41.313400000000001</v>
      </c>
      <c r="C5" s="66">
        <v>2.9563100000000002</v>
      </c>
      <c r="D5" s="66">
        <v>7.1558200000000003</v>
      </c>
      <c r="E5" s="66">
        <v>20</v>
      </c>
      <c r="F5" s="66">
        <v>36.698</v>
      </c>
      <c r="G5" s="66">
        <v>50</v>
      </c>
      <c r="H5" s="66">
        <v>50.96</v>
      </c>
    </row>
    <row r="6" spans="1:8">
      <c r="A6" s="66" t="s">
        <v>303</v>
      </c>
      <c r="B6" s="66">
        <v>44.787100000000002</v>
      </c>
      <c r="C6" s="66">
        <v>1.6332599999999999</v>
      </c>
      <c r="D6" s="66">
        <v>3.6467100000000001</v>
      </c>
      <c r="E6" s="66">
        <v>20</v>
      </c>
      <c r="F6" s="66">
        <v>41.225999999999999</v>
      </c>
      <c r="G6" s="66">
        <v>40</v>
      </c>
      <c r="H6" s="66">
        <v>47.940100000000001</v>
      </c>
    </row>
    <row r="7" spans="1:8">
      <c r="A7" s="66" t="s">
        <v>304</v>
      </c>
      <c r="B7" s="66">
        <v>19.3384</v>
      </c>
      <c r="C7" s="66">
        <v>3.4607700000000001</v>
      </c>
      <c r="D7" s="66">
        <v>17.895800000000001</v>
      </c>
      <c r="E7" s="66">
        <v>15</v>
      </c>
      <c r="F7" s="66">
        <v>11.8795</v>
      </c>
      <c r="G7" s="66">
        <v>40</v>
      </c>
      <c r="H7" s="66">
        <v>42.969000000000001</v>
      </c>
    </row>
    <row r="8" spans="1:8">
      <c r="A8" s="66" t="s">
        <v>305</v>
      </c>
      <c r="B8" s="66">
        <v>35.238</v>
      </c>
      <c r="C8" s="66">
        <v>1.2411099999999999</v>
      </c>
      <c r="D8" s="66">
        <v>3.5220699999999998</v>
      </c>
      <c r="E8" s="66">
        <v>20</v>
      </c>
      <c r="F8" s="66">
        <v>32.267200000000003</v>
      </c>
      <c r="G8" s="66">
        <v>50</v>
      </c>
      <c r="H8" s="66">
        <v>38.596499999999999</v>
      </c>
    </row>
    <row r="9" spans="1:8">
      <c r="A9" s="66" t="s">
        <v>306</v>
      </c>
      <c r="B9" s="66">
        <v>65.588300000000004</v>
      </c>
      <c r="C9" s="66">
        <v>6.9333499999999999</v>
      </c>
      <c r="D9" s="66">
        <v>10.571</v>
      </c>
      <c r="E9" s="66">
        <v>50</v>
      </c>
      <c r="F9" s="66">
        <v>49.345799999999997</v>
      </c>
      <c r="G9" s="66">
        <v>100</v>
      </c>
      <c r="H9" s="66">
        <v>77.878600000000006</v>
      </c>
    </row>
    <row r="10" spans="1:8">
      <c r="A10" s="66" t="s">
        <v>307</v>
      </c>
      <c r="B10" s="66">
        <v>45.008699999999997</v>
      </c>
      <c r="C10" s="66">
        <v>1.7504599999999999</v>
      </c>
      <c r="D10" s="66">
        <v>3.8891499999999999</v>
      </c>
      <c r="E10" s="66">
        <v>40</v>
      </c>
      <c r="F10" s="66">
        <v>40.557000000000002</v>
      </c>
      <c r="G10" s="66">
        <v>100</v>
      </c>
      <c r="H10" s="66">
        <v>49.414999999999999</v>
      </c>
    </row>
    <row r="11" spans="1:8">
      <c r="A11" s="66" t="s">
        <v>308</v>
      </c>
      <c r="B11" s="66">
        <v>18.469899999999999</v>
      </c>
      <c r="C11" s="66">
        <v>2.8063799999999999</v>
      </c>
      <c r="D11" s="66">
        <v>15.1943</v>
      </c>
      <c r="E11" s="66">
        <v>10</v>
      </c>
      <c r="F11" s="66">
        <v>12.6609</v>
      </c>
      <c r="G11" s="66">
        <v>50</v>
      </c>
      <c r="H11" s="66">
        <v>22.050599999999999</v>
      </c>
    </row>
    <row r="12" spans="1:8">
      <c r="A12" s="66" t="s">
        <v>309</v>
      </c>
      <c r="B12" s="66">
        <v>55.448300000000003</v>
      </c>
      <c r="C12" s="66">
        <v>3.1793100000000001</v>
      </c>
      <c r="D12" s="66">
        <v>5.7338300000000002</v>
      </c>
      <c r="E12" s="66">
        <v>50</v>
      </c>
      <c r="F12" s="66">
        <v>47.889299999999999</v>
      </c>
      <c r="G12" s="66">
        <v>100</v>
      </c>
      <c r="H12" s="66">
        <v>61.247900000000001</v>
      </c>
    </row>
    <row r="13" spans="1:8">
      <c r="A13" s="66" t="s">
        <v>310</v>
      </c>
      <c r="B13" s="66">
        <v>18.5411</v>
      </c>
      <c r="C13" s="66">
        <v>1.7697400000000001</v>
      </c>
      <c r="D13" s="66">
        <v>9.5449699999999993</v>
      </c>
      <c r="E13" s="66">
        <v>10</v>
      </c>
      <c r="F13" s="66">
        <v>15.188499999999999</v>
      </c>
      <c r="G13" s="66">
        <v>25</v>
      </c>
      <c r="H13" s="66">
        <v>23.7502</v>
      </c>
    </row>
    <row r="14" spans="1:8">
      <c r="A14" s="66" t="s">
        <v>311</v>
      </c>
      <c r="B14" s="66">
        <v>17.697399999999998</v>
      </c>
      <c r="C14" s="66">
        <v>5.4786700000000002</v>
      </c>
      <c r="D14" s="66">
        <v>30.9574</v>
      </c>
      <c r="E14" s="66">
        <v>10</v>
      </c>
      <c r="F14" s="66">
        <v>2.4614699999999998</v>
      </c>
      <c r="G14" s="66">
        <v>50</v>
      </c>
      <c r="H14" s="66">
        <v>19.6876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0.41577999999999998</v>
      </c>
      <c r="C18" s="66">
        <v>3.7962700000000002E-2</v>
      </c>
      <c r="D18" s="66">
        <v>9.1304700000000003E-2</v>
      </c>
      <c r="E18" s="66">
        <v>0</v>
      </c>
      <c r="F18" s="66">
        <v>0.37781799999999999</v>
      </c>
      <c r="G18" s="66">
        <v>0</v>
      </c>
      <c r="H18" s="66">
        <v>0.45374300000000001</v>
      </c>
    </row>
    <row r="19" spans="1:8">
      <c r="A19" s="66" t="s">
        <v>316</v>
      </c>
      <c r="B19" s="66">
        <v>0.69321999999999995</v>
      </c>
      <c r="C19" s="66">
        <v>5.1877800000000002E-2</v>
      </c>
      <c r="D19" s="66">
        <v>7.4835899999999997E-2</v>
      </c>
      <c r="E19" s="66">
        <v>0</v>
      </c>
      <c r="F19" s="66">
        <v>0.641343</v>
      </c>
      <c r="G19" s="66">
        <v>0</v>
      </c>
      <c r="H19" s="66">
        <v>0.74509800000000004</v>
      </c>
    </row>
    <row r="20" spans="1:8">
      <c r="A20" s="66" t="s">
        <v>347</v>
      </c>
      <c r="B20" s="66">
        <v>1.6038900000000001E-4</v>
      </c>
      <c r="C20" s="66">
        <v>2.5953199999999999E-2</v>
      </c>
      <c r="D20" s="66">
        <v>161.815</v>
      </c>
      <c r="E20" s="66">
        <v>0</v>
      </c>
      <c r="F20" s="66">
        <v>0</v>
      </c>
      <c r="G20" s="66">
        <v>0</v>
      </c>
      <c r="H20" s="66">
        <v>0.179567</v>
      </c>
    </row>
    <row r="21" spans="1:8">
      <c r="A21" s="66" t="s">
        <v>318</v>
      </c>
      <c r="B21" s="66">
        <v>2.42483E-2</v>
      </c>
      <c r="C21" s="66">
        <v>9.9843299999999996E-2</v>
      </c>
      <c r="D21" s="66">
        <v>4.11754</v>
      </c>
      <c r="E21" s="66">
        <v>0</v>
      </c>
      <c r="F21" s="196">
        <v>6.7963699999999994E-5</v>
      </c>
      <c r="G21" s="66">
        <v>0</v>
      </c>
      <c r="H21" s="66">
        <v>0.36619000000000002</v>
      </c>
    </row>
    <row r="22" spans="1:8">
      <c r="A22" s="66" t="s">
        <v>319</v>
      </c>
      <c r="B22" s="66">
        <v>68.467799999999997</v>
      </c>
      <c r="C22" s="66">
        <v>27.621600000000001</v>
      </c>
      <c r="D22" s="66">
        <v>0.403424</v>
      </c>
      <c r="E22" s="66">
        <v>0</v>
      </c>
      <c r="F22" s="66">
        <v>15.451000000000001</v>
      </c>
      <c r="G22" s="66">
        <v>0</v>
      </c>
      <c r="H22" s="66">
        <v>123.812</v>
      </c>
    </row>
    <row r="23" spans="1:8">
      <c r="A23" s="66" t="s">
        <v>320</v>
      </c>
      <c r="B23" s="66">
        <v>29.426600000000001</v>
      </c>
      <c r="C23" s="66">
        <v>4.6715400000000002</v>
      </c>
      <c r="D23" s="66">
        <v>0.158752</v>
      </c>
      <c r="E23" s="66">
        <v>0</v>
      </c>
      <c r="F23" s="66">
        <v>22.707799999999999</v>
      </c>
      <c r="G23" s="66">
        <v>0</v>
      </c>
      <c r="H23" s="66">
        <v>39.009300000000003</v>
      </c>
    </row>
    <row r="24" spans="1:8">
      <c r="A24" s="66" t="s">
        <v>348</v>
      </c>
      <c r="B24" s="66">
        <v>3.0173599999999999E-4</v>
      </c>
      <c r="C24" s="66">
        <v>1.58639E-2</v>
      </c>
      <c r="D24" s="66">
        <v>52.575499999999998</v>
      </c>
      <c r="E24" s="66">
        <v>0</v>
      </c>
      <c r="F24" s="196">
        <v>4.17231E-5</v>
      </c>
      <c r="G24" s="66">
        <v>0</v>
      </c>
      <c r="H24" s="66">
        <v>5.7083099999999998E-2</v>
      </c>
    </row>
    <row r="25" spans="1:8">
      <c r="A25" s="66" t="s">
        <v>322</v>
      </c>
      <c r="B25" s="66">
        <v>6.9684200000000002E-2</v>
      </c>
      <c r="C25" s="66">
        <v>3.1664400000000002E-2</v>
      </c>
      <c r="D25" s="66">
        <v>0.45439800000000002</v>
      </c>
      <c r="E25" s="66">
        <v>0</v>
      </c>
      <c r="F25" s="66">
        <v>9.0400500000000009E-3</v>
      </c>
      <c r="G25" s="66">
        <v>0</v>
      </c>
      <c r="H25" s="66">
        <v>0.15818599999999999</v>
      </c>
    </row>
    <row r="26" spans="1:8">
      <c r="A26" s="66" t="s">
        <v>323</v>
      </c>
      <c r="B26" s="196">
        <v>6.5651300000000006E-5</v>
      </c>
      <c r="C26" s="66">
        <v>1.3517E-3</v>
      </c>
      <c r="D26" s="66">
        <v>20.588999999999999</v>
      </c>
      <c r="E26" s="66">
        <v>0</v>
      </c>
      <c r="F26" s="66">
        <v>0</v>
      </c>
      <c r="G26" s="66">
        <v>0</v>
      </c>
      <c r="H26" s="66">
        <v>7.0837699999999997E-3</v>
      </c>
    </row>
    <row r="27" spans="1:8">
      <c r="A27" s="66" t="s">
        <v>324</v>
      </c>
      <c r="B27" s="196">
        <v>-6.5651299999999996E-6</v>
      </c>
      <c r="C27" s="66">
        <v>8.0836799999999996E-4</v>
      </c>
      <c r="D27" s="66">
        <v>-123.131</v>
      </c>
      <c r="E27" s="66">
        <v>0</v>
      </c>
      <c r="F27" s="66">
        <v>-3.5353200000000002E-3</v>
      </c>
      <c r="G27" s="66">
        <v>0</v>
      </c>
      <c r="H27" s="66">
        <v>4.51352E-3</v>
      </c>
    </row>
    <row r="28" spans="1:8">
      <c r="A28" s="66" t="s">
        <v>325</v>
      </c>
      <c r="B28" s="66">
        <v>4.4921900000000001E-3</v>
      </c>
      <c r="C28" s="66">
        <v>5.5695299999999996E-3</v>
      </c>
      <c r="D28" s="66">
        <v>1.2398199999999999</v>
      </c>
      <c r="E28" s="66">
        <v>0</v>
      </c>
      <c r="F28" s="196">
        <v>2.6041699999999998E-5</v>
      </c>
      <c r="G28" s="66">
        <v>0</v>
      </c>
      <c r="H28" s="66">
        <v>3.15625E-2</v>
      </c>
    </row>
    <row r="29" spans="1:8">
      <c r="A29" s="66" t="s">
        <v>326</v>
      </c>
      <c r="B29" s="66">
        <v>71.948099999999997</v>
      </c>
      <c r="C29" s="66">
        <v>10.881600000000001</v>
      </c>
      <c r="D29" s="66">
        <v>0.15124199999999999</v>
      </c>
      <c r="E29" s="66">
        <v>0</v>
      </c>
      <c r="F29" s="66">
        <v>41.977400000000003</v>
      </c>
      <c r="G29" s="66">
        <v>0</v>
      </c>
      <c r="H29" s="66">
        <v>99.803799999999995</v>
      </c>
    </row>
    <row r="30" spans="1:8">
      <c r="A30" s="66" t="s">
        <v>327</v>
      </c>
      <c r="B30" s="66">
        <v>27.982299999999999</v>
      </c>
      <c r="C30" s="66">
        <v>3.44143</v>
      </c>
      <c r="D30" s="66">
        <v>0.122986</v>
      </c>
      <c r="E30" s="66">
        <v>0</v>
      </c>
      <c r="F30" s="66">
        <v>22.041599999999999</v>
      </c>
      <c r="G30" s="66">
        <v>0</v>
      </c>
      <c r="H30" s="66">
        <v>35.176400000000001</v>
      </c>
    </row>
    <row r="31" spans="1:8">
      <c r="A31" s="66" t="s">
        <v>328</v>
      </c>
      <c r="B31" s="66">
        <v>312.74200000000002</v>
      </c>
      <c r="C31" s="66">
        <v>44.040799999999997</v>
      </c>
      <c r="D31" s="66">
        <v>0.140821</v>
      </c>
      <c r="E31" s="66">
        <v>0</v>
      </c>
      <c r="F31" s="66">
        <v>235.31399999999999</v>
      </c>
      <c r="G31" s="66">
        <v>0</v>
      </c>
      <c r="H31" s="66">
        <v>397.65800000000002</v>
      </c>
    </row>
    <row r="32" spans="1:8">
      <c r="A32" s="66" t="s">
        <v>329</v>
      </c>
      <c r="B32" s="66">
        <v>0.193384</v>
      </c>
      <c r="C32" s="66">
        <v>3.4607699999999998E-2</v>
      </c>
      <c r="D32" s="66">
        <v>0.17895800000000001</v>
      </c>
      <c r="E32" s="66">
        <v>0.15</v>
      </c>
      <c r="F32" s="66">
        <v>0.118795</v>
      </c>
      <c r="G32" s="66">
        <v>0.4</v>
      </c>
      <c r="H32" s="66">
        <v>0.42969000000000002</v>
      </c>
    </row>
    <row r="33" spans="1:8">
      <c r="A33" s="66" t="s">
        <v>330</v>
      </c>
      <c r="B33" s="66">
        <v>0.36851899999999999</v>
      </c>
      <c r="C33" s="66">
        <v>2.8478699999999999E-2</v>
      </c>
      <c r="D33" s="66">
        <v>7.7278700000000006E-2</v>
      </c>
      <c r="E33" s="66">
        <v>0</v>
      </c>
      <c r="F33" s="66">
        <v>0.28449999999999998</v>
      </c>
      <c r="G33" s="66">
        <v>0</v>
      </c>
      <c r="H33" s="66">
        <v>0.41015200000000002</v>
      </c>
    </row>
    <row r="34" spans="1:8">
      <c r="A34" s="66" t="s">
        <v>331</v>
      </c>
      <c r="B34" s="66">
        <v>0.18541099999999999</v>
      </c>
      <c r="C34" s="66">
        <v>1.7697399999999999E-2</v>
      </c>
      <c r="D34" s="66">
        <v>9.5449699999999998E-2</v>
      </c>
      <c r="E34" s="66">
        <v>0.1</v>
      </c>
      <c r="F34" s="66">
        <v>0.15188499999999999</v>
      </c>
      <c r="G34" s="66">
        <v>0.25</v>
      </c>
      <c r="H34" s="66">
        <v>0.23750199999999999</v>
      </c>
    </row>
    <row r="35" spans="1:8">
      <c r="A35" s="66" t="s">
        <v>332</v>
      </c>
      <c r="B35" s="66">
        <v>8.0324499999999993E-2</v>
      </c>
      <c r="C35" s="66">
        <v>2.1463699999999999E-2</v>
      </c>
      <c r="D35" s="66">
        <v>0.26721200000000001</v>
      </c>
      <c r="E35" s="66">
        <v>0</v>
      </c>
      <c r="F35" s="66">
        <v>4.0721199999999999E-2</v>
      </c>
      <c r="G35" s="66">
        <v>0</v>
      </c>
      <c r="H35" s="66">
        <v>0.14509900000000001</v>
      </c>
    </row>
    <row r="36" spans="1:8">
      <c r="A36" s="66" t="s">
        <v>333</v>
      </c>
      <c r="B36" s="66">
        <v>0.17492199999999999</v>
      </c>
      <c r="C36" s="66">
        <v>8.5497299999999998E-2</v>
      </c>
      <c r="D36" s="66">
        <v>0.48877300000000001</v>
      </c>
      <c r="E36" s="66">
        <v>0</v>
      </c>
      <c r="F36" s="66">
        <v>4.9868999999999997E-2</v>
      </c>
      <c r="G36" s="66">
        <v>0</v>
      </c>
      <c r="H36" s="66">
        <v>0.47761300000000001</v>
      </c>
    </row>
    <row r="37" spans="1:8">
      <c r="A37" s="66" t="s">
        <v>334</v>
      </c>
      <c r="B37" s="66">
        <v>0.17697399999999999</v>
      </c>
      <c r="C37" s="66">
        <v>5.4786700000000001E-2</v>
      </c>
      <c r="D37" s="66">
        <v>0.30957400000000002</v>
      </c>
      <c r="E37" s="66">
        <v>0.1</v>
      </c>
      <c r="F37" s="66">
        <v>2.46147E-2</v>
      </c>
      <c r="G37" s="66">
        <v>0.5</v>
      </c>
      <c r="H37" s="66">
        <v>0.196876</v>
      </c>
    </row>
    <row r="38" spans="1:8">
      <c r="A38" s="66" t="s">
        <v>335</v>
      </c>
      <c r="B38" s="66">
        <v>-8.6350200000000008</v>
      </c>
      <c r="C38" s="66">
        <v>49.817900000000002</v>
      </c>
      <c r="D38" s="66">
        <v>-5.7692899999999998</v>
      </c>
      <c r="E38" s="66">
        <v>0</v>
      </c>
      <c r="F38" s="66">
        <v>-129.05199999999999</v>
      </c>
      <c r="G38" s="66">
        <v>0</v>
      </c>
      <c r="H38" s="66">
        <v>192.31399999999999</v>
      </c>
    </row>
    <row r="39" spans="1:8">
      <c r="A39" s="66" t="s">
        <v>336</v>
      </c>
      <c r="B39" s="66">
        <v>-8.2403600000000008</v>
      </c>
      <c r="C39" s="66">
        <v>7.47159</v>
      </c>
      <c r="D39" s="66">
        <v>-0.90670600000000001</v>
      </c>
      <c r="E39" s="66">
        <v>0</v>
      </c>
      <c r="F39" s="66">
        <v>-27.494</v>
      </c>
      <c r="G39" s="66">
        <v>0</v>
      </c>
      <c r="H39" s="66">
        <v>6.3749099999999999</v>
      </c>
    </row>
    <row r="40" spans="1:8">
      <c r="A40" s="66" t="s">
        <v>337</v>
      </c>
      <c r="B40" s="66">
        <v>-2.8220299999999998</v>
      </c>
      <c r="C40" s="66">
        <v>0.95638999999999996</v>
      </c>
      <c r="D40" s="66">
        <v>-0.33890100000000001</v>
      </c>
      <c r="E40" s="66">
        <v>0</v>
      </c>
      <c r="F40" s="66">
        <v>-4.4937899999999997</v>
      </c>
      <c r="G40" s="66">
        <v>0</v>
      </c>
      <c r="H40" s="66">
        <v>-0.65534099999999995</v>
      </c>
    </row>
    <row r="41" spans="1:8">
      <c r="A41" s="66" t="s">
        <v>338</v>
      </c>
      <c r="B41" s="66">
        <v>-5.8823500000000001E-2</v>
      </c>
      <c r="C41" s="66">
        <v>0.38090499999999999</v>
      </c>
      <c r="D41" s="66">
        <v>-6.47539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-1.46588E-2</v>
      </c>
      <c r="C42" s="66">
        <v>0.11464100000000001</v>
      </c>
      <c r="D42" s="66">
        <v>-7.8206199999999999</v>
      </c>
      <c r="E42" s="66">
        <v>0</v>
      </c>
      <c r="F42" s="66">
        <v>-0.42786000000000002</v>
      </c>
      <c r="G42" s="66">
        <v>0</v>
      </c>
      <c r="H42" s="66">
        <v>0.20328099999999999</v>
      </c>
    </row>
    <row r="43" spans="1:8">
      <c r="A43" s="66" t="s">
        <v>340</v>
      </c>
      <c r="B43" s="66">
        <v>2.9164300000000001E-2</v>
      </c>
      <c r="C43" s="66">
        <v>3.8876800000000003E-2</v>
      </c>
      <c r="D43" s="66">
        <v>1.3330299999999999</v>
      </c>
      <c r="E43" s="66">
        <v>0</v>
      </c>
      <c r="F43" s="66">
        <v>-5.5578500000000003E-2</v>
      </c>
      <c r="G43" s="66">
        <v>0</v>
      </c>
      <c r="H43" s="66">
        <v>0.11147899999999999</v>
      </c>
    </row>
    <row r="44" spans="1:8">
      <c r="A44" s="66" t="s">
        <v>341</v>
      </c>
      <c r="B44" s="66">
        <v>-49.9788</v>
      </c>
      <c r="C44" s="66">
        <v>10.013500000000001</v>
      </c>
      <c r="D44" s="66">
        <v>-0.20035600000000001</v>
      </c>
      <c r="E44" s="66">
        <v>0</v>
      </c>
      <c r="F44" s="66">
        <v>-65.872900000000001</v>
      </c>
      <c r="G44" s="66">
        <v>0</v>
      </c>
      <c r="H44" s="66">
        <v>-26.032900000000001</v>
      </c>
    </row>
    <row r="45" spans="1:8">
      <c r="A45" s="66" t="s">
        <v>342</v>
      </c>
      <c r="B45" s="66">
        <v>57.404000000000003</v>
      </c>
      <c r="C45" s="66">
        <v>6.6247199999999999</v>
      </c>
      <c r="D45" s="66">
        <v>0.11540499999999999</v>
      </c>
      <c r="E45" s="66">
        <v>0</v>
      </c>
      <c r="F45" s="66">
        <v>34.491599999999998</v>
      </c>
      <c r="G45" s="66">
        <v>0</v>
      </c>
      <c r="H45" s="66">
        <v>70.730800000000002</v>
      </c>
    </row>
    <row r="46" spans="1:8">
      <c r="A46" s="66" t="s">
        <v>343</v>
      </c>
      <c r="B46" s="66">
        <v>35.585099999999997</v>
      </c>
      <c r="C46" s="66">
        <v>1.3951199999999999</v>
      </c>
      <c r="D46" s="66">
        <v>3.92051E-2</v>
      </c>
      <c r="E46" s="66">
        <v>0</v>
      </c>
      <c r="F46" s="66">
        <v>33.532499999999999</v>
      </c>
      <c r="G46" s="66">
        <v>0</v>
      </c>
      <c r="H46" s="66">
        <v>39.142600000000002</v>
      </c>
    </row>
    <row r="47" spans="1:8">
      <c r="A47" s="66" t="s">
        <v>344</v>
      </c>
      <c r="B47" s="66">
        <v>0.51476299999999997</v>
      </c>
      <c r="C47" s="66">
        <v>0.17180899999999999</v>
      </c>
      <c r="D47" s="66">
        <v>0.33376299999999998</v>
      </c>
      <c r="E47" s="66">
        <v>0</v>
      </c>
      <c r="F47" s="66">
        <v>0.27245999999999998</v>
      </c>
      <c r="G47" s="66">
        <v>0</v>
      </c>
      <c r="H47" s="66">
        <v>1.0440700000000001</v>
      </c>
    </row>
    <row r="48" spans="1:8">
      <c r="A48" s="66" t="s">
        <v>345</v>
      </c>
      <c r="B48" s="66">
        <v>0.50689099999999998</v>
      </c>
      <c r="C48" s="66">
        <v>7.0134600000000005E-2</v>
      </c>
      <c r="D48" s="66">
        <v>0.13836200000000001</v>
      </c>
      <c r="E48" s="66">
        <v>0</v>
      </c>
      <c r="F48" s="66">
        <v>0.38138300000000003</v>
      </c>
      <c r="G48" s="66">
        <v>0</v>
      </c>
      <c r="H48" s="66">
        <v>0.64638700000000004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76.796397111762943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1.482745684329509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0.68831393414964115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12610</v>
      </c>
      <c r="B8" s="66">
        <v>12610</v>
      </c>
      <c r="D8">
        <f t="shared" si="0"/>
        <v>9.4839840253909041E-2</v>
      </c>
      <c r="E8">
        <f t="shared" si="0"/>
        <v>9.4839840253909041E-2</v>
      </c>
      <c r="G8">
        <f t="shared" ca="1" si="1"/>
        <v>6</v>
      </c>
      <c r="H8">
        <f t="shared" ca="1" si="2"/>
        <v>0.5690390415234543</v>
      </c>
      <c r="I8">
        <f t="shared" ca="1" si="3"/>
        <v>475.34959373742049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22019</v>
      </c>
      <c r="B10" s="66">
        <v>22019</v>
      </c>
      <c r="D10">
        <f t="shared" si="0"/>
        <v>0.16560495182797963</v>
      </c>
      <c r="E10">
        <f t="shared" si="0"/>
        <v>0.16560495182797963</v>
      </c>
      <c r="G10">
        <f t="shared" ca="1" si="1"/>
        <v>8</v>
      </c>
      <c r="H10">
        <f t="shared" ca="1" si="2"/>
        <v>1.324839614623837</v>
      </c>
      <c r="I10">
        <f t="shared" ca="1" si="3"/>
        <v>783.79900544642476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28890</v>
      </c>
      <c r="B13" s="66">
        <v>28890</v>
      </c>
      <c r="D13">
        <f t="shared" si="0"/>
        <v>0.21728175931288121</v>
      </c>
      <c r="E13">
        <f t="shared" si="0"/>
        <v>0.21728175931288121</v>
      </c>
      <c r="G13">
        <f t="shared" ca="1" si="1"/>
        <v>11</v>
      </c>
      <c r="H13">
        <f t="shared" ca="1" si="2"/>
        <v>2.3900993524416934</v>
      </c>
      <c r="I13">
        <f t="shared" ca="1" si="3"/>
        <v>940.64877721856499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52819</v>
      </c>
      <c r="B15" s="66">
        <v>52819</v>
      </c>
      <c r="D15">
        <f t="shared" si="0"/>
        <v>0.3972518257233324</v>
      </c>
      <c r="E15">
        <f t="shared" si="0"/>
        <v>0.3972518257233324</v>
      </c>
      <c r="G15">
        <f t="shared" ca="1" si="1"/>
        <v>13</v>
      </c>
      <c r="H15">
        <f t="shared" ca="1" si="2"/>
        <v>5.1642737344033209</v>
      </c>
      <c r="I15">
        <f t="shared" ca="1" si="3"/>
        <v>1616.8070986524549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46056</v>
      </c>
      <c r="B18" s="66">
        <v>46056</v>
      </c>
      <c r="D18">
        <f t="shared" si="0"/>
        <v>0.34638728649754441</v>
      </c>
      <c r="E18">
        <f t="shared" si="0"/>
        <v>0.34638728649754441</v>
      </c>
      <c r="G18">
        <f t="shared" ca="1" si="1"/>
        <v>16</v>
      </c>
      <c r="H18">
        <f t="shared" ca="1" si="2"/>
        <v>5.5421965839607106</v>
      </c>
      <c r="I18">
        <f t="shared" ca="1" si="3"/>
        <v>1280.3173471015814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39702</v>
      </c>
      <c r="B21" s="66">
        <v>39702</v>
      </c>
      <c r="D21">
        <f t="shared" si="0"/>
        <v>0.2985988372530291</v>
      </c>
      <c r="E21">
        <f t="shared" si="0"/>
        <v>0.2985988372530291</v>
      </c>
      <c r="G21">
        <f t="shared" ca="1" si="1"/>
        <v>19</v>
      </c>
      <c r="H21">
        <f t="shared" ca="1" si="2"/>
        <v>5.673377907807553</v>
      </c>
      <c r="I21">
        <f t="shared" ca="1" si="3"/>
        <v>997.44657873611072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47571</v>
      </c>
      <c r="B23" s="66">
        <v>47571</v>
      </c>
      <c r="D23">
        <f t="shared" si="0"/>
        <v>0.35778160513233204</v>
      </c>
      <c r="E23">
        <f t="shared" si="0"/>
        <v>0.35778160513233204</v>
      </c>
      <c r="G23">
        <f t="shared" ca="1" si="1"/>
        <v>21</v>
      </c>
      <c r="H23">
        <f t="shared" ca="1" si="2"/>
        <v>7.5134137077789731</v>
      </c>
      <c r="I23">
        <f t="shared" ca="1" si="3"/>
        <v>1113.8592639880862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59306</v>
      </c>
      <c r="B26" s="66">
        <v>59306</v>
      </c>
      <c r="D26">
        <f t="shared" si="0"/>
        <v>0.44604056828694127</v>
      </c>
      <c r="E26">
        <f t="shared" si="0"/>
        <v>0.44604056828694127</v>
      </c>
      <c r="G26">
        <f t="shared" ca="1" si="1"/>
        <v>24</v>
      </c>
      <c r="H26">
        <f t="shared" ca="1" si="2"/>
        <v>10.704973638886591</v>
      </c>
      <c r="I26">
        <f t="shared" ca="1" si="3"/>
        <v>1243.3200408591845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54036</v>
      </c>
      <c r="B28" s="66">
        <v>54036</v>
      </c>
      <c r="D28">
        <f t="shared" si="0"/>
        <v>0.40640488564315852</v>
      </c>
      <c r="E28">
        <f t="shared" si="0"/>
        <v>0.40640488564315852</v>
      </c>
      <c r="G28">
        <f t="shared" ca="1" si="1"/>
        <v>26</v>
      </c>
      <c r="H28">
        <f t="shared" ca="1" si="2"/>
        <v>10.566527026722122</v>
      </c>
      <c r="I28">
        <f t="shared" ca="1" si="3"/>
        <v>1048.6359434532148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56123</v>
      </c>
      <c r="B31" s="66">
        <v>56123</v>
      </c>
      <c r="D31">
        <f t="shared" si="0"/>
        <v>0.42210121765028841</v>
      </c>
      <c r="E31">
        <f t="shared" si="0"/>
        <v>0.42210121765028841</v>
      </c>
      <c r="G31">
        <f t="shared" ca="1" si="1"/>
        <v>29</v>
      </c>
      <c r="H31">
        <f t="shared" ca="1" si="2"/>
        <v>12.240935311858363</v>
      </c>
      <c r="I31">
        <f t="shared" ca="1" si="3"/>
        <v>964.28836471155842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57166</v>
      </c>
      <c r="B33" s="66">
        <v>57166</v>
      </c>
      <c r="D33">
        <f t="shared" si="0"/>
        <v>0.42994562315265378</v>
      </c>
      <c r="E33">
        <f t="shared" si="0"/>
        <v>0.42994562315265378</v>
      </c>
      <c r="G33">
        <f t="shared" ca="1" si="1"/>
        <v>31</v>
      </c>
      <c r="H33">
        <f t="shared" ca="1" si="2"/>
        <v>13.328314317732268</v>
      </c>
      <c r="I33">
        <f t="shared" ca="1" si="3"/>
        <v>901.72924991478646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62850</v>
      </c>
      <c r="B36" s="66">
        <v>62850</v>
      </c>
      <c r="D36">
        <f t="shared" si="0"/>
        <v>0.47269500078970528</v>
      </c>
      <c r="E36">
        <f t="shared" si="0"/>
        <v>0.47269500078970528</v>
      </c>
      <c r="G36">
        <f t="shared" ca="1" si="1"/>
        <v>34</v>
      </c>
      <c r="H36">
        <f t="shared" ca="1" si="2"/>
        <v>16.071630026849981</v>
      </c>
      <c r="I36">
        <f t="shared" ca="1" si="3"/>
        <v>865.75583382528475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64340</v>
      </c>
      <c r="B39" s="66">
        <v>64340</v>
      </c>
      <c r="D39">
        <f t="shared" si="0"/>
        <v>0.4839012943645129</v>
      </c>
      <c r="E39">
        <f t="shared" si="0"/>
        <v>0.4839012943645129</v>
      </c>
      <c r="G39">
        <f t="shared" ca="1" si="1"/>
        <v>37</v>
      </c>
      <c r="H39">
        <f t="shared" ca="1" si="2"/>
        <v>17.904347891486978</v>
      </c>
      <c r="I39">
        <f t="shared" ca="1" si="3"/>
        <v>766.3802346009943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73136</v>
      </c>
      <c r="B41" s="66">
        <v>73136</v>
      </c>
      <c r="D41">
        <f t="shared" si="0"/>
        <v>0.55005603146787407</v>
      </c>
      <c r="E41">
        <f t="shared" si="0"/>
        <v>0.55005603146787407</v>
      </c>
      <c r="G41">
        <f t="shared" ca="1" si="1"/>
        <v>39</v>
      </c>
      <c r="H41">
        <f t="shared" ca="1" si="2"/>
        <v>21.452185227247089</v>
      </c>
      <c r="I41">
        <f t="shared" ca="1" si="3"/>
        <v>785.79224378807078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79693</v>
      </c>
      <c r="B44" s="66">
        <v>79693</v>
      </c>
      <c r="D44">
        <f t="shared" si="0"/>
        <v>0.59937124419942689</v>
      </c>
      <c r="E44">
        <f t="shared" si="0"/>
        <v>0.59937124419942689</v>
      </c>
      <c r="G44">
        <f t="shared" ca="1" si="1"/>
        <v>42</v>
      </c>
      <c r="H44">
        <f t="shared" ca="1" si="2"/>
        <v>25.17359225637593</v>
      </c>
      <c r="I44">
        <f t="shared" ca="1" si="3"/>
        <v>725.71226041026159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83714</v>
      </c>
      <c r="B46" s="66">
        <v>83714</v>
      </c>
      <c r="D46">
        <f t="shared" si="0"/>
        <v>0.62961319484660916</v>
      </c>
      <c r="E46">
        <f t="shared" si="0"/>
        <v>0.62961319484660916</v>
      </c>
      <c r="G46">
        <f t="shared" ca="1" si="1"/>
        <v>44</v>
      </c>
      <c r="H46">
        <f t="shared" ca="1" si="2"/>
        <v>27.702980573250802</v>
      </c>
      <c r="I46">
        <f t="shared" ca="1" si="3"/>
        <v>677.21425897279244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94923</v>
      </c>
      <c r="B49" s="66">
        <v>94923</v>
      </c>
      <c r="D49">
        <f t="shared" si="0"/>
        <v>0.71391611073923933</v>
      </c>
      <c r="E49">
        <f t="shared" si="0"/>
        <v>0.71391611073923933</v>
      </c>
      <c r="G49">
        <f t="shared" ca="1" si="1"/>
        <v>47</v>
      </c>
      <c r="H49">
        <f t="shared" ca="1" si="2"/>
        <v>33.554057204744247</v>
      </c>
      <c r="I49">
        <f t="shared" ca="1" si="3"/>
        <v>633.83277151460436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103422</v>
      </c>
      <c r="B51" s="66">
        <v>103422</v>
      </c>
      <c r="D51">
        <f t="shared" si="0"/>
        <v>0.77783711013003809</v>
      </c>
      <c r="E51">
        <f t="shared" si="0"/>
        <v>0.77783711013003809</v>
      </c>
      <c r="G51">
        <f t="shared" ca="1" si="1"/>
        <v>49</v>
      </c>
      <c r="H51">
        <f t="shared" ca="1" si="2"/>
        <v>38.114018396371868</v>
      </c>
      <c r="I51">
        <f t="shared" ca="1" si="3"/>
        <v>600.98782550415081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117940</v>
      </c>
      <c r="B54" s="66">
        <v>117940</v>
      </c>
      <c r="D54">
        <f t="shared" si="0"/>
        <v>0.88702702296162028</v>
      </c>
      <c r="E54">
        <f t="shared" si="0"/>
        <v>0.88702702296162028</v>
      </c>
      <c r="G54">
        <f t="shared" ca="1" si="1"/>
        <v>52</v>
      </c>
      <c r="H54">
        <f t="shared" ca="1" si="2"/>
        <v>46.125405194004252</v>
      </c>
      <c r="I54">
        <f t="shared" ca="1" si="3"/>
        <v>545.3985970989803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111743</v>
      </c>
      <c r="B57" s="66">
        <v>111743</v>
      </c>
      <c r="D57">
        <f t="shared" si="0"/>
        <v>0.8404193710937794</v>
      </c>
      <c r="E57">
        <f t="shared" si="0"/>
        <v>0.8404193710937794</v>
      </c>
      <c r="G57">
        <f t="shared" ca="1" si="1"/>
        <v>55</v>
      </c>
      <c r="H57">
        <f t="shared" ca="1" si="2"/>
        <v>46.223065410157865</v>
      </c>
      <c r="I57">
        <f t="shared" ca="1" si="3"/>
        <v>399.26889477183551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116308</v>
      </c>
      <c r="B59" s="66">
        <v>116308</v>
      </c>
      <c r="D59">
        <f t="shared" si="0"/>
        <v>0.87475274704612627</v>
      </c>
      <c r="E59">
        <f t="shared" si="0"/>
        <v>0.87475274704612627</v>
      </c>
      <c r="G59">
        <f t="shared" ca="1" si="1"/>
        <v>57</v>
      </c>
      <c r="H59">
        <f t="shared" ca="1" si="2"/>
        <v>49.860906581629195</v>
      </c>
      <c r="I59">
        <f t="shared" ca="1" si="3"/>
        <v>342.81327350620342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118654</v>
      </c>
      <c r="B62" s="66">
        <v>118654</v>
      </c>
      <c r="D62">
        <f t="shared" si="0"/>
        <v>0.89239701867464893</v>
      </c>
      <c r="E62">
        <f t="shared" si="0"/>
        <v>0.89239701867464893</v>
      </c>
      <c r="G62">
        <f t="shared" ca="1" si="1"/>
        <v>60</v>
      </c>
      <c r="H62">
        <f t="shared" ca="1" si="2"/>
        <v>53.543821120478938</v>
      </c>
      <c r="I62">
        <f t="shared" ca="1" si="3"/>
        <v>251.76211518892541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117759</v>
      </c>
      <c r="B64" s="66">
        <v>117759</v>
      </c>
      <c r="D64">
        <f t="shared" si="0"/>
        <v>0.88566572152736511</v>
      </c>
      <c r="E64">
        <f t="shared" si="0"/>
        <v>0.88566572152736511</v>
      </c>
      <c r="G64">
        <f t="shared" ca="1" si="1"/>
        <v>62</v>
      </c>
      <c r="H64">
        <f t="shared" ca="1" si="2"/>
        <v>54.91127473469664</v>
      </c>
      <c r="I64">
        <f t="shared" ca="1" si="3"/>
        <v>193.90177888354924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125009</v>
      </c>
      <c r="B67" s="66">
        <v>125009</v>
      </c>
      <c r="D67">
        <f t="shared" ref="D67:E130" si="4">IFERROR( A67/MAX(A$2:A$257), 0 )</f>
        <v>0.94019298892156344</v>
      </c>
      <c r="E67">
        <f t="shared" si="4"/>
        <v>0.94019298892156344</v>
      </c>
      <c r="G67">
        <f t="shared" ref="G67:G130" ca="1" si="5">CELL("row",D67)-2</f>
        <v>65</v>
      </c>
      <c r="H67">
        <f t="shared" ref="H67:H130" ca="1" si="6">D67*G67</f>
        <v>61.112544279901627</v>
      </c>
      <c r="I67">
        <f t="shared" ref="I67:I130" ca="1" si="7">D67*((G67-$L$1)^2)</f>
        <v>130.83254109975485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132961</v>
      </c>
      <c r="B69" s="66">
        <v>132961</v>
      </c>
      <c r="D69">
        <f t="shared" si="4"/>
        <v>1</v>
      </c>
      <c r="E69">
        <f t="shared" si="4"/>
        <v>1</v>
      </c>
      <c r="G69">
        <f t="shared" ca="1" si="5"/>
        <v>67</v>
      </c>
      <c r="H69">
        <f t="shared" ca="1" si="6"/>
        <v>67</v>
      </c>
      <c r="I69">
        <f t="shared" ca="1" si="7"/>
        <v>95.96939637135732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129589</v>
      </c>
      <c r="B72" s="66">
        <v>129589</v>
      </c>
      <c r="D72">
        <f t="shared" si="4"/>
        <v>0.97463917990989835</v>
      </c>
      <c r="E72">
        <f t="shared" si="4"/>
        <v>0.97463917990989835</v>
      </c>
      <c r="G72">
        <f t="shared" ca="1" si="5"/>
        <v>70</v>
      </c>
      <c r="H72">
        <f t="shared" ca="1" si="6"/>
        <v>68.224742593692881</v>
      </c>
      <c r="I72">
        <f t="shared" ca="1" si="7"/>
        <v>45.019571712534777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127242</v>
      </c>
      <c r="B75" s="66">
        <v>127242</v>
      </c>
      <c r="D75">
        <f t="shared" si="4"/>
        <v>0.95698738727897659</v>
      </c>
      <c r="E75">
        <f t="shared" si="4"/>
        <v>0.95698738727897659</v>
      </c>
      <c r="G75">
        <f t="shared" ca="1" si="5"/>
        <v>73</v>
      </c>
      <c r="H75">
        <f t="shared" ca="1" si="6"/>
        <v>69.860079271365294</v>
      </c>
      <c r="I75">
        <f t="shared" ca="1" si="7"/>
        <v>13.792706113408929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126579</v>
      </c>
      <c r="B77" s="66">
        <v>126579</v>
      </c>
      <c r="D77">
        <f t="shared" si="4"/>
        <v>0.95200096268830714</v>
      </c>
      <c r="E77">
        <f t="shared" si="4"/>
        <v>0.95200096268830714</v>
      </c>
      <c r="G77">
        <f t="shared" ca="1" si="5"/>
        <v>75</v>
      </c>
      <c r="H77">
        <f t="shared" ca="1" si="6"/>
        <v>71.400072201623033</v>
      </c>
      <c r="I77">
        <f t="shared" ca="1" si="7"/>
        <v>3.0721476457951922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119737</v>
      </c>
      <c r="B80" s="66">
        <v>119737</v>
      </c>
      <c r="D80">
        <f t="shared" si="4"/>
        <v>0.90054226427298234</v>
      </c>
      <c r="E80">
        <f t="shared" si="4"/>
        <v>0.90054226427298234</v>
      </c>
      <c r="G80">
        <f t="shared" ca="1" si="5"/>
        <v>78</v>
      </c>
      <c r="H80">
        <f t="shared" ca="1" si="6"/>
        <v>70.242296613292623</v>
      </c>
      <c r="I80">
        <f t="shared" ca="1" si="7"/>
        <v>1.3045794778296176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119132</v>
      </c>
      <c r="B82" s="66">
        <v>119132</v>
      </c>
      <c r="D82">
        <f t="shared" si="4"/>
        <v>0.8959920578214664</v>
      </c>
      <c r="E82">
        <f t="shared" si="4"/>
        <v>0.8959920578214664</v>
      </c>
      <c r="G82">
        <f t="shared" ca="1" si="5"/>
        <v>80</v>
      </c>
      <c r="H82">
        <f t="shared" ca="1" si="6"/>
        <v>71.679364625717312</v>
      </c>
      <c r="I82">
        <f t="shared" ca="1" si="7"/>
        <v>9.1956305219607675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115514</v>
      </c>
      <c r="B85" s="66">
        <v>115514</v>
      </c>
      <c r="D85">
        <f t="shared" si="4"/>
        <v>0.86878107114116165</v>
      </c>
      <c r="E85">
        <f t="shared" si="4"/>
        <v>0.86878107114116165</v>
      </c>
      <c r="G85">
        <f t="shared" ca="1" si="5"/>
        <v>83</v>
      </c>
      <c r="H85">
        <f t="shared" ca="1" si="6"/>
        <v>72.108828904716418</v>
      </c>
      <c r="I85">
        <f t="shared" ca="1" si="7"/>
        <v>33.434769153804979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112377</v>
      </c>
      <c r="B88" s="66">
        <v>112377</v>
      </c>
      <c r="D88">
        <f t="shared" si="4"/>
        <v>0.84518768661487198</v>
      </c>
      <c r="E88">
        <f t="shared" si="4"/>
        <v>0.84518768661487198</v>
      </c>
      <c r="G88">
        <f t="shared" ca="1" si="5"/>
        <v>86</v>
      </c>
      <c r="H88">
        <f t="shared" ca="1" si="6"/>
        <v>72.686141048878994</v>
      </c>
      <c r="I88">
        <f t="shared" ca="1" si="7"/>
        <v>71.59272691494364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110599</v>
      </c>
      <c r="B90" s="66">
        <v>110599</v>
      </c>
      <c r="D90">
        <f t="shared" si="4"/>
        <v>0.83181534434909488</v>
      </c>
      <c r="E90">
        <f t="shared" si="4"/>
        <v>0.83181534434909488</v>
      </c>
      <c r="G90">
        <f t="shared" ca="1" si="5"/>
        <v>88</v>
      </c>
      <c r="H90">
        <f t="shared" ca="1" si="6"/>
        <v>73.199750302720346</v>
      </c>
      <c r="I90">
        <f t="shared" ca="1" si="7"/>
        <v>104.41005899770023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112257</v>
      </c>
      <c r="B93" s="66">
        <v>112257</v>
      </c>
      <c r="D93">
        <f t="shared" si="4"/>
        <v>0.84428516632696804</v>
      </c>
      <c r="E93">
        <f t="shared" si="4"/>
        <v>0.84428516632696804</v>
      </c>
      <c r="G93">
        <f t="shared" ca="1" si="5"/>
        <v>91</v>
      </c>
      <c r="H93">
        <f t="shared" ca="1" si="6"/>
        <v>76.829950135754089</v>
      </c>
      <c r="I93">
        <f t="shared" ca="1" si="7"/>
        <v>170.32806086635307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108806</v>
      </c>
      <c r="B95" s="66">
        <v>108806</v>
      </c>
      <c r="D95">
        <f t="shared" si="4"/>
        <v>0.81833018704732963</v>
      </c>
      <c r="E95">
        <f t="shared" si="4"/>
        <v>0.81833018704732963</v>
      </c>
      <c r="G95">
        <f t="shared" ca="1" si="5"/>
        <v>93</v>
      </c>
      <c r="H95">
        <f t="shared" ca="1" si="6"/>
        <v>76.104707395401661</v>
      </c>
      <c r="I95">
        <f t="shared" ca="1" si="7"/>
        <v>214.85811152272478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103556</v>
      </c>
      <c r="B98" s="66">
        <v>103556</v>
      </c>
      <c r="D98">
        <f t="shared" si="4"/>
        <v>0.77884492445153086</v>
      </c>
      <c r="E98">
        <f t="shared" si="4"/>
        <v>0.77884492445153086</v>
      </c>
      <c r="G98">
        <f t="shared" ca="1" si="5"/>
        <v>96</v>
      </c>
      <c r="H98">
        <f t="shared" ca="1" si="6"/>
        <v>74.769112747346966</v>
      </c>
      <c r="I98">
        <f t="shared" ca="1" si="7"/>
        <v>287.22115696257043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107067</v>
      </c>
      <c r="B100" s="66">
        <v>107067</v>
      </c>
      <c r="D100">
        <f t="shared" si="4"/>
        <v>0.8052511638751213</v>
      </c>
      <c r="E100">
        <f t="shared" si="4"/>
        <v>0.8052511638751213</v>
      </c>
      <c r="G100">
        <f t="shared" ca="1" si="5"/>
        <v>98</v>
      </c>
      <c r="H100">
        <f t="shared" ca="1" si="6"/>
        <v>78.914614059761888</v>
      </c>
      <c r="I100">
        <f t="shared" ca="1" si="7"/>
        <v>362.03510569456074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93436</v>
      </c>
      <c r="B103" s="66">
        <v>93436</v>
      </c>
      <c r="D103">
        <f t="shared" si="4"/>
        <v>0.70273238017162931</v>
      </c>
      <c r="E103">
        <f t="shared" si="4"/>
        <v>0.70273238017162931</v>
      </c>
      <c r="G103">
        <f t="shared" ca="1" si="5"/>
        <v>101</v>
      </c>
      <c r="H103">
        <f t="shared" ca="1" si="6"/>
        <v>70.975970397334564</v>
      </c>
      <c r="I103">
        <f t="shared" ca="1" si="7"/>
        <v>411.67074257109789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83278</v>
      </c>
      <c r="B106" s="66">
        <v>83278</v>
      </c>
      <c r="D106">
        <f t="shared" si="4"/>
        <v>0.62633403780055807</v>
      </c>
      <c r="E106">
        <f t="shared" si="4"/>
        <v>0.62633403780055807</v>
      </c>
      <c r="G106">
        <f t="shared" ca="1" si="5"/>
        <v>104</v>
      </c>
      <c r="H106">
        <f t="shared" ca="1" si="6"/>
        <v>65.138739931258044</v>
      </c>
      <c r="I106">
        <f t="shared" ca="1" si="7"/>
        <v>463.50974232431105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79745</v>
      </c>
      <c r="B108" s="66">
        <v>79745</v>
      </c>
      <c r="D108">
        <f t="shared" si="4"/>
        <v>0.5997623363241853</v>
      </c>
      <c r="E108">
        <f t="shared" si="4"/>
        <v>0.5997623363241853</v>
      </c>
      <c r="G108">
        <f t="shared" ca="1" si="5"/>
        <v>106</v>
      </c>
      <c r="H108">
        <f t="shared" ca="1" si="6"/>
        <v>63.574807650363638</v>
      </c>
      <c r="I108">
        <f t="shared" ca="1" si="7"/>
        <v>511.50756142617831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70269</v>
      </c>
      <c r="B111" s="66">
        <v>70269</v>
      </c>
      <c r="D111">
        <f t="shared" si="4"/>
        <v>0.52849331758936835</v>
      </c>
      <c r="E111">
        <f t="shared" si="4"/>
        <v>0.52849331758936835</v>
      </c>
      <c r="G111">
        <f t="shared" ca="1" si="5"/>
        <v>109</v>
      </c>
      <c r="H111">
        <f t="shared" ca="1" si="6"/>
        <v>57.605771617241153</v>
      </c>
      <c r="I111">
        <f t="shared" ca="1" si="7"/>
        <v>548.08564246143919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68887</v>
      </c>
      <c r="B113" s="66">
        <v>68887</v>
      </c>
      <c r="D113">
        <f t="shared" si="4"/>
        <v>0.51809929227367424</v>
      </c>
      <c r="E113">
        <f t="shared" si="4"/>
        <v>0.51809929227367424</v>
      </c>
      <c r="G113">
        <f t="shared" ca="1" si="5"/>
        <v>111</v>
      </c>
      <c r="H113">
        <f t="shared" ca="1" si="6"/>
        <v>57.509021442377843</v>
      </c>
      <c r="I113">
        <f t="shared" ca="1" si="7"/>
        <v>606.11734206337553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54902</v>
      </c>
      <c r="B116" s="66">
        <v>54902</v>
      </c>
      <c r="D116">
        <f t="shared" si="4"/>
        <v>0.41291807372086553</v>
      </c>
      <c r="E116">
        <f t="shared" si="4"/>
        <v>0.41291807372086553</v>
      </c>
      <c r="G116">
        <f t="shared" ca="1" si="5"/>
        <v>114</v>
      </c>
      <c r="H116">
        <f t="shared" ca="1" si="6"/>
        <v>47.07266040417867</v>
      </c>
      <c r="I116">
        <f t="shared" ca="1" si="7"/>
        <v>571.52323720458946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45598</v>
      </c>
      <c r="B118" s="66">
        <v>45598</v>
      </c>
      <c r="D118">
        <f t="shared" si="4"/>
        <v>0.34294266739871088</v>
      </c>
      <c r="E118">
        <f t="shared" si="4"/>
        <v>0.34294266739871088</v>
      </c>
      <c r="G118">
        <f t="shared" ca="1" si="5"/>
        <v>116</v>
      </c>
      <c r="H118">
        <f t="shared" ca="1" si="6"/>
        <v>39.781349418250464</v>
      </c>
      <c r="I118">
        <f t="shared" ca="1" si="7"/>
        <v>527.07629467685115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43602</v>
      </c>
      <c r="B121" s="66">
        <v>43602</v>
      </c>
      <c r="D121">
        <f t="shared" si="4"/>
        <v>0.32793074660990817</v>
      </c>
      <c r="E121">
        <f t="shared" si="4"/>
        <v>0.32793074660990817</v>
      </c>
      <c r="G121">
        <f t="shared" ca="1" si="5"/>
        <v>119</v>
      </c>
      <c r="H121">
        <f t="shared" ca="1" si="6"/>
        <v>39.023758846579071</v>
      </c>
      <c r="I121">
        <f t="shared" ca="1" si="7"/>
        <v>584.0919134664058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43423</v>
      </c>
      <c r="B124" s="66">
        <v>43423</v>
      </c>
      <c r="D124">
        <f t="shared" si="4"/>
        <v>0.32658448718045141</v>
      </c>
      <c r="E124">
        <f t="shared" si="4"/>
        <v>0.32658448718045141</v>
      </c>
      <c r="G124">
        <f t="shared" ca="1" si="5"/>
        <v>122</v>
      </c>
      <c r="H124">
        <f t="shared" ca="1" si="6"/>
        <v>39.843307436015074</v>
      </c>
      <c r="I124">
        <f t="shared" ca="1" si="7"/>
        <v>667.33154385409557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38622</v>
      </c>
      <c r="B126" s="66">
        <v>38622</v>
      </c>
      <c r="D126">
        <f t="shared" si="4"/>
        <v>0.29047615466189336</v>
      </c>
      <c r="E126">
        <f t="shared" si="4"/>
        <v>0.29047615466189336</v>
      </c>
      <c r="G126">
        <f t="shared" ca="1" si="5"/>
        <v>124</v>
      </c>
      <c r="H126">
        <f t="shared" ca="1" si="6"/>
        <v>36.019043178074774</v>
      </c>
      <c r="I126">
        <f t="shared" ca="1" si="7"/>
        <v>647.2331947871678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36360</v>
      </c>
      <c r="B129" s="66">
        <v>36360</v>
      </c>
      <c r="D129">
        <f t="shared" si="4"/>
        <v>0.27346364723490346</v>
      </c>
      <c r="E129">
        <f t="shared" si="4"/>
        <v>0.27346364723490346</v>
      </c>
      <c r="G129">
        <f t="shared" ca="1" si="5"/>
        <v>127</v>
      </c>
      <c r="H129">
        <f t="shared" ca="1" si="6"/>
        <v>34.729883198832738</v>
      </c>
      <c r="I129">
        <f t="shared" ca="1" si="7"/>
        <v>689.2382531269958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32267</v>
      </c>
      <c r="B131" s="66">
        <v>32267</v>
      </c>
      <c r="D131">
        <f t="shared" ref="D131:E194" si="8">IFERROR( A131/MAX(A$2:A$257), 0 )</f>
        <v>0.24268018441497882</v>
      </c>
      <c r="E131">
        <f t="shared" si="8"/>
        <v>0.24268018441497882</v>
      </c>
      <c r="G131">
        <f t="shared" ref="G131:G194" ca="1" si="9">CELL("row",D131)-2</f>
        <v>129</v>
      </c>
      <c r="H131">
        <f t="shared" ref="H131:H194" ca="1" si="10">D131*G131</f>
        <v>31.305743789532269</v>
      </c>
      <c r="I131">
        <f t="shared" ref="I131:I194" ca="1" si="11">D131*((G131-$L$1)^2)</f>
        <v>661.35595894783421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28230</v>
      </c>
      <c r="B134" s="66">
        <v>28230</v>
      </c>
      <c r="D134">
        <f t="shared" si="8"/>
        <v>0.21231789772940937</v>
      </c>
      <c r="E134">
        <f t="shared" si="8"/>
        <v>0.21231789772940937</v>
      </c>
      <c r="G134">
        <f t="shared" ca="1" si="9"/>
        <v>132</v>
      </c>
      <c r="H134">
        <f t="shared" ca="1" si="10"/>
        <v>28.025962500282038</v>
      </c>
      <c r="I134">
        <f t="shared" ca="1" si="11"/>
        <v>647.02558117872604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27840</v>
      </c>
      <c r="B136" s="66">
        <v>27840</v>
      </c>
      <c r="D136">
        <f t="shared" si="8"/>
        <v>0.20938470679372145</v>
      </c>
      <c r="E136">
        <f t="shared" si="8"/>
        <v>0.20938470679372145</v>
      </c>
      <c r="G136">
        <f t="shared" ca="1" si="9"/>
        <v>134</v>
      </c>
      <c r="H136">
        <f t="shared" ca="1" si="10"/>
        <v>28.057550710358676</v>
      </c>
      <c r="I136">
        <f t="shared" ca="1" si="11"/>
        <v>685.15956397530272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25975</v>
      </c>
      <c r="B139" s="66">
        <v>25975</v>
      </c>
      <c r="D139">
        <f t="shared" si="8"/>
        <v>0.19535803731921392</v>
      </c>
      <c r="E139">
        <f t="shared" si="8"/>
        <v>0.19535803731921392</v>
      </c>
      <c r="G139">
        <f t="shared" ca="1" si="9"/>
        <v>137</v>
      </c>
      <c r="H139">
        <f t="shared" ca="1" si="10"/>
        <v>26.764051112732307</v>
      </c>
      <c r="I139">
        <f t="shared" ca="1" si="11"/>
        <v>708.07008802445887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25635</v>
      </c>
      <c r="B142" s="66">
        <v>25635</v>
      </c>
      <c r="D142">
        <f t="shared" si="8"/>
        <v>0.19280089650348597</v>
      </c>
      <c r="E142">
        <f t="shared" si="8"/>
        <v>0.19280089650348597</v>
      </c>
      <c r="G142">
        <f t="shared" ca="1" si="9"/>
        <v>140</v>
      </c>
      <c r="H142">
        <f t="shared" ca="1" si="10"/>
        <v>26.992125510488037</v>
      </c>
      <c r="I142">
        <f t="shared" ca="1" si="11"/>
        <v>770.18085785917265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27916</v>
      </c>
      <c r="B144" s="66">
        <v>27916</v>
      </c>
      <c r="D144">
        <f t="shared" si="8"/>
        <v>0.20995630297606066</v>
      </c>
      <c r="E144">
        <f t="shared" si="8"/>
        <v>0.20995630297606066</v>
      </c>
      <c r="G144">
        <f t="shared" ca="1" si="9"/>
        <v>142</v>
      </c>
      <c r="H144">
        <f t="shared" ca="1" si="10"/>
        <v>29.813795022600615</v>
      </c>
      <c r="I144">
        <f t="shared" ca="1" si="11"/>
        <v>892.63128589064979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28484</v>
      </c>
      <c r="B147" s="66">
        <v>28484</v>
      </c>
      <c r="D147">
        <f t="shared" si="8"/>
        <v>0.21422823233880611</v>
      </c>
      <c r="E147">
        <f t="shared" si="8"/>
        <v>0.21422823233880611</v>
      </c>
      <c r="G147">
        <f t="shared" ca="1" si="9"/>
        <v>145</v>
      </c>
      <c r="H147">
        <f t="shared" ca="1" si="10"/>
        <v>31.063093689126887</v>
      </c>
      <c r="I147">
        <f t="shared" ca="1" si="11"/>
        <v>996.53220519200863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25212</v>
      </c>
      <c r="B149" s="66">
        <v>25212</v>
      </c>
      <c r="D149">
        <f t="shared" si="8"/>
        <v>0.18961951248862449</v>
      </c>
      <c r="E149">
        <f t="shared" si="8"/>
        <v>0.18961951248862449</v>
      </c>
      <c r="G149">
        <f t="shared" ca="1" si="9"/>
        <v>147</v>
      </c>
      <c r="H149">
        <f t="shared" ca="1" si="10"/>
        <v>27.874068335827801</v>
      </c>
      <c r="I149">
        <f t="shared" ca="1" si="11"/>
        <v>934.54846296456788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24739</v>
      </c>
      <c r="B152" s="66">
        <v>24739</v>
      </c>
      <c r="D152">
        <f t="shared" si="8"/>
        <v>0.18606207835380301</v>
      </c>
      <c r="E152">
        <f t="shared" si="8"/>
        <v>0.18606207835380301</v>
      </c>
      <c r="G152">
        <f t="shared" ca="1" si="9"/>
        <v>150</v>
      </c>
      <c r="H152">
        <f t="shared" ca="1" si="10"/>
        <v>27.909311753070451</v>
      </c>
      <c r="I152">
        <f t="shared" ca="1" si="11"/>
        <v>997.06341396559174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24416</v>
      </c>
      <c r="B154" s="66">
        <v>24416</v>
      </c>
      <c r="D154">
        <f t="shared" si="8"/>
        <v>0.18363279457886147</v>
      </c>
      <c r="E154">
        <f t="shared" si="8"/>
        <v>0.18363279457886147</v>
      </c>
      <c r="G154">
        <f t="shared" ca="1" si="9"/>
        <v>152</v>
      </c>
      <c r="H154">
        <f t="shared" ca="1" si="10"/>
        <v>27.912184775986944</v>
      </c>
      <c r="I154">
        <f t="shared" ca="1" si="11"/>
        <v>1038.5503069476492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21271</v>
      </c>
      <c r="B157" s="66">
        <v>21271</v>
      </c>
      <c r="D157">
        <f t="shared" si="8"/>
        <v>0.15997924203337821</v>
      </c>
      <c r="E157">
        <f t="shared" si="8"/>
        <v>0.15997924203337821</v>
      </c>
      <c r="G157">
        <f t="shared" ca="1" si="9"/>
        <v>155</v>
      </c>
      <c r="H157">
        <f t="shared" ca="1" si="10"/>
        <v>24.796782515173621</v>
      </c>
      <c r="I157">
        <f t="shared" ca="1" si="11"/>
        <v>978.40160910715667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19499</v>
      </c>
      <c r="B160" s="66">
        <v>19499</v>
      </c>
      <c r="D160">
        <f t="shared" si="8"/>
        <v>0.14665202578199624</v>
      </c>
      <c r="E160">
        <f t="shared" si="8"/>
        <v>0.14665202578199624</v>
      </c>
      <c r="G160">
        <f t="shared" ca="1" si="9"/>
        <v>158</v>
      </c>
      <c r="H160">
        <f t="shared" ca="1" si="10"/>
        <v>23.171020073555404</v>
      </c>
      <c r="I160">
        <f t="shared" ca="1" si="11"/>
        <v>967.02714220314806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14841</v>
      </c>
      <c r="B162" s="66">
        <v>14841</v>
      </c>
      <c r="D162">
        <f t="shared" si="8"/>
        <v>0.11161919660652372</v>
      </c>
      <c r="E162">
        <f t="shared" si="8"/>
        <v>0.11161919660652372</v>
      </c>
      <c r="G162">
        <f t="shared" ca="1" si="9"/>
        <v>160</v>
      </c>
      <c r="H162">
        <f t="shared" ca="1" si="10"/>
        <v>17.859071457043797</v>
      </c>
      <c r="I162">
        <f t="shared" ca="1" si="11"/>
        <v>772.72178697446611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11905</v>
      </c>
      <c r="B165" s="66">
        <v>11905</v>
      </c>
      <c r="D165">
        <f t="shared" si="8"/>
        <v>8.9537533562473209E-2</v>
      </c>
      <c r="E165">
        <f t="shared" si="8"/>
        <v>8.9537533562473209E-2</v>
      </c>
      <c r="G165">
        <f t="shared" ca="1" si="9"/>
        <v>163</v>
      </c>
      <c r="H165">
        <f t="shared" ca="1" si="10"/>
        <v>14.594617970683133</v>
      </c>
      <c r="I165">
        <f t="shared" ca="1" si="11"/>
        <v>665.35888720465209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9199</v>
      </c>
      <c r="B167" s="66">
        <v>9199</v>
      </c>
      <c r="D167">
        <f t="shared" si="8"/>
        <v>6.9185701070238637E-2</v>
      </c>
      <c r="E167">
        <f t="shared" si="8"/>
        <v>6.9185701070238637E-2</v>
      </c>
      <c r="G167">
        <f t="shared" ca="1" si="9"/>
        <v>165</v>
      </c>
      <c r="H167">
        <f t="shared" ca="1" si="10"/>
        <v>11.415640676589375</v>
      </c>
      <c r="I167">
        <f t="shared" ca="1" si="11"/>
        <v>538.25614502841495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9940</v>
      </c>
      <c r="B170" s="66">
        <v>9940</v>
      </c>
      <c r="D170">
        <f t="shared" si="8"/>
        <v>7.4758763848045667E-2</v>
      </c>
      <c r="E170">
        <f t="shared" si="8"/>
        <v>7.4758763848045667E-2</v>
      </c>
      <c r="G170">
        <f t="shared" ca="1" si="9"/>
        <v>168</v>
      </c>
      <c r="H170">
        <f t="shared" ca="1" si="10"/>
        <v>12.559472326471672</v>
      </c>
      <c r="I170">
        <f t="shared" ca="1" si="11"/>
        <v>621.85066272940719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9041</v>
      </c>
      <c r="B173" s="66">
        <v>9041</v>
      </c>
      <c r="D173">
        <f t="shared" si="8"/>
        <v>6.7997382691165079E-2</v>
      </c>
      <c r="E173">
        <f t="shared" si="8"/>
        <v>6.7997382691165079E-2</v>
      </c>
      <c r="G173">
        <f t="shared" ca="1" si="9"/>
        <v>171</v>
      </c>
      <c r="H173">
        <f t="shared" ca="1" si="10"/>
        <v>11.627552440189229</v>
      </c>
      <c r="I173">
        <f t="shared" ca="1" si="11"/>
        <v>603.43045137148556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6522</v>
      </c>
      <c r="B175" s="66">
        <v>6522</v>
      </c>
      <c r="D175">
        <f t="shared" si="8"/>
        <v>4.9051977647580867E-2</v>
      </c>
      <c r="E175">
        <f t="shared" si="8"/>
        <v>4.9051977647580867E-2</v>
      </c>
      <c r="G175">
        <f t="shared" ca="1" si="9"/>
        <v>173</v>
      </c>
      <c r="H175">
        <f t="shared" ca="1" si="10"/>
        <v>8.4859921330314894</v>
      </c>
      <c r="I175">
        <f t="shared" ca="1" si="11"/>
        <v>453.98258727743763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5346</v>
      </c>
      <c r="B178" s="66">
        <v>5346</v>
      </c>
      <c r="D178">
        <f t="shared" si="8"/>
        <v>4.0207278826121948E-2</v>
      </c>
      <c r="E178">
        <f t="shared" si="8"/>
        <v>4.0207278826121948E-2</v>
      </c>
      <c r="G178">
        <f t="shared" ca="1" si="9"/>
        <v>176</v>
      </c>
      <c r="H178">
        <f t="shared" ca="1" si="10"/>
        <v>7.0764810733974626</v>
      </c>
      <c r="I178">
        <f t="shared" ca="1" si="11"/>
        <v>395.69409751606577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4433</v>
      </c>
      <c r="B180" s="66">
        <v>4433</v>
      </c>
      <c r="D180">
        <f t="shared" si="8"/>
        <v>3.3340603635652562E-2</v>
      </c>
      <c r="E180">
        <f t="shared" si="8"/>
        <v>3.3340603635652562E-2</v>
      </c>
      <c r="G180">
        <f t="shared" ca="1" si="9"/>
        <v>178</v>
      </c>
      <c r="H180">
        <f t="shared" ca="1" si="10"/>
        <v>5.9346274471461564</v>
      </c>
      <c r="I180">
        <f t="shared" ca="1" si="11"/>
        <v>341.48010491876119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2457</v>
      </c>
      <c r="B183" s="66">
        <v>2457</v>
      </c>
      <c r="D183">
        <f t="shared" si="8"/>
        <v>1.8479102894833822E-2</v>
      </c>
      <c r="E183">
        <f t="shared" si="8"/>
        <v>1.8479102894833822E-2</v>
      </c>
      <c r="G183">
        <f t="shared" ca="1" si="9"/>
        <v>181</v>
      </c>
      <c r="H183">
        <f t="shared" ca="1" si="10"/>
        <v>3.3447176239649217</v>
      </c>
      <c r="I183">
        <f t="shared" ca="1" si="11"/>
        <v>200.65332187982395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1120</v>
      </c>
      <c r="B185" s="66">
        <v>1120</v>
      </c>
      <c r="D185">
        <f t="shared" si="8"/>
        <v>8.4235226871037377E-3</v>
      </c>
      <c r="E185">
        <f t="shared" si="8"/>
        <v>8.4235226871037377E-3</v>
      </c>
      <c r="G185">
        <f t="shared" ca="1" si="9"/>
        <v>183</v>
      </c>
      <c r="H185">
        <f t="shared" ca="1" si="10"/>
        <v>1.541504651739984</v>
      </c>
      <c r="I185">
        <f t="shared" ca="1" si="11"/>
        <v>95.010641454377136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590</v>
      </c>
      <c r="B188" s="66">
        <v>590</v>
      </c>
      <c r="D188">
        <f t="shared" si="8"/>
        <v>4.4373914155278619E-3</v>
      </c>
      <c r="E188">
        <f t="shared" si="8"/>
        <v>4.4373914155278619E-3</v>
      </c>
      <c r="G188">
        <f t="shared" ca="1" si="9"/>
        <v>186</v>
      </c>
      <c r="H188">
        <f t="shared" ca="1" si="10"/>
        <v>0.82535480328818234</v>
      </c>
      <c r="I188">
        <f t="shared" ca="1" si="11"/>
        <v>52.917786880554068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670</v>
      </c>
      <c r="B191" s="66">
        <v>670</v>
      </c>
      <c r="D191">
        <f t="shared" si="8"/>
        <v>5.0390716074638431E-3</v>
      </c>
      <c r="E191">
        <f t="shared" si="8"/>
        <v>5.0390716074638431E-3</v>
      </c>
      <c r="G191">
        <f t="shared" ca="1" si="9"/>
        <v>189</v>
      </c>
      <c r="H191">
        <f t="shared" ca="1" si="10"/>
        <v>0.95238453381066634</v>
      </c>
      <c r="I191">
        <f t="shared" ca="1" si="11"/>
        <v>63.440140309848786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1431</v>
      </c>
      <c r="B193" s="66">
        <v>1431</v>
      </c>
      <c r="D193">
        <f t="shared" si="8"/>
        <v>1.0762554433254865E-2</v>
      </c>
      <c r="E193">
        <f t="shared" si="8"/>
        <v>1.0762554433254865E-2</v>
      </c>
      <c r="G193">
        <f t="shared" ca="1" si="9"/>
        <v>191</v>
      </c>
      <c r="H193">
        <f t="shared" ca="1" si="10"/>
        <v>2.0556478967516791</v>
      </c>
      <c r="I193">
        <f t="shared" ca="1" si="11"/>
        <v>140.37021704114807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182</v>
      </c>
      <c r="B196" s="66">
        <v>182</v>
      </c>
      <c r="D196">
        <f t="shared" si="12"/>
        <v>1.3688224366543572E-3</v>
      </c>
      <c r="E196">
        <f t="shared" si="12"/>
        <v>1.3688224366543572E-3</v>
      </c>
      <c r="G196">
        <f t="shared" ca="1" si="13"/>
        <v>194</v>
      </c>
      <c r="H196">
        <f t="shared" ca="1" si="14"/>
        <v>0.26555155271094533</v>
      </c>
      <c r="I196">
        <f t="shared" ca="1" si="15"/>
        <v>18.803081989884323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424</v>
      </c>
      <c r="B198" s="66">
        <v>424</v>
      </c>
      <c r="D198">
        <f t="shared" si="12"/>
        <v>3.1889050172607004E-3</v>
      </c>
      <c r="E198">
        <f t="shared" si="12"/>
        <v>3.1889050172607004E-3</v>
      </c>
      <c r="G198">
        <f t="shared" ca="1" si="13"/>
        <v>196</v>
      </c>
      <c r="H198">
        <f t="shared" ca="1" si="14"/>
        <v>0.62502538338309732</v>
      </c>
      <c r="I198">
        <f t="shared" ca="1" si="15"/>
        <v>45.312742467426411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123</v>
      </c>
      <c r="B201" s="66">
        <v>123</v>
      </c>
      <c r="D201">
        <f t="shared" si="12"/>
        <v>9.2508329510157116E-4</v>
      </c>
      <c r="E201">
        <f t="shared" si="12"/>
        <v>9.2508329510157116E-4</v>
      </c>
      <c r="G201">
        <f t="shared" ca="1" si="13"/>
        <v>199</v>
      </c>
      <c r="H201">
        <f t="shared" ca="1" si="14"/>
        <v>0.18409157572521265</v>
      </c>
      <c r="I201">
        <f t="shared" ca="1" si="15"/>
        <v>13.81493542272178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555</v>
      </c>
      <c r="B203" s="66">
        <v>555</v>
      </c>
      <c r="D203">
        <f t="shared" si="12"/>
        <v>4.1741563315558696E-3</v>
      </c>
      <c r="E203">
        <f t="shared" si="12"/>
        <v>4.1741563315558696E-3</v>
      </c>
      <c r="G203">
        <f t="shared" ca="1" si="13"/>
        <v>201</v>
      </c>
      <c r="H203">
        <f t="shared" ca="1" si="14"/>
        <v>0.83900542264272981</v>
      </c>
      <c r="I203">
        <f t="shared" ca="1" si="15"/>
        <v>64.392768620742046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70.574028668150234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1.3626073666080687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0.68641333695919793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3092</v>
      </c>
      <c r="B8" s="66">
        <v>3092</v>
      </c>
      <c r="D8">
        <f t="shared" si="0"/>
        <v>5.7523440988242296</v>
      </c>
      <c r="E8">
        <f t="shared" si="1"/>
        <v>5.7523440988242296</v>
      </c>
      <c r="G8">
        <f t="shared" ca="1" si="2"/>
        <v>6</v>
      </c>
      <c r="H8">
        <f t="shared" ca="1" si="3"/>
        <v>34.514064592945374</v>
      </c>
      <c r="I8">
        <f t="shared" ca="1" si="4"/>
        <v>23986.154211417794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6689</v>
      </c>
      <c r="B10" s="66">
        <v>6689</v>
      </c>
      <c r="D10">
        <f t="shared" si="0"/>
        <v>12.444188123232625</v>
      </c>
      <c r="E10">
        <f t="shared" si="1"/>
        <v>12.444188123232625</v>
      </c>
      <c r="G10">
        <f t="shared" ca="1" si="2"/>
        <v>8</v>
      </c>
      <c r="H10">
        <f t="shared" ca="1" si="3"/>
        <v>99.553504985860997</v>
      </c>
      <c r="I10">
        <f t="shared" ca="1" si="4"/>
        <v>48725.331387682832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13887</v>
      </c>
      <c r="B13" s="66">
        <v>13887</v>
      </c>
      <c r="D13">
        <f t="shared" si="0"/>
        <v>25.835317755618394</v>
      </c>
      <c r="E13">
        <f t="shared" si="1"/>
        <v>25.835317755618394</v>
      </c>
      <c r="G13">
        <f t="shared" ca="1" si="2"/>
        <v>11</v>
      </c>
      <c r="H13">
        <f t="shared" ca="1" si="3"/>
        <v>284.18849531180234</v>
      </c>
      <c r="I13">
        <f t="shared" ca="1" si="4"/>
        <v>91691.219213763296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35353</v>
      </c>
      <c r="B15" s="66">
        <v>35353</v>
      </c>
      <c r="D15">
        <f t="shared" si="0"/>
        <v>65.770575978568246</v>
      </c>
      <c r="E15">
        <f t="shared" si="1"/>
        <v>65.770575978568246</v>
      </c>
      <c r="G15">
        <f t="shared" ca="1" si="2"/>
        <v>13</v>
      </c>
      <c r="H15">
        <f t="shared" ca="1" si="3"/>
        <v>855.01748772138717</v>
      </c>
      <c r="I15">
        <f t="shared" ca="1" si="4"/>
        <v>218014.25170439066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28104</v>
      </c>
      <c r="B18" s="66">
        <v>28104</v>
      </c>
      <c r="D18">
        <f t="shared" si="0"/>
        <v>52.284566155677929</v>
      </c>
      <c r="E18">
        <f t="shared" si="1"/>
        <v>52.284566155677929</v>
      </c>
      <c r="G18">
        <f t="shared" ca="1" si="2"/>
        <v>16</v>
      </c>
      <c r="H18">
        <f t="shared" ca="1" si="3"/>
        <v>836.55305849084687</v>
      </c>
      <c r="I18">
        <f t="shared" ca="1" si="4"/>
        <v>155720.40984697471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21502</v>
      </c>
      <c r="B21" s="66">
        <v>21502</v>
      </c>
      <c r="D21">
        <f t="shared" si="0"/>
        <v>40.002232475070699</v>
      </c>
      <c r="E21">
        <f t="shared" si="1"/>
        <v>40.002232475070699</v>
      </c>
      <c r="G21">
        <f t="shared" ca="1" si="2"/>
        <v>19</v>
      </c>
      <c r="H21">
        <f t="shared" ca="1" si="3"/>
        <v>760.04241702634329</v>
      </c>
      <c r="I21">
        <f t="shared" ca="1" si="4"/>
        <v>106401.15543928515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26921</v>
      </c>
      <c r="B23" s="66">
        <v>26921</v>
      </c>
      <c r="D23">
        <f t="shared" si="0"/>
        <v>50.083717815151061</v>
      </c>
      <c r="E23">
        <f t="shared" si="1"/>
        <v>50.083717815151061</v>
      </c>
      <c r="G23">
        <f t="shared" ca="1" si="2"/>
        <v>21</v>
      </c>
      <c r="H23">
        <f t="shared" ca="1" si="3"/>
        <v>1051.7580741181723</v>
      </c>
      <c r="I23">
        <f t="shared" ca="1" si="4"/>
        <v>123084.95950921424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37450</v>
      </c>
      <c r="B26" s="66">
        <v>37450</v>
      </c>
      <c r="D26">
        <f t="shared" si="0"/>
        <v>69.671826164607822</v>
      </c>
      <c r="E26">
        <f t="shared" si="1"/>
        <v>69.671826164607822</v>
      </c>
      <c r="G26">
        <f t="shared" ca="1" si="2"/>
        <v>24</v>
      </c>
      <c r="H26">
        <f t="shared" ca="1" si="3"/>
        <v>1672.1238279505878</v>
      </c>
      <c r="I26">
        <f t="shared" ca="1" si="4"/>
        <v>151127.95520537635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30724</v>
      </c>
      <c r="B28" s="66">
        <v>30724</v>
      </c>
      <c r="D28">
        <f t="shared" si="0"/>
        <v>57.158803393362106</v>
      </c>
      <c r="E28">
        <f t="shared" si="1"/>
        <v>57.158803393362106</v>
      </c>
      <c r="G28">
        <f t="shared" ca="1" si="2"/>
        <v>26</v>
      </c>
      <c r="H28">
        <f t="shared" ca="1" si="3"/>
        <v>1486.1288882274148</v>
      </c>
      <c r="I28">
        <f t="shared" ca="1" si="4"/>
        <v>113565.62738173416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30909</v>
      </c>
      <c r="B31" s="66">
        <v>30909</v>
      </c>
      <c r="D31">
        <f t="shared" si="0"/>
        <v>57.502976633427593</v>
      </c>
      <c r="E31">
        <f t="shared" si="1"/>
        <v>57.502976633427593</v>
      </c>
      <c r="G31">
        <f t="shared" ca="1" si="2"/>
        <v>29</v>
      </c>
      <c r="H31">
        <f t="shared" ca="1" si="3"/>
        <v>1667.5863223694002</v>
      </c>
      <c r="I31">
        <f t="shared" ca="1" si="4"/>
        <v>99388.136745558848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31224</v>
      </c>
      <c r="B33" s="66">
        <v>31224</v>
      </c>
      <c r="D33">
        <f t="shared" si="0"/>
        <v>58.089001339485044</v>
      </c>
      <c r="E33">
        <f t="shared" si="1"/>
        <v>58.089001339485044</v>
      </c>
      <c r="G33">
        <f t="shared" ca="1" si="2"/>
        <v>31</v>
      </c>
      <c r="H33">
        <f t="shared" ca="1" si="3"/>
        <v>1800.7590415240363</v>
      </c>
      <c r="I33">
        <f t="shared" ca="1" si="4"/>
        <v>90973.40254267944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35298</v>
      </c>
      <c r="B36" s="66">
        <v>35298</v>
      </c>
      <c r="D36">
        <f t="shared" si="0"/>
        <v>65.668254204494716</v>
      </c>
      <c r="E36">
        <f t="shared" si="1"/>
        <v>65.668254204494716</v>
      </c>
      <c r="G36">
        <f t="shared" ca="1" si="2"/>
        <v>34</v>
      </c>
      <c r="H36">
        <f t="shared" ca="1" si="3"/>
        <v>2232.7206429528205</v>
      </c>
      <c r="I36">
        <f t="shared" ca="1" si="4"/>
        <v>87841.768880066229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34706</v>
      </c>
      <c r="B39" s="66">
        <v>34706</v>
      </c>
      <c r="D39">
        <f t="shared" si="0"/>
        <v>64.56689983628516</v>
      </c>
      <c r="E39">
        <f t="shared" si="1"/>
        <v>64.56689983628516</v>
      </c>
      <c r="G39">
        <f t="shared" ca="1" si="2"/>
        <v>37</v>
      </c>
      <c r="H39">
        <f t="shared" ca="1" si="3"/>
        <v>2388.9752939425507</v>
      </c>
      <c r="I39">
        <f t="shared" ca="1" si="4"/>
        <v>72780.803890916082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36018</v>
      </c>
      <c r="B41" s="66">
        <v>36018</v>
      </c>
      <c r="D41">
        <f t="shared" si="0"/>
        <v>67.00773924691174</v>
      </c>
      <c r="E41">
        <f t="shared" si="1"/>
        <v>67.00773924691174</v>
      </c>
      <c r="G41">
        <f t="shared" ca="1" si="2"/>
        <v>39</v>
      </c>
      <c r="H41">
        <f t="shared" ca="1" si="3"/>
        <v>2613.301830629558</v>
      </c>
      <c r="I41">
        <f t="shared" ca="1" si="4"/>
        <v>66801.307589098622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35289</v>
      </c>
      <c r="B44" s="66">
        <v>35289</v>
      </c>
      <c r="D44">
        <f t="shared" si="0"/>
        <v>65.651510641464498</v>
      </c>
      <c r="E44">
        <f t="shared" si="1"/>
        <v>65.651510641464498</v>
      </c>
      <c r="G44">
        <f t="shared" ca="1" si="2"/>
        <v>42</v>
      </c>
      <c r="H44">
        <f t="shared" ca="1" si="3"/>
        <v>2757.3634469415088</v>
      </c>
      <c r="I44">
        <f t="shared" ca="1" si="4"/>
        <v>53602.824656813449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36856</v>
      </c>
      <c r="B46" s="66">
        <v>36856</v>
      </c>
      <c r="D46">
        <f t="shared" si="0"/>
        <v>68.566751004613778</v>
      </c>
      <c r="E46">
        <f t="shared" si="1"/>
        <v>68.566751004613778</v>
      </c>
      <c r="G46">
        <f t="shared" ca="1" si="2"/>
        <v>44</v>
      </c>
      <c r="H46">
        <f t="shared" ca="1" si="3"/>
        <v>3016.9370442030063</v>
      </c>
      <c r="I46">
        <f t="shared" ca="1" si="4"/>
        <v>48420.399634077599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42510</v>
      </c>
      <c r="B49" s="66">
        <v>42510</v>
      </c>
      <c r="D49">
        <f t="shared" si="0"/>
        <v>79.085429379371931</v>
      </c>
      <c r="E49">
        <f t="shared" si="1"/>
        <v>79.085429379371931</v>
      </c>
      <c r="G49">
        <f t="shared" ca="1" si="2"/>
        <v>47</v>
      </c>
      <c r="H49">
        <f t="shared" ca="1" si="3"/>
        <v>3717.0151808304809</v>
      </c>
      <c r="I49">
        <f t="shared" ca="1" si="4"/>
        <v>43950.527465515988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43348</v>
      </c>
      <c r="B51" s="66">
        <v>43348</v>
      </c>
      <c r="D51">
        <f t="shared" si="0"/>
        <v>80.644441137073969</v>
      </c>
      <c r="E51">
        <f t="shared" si="1"/>
        <v>80.644441137073969</v>
      </c>
      <c r="G51">
        <f t="shared" ca="1" si="2"/>
        <v>49</v>
      </c>
      <c r="H51">
        <f t="shared" ca="1" si="3"/>
        <v>3951.5776157166247</v>
      </c>
      <c r="I51">
        <f t="shared" ca="1" si="4"/>
        <v>37535.044891360769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53752</v>
      </c>
      <c r="B54" s="66">
        <v>53752</v>
      </c>
      <c r="D54">
        <f t="shared" si="0"/>
        <v>100</v>
      </c>
      <c r="E54">
        <f t="shared" si="1"/>
        <v>100</v>
      </c>
      <c r="G54">
        <f t="shared" ca="1" si="2"/>
        <v>52</v>
      </c>
      <c r="H54">
        <f t="shared" ca="1" si="3"/>
        <v>5200</v>
      </c>
      <c r="I54">
        <f t="shared" ca="1" si="4"/>
        <v>34499.454096526679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47332</v>
      </c>
      <c r="B57" s="66">
        <v>47332</v>
      </c>
      <c r="D57">
        <f t="shared" si="0"/>
        <v>88.05625837178151</v>
      </c>
      <c r="E57">
        <f t="shared" si="1"/>
        <v>88.05625837178151</v>
      </c>
      <c r="G57">
        <f t="shared" ca="1" si="2"/>
        <v>55</v>
      </c>
      <c r="H57">
        <f t="shared" ca="1" si="3"/>
        <v>4843.0942104479827</v>
      </c>
      <c r="I57">
        <f t="shared" ca="1" si="4"/>
        <v>21358.077956992642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50090</v>
      </c>
      <c r="B59" s="66">
        <v>50090</v>
      </c>
      <c r="D59">
        <f t="shared" si="0"/>
        <v>93.187230242595618</v>
      </c>
      <c r="E59">
        <f t="shared" si="1"/>
        <v>93.187230242595618</v>
      </c>
      <c r="G59">
        <f t="shared" ca="1" si="2"/>
        <v>57</v>
      </c>
      <c r="H59">
        <f t="shared" ca="1" si="3"/>
        <v>5311.6721238279506</v>
      </c>
      <c r="I59">
        <f t="shared" ca="1" si="4"/>
        <v>17170.143617118916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48873</v>
      </c>
      <c r="B62" s="66">
        <v>48873</v>
      </c>
      <c r="D62">
        <f t="shared" si="0"/>
        <v>90.923128441732402</v>
      </c>
      <c r="E62">
        <f t="shared" si="1"/>
        <v>90.923128441732402</v>
      </c>
      <c r="G62">
        <f t="shared" ca="1" si="2"/>
        <v>60</v>
      </c>
      <c r="H62">
        <f t="shared" ca="1" si="3"/>
        <v>5455.3877065039442</v>
      </c>
      <c r="I62">
        <f t="shared" ca="1" si="4"/>
        <v>10166.122471758037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48127</v>
      </c>
      <c r="B64" s="66">
        <v>48127</v>
      </c>
      <c r="D64">
        <f t="shared" si="0"/>
        <v>89.535273106116975</v>
      </c>
      <c r="E64">
        <f t="shared" si="1"/>
        <v>89.535273106116975</v>
      </c>
      <c r="G64">
        <f t="shared" ca="1" si="2"/>
        <v>62</v>
      </c>
      <c r="H64">
        <f t="shared" ca="1" si="3"/>
        <v>5551.1869325792522</v>
      </c>
      <c r="I64">
        <f t="shared" ca="1" si="4"/>
        <v>6582.0931663827696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48678</v>
      </c>
      <c r="B67" s="66">
        <v>48678</v>
      </c>
      <c r="D67">
        <f t="shared" ref="D67:D130" si="5">IFERROR( 100*A67/MAX(A$2:A$257), 0 )</f>
        <v>90.56035124274446</v>
      </c>
      <c r="E67">
        <f t="shared" ref="E67:E130" si="6">IFERROR( 100*B67/MAX(B$2:B$257), 0 )</f>
        <v>90.56035124274446</v>
      </c>
      <c r="G67">
        <f t="shared" ref="G67:G130" ca="1" si="7">CELL("row",D67)-2</f>
        <v>65</v>
      </c>
      <c r="H67">
        <f t="shared" ref="H67:H130" ca="1" si="8">D67*G67</f>
        <v>5886.4228307783897</v>
      </c>
      <c r="I67">
        <f t="shared" ref="I67:I130" ca="1" si="9">D67*((G67-$L$1)^2)</f>
        <v>2813.6916019750165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51628</v>
      </c>
      <c r="B69" s="66">
        <v>51628</v>
      </c>
      <c r="D69">
        <f t="shared" si="5"/>
        <v>96.04851912486977</v>
      </c>
      <c r="E69">
        <f t="shared" si="6"/>
        <v>96.04851912486977</v>
      </c>
      <c r="G69">
        <f t="shared" ca="1" si="7"/>
        <v>67</v>
      </c>
      <c r="H69">
        <f t="shared" ca="1" si="8"/>
        <v>6435.2507813662742</v>
      </c>
      <c r="I69">
        <f t="shared" ca="1" si="9"/>
        <v>1226.8931362125757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50950</v>
      </c>
      <c r="B72" s="66">
        <v>50950</v>
      </c>
      <c r="D72">
        <f t="shared" si="5"/>
        <v>94.787170709927068</v>
      </c>
      <c r="E72">
        <f t="shared" si="6"/>
        <v>94.787170709927068</v>
      </c>
      <c r="G72">
        <f t="shared" ca="1" si="7"/>
        <v>70</v>
      </c>
      <c r="H72">
        <f t="shared" ca="1" si="8"/>
        <v>6635.1019496948948</v>
      </c>
      <c r="I72">
        <f t="shared" ca="1" si="9"/>
        <v>31.233217478757979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46529</v>
      </c>
      <c r="B75" s="66">
        <v>46529</v>
      </c>
      <c r="D75">
        <f t="shared" si="5"/>
        <v>86.562360470308079</v>
      </c>
      <c r="E75">
        <f t="shared" si="6"/>
        <v>86.562360470308079</v>
      </c>
      <c r="G75">
        <f t="shared" ca="1" si="7"/>
        <v>73</v>
      </c>
      <c r="H75">
        <f t="shared" ca="1" si="8"/>
        <v>6319.0523143324899</v>
      </c>
      <c r="I75">
        <f t="shared" ca="1" si="9"/>
        <v>509.44865448296412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43966</v>
      </c>
      <c r="B77" s="66">
        <v>43966</v>
      </c>
      <c r="D77">
        <f t="shared" si="5"/>
        <v>81.794165798481913</v>
      </c>
      <c r="E77">
        <f t="shared" si="6"/>
        <v>81.794165798481913</v>
      </c>
      <c r="G77">
        <f t="shared" ca="1" si="7"/>
        <v>75</v>
      </c>
      <c r="H77">
        <f t="shared" ca="1" si="8"/>
        <v>6134.5624348861438</v>
      </c>
      <c r="I77">
        <f t="shared" ca="1" si="9"/>
        <v>1602.2840909730455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42571</v>
      </c>
      <c r="B80" s="66">
        <v>42571</v>
      </c>
      <c r="D80">
        <f t="shared" si="5"/>
        <v>79.198913528798926</v>
      </c>
      <c r="E80">
        <f t="shared" si="6"/>
        <v>79.198913528798926</v>
      </c>
      <c r="G80">
        <f t="shared" ca="1" si="7"/>
        <v>78</v>
      </c>
      <c r="H80">
        <f t="shared" ca="1" si="8"/>
        <v>6177.515255246316</v>
      </c>
      <c r="I80">
        <f t="shared" ca="1" si="9"/>
        <v>4367.4280640302559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41719</v>
      </c>
      <c r="B82" s="66">
        <v>41719</v>
      </c>
      <c r="D82">
        <f t="shared" si="5"/>
        <v>77.613856228605442</v>
      </c>
      <c r="E82">
        <f t="shared" si="6"/>
        <v>77.613856228605442</v>
      </c>
      <c r="G82">
        <f t="shared" ca="1" si="7"/>
        <v>80</v>
      </c>
      <c r="H82">
        <f t="shared" ca="1" si="8"/>
        <v>6209.1084982884349</v>
      </c>
      <c r="I82">
        <f t="shared" ca="1" si="9"/>
        <v>6895.908509753358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40886</v>
      </c>
      <c r="B85" s="66">
        <v>40886</v>
      </c>
      <c r="D85">
        <f t="shared" si="5"/>
        <v>76.064146450364632</v>
      </c>
      <c r="E85">
        <f t="shared" si="6"/>
        <v>76.064146450364632</v>
      </c>
      <c r="G85">
        <f t="shared" ca="1" si="7"/>
        <v>83</v>
      </c>
      <c r="H85">
        <f t="shared" ca="1" si="8"/>
        <v>6313.3241553802645</v>
      </c>
      <c r="I85">
        <f t="shared" ca="1" si="9"/>
        <v>11744.66654653685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40431</v>
      </c>
      <c r="B88" s="66">
        <v>40431</v>
      </c>
      <c r="D88">
        <f t="shared" si="5"/>
        <v>75.217666319392762</v>
      </c>
      <c r="E88">
        <f t="shared" si="6"/>
        <v>75.217666319392762</v>
      </c>
      <c r="G88">
        <f t="shared" ca="1" si="7"/>
        <v>86</v>
      </c>
      <c r="H88">
        <f t="shared" ca="1" si="8"/>
        <v>6468.7193034677775</v>
      </c>
      <c r="I88">
        <f t="shared" ca="1" si="9"/>
        <v>17898.840370947903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38724</v>
      </c>
      <c r="B90" s="66">
        <v>38724</v>
      </c>
      <c r="D90">
        <f t="shared" si="5"/>
        <v>72.041970531329071</v>
      </c>
      <c r="E90">
        <f t="shared" si="6"/>
        <v>72.041970531329071</v>
      </c>
      <c r="G90">
        <f t="shared" ca="1" si="7"/>
        <v>88</v>
      </c>
      <c r="H90">
        <f t="shared" ca="1" si="8"/>
        <v>6339.6934067569582</v>
      </c>
      <c r="I90">
        <f t="shared" ca="1" si="9"/>
        <v>21876.587293247907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38020</v>
      </c>
      <c r="B93" s="66">
        <v>38020</v>
      </c>
      <c r="D93">
        <f t="shared" si="5"/>
        <v>70.73225182318798</v>
      </c>
      <c r="E93">
        <f t="shared" si="6"/>
        <v>70.73225182318798</v>
      </c>
      <c r="G93">
        <f t="shared" ca="1" si="7"/>
        <v>91</v>
      </c>
      <c r="H93">
        <f t="shared" ca="1" si="8"/>
        <v>6436.6349159101064</v>
      </c>
      <c r="I93">
        <f t="shared" ca="1" si="9"/>
        <v>29510.93166836552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35264</v>
      </c>
      <c r="B95" s="66">
        <v>35264</v>
      </c>
      <c r="D95">
        <f t="shared" si="5"/>
        <v>65.60500074415836</v>
      </c>
      <c r="E95">
        <f t="shared" si="6"/>
        <v>65.60500074415836</v>
      </c>
      <c r="G95">
        <f t="shared" ca="1" si="7"/>
        <v>93</v>
      </c>
      <c r="H95">
        <f t="shared" ca="1" si="8"/>
        <v>6101.2650692067273</v>
      </c>
      <c r="I95">
        <f t="shared" ca="1" si="9"/>
        <v>32994.341870813885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31907</v>
      </c>
      <c r="B98" s="66">
        <v>31907</v>
      </c>
      <c r="D98">
        <f t="shared" si="5"/>
        <v>59.359651733888974</v>
      </c>
      <c r="E98">
        <f t="shared" si="6"/>
        <v>59.359651733888974</v>
      </c>
      <c r="G98">
        <f t="shared" ca="1" si="7"/>
        <v>96</v>
      </c>
      <c r="H98">
        <f t="shared" ca="1" si="8"/>
        <v>5698.5265664533417</v>
      </c>
      <c r="I98">
        <f t="shared" ca="1" si="9"/>
        <v>38374.82873137344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32896</v>
      </c>
      <c r="B100" s="66">
        <v>32896</v>
      </c>
      <c r="D100">
        <f t="shared" si="5"/>
        <v>61.199583271320137</v>
      </c>
      <c r="E100">
        <f t="shared" si="6"/>
        <v>61.199583271320137</v>
      </c>
      <c r="G100">
        <f t="shared" ca="1" si="7"/>
        <v>98</v>
      </c>
      <c r="H100">
        <f t="shared" ca="1" si="8"/>
        <v>5997.5591605893733</v>
      </c>
      <c r="I100">
        <f t="shared" ca="1" si="9"/>
        <v>46033.341437316129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28440</v>
      </c>
      <c r="B103" s="66">
        <v>28440</v>
      </c>
      <c r="D103">
        <f t="shared" si="5"/>
        <v>52.909659175472541</v>
      </c>
      <c r="E103">
        <f t="shared" si="6"/>
        <v>52.909659175472541</v>
      </c>
      <c r="G103">
        <f t="shared" ca="1" si="7"/>
        <v>101</v>
      </c>
      <c r="H103">
        <f t="shared" ca="1" si="8"/>
        <v>5343.8755767227267</v>
      </c>
      <c r="I103">
        <f t="shared" ca="1" si="9"/>
        <v>48980.573678146502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28251</v>
      </c>
      <c r="B106" s="66">
        <v>28251</v>
      </c>
      <c r="D106">
        <f t="shared" si="5"/>
        <v>52.55804435183807</v>
      </c>
      <c r="E106">
        <f t="shared" si="6"/>
        <v>52.55804435183807</v>
      </c>
      <c r="G106">
        <f t="shared" ca="1" si="7"/>
        <v>104</v>
      </c>
      <c r="H106">
        <f t="shared" ca="1" si="8"/>
        <v>5466.0366125911596</v>
      </c>
      <c r="I106">
        <f t="shared" ca="1" si="9"/>
        <v>58722.869569137663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27187</v>
      </c>
      <c r="B108" s="66">
        <v>27187</v>
      </c>
      <c r="D108">
        <f t="shared" si="5"/>
        <v>50.578583122488467</v>
      </c>
      <c r="E108">
        <f t="shared" si="6"/>
        <v>50.578583122488467</v>
      </c>
      <c r="G108">
        <f t="shared" ca="1" si="7"/>
        <v>106</v>
      </c>
      <c r="H108">
        <f t="shared" ca="1" si="8"/>
        <v>5361.3298109837779</v>
      </c>
      <c r="I108">
        <f t="shared" ca="1" si="9"/>
        <v>63476.09373774867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25075</v>
      </c>
      <c r="B111" s="66">
        <v>25075</v>
      </c>
      <c r="D111">
        <f t="shared" si="5"/>
        <v>46.649426998065188</v>
      </c>
      <c r="E111">
        <f t="shared" si="6"/>
        <v>46.649426998065188</v>
      </c>
      <c r="G111">
        <f t="shared" ca="1" si="7"/>
        <v>109</v>
      </c>
      <c r="H111">
        <f t="shared" ca="1" si="8"/>
        <v>5084.7875427891058</v>
      </c>
      <c r="I111">
        <f t="shared" ca="1" si="9"/>
        <v>68880.457406911766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22061</v>
      </c>
      <c r="B113" s="66">
        <v>22061</v>
      </c>
      <c r="D113">
        <f t="shared" si="5"/>
        <v>41.042193778836136</v>
      </c>
      <c r="E113">
        <f t="shared" si="6"/>
        <v>41.042193778836136</v>
      </c>
      <c r="G113">
        <f t="shared" ca="1" si="7"/>
        <v>111</v>
      </c>
      <c r="H113">
        <f t="shared" ca="1" si="8"/>
        <v>4555.6835094508115</v>
      </c>
      <c r="I113">
        <f t="shared" ca="1" si="9"/>
        <v>67073.581052543901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14811</v>
      </c>
      <c r="B116" s="66">
        <v>14811</v>
      </c>
      <c r="D116">
        <f t="shared" si="5"/>
        <v>27.554323560053579</v>
      </c>
      <c r="E116">
        <f t="shared" si="6"/>
        <v>27.554323560053579</v>
      </c>
      <c r="G116">
        <f t="shared" ca="1" si="7"/>
        <v>114</v>
      </c>
      <c r="H116">
        <f t="shared" ca="1" si="8"/>
        <v>3141.1928858461079</v>
      </c>
      <c r="I116">
        <f t="shared" ca="1" si="9"/>
        <v>51962.356301800675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13694</v>
      </c>
      <c r="B118" s="66">
        <v>13694</v>
      </c>
      <c r="D118">
        <f t="shared" si="5"/>
        <v>25.476261348414944</v>
      </c>
      <c r="E118">
        <f t="shared" si="6"/>
        <v>25.476261348414944</v>
      </c>
      <c r="G118">
        <f t="shared" ca="1" si="7"/>
        <v>116</v>
      </c>
      <c r="H118">
        <f t="shared" ca="1" si="8"/>
        <v>2955.2463164161336</v>
      </c>
      <c r="I118">
        <f t="shared" ca="1" si="9"/>
        <v>52570.746066243591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14119</v>
      </c>
      <c r="B121" s="66">
        <v>14119</v>
      </c>
      <c r="D121">
        <f t="shared" si="5"/>
        <v>26.266929602619438</v>
      </c>
      <c r="E121">
        <f t="shared" si="6"/>
        <v>26.266929602619438</v>
      </c>
      <c r="G121">
        <f t="shared" ca="1" si="7"/>
        <v>119</v>
      </c>
      <c r="H121">
        <f t="shared" ca="1" si="8"/>
        <v>3125.7646227117129</v>
      </c>
      <c r="I121">
        <f t="shared" ca="1" si="9"/>
        <v>61597.912042894102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13861</v>
      </c>
      <c r="B124" s="66">
        <v>13861</v>
      </c>
      <c r="D124">
        <f t="shared" si="5"/>
        <v>25.786947462420002</v>
      </c>
      <c r="E124">
        <f t="shared" si="6"/>
        <v>25.786947462420002</v>
      </c>
      <c r="G124">
        <f t="shared" ca="1" si="7"/>
        <v>122</v>
      </c>
      <c r="H124">
        <f t="shared" ca="1" si="8"/>
        <v>3146.0075904152404</v>
      </c>
      <c r="I124">
        <f t="shared" ca="1" si="9"/>
        <v>68196.948468200819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11493</v>
      </c>
      <c r="B126" s="66">
        <v>11493</v>
      </c>
      <c r="D126">
        <f t="shared" si="5"/>
        <v>21.381529989581782</v>
      </c>
      <c r="E126">
        <f t="shared" si="6"/>
        <v>21.381529989581782</v>
      </c>
      <c r="G126">
        <f t="shared" ca="1" si="7"/>
        <v>124</v>
      </c>
      <c r="H126">
        <f t="shared" ca="1" si="8"/>
        <v>2651.3097187081412</v>
      </c>
      <c r="I126">
        <f t="shared" ca="1" si="9"/>
        <v>61030.036846544346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10808</v>
      </c>
      <c r="B129" s="66">
        <v>10808</v>
      </c>
      <c r="D129">
        <f t="shared" si="5"/>
        <v>20.107158803393361</v>
      </c>
      <c r="E129">
        <f t="shared" si="6"/>
        <v>20.107158803393361</v>
      </c>
      <c r="G129">
        <f t="shared" ca="1" si="7"/>
        <v>127</v>
      </c>
      <c r="H129">
        <f t="shared" ca="1" si="8"/>
        <v>2553.6091680309569</v>
      </c>
      <c r="I129">
        <f t="shared" ca="1" si="9"/>
        <v>64018.986683188428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11524</v>
      </c>
      <c r="B131" s="66">
        <v>11524</v>
      </c>
      <c r="D131">
        <f t="shared" ref="D131:D194" si="10">IFERROR( 100*A131/MAX(A$2:A$257), 0 )</f>
        <v>21.439202262241405</v>
      </c>
      <c r="E131">
        <f t="shared" ref="E131:E194" si="11">IFERROR( 100*B131/MAX(B$2:B$257), 0 )</f>
        <v>21.439202262241405</v>
      </c>
      <c r="G131">
        <f t="shared" ref="G131:G194" ca="1" si="12">CELL("row",D131)-2</f>
        <v>129</v>
      </c>
      <c r="H131">
        <f t="shared" ref="H131:H194" ca="1" si="13">D131*G131</f>
        <v>2765.6570918291413</v>
      </c>
      <c r="I131">
        <f t="shared" ref="I131:I194" ca="1" si="14">D131*((G131-$L$1)^2)</f>
        <v>73184.734910016719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10571</v>
      </c>
      <c r="B134" s="66">
        <v>10571</v>
      </c>
      <c r="D134">
        <f t="shared" si="10"/>
        <v>19.66624497693109</v>
      </c>
      <c r="E134">
        <f t="shared" si="11"/>
        <v>19.66624497693109</v>
      </c>
      <c r="G134">
        <f t="shared" ca="1" si="12"/>
        <v>132</v>
      </c>
      <c r="H134">
        <f t="shared" ca="1" si="13"/>
        <v>2595.944336954904</v>
      </c>
      <c r="I134">
        <f t="shared" ca="1" si="14"/>
        <v>74203.691331264432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11429</v>
      </c>
      <c r="B136" s="66">
        <v>11429</v>
      </c>
      <c r="D136">
        <f t="shared" si="10"/>
        <v>21.262464652478048</v>
      </c>
      <c r="E136">
        <f t="shared" si="11"/>
        <v>21.262464652478048</v>
      </c>
      <c r="G136">
        <f t="shared" ca="1" si="12"/>
        <v>134</v>
      </c>
      <c r="H136">
        <f t="shared" ca="1" si="13"/>
        <v>2849.1702634320586</v>
      </c>
      <c r="I136">
        <f t="shared" ca="1" si="14"/>
        <v>85535.78756208632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9159</v>
      </c>
      <c r="B139" s="66">
        <v>9159</v>
      </c>
      <c r="D139">
        <f t="shared" si="10"/>
        <v>17.039365977079921</v>
      </c>
      <c r="E139">
        <f t="shared" si="11"/>
        <v>17.039365977079921</v>
      </c>
      <c r="G139">
        <f t="shared" ca="1" si="12"/>
        <v>137</v>
      </c>
      <c r="H139">
        <f t="shared" ca="1" si="13"/>
        <v>2334.393138859949</v>
      </c>
      <c r="I139">
        <f t="shared" ca="1" si="14"/>
        <v>75184.663163288642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10754</v>
      </c>
      <c r="B142" s="66">
        <v>10754</v>
      </c>
      <c r="D142">
        <f t="shared" si="10"/>
        <v>20.006697425212085</v>
      </c>
      <c r="E142">
        <f t="shared" si="11"/>
        <v>20.006697425212085</v>
      </c>
      <c r="G142">
        <f t="shared" ca="1" si="12"/>
        <v>140</v>
      </c>
      <c r="H142">
        <f t="shared" ca="1" si="13"/>
        <v>2800.9376395296918</v>
      </c>
      <c r="I142">
        <f t="shared" ca="1" si="14"/>
        <v>96431.591265846597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11282</v>
      </c>
      <c r="B144" s="66">
        <v>11282</v>
      </c>
      <c r="D144">
        <f t="shared" si="10"/>
        <v>20.988986456317903</v>
      </c>
      <c r="E144">
        <f t="shared" si="11"/>
        <v>20.988986456317903</v>
      </c>
      <c r="G144">
        <f t="shared" ca="1" si="12"/>
        <v>142</v>
      </c>
      <c r="H144">
        <f t="shared" ca="1" si="13"/>
        <v>2980.4360767971421</v>
      </c>
      <c r="I144">
        <f t="shared" ca="1" si="14"/>
        <v>107078.86953608679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11552</v>
      </c>
      <c r="B147" s="66">
        <v>11552</v>
      </c>
      <c r="D147">
        <f t="shared" si="10"/>
        <v>21.491293347224289</v>
      </c>
      <c r="E147">
        <f t="shared" si="11"/>
        <v>21.491293347224289</v>
      </c>
      <c r="G147">
        <f t="shared" ca="1" si="12"/>
        <v>145</v>
      </c>
      <c r="H147">
        <f t="shared" ca="1" si="13"/>
        <v>3116.2375353475218</v>
      </c>
      <c r="I147">
        <f t="shared" ca="1" si="14"/>
        <v>119045.11387628193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8525</v>
      </c>
      <c r="B149" s="66">
        <v>8525</v>
      </c>
      <c r="D149">
        <f t="shared" si="10"/>
        <v>15.859874981396041</v>
      </c>
      <c r="E149">
        <f t="shared" si="11"/>
        <v>15.859874981396041</v>
      </c>
      <c r="G149">
        <f t="shared" ca="1" si="12"/>
        <v>147</v>
      </c>
      <c r="H149">
        <f t="shared" ca="1" si="13"/>
        <v>2331.4016222652181</v>
      </c>
      <c r="I149">
        <f t="shared" ca="1" si="14"/>
        <v>92636.405206304058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9214</v>
      </c>
      <c r="B152" s="66">
        <v>9214</v>
      </c>
      <c r="D152">
        <f t="shared" si="10"/>
        <v>17.141687751153444</v>
      </c>
      <c r="E152">
        <f t="shared" si="11"/>
        <v>17.141687751153444</v>
      </c>
      <c r="G152">
        <f t="shared" ca="1" si="12"/>
        <v>150</v>
      </c>
      <c r="H152">
        <f t="shared" ca="1" si="13"/>
        <v>2571.2531626730165</v>
      </c>
      <c r="I152">
        <f t="shared" ca="1" si="14"/>
        <v>108138.07871591767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7113</v>
      </c>
      <c r="B154" s="66">
        <v>7113</v>
      </c>
      <c r="D154">
        <f t="shared" si="10"/>
        <v>13.232995981544873</v>
      </c>
      <c r="E154">
        <f t="shared" si="11"/>
        <v>13.232995981544873</v>
      </c>
      <c r="G154">
        <f t="shared" ca="1" si="12"/>
        <v>152</v>
      </c>
      <c r="H154">
        <f t="shared" ca="1" si="13"/>
        <v>2011.4153891948206</v>
      </c>
      <c r="I154">
        <f t="shared" ca="1" si="14"/>
        <v>87737.261844350767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7430</v>
      </c>
      <c r="B157" s="66">
        <v>7430</v>
      </c>
      <c r="D157">
        <f t="shared" si="10"/>
        <v>13.822741479386814</v>
      </c>
      <c r="E157">
        <f t="shared" si="11"/>
        <v>13.822741479386814</v>
      </c>
      <c r="G157">
        <f t="shared" ca="1" si="12"/>
        <v>155</v>
      </c>
      <c r="H157">
        <f t="shared" ca="1" si="13"/>
        <v>2142.524929304956</v>
      </c>
      <c r="I157">
        <f t="shared" ca="1" si="14"/>
        <v>98524.971425201933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6765</v>
      </c>
      <c r="B160" s="66">
        <v>6765</v>
      </c>
      <c r="D160">
        <f t="shared" si="10"/>
        <v>12.585578211043311</v>
      </c>
      <c r="E160">
        <f t="shared" si="11"/>
        <v>12.585578211043311</v>
      </c>
      <c r="G160">
        <f t="shared" ca="1" si="12"/>
        <v>158</v>
      </c>
      <c r="H160">
        <f t="shared" ca="1" si="13"/>
        <v>1988.5213573448432</v>
      </c>
      <c r="I160">
        <f t="shared" ca="1" si="14"/>
        <v>96195.355771584917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4616</v>
      </c>
      <c r="B162" s="66">
        <v>4616</v>
      </c>
      <c r="D162">
        <f t="shared" si="10"/>
        <v>8.5875874386069349</v>
      </c>
      <c r="E162">
        <f t="shared" si="11"/>
        <v>8.5875874386069349</v>
      </c>
      <c r="G162">
        <f t="shared" ca="1" si="12"/>
        <v>160</v>
      </c>
      <c r="H162">
        <f t="shared" ca="1" si="13"/>
        <v>1374.0139901771095</v>
      </c>
      <c r="I162">
        <f t="shared" ca="1" si="14"/>
        <v>68674.974090907257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3054</v>
      </c>
      <c r="B165" s="66">
        <v>3054</v>
      </c>
      <c r="D165">
        <f t="shared" si="10"/>
        <v>5.6816490549188865</v>
      </c>
      <c r="E165">
        <f t="shared" si="11"/>
        <v>5.6816490549188865</v>
      </c>
      <c r="G165">
        <f t="shared" ca="1" si="12"/>
        <v>163</v>
      </c>
      <c r="H165">
        <f t="shared" ca="1" si="13"/>
        <v>926.10879595177846</v>
      </c>
      <c r="I165">
        <f t="shared" ca="1" si="14"/>
        <v>48535.828954171157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2210</v>
      </c>
      <c r="B167" s="66">
        <v>2210</v>
      </c>
      <c r="D167">
        <f t="shared" si="10"/>
        <v>4.1114749218633726</v>
      </c>
      <c r="E167">
        <f t="shared" si="11"/>
        <v>4.1114749218633726</v>
      </c>
      <c r="G167">
        <f t="shared" ca="1" si="12"/>
        <v>165</v>
      </c>
      <c r="H167">
        <f t="shared" ca="1" si="13"/>
        <v>678.39336210745648</v>
      </c>
      <c r="I167">
        <f t="shared" ca="1" si="14"/>
        <v>36658.99608747381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1546</v>
      </c>
      <c r="B170" s="66">
        <v>1546</v>
      </c>
      <c r="D170">
        <f t="shared" si="10"/>
        <v>2.8761720494121148</v>
      </c>
      <c r="E170">
        <f t="shared" si="11"/>
        <v>2.8761720494121148</v>
      </c>
      <c r="G170">
        <f t="shared" ca="1" si="12"/>
        <v>168</v>
      </c>
      <c r="H170">
        <f t="shared" ca="1" si="13"/>
        <v>483.19690430123529</v>
      </c>
      <c r="I170">
        <f t="shared" ca="1" si="14"/>
        <v>27300.107065540858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611</v>
      </c>
      <c r="B173" s="66">
        <v>611</v>
      </c>
      <c r="D173">
        <f t="shared" si="10"/>
        <v>1.1367018901622266</v>
      </c>
      <c r="E173">
        <f t="shared" si="11"/>
        <v>1.1367018901622266</v>
      </c>
      <c r="G173">
        <f t="shared" ca="1" si="12"/>
        <v>171</v>
      </c>
      <c r="H173">
        <f t="shared" ca="1" si="13"/>
        <v>194.37602321774074</v>
      </c>
      <c r="I173">
        <f t="shared" ca="1" si="14"/>
        <v>11464.065641584886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907</v>
      </c>
      <c r="B175" s="66">
        <v>907</v>
      </c>
      <c r="D175">
        <f t="shared" si="10"/>
        <v>1.6873790742670041</v>
      </c>
      <c r="E175">
        <f t="shared" si="11"/>
        <v>1.6873790742670041</v>
      </c>
      <c r="G175">
        <f t="shared" ca="1" si="12"/>
        <v>173</v>
      </c>
      <c r="H175">
        <f t="shared" ca="1" si="13"/>
        <v>291.9165798481917</v>
      </c>
      <c r="I175">
        <f t="shared" ca="1" si="14"/>
        <v>17702.428189032093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504</v>
      </c>
      <c r="B178" s="66">
        <v>504</v>
      </c>
      <c r="D178">
        <f t="shared" si="10"/>
        <v>0.93763952969191844</v>
      </c>
      <c r="E178">
        <f t="shared" si="11"/>
        <v>0.93763952969191844</v>
      </c>
      <c r="G178">
        <f t="shared" ca="1" si="12"/>
        <v>176</v>
      </c>
      <c r="H178">
        <f t="shared" ca="1" si="13"/>
        <v>165.02455722577764</v>
      </c>
      <c r="I178">
        <f t="shared" ca="1" si="14"/>
        <v>10421.521538467518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478</v>
      </c>
      <c r="B180" s="66">
        <v>478</v>
      </c>
      <c r="D180">
        <f t="shared" si="10"/>
        <v>0.88926923649352585</v>
      </c>
      <c r="E180">
        <f t="shared" si="11"/>
        <v>0.88926923649352585</v>
      </c>
      <c r="G180">
        <f t="shared" ca="1" si="12"/>
        <v>178</v>
      </c>
      <c r="H180">
        <f t="shared" ca="1" si="13"/>
        <v>158.2899240958476</v>
      </c>
      <c r="I180">
        <f t="shared" ca="1" si="14"/>
        <v>10262.468732941459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862</v>
      </c>
      <c r="B183" s="66">
        <v>862</v>
      </c>
      <c r="D183">
        <f t="shared" si="10"/>
        <v>1.6036612591159398</v>
      </c>
      <c r="E183">
        <f t="shared" si="11"/>
        <v>1.6036612591159398</v>
      </c>
      <c r="G183">
        <f t="shared" ca="1" si="12"/>
        <v>181</v>
      </c>
      <c r="H183">
        <f t="shared" ca="1" si="13"/>
        <v>290.26268789998511</v>
      </c>
      <c r="I183">
        <f t="shared" ca="1" si="14"/>
        <v>19554.877241088925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759</v>
      </c>
      <c r="B185" s="66">
        <v>759</v>
      </c>
      <c r="D185">
        <f t="shared" si="10"/>
        <v>1.4120404822146153</v>
      </c>
      <c r="E185">
        <f t="shared" si="11"/>
        <v>1.4120404822146153</v>
      </c>
      <c r="G185">
        <f t="shared" ca="1" si="12"/>
        <v>183</v>
      </c>
      <c r="H185">
        <f t="shared" ca="1" si="13"/>
        <v>258.40340824527459</v>
      </c>
      <c r="I185">
        <f t="shared" ca="1" si="14"/>
        <v>17847.625509193367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212</v>
      </c>
      <c r="B188" s="66">
        <v>212</v>
      </c>
      <c r="D188">
        <f t="shared" si="10"/>
        <v>0.39440392915612443</v>
      </c>
      <c r="E188">
        <f t="shared" si="11"/>
        <v>0.39440392915612443</v>
      </c>
      <c r="G188">
        <f t="shared" ca="1" si="12"/>
        <v>186</v>
      </c>
      <c r="H188">
        <f t="shared" ca="1" si="13"/>
        <v>73.359130823039138</v>
      </c>
      <c r="I188">
        <f t="shared" ca="1" si="14"/>
        <v>5254.7046247116623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111</v>
      </c>
      <c r="B191" s="66">
        <v>111</v>
      </c>
      <c r="D191">
        <f t="shared" si="10"/>
        <v>0.20650394403929156</v>
      </c>
      <c r="E191">
        <f t="shared" si="11"/>
        <v>0.20650394403929156</v>
      </c>
      <c r="G191">
        <f t="shared" ca="1" si="12"/>
        <v>189</v>
      </c>
      <c r="H191">
        <f t="shared" ca="1" si="13"/>
        <v>39.029245423426104</v>
      </c>
      <c r="I191">
        <f t="shared" ca="1" si="14"/>
        <v>2896.1580706467175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352</v>
      </c>
      <c r="B193" s="66">
        <v>352</v>
      </c>
      <c r="D193">
        <f t="shared" si="10"/>
        <v>0.65485935407054618</v>
      </c>
      <c r="E193">
        <f t="shared" si="11"/>
        <v>0.65485935407054618</v>
      </c>
      <c r="G193">
        <f t="shared" ca="1" si="12"/>
        <v>191</v>
      </c>
      <c r="H193">
        <f t="shared" ca="1" si="13"/>
        <v>125.07813662747432</v>
      </c>
      <c r="I193">
        <f t="shared" ca="1" si="14"/>
        <v>9497.0418385720805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80.880623732199865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1.5616018497621573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0.67724802646229454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9588</v>
      </c>
      <c r="B8" s="66">
        <v>9588</v>
      </c>
      <c r="D8">
        <f t="shared" si="0"/>
        <v>11.46122214784355</v>
      </c>
      <c r="E8">
        <f t="shared" si="1"/>
        <v>11.46122214784355</v>
      </c>
      <c r="G8">
        <f t="shared" ca="1" si="2"/>
        <v>6</v>
      </c>
      <c r="H8">
        <f t="shared" ca="1" si="3"/>
        <v>68.767332887061301</v>
      </c>
      <c r="I8">
        <f t="shared" ca="1" si="4"/>
        <v>64264.308223316126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15428</v>
      </c>
      <c r="B10" s="66">
        <v>15428</v>
      </c>
      <c r="D10">
        <f t="shared" si="0"/>
        <v>18.442191833221766</v>
      </c>
      <c r="E10">
        <f t="shared" si="1"/>
        <v>18.442191833221766</v>
      </c>
      <c r="G10">
        <f t="shared" ca="1" si="2"/>
        <v>8</v>
      </c>
      <c r="H10">
        <f t="shared" ca="1" si="3"/>
        <v>147.53753466577413</v>
      </c>
      <c r="I10">
        <f t="shared" ca="1" si="4"/>
        <v>97957.275328717442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15126</v>
      </c>
      <c r="B13" s="66">
        <v>15126</v>
      </c>
      <c r="D13">
        <f t="shared" si="0"/>
        <v>18.081189633738166</v>
      </c>
      <c r="E13">
        <f t="shared" si="1"/>
        <v>18.081189633738166</v>
      </c>
      <c r="G13">
        <f t="shared" ca="1" si="2"/>
        <v>11</v>
      </c>
      <c r="H13">
        <f t="shared" ca="1" si="3"/>
        <v>198.89308597111983</v>
      </c>
      <c r="I13">
        <f t="shared" ca="1" si="4"/>
        <v>88295.901783784531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17650</v>
      </c>
      <c r="B15" s="66">
        <v>17650</v>
      </c>
      <c r="D15">
        <f t="shared" si="0"/>
        <v>21.098307353925598</v>
      </c>
      <c r="E15">
        <f t="shared" si="1"/>
        <v>21.098307353925598</v>
      </c>
      <c r="G15">
        <f t="shared" ca="1" si="2"/>
        <v>13</v>
      </c>
      <c r="H15">
        <f t="shared" ca="1" si="3"/>
        <v>274.27799560103279</v>
      </c>
      <c r="I15">
        <f t="shared" ca="1" si="4"/>
        <v>97216.339212381092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18101</v>
      </c>
      <c r="B18" s="66">
        <v>18101</v>
      </c>
      <c r="D18">
        <f t="shared" si="0"/>
        <v>21.637419910108061</v>
      </c>
      <c r="E18">
        <f t="shared" si="1"/>
        <v>21.637419910108061</v>
      </c>
      <c r="G18">
        <f t="shared" ca="1" si="2"/>
        <v>16</v>
      </c>
      <c r="H18">
        <f t="shared" ca="1" si="3"/>
        <v>346.19871856172898</v>
      </c>
      <c r="I18">
        <f t="shared" ca="1" si="4"/>
        <v>91082.618192061709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18549</v>
      </c>
      <c r="B21" s="66">
        <v>18549</v>
      </c>
      <c r="D21">
        <f t="shared" si="0"/>
        <v>22.172946351726118</v>
      </c>
      <c r="E21">
        <f t="shared" si="1"/>
        <v>22.172946351726118</v>
      </c>
      <c r="G21">
        <f t="shared" ca="1" si="2"/>
        <v>19</v>
      </c>
      <c r="H21">
        <f t="shared" ca="1" si="3"/>
        <v>421.28598068279626</v>
      </c>
      <c r="I21">
        <f t="shared" ca="1" si="4"/>
        <v>84904.903231774908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20919</v>
      </c>
      <c r="B23" s="66">
        <v>20919</v>
      </c>
      <c r="D23">
        <f t="shared" si="0"/>
        <v>25.005976857607344</v>
      </c>
      <c r="E23">
        <f t="shared" si="1"/>
        <v>25.005976857607344</v>
      </c>
      <c r="G23">
        <f t="shared" ca="1" si="2"/>
        <v>21</v>
      </c>
      <c r="H23">
        <f t="shared" ca="1" si="3"/>
        <v>525.12551400975417</v>
      </c>
      <c r="I23">
        <f t="shared" ca="1" si="4"/>
        <v>89663.658617098728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22050</v>
      </c>
      <c r="B26" s="66">
        <v>22050</v>
      </c>
      <c r="D26">
        <f t="shared" si="0"/>
        <v>26.35794204838864</v>
      </c>
      <c r="E26">
        <f t="shared" si="1"/>
        <v>26.35794204838864</v>
      </c>
      <c r="G26">
        <f t="shared" ca="1" si="2"/>
        <v>24</v>
      </c>
      <c r="H26">
        <f t="shared" ca="1" si="3"/>
        <v>632.59060916132739</v>
      </c>
      <c r="I26">
        <f t="shared" ca="1" si="4"/>
        <v>85278.626880819516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23503</v>
      </c>
      <c r="B28" s="66">
        <v>23503</v>
      </c>
      <c r="D28">
        <f t="shared" si="0"/>
        <v>28.094816869082912</v>
      </c>
      <c r="E28">
        <f t="shared" si="1"/>
        <v>28.094816869082912</v>
      </c>
      <c r="G28">
        <f t="shared" ca="1" si="2"/>
        <v>26</v>
      </c>
      <c r="H28">
        <f t="shared" ca="1" si="3"/>
        <v>730.4652385961557</v>
      </c>
      <c r="I28">
        <f t="shared" ca="1" si="4"/>
        <v>84618.297417535185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25488</v>
      </c>
      <c r="B31" s="66">
        <v>25488</v>
      </c>
      <c r="D31">
        <f t="shared" si="0"/>
        <v>30.467629339198623</v>
      </c>
      <c r="E31">
        <f t="shared" si="1"/>
        <v>30.467629339198623</v>
      </c>
      <c r="G31">
        <f t="shared" ca="1" si="2"/>
        <v>29</v>
      </c>
      <c r="H31">
        <f t="shared" ca="1" si="3"/>
        <v>883.56125083676011</v>
      </c>
      <c r="I31">
        <f t="shared" ca="1" si="4"/>
        <v>82006.644282594731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26138</v>
      </c>
      <c r="B33" s="66">
        <v>26138</v>
      </c>
      <c r="D33">
        <f t="shared" si="0"/>
        <v>31.244620828153391</v>
      </c>
      <c r="E33">
        <f t="shared" si="1"/>
        <v>31.244620828153391</v>
      </c>
      <c r="G33">
        <f t="shared" ca="1" si="2"/>
        <v>31</v>
      </c>
      <c r="H33">
        <f t="shared" ca="1" si="3"/>
        <v>968.58324567275508</v>
      </c>
      <c r="I33">
        <f t="shared" ca="1" si="4"/>
        <v>77739.01070556308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27813</v>
      </c>
      <c r="B36" s="66">
        <v>27813</v>
      </c>
      <c r="D36">
        <f t="shared" si="0"/>
        <v>33.246868126613748</v>
      </c>
      <c r="E36">
        <f t="shared" si="1"/>
        <v>33.246868126613748</v>
      </c>
      <c r="G36">
        <f t="shared" ca="1" si="2"/>
        <v>34</v>
      </c>
      <c r="H36">
        <f t="shared" ca="1" si="3"/>
        <v>1130.3935163048675</v>
      </c>
      <c r="I36">
        <f t="shared" ca="1" si="4"/>
        <v>73069.730101509238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29904</v>
      </c>
      <c r="B39" s="66">
        <v>29904</v>
      </c>
      <c r="D39">
        <f t="shared" si="0"/>
        <v>35.746389978005162</v>
      </c>
      <c r="E39">
        <f t="shared" si="1"/>
        <v>35.746389978005162</v>
      </c>
      <c r="G39">
        <f t="shared" ca="1" si="2"/>
        <v>37</v>
      </c>
      <c r="H39">
        <f t="shared" ca="1" si="3"/>
        <v>1322.616429186191</v>
      </c>
      <c r="I39">
        <f t="shared" ca="1" si="4"/>
        <v>68830.000593443241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37454</v>
      </c>
      <c r="B41" s="66">
        <v>37454</v>
      </c>
      <c r="D41">
        <f t="shared" si="0"/>
        <v>44.771444965095149</v>
      </c>
      <c r="E41">
        <f t="shared" si="1"/>
        <v>44.771444965095149</v>
      </c>
      <c r="G41">
        <f t="shared" ca="1" si="2"/>
        <v>39</v>
      </c>
      <c r="H41">
        <f t="shared" ca="1" si="3"/>
        <v>1746.0863536387108</v>
      </c>
      <c r="I41">
        <f t="shared" ca="1" si="4"/>
        <v>78528.516510227273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44886</v>
      </c>
      <c r="B44" s="66">
        <v>44886</v>
      </c>
      <c r="D44">
        <f t="shared" si="0"/>
        <v>53.655446112651809</v>
      </c>
      <c r="E44">
        <f t="shared" si="1"/>
        <v>53.655446112651809</v>
      </c>
      <c r="G44">
        <f t="shared" ca="1" si="2"/>
        <v>42</v>
      </c>
      <c r="H44">
        <f t="shared" ca="1" si="3"/>
        <v>2253.5287367313758</v>
      </c>
      <c r="I44">
        <f t="shared" ca="1" si="4"/>
        <v>81111.093586132367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47275</v>
      </c>
      <c r="B46" s="66">
        <v>47275</v>
      </c>
      <c r="D46">
        <f t="shared" si="0"/>
        <v>56.511188677440948</v>
      </c>
      <c r="E46">
        <f t="shared" si="1"/>
        <v>56.511188677440948</v>
      </c>
      <c r="G46">
        <f t="shared" ca="1" si="2"/>
        <v>44</v>
      </c>
      <c r="H46">
        <f t="shared" ca="1" si="3"/>
        <v>2486.4923018074019</v>
      </c>
      <c r="I46">
        <f t="shared" ca="1" si="4"/>
        <v>76865.411608333903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52988</v>
      </c>
      <c r="B49" s="66">
        <v>52988</v>
      </c>
      <c r="D49">
        <f t="shared" si="0"/>
        <v>63.340346179592615</v>
      </c>
      <c r="E49">
        <f t="shared" si="1"/>
        <v>63.340346179592615</v>
      </c>
      <c r="G49">
        <f t="shared" ca="1" si="2"/>
        <v>47</v>
      </c>
      <c r="H49">
        <f t="shared" ca="1" si="3"/>
        <v>2976.9962704408531</v>
      </c>
      <c r="I49">
        <f t="shared" ca="1" si="4"/>
        <v>72708.172106746861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60271</v>
      </c>
      <c r="B51" s="66">
        <v>60271</v>
      </c>
      <c r="D51">
        <f t="shared" si="0"/>
        <v>72.046236970450423</v>
      </c>
      <c r="E51">
        <f t="shared" si="1"/>
        <v>72.046236970450423</v>
      </c>
      <c r="G51">
        <f t="shared" ca="1" si="2"/>
        <v>49</v>
      </c>
      <c r="H51">
        <f t="shared" ca="1" si="3"/>
        <v>3530.2656115520708</v>
      </c>
      <c r="I51">
        <f t="shared" ca="1" si="4"/>
        <v>73225.934270339829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64857</v>
      </c>
      <c r="B54" s="66">
        <v>64857</v>
      </c>
      <c r="D54">
        <f t="shared" si="0"/>
        <v>77.528210767906671</v>
      </c>
      <c r="E54">
        <f t="shared" si="1"/>
        <v>77.528210767906671</v>
      </c>
      <c r="G54">
        <f t="shared" ca="1" si="2"/>
        <v>52</v>
      </c>
      <c r="H54">
        <f t="shared" ca="1" si="3"/>
        <v>4031.4669599311469</v>
      </c>
      <c r="I54">
        <f t="shared" ca="1" si="4"/>
        <v>64665.538436424031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65212</v>
      </c>
      <c r="B57" s="66">
        <v>65212</v>
      </c>
      <c r="D57">
        <f t="shared" si="0"/>
        <v>77.952567658028116</v>
      </c>
      <c r="E57">
        <f t="shared" si="1"/>
        <v>77.952567658028116</v>
      </c>
      <c r="G57">
        <f t="shared" ca="1" si="2"/>
        <v>55</v>
      </c>
      <c r="H57">
        <f t="shared" ca="1" si="3"/>
        <v>4287.3912211915467</v>
      </c>
      <c r="I57">
        <f t="shared" ca="1" si="4"/>
        <v>52213.150912154182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67043</v>
      </c>
      <c r="B59" s="66">
        <v>67043</v>
      </c>
      <c r="D59">
        <f t="shared" si="0"/>
        <v>80.141292913837617</v>
      </c>
      <c r="E59">
        <f t="shared" si="1"/>
        <v>80.141292913837617</v>
      </c>
      <c r="G59">
        <f t="shared" ca="1" si="2"/>
        <v>57</v>
      </c>
      <c r="H59">
        <f t="shared" ca="1" si="3"/>
        <v>4568.0536960887439</v>
      </c>
      <c r="I59">
        <f t="shared" ca="1" si="4"/>
        <v>45703.312302010461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70526</v>
      </c>
      <c r="B62" s="66">
        <v>70526</v>
      </c>
      <c r="D62">
        <f t="shared" si="0"/>
        <v>84.304771923113705</v>
      </c>
      <c r="E62">
        <f t="shared" si="1"/>
        <v>84.304771923113705</v>
      </c>
      <c r="G62">
        <f t="shared" ca="1" si="2"/>
        <v>60</v>
      </c>
      <c r="H62">
        <f t="shared" ca="1" si="3"/>
        <v>5058.286315386822</v>
      </c>
      <c r="I62">
        <f t="shared" ca="1" si="4"/>
        <v>36756.918280285958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70426</v>
      </c>
      <c r="B64" s="66">
        <v>70426</v>
      </c>
      <c r="D64">
        <f t="shared" si="0"/>
        <v>84.185234770966815</v>
      </c>
      <c r="E64">
        <f t="shared" si="1"/>
        <v>84.185234770966815</v>
      </c>
      <c r="G64">
        <f t="shared" ca="1" si="2"/>
        <v>62</v>
      </c>
      <c r="H64">
        <f t="shared" ca="1" si="3"/>
        <v>5219.4845557999424</v>
      </c>
      <c r="I64">
        <f t="shared" ca="1" si="4"/>
        <v>30010.180123309525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76936</v>
      </c>
      <c r="B67" s="66">
        <v>76936</v>
      </c>
      <c r="D67">
        <f t="shared" ref="D67:D130" si="5">IFERROR(100*A67/MAX(A$2:A$257), 0 )</f>
        <v>91.967103375729181</v>
      </c>
      <c r="E67">
        <f t="shared" ref="E67:E130" si="6">IFERROR(100*B67/MAX(B$2:B$257), 0 )</f>
        <v>91.967103375729181</v>
      </c>
      <c r="G67">
        <f t="shared" ref="G67:G130" ca="1" si="7">CELL("row",D67)-2</f>
        <v>65</v>
      </c>
      <c r="H67">
        <f t="shared" ref="H67:H130" ca="1" si="8">D67*G67</f>
        <v>5977.8617194223971</v>
      </c>
      <c r="I67">
        <f t="shared" ref="I67:I130" ca="1" si="9">D67*((G67-$L$1)^2)</f>
        <v>23193.570993207566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82522</v>
      </c>
      <c r="B69" s="66">
        <v>82522</v>
      </c>
      <c r="D69">
        <f t="shared" si="5"/>
        <v>98.644448694654301</v>
      </c>
      <c r="E69">
        <f t="shared" si="6"/>
        <v>98.644448694654301</v>
      </c>
      <c r="G69">
        <f t="shared" ca="1" si="7"/>
        <v>67</v>
      </c>
      <c r="H69">
        <f t="shared" ca="1" si="8"/>
        <v>6609.1780625418378</v>
      </c>
      <c r="I69">
        <f t="shared" ca="1" si="9"/>
        <v>19005.995124455356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79650</v>
      </c>
      <c r="B72" s="66">
        <v>79650</v>
      </c>
      <c r="D72">
        <f t="shared" si="5"/>
        <v>95.211341684995702</v>
      </c>
      <c r="E72">
        <f t="shared" si="6"/>
        <v>95.211341684995702</v>
      </c>
      <c r="G72">
        <f t="shared" ca="1" si="7"/>
        <v>70</v>
      </c>
      <c r="H72">
        <f t="shared" ca="1" si="8"/>
        <v>6664.7939179496989</v>
      </c>
      <c r="I72">
        <f t="shared" ca="1" si="9"/>
        <v>11271.877729817676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81764</v>
      </c>
      <c r="B75" s="66">
        <v>81764</v>
      </c>
      <c r="D75">
        <f t="shared" si="5"/>
        <v>97.738357081380897</v>
      </c>
      <c r="E75">
        <f t="shared" si="6"/>
        <v>97.738357081380897</v>
      </c>
      <c r="G75">
        <f t="shared" ca="1" si="7"/>
        <v>73</v>
      </c>
      <c r="H75">
        <f t="shared" ca="1" si="8"/>
        <v>7134.9000669408051</v>
      </c>
      <c r="I75">
        <f t="shared" ca="1" si="9"/>
        <v>6069.9654479314731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83656</v>
      </c>
      <c r="B77" s="66">
        <v>83656</v>
      </c>
      <c r="D77">
        <f t="shared" si="5"/>
        <v>100</v>
      </c>
      <c r="E77">
        <f t="shared" si="6"/>
        <v>100</v>
      </c>
      <c r="G77">
        <f t="shared" ca="1" si="7"/>
        <v>75</v>
      </c>
      <c r="H77">
        <f t="shared" ca="1" si="8"/>
        <v>7500</v>
      </c>
      <c r="I77">
        <f t="shared" ca="1" si="9"/>
        <v>3458.173547971227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78643</v>
      </c>
      <c r="B80" s="66">
        <v>78643</v>
      </c>
      <c r="D80">
        <f t="shared" si="5"/>
        <v>94.007602562876542</v>
      </c>
      <c r="E80">
        <f t="shared" si="6"/>
        <v>94.007602562876542</v>
      </c>
      <c r="G80">
        <f t="shared" ca="1" si="7"/>
        <v>78</v>
      </c>
      <c r="H80">
        <f t="shared" ca="1" si="8"/>
        <v>7332.5929999043701</v>
      </c>
      <c r="I80">
        <f t="shared" ca="1" si="9"/>
        <v>780.07443614641898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79231</v>
      </c>
      <c r="B82" s="66">
        <v>79231</v>
      </c>
      <c r="D82">
        <f t="shared" si="5"/>
        <v>94.710481017500243</v>
      </c>
      <c r="E82">
        <f t="shared" si="6"/>
        <v>94.710481017500243</v>
      </c>
      <c r="G82">
        <f t="shared" ca="1" si="7"/>
        <v>80</v>
      </c>
      <c r="H82">
        <f t="shared" ca="1" si="8"/>
        <v>7576.8384814000192</v>
      </c>
      <c r="I82">
        <f t="shared" ca="1" si="9"/>
        <v>73.447803545242195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75792</v>
      </c>
      <c r="B85" s="66">
        <v>75792</v>
      </c>
      <c r="D85">
        <f t="shared" si="5"/>
        <v>90.59959835516878</v>
      </c>
      <c r="E85">
        <f t="shared" si="6"/>
        <v>90.59959835516878</v>
      </c>
      <c r="G85">
        <f t="shared" ca="1" si="7"/>
        <v>83</v>
      </c>
      <c r="H85">
        <f t="shared" ca="1" si="8"/>
        <v>7519.7666634790085</v>
      </c>
      <c r="I85">
        <f t="shared" ca="1" si="9"/>
        <v>406.95126817452137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73189</v>
      </c>
      <c r="B88" s="66">
        <v>73189</v>
      </c>
      <c r="D88">
        <f t="shared" si="5"/>
        <v>87.488046284785312</v>
      </c>
      <c r="E88">
        <f t="shared" si="6"/>
        <v>87.488046284785312</v>
      </c>
      <c r="G88">
        <f t="shared" ca="1" si="7"/>
        <v>86</v>
      </c>
      <c r="H88">
        <f t="shared" ca="1" si="8"/>
        <v>7523.9719804915367</v>
      </c>
      <c r="I88">
        <f t="shared" ca="1" si="9"/>
        <v>2292.8878868618999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72870</v>
      </c>
      <c r="B90" s="66">
        <v>72870</v>
      </c>
      <c r="D90">
        <f t="shared" si="5"/>
        <v>87.106722769436743</v>
      </c>
      <c r="E90">
        <f t="shared" si="6"/>
        <v>87.106722769436743</v>
      </c>
      <c r="G90">
        <f t="shared" ca="1" si="7"/>
        <v>88</v>
      </c>
      <c r="H90">
        <f t="shared" ca="1" si="8"/>
        <v>7665.3916037104336</v>
      </c>
      <c r="I90">
        <f t="shared" ca="1" si="9"/>
        <v>4415.0494033973955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75683</v>
      </c>
      <c r="B93" s="66">
        <v>75683</v>
      </c>
      <c r="D93">
        <f t="shared" si="5"/>
        <v>90.469302859328678</v>
      </c>
      <c r="E93">
        <f t="shared" si="6"/>
        <v>90.469302859328678</v>
      </c>
      <c r="G93">
        <f t="shared" ca="1" si="7"/>
        <v>91</v>
      </c>
      <c r="H93">
        <f t="shared" ca="1" si="8"/>
        <v>8232.7065601989088</v>
      </c>
      <c r="I93">
        <f t="shared" ca="1" si="9"/>
        <v>9264.2172907387721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74749</v>
      </c>
      <c r="B95" s="66">
        <v>74749</v>
      </c>
      <c r="D95">
        <f t="shared" si="5"/>
        <v>89.352825858276759</v>
      </c>
      <c r="E95">
        <f t="shared" si="6"/>
        <v>89.352825858276759</v>
      </c>
      <c r="G95">
        <f t="shared" ca="1" si="7"/>
        <v>93</v>
      </c>
      <c r="H95">
        <f t="shared" ca="1" si="8"/>
        <v>8309.8128048197377</v>
      </c>
      <c r="I95">
        <f t="shared" ca="1" si="9"/>
        <v>13124.078828150445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72795</v>
      </c>
      <c r="B98" s="66">
        <v>72795</v>
      </c>
      <c r="D98">
        <f t="shared" si="5"/>
        <v>87.017069905326579</v>
      </c>
      <c r="E98">
        <f t="shared" si="6"/>
        <v>87.017069905326579</v>
      </c>
      <c r="G98">
        <f t="shared" ca="1" si="7"/>
        <v>96</v>
      </c>
      <c r="H98">
        <f t="shared" ca="1" si="8"/>
        <v>8353.6387109113512</v>
      </c>
      <c r="I98">
        <f t="shared" ca="1" si="9"/>
        <v>19891.713973480815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75633</v>
      </c>
      <c r="B100" s="66">
        <v>75633</v>
      </c>
      <c r="D100">
        <f t="shared" si="5"/>
        <v>90.40953428325524</v>
      </c>
      <c r="E100">
        <f t="shared" si="6"/>
        <v>90.40953428325524</v>
      </c>
      <c r="G100">
        <f t="shared" ca="1" si="7"/>
        <v>98</v>
      </c>
      <c r="H100">
        <f t="shared" ca="1" si="8"/>
        <v>8860.134359759013</v>
      </c>
      <c r="I100">
        <f t="shared" ca="1" si="9"/>
        <v>26496.597400800121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66122</v>
      </c>
      <c r="B103" s="66">
        <v>66122</v>
      </c>
      <c r="D103">
        <f t="shared" si="5"/>
        <v>79.040355742564785</v>
      </c>
      <c r="E103">
        <f t="shared" si="6"/>
        <v>79.040355742564785</v>
      </c>
      <c r="G103">
        <f t="shared" ca="1" si="7"/>
        <v>101</v>
      </c>
      <c r="H103">
        <f t="shared" ca="1" si="8"/>
        <v>7983.0759299990432</v>
      </c>
      <c r="I103">
        <f t="shared" ca="1" si="9"/>
        <v>31994.690383860718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56133</v>
      </c>
      <c r="B106" s="66">
        <v>56133</v>
      </c>
      <c r="D106">
        <f t="shared" si="5"/>
        <v>67.09978961461222</v>
      </c>
      <c r="E106">
        <f t="shared" si="6"/>
        <v>67.09978961461222</v>
      </c>
      <c r="G106">
        <f t="shared" ca="1" si="7"/>
        <v>104</v>
      </c>
      <c r="H106">
        <f t="shared" ca="1" si="8"/>
        <v>6978.378119919671</v>
      </c>
      <c r="I106">
        <f t="shared" ca="1" si="9"/>
        <v>35865.210557553954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53711</v>
      </c>
      <c r="B108" s="66">
        <v>53711</v>
      </c>
      <c r="D108">
        <f t="shared" si="5"/>
        <v>64.204599789614619</v>
      </c>
      <c r="E108">
        <f t="shared" si="6"/>
        <v>64.204599789614619</v>
      </c>
      <c r="G108">
        <f t="shared" ca="1" si="7"/>
        <v>106</v>
      </c>
      <c r="H108">
        <f t="shared" ca="1" si="8"/>
        <v>6805.6875776991492</v>
      </c>
      <c r="I108">
        <f t="shared" ca="1" si="9"/>
        <v>40512.015103494356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46078</v>
      </c>
      <c r="B111" s="66">
        <v>46078</v>
      </c>
      <c r="D111">
        <f t="shared" si="5"/>
        <v>55.08032896624271</v>
      </c>
      <c r="E111">
        <f t="shared" si="6"/>
        <v>55.08032896624271</v>
      </c>
      <c r="G111">
        <f t="shared" ca="1" si="7"/>
        <v>109</v>
      </c>
      <c r="H111">
        <f t="shared" ca="1" si="8"/>
        <v>6003.7558573204551</v>
      </c>
      <c r="I111">
        <f t="shared" ca="1" si="9"/>
        <v>43551.978752076859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47545</v>
      </c>
      <c r="B113" s="66">
        <v>47545</v>
      </c>
      <c r="D113">
        <f t="shared" si="5"/>
        <v>56.833938988237541</v>
      </c>
      <c r="E113">
        <f t="shared" si="6"/>
        <v>56.833938988237541</v>
      </c>
      <c r="G113">
        <f t="shared" ca="1" si="7"/>
        <v>111</v>
      </c>
      <c r="H113">
        <f t="shared" ca="1" si="8"/>
        <v>6308.5672276943669</v>
      </c>
      <c r="I113">
        <f t="shared" ca="1" si="9"/>
        <v>51558.432423695915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40668</v>
      </c>
      <c r="B116" s="66">
        <v>40668</v>
      </c>
      <c r="D116">
        <f t="shared" si="5"/>
        <v>48.613369035096106</v>
      </c>
      <c r="E116">
        <f t="shared" si="6"/>
        <v>48.613369035096106</v>
      </c>
      <c r="G116">
        <f t="shared" ca="1" si="7"/>
        <v>114</v>
      </c>
      <c r="H116">
        <f t="shared" ca="1" si="8"/>
        <v>5541.9240700009559</v>
      </c>
      <c r="I116">
        <f t="shared" ca="1" si="9"/>
        <v>53323.668302432365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32178</v>
      </c>
      <c r="B118" s="66">
        <v>32178</v>
      </c>
      <c r="D118">
        <f t="shared" si="5"/>
        <v>38.46466481782538</v>
      </c>
      <c r="E118">
        <f t="shared" si="6"/>
        <v>38.46466481782538</v>
      </c>
      <c r="G118">
        <f t="shared" ca="1" si="7"/>
        <v>116</v>
      </c>
      <c r="H118">
        <f t="shared" ca="1" si="8"/>
        <v>4461.9011188677441</v>
      </c>
      <c r="I118">
        <f t="shared" ca="1" si="9"/>
        <v>47441.186318947293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29620</v>
      </c>
      <c r="B121" s="66">
        <v>29620</v>
      </c>
      <c r="D121">
        <f t="shared" si="5"/>
        <v>35.406904465908006</v>
      </c>
      <c r="E121">
        <f t="shared" si="6"/>
        <v>35.406904465908006</v>
      </c>
      <c r="G121">
        <f t="shared" ca="1" si="7"/>
        <v>119</v>
      </c>
      <c r="H121">
        <f t="shared" ca="1" si="8"/>
        <v>4213.4216314430523</v>
      </c>
      <c r="I121">
        <f t="shared" ca="1" si="9"/>
        <v>51449.3071740296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29792</v>
      </c>
      <c r="B124" s="66">
        <v>29792</v>
      </c>
      <c r="D124">
        <f t="shared" si="5"/>
        <v>35.612508367600647</v>
      </c>
      <c r="E124">
        <f t="shared" si="6"/>
        <v>35.612508367600647</v>
      </c>
      <c r="G124">
        <f t="shared" ca="1" si="7"/>
        <v>122</v>
      </c>
      <c r="H124">
        <f t="shared" ca="1" si="8"/>
        <v>4344.726020847279</v>
      </c>
      <c r="I124">
        <f t="shared" ca="1" si="9"/>
        <v>60213.739712417446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27439</v>
      </c>
      <c r="B126" s="66">
        <v>27439</v>
      </c>
      <c r="D126">
        <f t="shared" si="5"/>
        <v>32.79979917758439</v>
      </c>
      <c r="E126">
        <f t="shared" si="6"/>
        <v>32.79979917758439</v>
      </c>
      <c r="G126">
        <f t="shared" ca="1" si="7"/>
        <v>124</v>
      </c>
      <c r="H126">
        <f t="shared" ca="1" si="8"/>
        <v>4067.1750980204642</v>
      </c>
      <c r="I126">
        <f t="shared" ca="1" si="9"/>
        <v>60984.030613727977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25796</v>
      </c>
      <c r="B129" s="66">
        <v>25796</v>
      </c>
      <c r="D129">
        <f t="shared" si="5"/>
        <v>30.835803767811036</v>
      </c>
      <c r="E129">
        <f t="shared" si="6"/>
        <v>30.835803767811036</v>
      </c>
      <c r="G129">
        <f t="shared" ca="1" si="7"/>
        <v>127</v>
      </c>
      <c r="H129">
        <f t="shared" ca="1" si="8"/>
        <v>3916.1470785120018</v>
      </c>
      <c r="I129">
        <f t="shared" ca="1" si="9"/>
        <v>65587.65801576525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21017</v>
      </c>
      <c r="B131" s="66">
        <v>21017</v>
      </c>
      <c r="D131">
        <f t="shared" ref="D131:D194" si="10">IFERROR(100*A131/MAX(A$2:A$257), 0 )</f>
        <v>25.123123266711293</v>
      </c>
      <c r="E131">
        <f t="shared" ref="E131:E194" si="11">IFERROR(100*B131/MAX(B$2:B$257), 0 )</f>
        <v>25.123123266711293</v>
      </c>
      <c r="G131">
        <f t="shared" ref="G131:G194" ca="1" si="12">CELL("row",D131)-2</f>
        <v>129</v>
      </c>
      <c r="H131">
        <f t="shared" ref="H131:H194" ca="1" si="13">D131*G131</f>
        <v>3240.8829014057569</v>
      </c>
      <c r="I131">
        <f t="shared" ref="I131:I194" ca="1" si="14">D131*((G131-$L$1)^2)</f>
        <v>58171.948078769601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17838</v>
      </c>
      <c r="B134" s="66">
        <v>17838</v>
      </c>
      <c r="D134">
        <f t="shared" si="10"/>
        <v>21.32303719996175</v>
      </c>
      <c r="E134">
        <f t="shared" si="11"/>
        <v>21.32303719996175</v>
      </c>
      <c r="G134">
        <f t="shared" ca="1" si="12"/>
        <v>132</v>
      </c>
      <c r="H134">
        <f t="shared" ca="1" si="13"/>
        <v>2814.6409103949509</v>
      </c>
      <c r="I134">
        <f t="shared" ca="1" si="14"/>
        <v>55721.161014271842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16584</v>
      </c>
      <c r="B136" s="66">
        <v>16584</v>
      </c>
      <c r="D136">
        <f t="shared" si="10"/>
        <v>19.824041312039782</v>
      </c>
      <c r="E136">
        <f t="shared" si="11"/>
        <v>19.824041312039782</v>
      </c>
      <c r="G136">
        <f t="shared" ca="1" si="12"/>
        <v>134</v>
      </c>
      <c r="H136">
        <f t="shared" ca="1" si="13"/>
        <v>2656.4215358133306</v>
      </c>
      <c r="I136">
        <f t="shared" ca="1" si="14"/>
        <v>55936.86567869471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17046</v>
      </c>
      <c r="B139" s="66">
        <v>17046</v>
      </c>
      <c r="D139">
        <f t="shared" si="10"/>
        <v>20.376302954958401</v>
      </c>
      <c r="E139">
        <f t="shared" si="11"/>
        <v>20.376302954958401</v>
      </c>
      <c r="G139">
        <f t="shared" ca="1" si="12"/>
        <v>137</v>
      </c>
      <c r="H139">
        <f t="shared" ca="1" si="13"/>
        <v>2791.5535048293009</v>
      </c>
      <c r="I139">
        <f t="shared" ca="1" si="14"/>
        <v>64172.810507006543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15102</v>
      </c>
      <c r="B142" s="66">
        <v>15102</v>
      </c>
      <c r="D142">
        <f t="shared" si="10"/>
        <v>18.052500717222912</v>
      </c>
      <c r="E142">
        <f t="shared" si="11"/>
        <v>18.052500717222912</v>
      </c>
      <c r="G142">
        <f t="shared" ca="1" si="12"/>
        <v>140</v>
      </c>
      <c r="H142">
        <f t="shared" ca="1" si="13"/>
        <v>2527.3501004112077</v>
      </c>
      <c r="I142">
        <f t="shared" ca="1" si="14"/>
        <v>63095.306996193824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16735</v>
      </c>
      <c r="B144" s="66">
        <v>16735</v>
      </c>
      <c r="D144">
        <f t="shared" si="10"/>
        <v>20.004542411781582</v>
      </c>
      <c r="E144">
        <f t="shared" si="11"/>
        <v>20.004542411781582</v>
      </c>
      <c r="G144">
        <f t="shared" ca="1" si="12"/>
        <v>142</v>
      </c>
      <c r="H144">
        <f t="shared" ca="1" si="13"/>
        <v>2840.6450224729847</v>
      </c>
      <c r="I144">
        <f t="shared" ca="1" si="14"/>
        <v>74728.531641522553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17219</v>
      </c>
      <c r="B147" s="66">
        <v>17219</v>
      </c>
      <c r="D147">
        <f t="shared" si="10"/>
        <v>20.583102228172518</v>
      </c>
      <c r="E147">
        <f t="shared" si="11"/>
        <v>20.583102228172518</v>
      </c>
      <c r="G147">
        <f t="shared" ca="1" si="12"/>
        <v>145</v>
      </c>
      <c r="H147">
        <f t="shared" ca="1" si="13"/>
        <v>2984.5498230850149</v>
      </c>
      <c r="I147">
        <f t="shared" ca="1" si="14"/>
        <v>84623.19319231165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16745</v>
      </c>
      <c r="B149" s="66">
        <v>16745</v>
      </c>
      <c r="D149">
        <f t="shared" si="10"/>
        <v>20.01649612699627</v>
      </c>
      <c r="E149">
        <f t="shared" si="11"/>
        <v>20.01649612699627</v>
      </c>
      <c r="G149">
        <f t="shared" ca="1" si="12"/>
        <v>147</v>
      </c>
      <c r="H149">
        <f t="shared" ca="1" si="13"/>
        <v>2942.4249306684515</v>
      </c>
      <c r="I149">
        <f t="shared" ca="1" si="14"/>
        <v>87507.555665617387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15525</v>
      </c>
      <c r="B152" s="66">
        <v>15525</v>
      </c>
      <c r="D152">
        <f t="shared" si="10"/>
        <v>18.558142870804247</v>
      </c>
      <c r="E152">
        <f t="shared" si="11"/>
        <v>18.558142870804247</v>
      </c>
      <c r="G152">
        <f t="shared" ca="1" si="12"/>
        <v>150</v>
      </c>
      <c r="H152">
        <f t="shared" ca="1" si="13"/>
        <v>2783.721430620637</v>
      </c>
      <c r="I152">
        <f t="shared" ca="1" si="14"/>
        <v>88661.308127285665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17431</v>
      </c>
      <c r="B154" s="66">
        <v>17431</v>
      </c>
      <c r="D154">
        <f t="shared" si="10"/>
        <v>20.836520990723916</v>
      </c>
      <c r="E154">
        <f t="shared" si="11"/>
        <v>20.836520990723916</v>
      </c>
      <c r="G154">
        <f t="shared" ca="1" si="12"/>
        <v>152</v>
      </c>
      <c r="H154">
        <f t="shared" ca="1" si="13"/>
        <v>3167.1511905900352</v>
      </c>
      <c r="I154">
        <f t="shared" ca="1" si="14"/>
        <v>105390.40807670289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14024</v>
      </c>
      <c r="B157" s="66">
        <v>14024</v>
      </c>
      <c r="D157">
        <f t="shared" si="10"/>
        <v>16.763890217079467</v>
      </c>
      <c r="E157">
        <f t="shared" si="11"/>
        <v>16.763890217079467</v>
      </c>
      <c r="G157">
        <f t="shared" ca="1" si="12"/>
        <v>155</v>
      </c>
      <c r="H157">
        <f t="shared" ca="1" si="13"/>
        <v>2598.4029836473173</v>
      </c>
      <c r="I157">
        <f t="shared" ca="1" si="14"/>
        <v>92095.480901678457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12939</v>
      </c>
      <c r="B160" s="66">
        <v>12939</v>
      </c>
      <c r="D160">
        <f t="shared" si="10"/>
        <v>15.466912116285741</v>
      </c>
      <c r="E160">
        <f t="shared" si="11"/>
        <v>15.466912116285741</v>
      </c>
      <c r="G160">
        <f t="shared" ca="1" si="12"/>
        <v>158</v>
      </c>
      <c r="H160">
        <f t="shared" ca="1" si="13"/>
        <v>2443.7721143731469</v>
      </c>
      <c r="I160">
        <f t="shared" ca="1" si="14"/>
        <v>91987.885217075804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10409</v>
      </c>
      <c r="B162" s="66">
        <v>10409</v>
      </c>
      <c r="D162">
        <f t="shared" si="10"/>
        <v>12.442622166969494</v>
      </c>
      <c r="E162">
        <f t="shared" si="11"/>
        <v>12.442622166969494</v>
      </c>
      <c r="G162">
        <f t="shared" ca="1" si="12"/>
        <v>160</v>
      </c>
      <c r="H162">
        <f t="shared" ca="1" si="13"/>
        <v>1990.819546715119</v>
      </c>
      <c r="I162">
        <f t="shared" ca="1" si="14"/>
        <v>77889.26815980766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8851</v>
      </c>
      <c r="B165" s="66">
        <v>8851</v>
      </c>
      <c r="D165">
        <f t="shared" si="10"/>
        <v>10.58023333652099</v>
      </c>
      <c r="E165">
        <f t="shared" si="11"/>
        <v>10.58023333652099</v>
      </c>
      <c r="G165">
        <f t="shared" ca="1" si="12"/>
        <v>163</v>
      </c>
      <c r="H165">
        <f t="shared" ca="1" si="13"/>
        <v>1724.5780338529214</v>
      </c>
      <c r="I165">
        <f t="shared" ca="1" si="14"/>
        <v>71348.776448407225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7040</v>
      </c>
      <c r="B167" s="66">
        <v>7040</v>
      </c>
      <c r="D167">
        <f t="shared" si="10"/>
        <v>8.4154155111408624</v>
      </c>
      <c r="E167">
        <f t="shared" si="11"/>
        <v>8.4154155111408624</v>
      </c>
      <c r="G167">
        <f t="shared" ca="1" si="12"/>
        <v>165</v>
      </c>
      <c r="H167">
        <f t="shared" ca="1" si="13"/>
        <v>1388.5435593382424</v>
      </c>
      <c r="I167">
        <f t="shared" ca="1" si="14"/>
        <v>59548.064722594318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8548</v>
      </c>
      <c r="B170" s="66">
        <v>8548</v>
      </c>
      <c r="D170">
        <f t="shared" si="10"/>
        <v>10.218035765515923</v>
      </c>
      <c r="E170">
        <f t="shared" si="11"/>
        <v>10.218035765515923</v>
      </c>
      <c r="G170">
        <f t="shared" ca="1" si="12"/>
        <v>168</v>
      </c>
      <c r="H170">
        <f t="shared" ca="1" si="13"/>
        <v>1716.6300086066751</v>
      </c>
      <c r="I170">
        <f t="shared" ca="1" si="14"/>
        <v>77552.701952748772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8430</v>
      </c>
      <c r="B173" s="66">
        <v>8430</v>
      </c>
      <c r="D173">
        <f t="shared" si="10"/>
        <v>10.076981925982595</v>
      </c>
      <c r="E173">
        <f t="shared" si="11"/>
        <v>10.076981925982595</v>
      </c>
      <c r="G173">
        <f t="shared" ca="1" si="12"/>
        <v>171</v>
      </c>
      <c r="H173">
        <f t="shared" ca="1" si="13"/>
        <v>1723.1639093430238</v>
      </c>
      <c r="I173">
        <f t="shared" ca="1" si="14"/>
        <v>81840.228653180355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5717</v>
      </c>
      <c r="B175" s="66">
        <v>5717</v>
      </c>
      <c r="D175">
        <f t="shared" si="10"/>
        <v>6.8339389882375441</v>
      </c>
      <c r="E175">
        <f t="shared" si="11"/>
        <v>6.8339389882375441</v>
      </c>
      <c r="G175">
        <f t="shared" ca="1" si="12"/>
        <v>173</v>
      </c>
      <c r="H175">
        <f t="shared" ca="1" si="13"/>
        <v>1182.271444965095</v>
      </c>
      <c r="I175">
        <f t="shared" ca="1" si="14"/>
        <v>57992.666048876512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4842</v>
      </c>
      <c r="B178" s="66">
        <v>4842</v>
      </c>
      <c r="D178">
        <f t="shared" si="10"/>
        <v>5.7879889069522807</v>
      </c>
      <c r="E178">
        <f t="shared" si="11"/>
        <v>5.7879889069522807</v>
      </c>
      <c r="G178">
        <f t="shared" ca="1" si="12"/>
        <v>176</v>
      </c>
      <c r="H178">
        <f t="shared" ca="1" si="13"/>
        <v>1018.6860476236014</v>
      </c>
      <c r="I178">
        <f t="shared" ca="1" si="14"/>
        <v>52367.962585717447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3955</v>
      </c>
      <c r="B180" s="66">
        <v>3955</v>
      </c>
      <c r="D180">
        <f t="shared" si="10"/>
        <v>4.7276943674093905</v>
      </c>
      <c r="E180">
        <f t="shared" si="11"/>
        <v>4.7276943674093905</v>
      </c>
      <c r="G180">
        <f t="shared" ca="1" si="12"/>
        <v>178</v>
      </c>
      <c r="H180">
        <f t="shared" ca="1" si="13"/>
        <v>841.52959739887149</v>
      </c>
      <c r="I180">
        <f t="shared" ca="1" si="14"/>
        <v>44592.432330600393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1705</v>
      </c>
      <c r="B183" s="66">
        <v>1705</v>
      </c>
      <c r="D183">
        <f t="shared" si="10"/>
        <v>2.0381084441044277</v>
      </c>
      <c r="E183">
        <f t="shared" si="11"/>
        <v>2.0381084441044277</v>
      </c>
      <c r="G183">
        <f t="shared" ca="1" si="12"/>
        <v>181</v>
      </c>
      <c r="H183">
        <f t="shared" ca="1" si="13"/>
        <v>368.89762838290142</v>
      </c>
      <c r="I183">
        <f t="shared" ca="1" si="14"/>
        <v>20429.77384138848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361</v>
      </c>
      <c r="B185" s="66">
        <v>361</v>
      </c>
      <c r="D185">
        <f t="shared" si="10"/>
        <v>0.43152911925026299</v>
      </c>
      <c r="E185">
        <f t="shared" si="11"/>
        <v>0.43152911925026299</v>
      </c>
      <c r="G185">
        <f t="shared" ca="1" si="12"/>
        <v>183</v>
      </c>
      <c r="H185">
        <f t="shared" ca="1" si="13"/>
        <v>78.969828822798121</v>
      </c>
      <c r="I185">
        <f t="shared" ca="1" si="14"/>
        <v>4500.1440307523189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378</v>
      </c>
      <c r="B188" s="66">
        <v>378</v>
      </c>
      <c r="D188">
        <f t="shared" si="10"/>
        <v>0.45185043511523382</v>
      </c>
      <c r="E188">
        <f t="shared" si="11"/>
        <v>0.45185043511523382</v>
      </c>
      <c r="G188">
        <f t="shared" ca="1" si="12"/>
        <v>186</v>
      </c>
      <c r="H188">
        <f t="shared" ca="1" si="13"/>
        <v>84.044180931433488</v>
      </c>
      <c r="I188">
        <f t="shared" ca="1" si="14"/>
        <v>4992.9849322224918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559</v>
      </c>
      <c r="B191" s="66">
        <v>559</v>
      </c>
      <c r="D191">
        <f t="shared" si="10"/>
        <v>0.66821268050109972</v>
      </c>
      <c r="E191">
        <f t="shared" si="11"/>
        <v>0.66821268050109972</v>
      </c>
      <c r="G191">
        <f t="shared" ca="1" si="12"/>
        <v>189</v>
      </c>
      <c r="H191">
        <f t="shared" ca="1" si="13"/>
        <v>126.29219661470785</v>
      </c>
      <c r="I191">
        <f t="shared" ca="1" si="14"/>
        <v>7811.2722748121132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1079</v>
      </c>
      <c r="B193" s="66">
        <v>1079</v>
      </c>
      <c r="D193">
        <f t="shared" si="10"/>
        <v>1.2898058716649135</v>
      </c>
      <c r="E193">
        <f t="shared" si="11"/>
        <v>1.2898058716649135</v>
      </c>
      <c r="G193">
        <f t="shared" ca="1" si="12"/>
        <v>191</v>
      </c>
      <c r="H193">
        <f t="shared" ca="1" si="13"/>
        <v>246.35292148799846</v>
      </c>
      <c r="I193">
        <f t="shared" ca="1" si="14"/>
        <v>15640.543314225497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182</v>
      </c>
      <c r="B196" s="66">
        <v>182</v>
      </c>
      <c r="D196">
        <f t="shared" si="15"/>
        <v>0.2175576169073348</v>
      </c>
      <c r="E196">
        <f t="shared" si="16"/>
        <v>0.2175576169073348</v>
      </c>
      <c r="G196">
        <f t="shared" ca="1" si="17"/>
        <v>194</v>
      </c>
      <c r="H196">
        <f t="shared" ca="1" si="18"/>
        <v>42.206177680022954</v>
      </c>
      <c r="I196">
        <f t="shared" ca="1" si="19"/>
        <v>2783.8658055289975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424</v>
      </c>
      <c r="B198" s="66">
        <v>424</v>
      </c>
      <c r="D198">
        <f t="shared" si="15"/>
        <v>0.506837525102802</v>
      </c>
      <c r="E198">
        <f t="shared" si="16"/>
        <v>0.506837525102802</v>
      </c>
      <c r="G198">
        <f t="shared" ca="1" si="17"/>
        <v>196</v>
      </c>
      <c r="H198">
        <f t="shared" ca="1" si="18"/>
        <v>99.340154920149189</v>
      </c>
      <c r="I198">
        <f t="shared" ca="1" si="19"/>
        <v>6716.8494978600875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123</v>
      </c>
      <c r="B201" s="66">
        <v>123</v>
      </c>
      <c r="D201">
        <f t="shared" si="15"/>
        <v>0.14703069714067132</v>
      </c>
      <c r="E201">
        <f t="shared" si="16"/>
        <v>0.14703069714067132</v>
      </c>
      <c r="G201">
        <f t="shared" ca="1" si="17"/>
        <v>199</v>
      </c>
      <c r="H201">
        <f t="shared" ca="1" si="18"/>
        <v>29.259108730993592</v>
      </c>
      <c r="I201">
        <f t="shared" ca="1" si="19"/>
        <v>2051.3997885829826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555</v>
      </c>
      <c r="B203" s="66">
        <v>555</v>
      </c>
      <c r="D203">
        <f t="shared" si="15"/>
        <v>0.66343119441522425</v>
      </c>
      <c r="E203">
        <f t="shared" si="16"/>
        <v>0.66343119441522425</v>
      </c>
      <c r="G203">
        <f t="shared" ca="1" si="17"/>
        <v>201</v>
      </c>
      <c r="H203">
        <f t="shared" ca="1" si="18"/>
        <v>133.34967007746008</v>
      </c>
      <c r="I203">
        <f t="shared" ca="1" si="19"/>
        <v>9572.4261595172702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0.16653999999999999</v>
      </c>
      <c r="B2" s="68">
        <v>0.56991199999999997</v>
      </c>
      <c r="C2" s="68">
        <v>0</v>
      </c>
      <c r="D2" s="68">
        <v>1</v>
      </c>
      <c r="E2" s="68" t="s">
        <v>356</v>
      </c>
    </row>
    <row r="3" spans="1:5">
      <c r="A3" s="68">
        <v>0.17220199999999999</v>
      </c>
      <c r="B3" s="68">
        <v>0.55712899999999999</v>
      </c>
      <c r="C3" s="68">
        <v>0.40398099999999998</v>
      </c>
      <c r="D3" s="89">
        <v>1</v>
      </c>
      <c r="E3" s="68" t="s">
        <v>357</v>
      </c>
    </row>
    <row r="4" spans="1:5">
      <c r="A4" s="68">
        <v>0.17787800000000001</v>
      </c>
      <c r="B4" s="68">
        <v>0.54376400000000003</v>
      </c>
      <c r="C4" s="68">
        <v>0.81384500000000004</v>
      </c>
      <c r="D4" s="89">
        <v>1</v>
      </c>
      <c r="E4" s="68" t="s">
        <v>358</v>
      </c>
    </row>
    <row r="5" spans="1:5">
      <c r="A5" s="89">
        <v>0.183502</v>
      </c>
      <c r="B5" s="89">
        <v>0.53064500000000003</v>
      </c>
      <c r="C5" s="89">
        <v>1.2206999999999999</v>
      </c>
      <c r="D5" s="89">
        <v>1</v>
      </c>
      <c r="E5" s="68" t="s">
        <v>359</v>
      </c>
    </row>
    <row r="6" spans="1:5">
      <c r="A6" s="68">
        <v>0.189328</v>
      </c>
      <c r="B6" s="68">
        <v>0.51722000000000001</v>
      </c>
      <c r="C6" s="68">
        <v>1.6246799999999999</v>
      </c>
      <c r="D6" s="68">
        <v>1</v>
      </c>
      <c r="E6" s="68" t="s">
        <v>360</v>
      </c>
    </row>
    <row r="7" spans="1:5">
      <c r="A7" s="68">
        <v>0.19534599999999999</v>
      </c>
      <c r="B7" s="68">
        <v>0.50299499999999997</v>
      </c>
      <c r="C7" s="68">
        <v>2.0315300000000001</v>
      </c>
      <c r="D7" s="68">
        <v>1</v>
      </c>
      <c r="E7" s="68" t="s">
        <v>361</v>
      </c>
    </row>
    <row r="8" spans="1:5">
      <c r="A8" s="68">
        <v>0.20125699999999999</v>
      </c>
      <c r="B8" s="68">
        <v>0.489178</v>
      </c>
      <c r="C8" s="68">
        <v>2.4397199999999999</v>
      </c>
      <c r="D8" s="68">
        <v>1</v>
      </c>
      <c r="E8" s="68" t="s">
        <v>362</v>
      </c>
    </row>
    <row r="9" spans="1:5">
      <c r="A9" s="68">
        <v>0.20705399999999999</v>
      </c>
      <c r="B9" s="68">
        <v>0.47613299999999997</v>
      </c>
      <c r="C9" s="68">
        <v>2.8454000000000002</v>
      </c>
      <c r="D9" s="68">
        <v>1</v>
      </c>
      <c r="E9" s="68" t="s">
        <v>363</v>
      </c>
    </row>
    <row r="10" spans="1:5">
      <c r="A10" s="68">
        <v>0.21285699999999999</v>
      </c>
      <c r="B10" s="68">
        <v>0.46298299999999998</v>
      </c>
      <c r="C10" s="68">
        <v>3.2502900000000001</v>
      </c>
      <c r="D10" s="68">
        <v>1</v>
      </c>
      <c r="E10" s="68" t="s">
        <v>364</v>
      </c>
    </row>
    <row r="11" spans="1:5">
      <c r="A11" s="68">
        <v>0.21859500000000001</v>
      </c>
      <c r="B11" s="68">
        <v>0.44979400000000003</v>
      </c>
      <c r="C11" s="68">
        <v>3.6581899999999998</v>
      </c>
      <c r="D11" s="68">
        <v>1</v>
      </c>
      <c r="E11" s="68" t="s">
        <v>365</v>
      </c>
    </row>
    <row r="12" spans="1:5">
      <c r="A12" s="68">
        <v>0.22414999999999999</v>
      </c>
      <c r="B12" s="68">
        <v>0.43751000000000001</v>
      </c>
      <c r="C12" s="68">
        <v>4.0621099999999997</v>
      </c>
      <c r="D12" s="68">
        <v>1</v>
      </c>
      <c r="E12" s="68" t="s">
        <v>366</v>
      </c>
    </row>
    <row r="13" spans="1:5">
      <c r="A13" s="68">
        <v>0.229544</v>
      </c>
      <c r="B13" s="68">
        <v>0.42513699999999999</v>
      </c>
      <c r="C13" s="68">
        <v>4.4691900000000002</v>
      </c>
      <c r="D13" s="68">
        <v>1</v>
      </c>
      <c r="E13" s="68" t="s">
        <v>367</v>
      </c>
    </row>
    <row r="14" spans="1:5">
      <c r="A14" s="68">
        <v>0.23471800000000001</v>
      </c>
      <c r="B14" s="68">
        <v>0.413213</v>
      </c>
      <c r="C14" s="68">
        <v>4.87296</v>
      </c>
      <c r="D14" s="68">
        <v>1</v>
      </c>
      <c r="E14" s="68" t="s">
        <v>368</v>
      </c>
    </row>
    <row r="15" spans="1:5">
      <c r="A15" s="68">
        <v>0.23963599999999999</v>
      </c>
      <c r="B15" s="68">
        <v>0.40128399999999997</v>
      </c>
      <c r="C15" s="68">
        <v>5.2818800000000001</v>
      </c>
      <c r="D15" s="68">
        <v>1</v>
      </c>
      <c r="E15" s="68" t="s">
        <v>369</v>
      </c>
    </row>
    <row r="16" spans="1:5">
      <c r="A16" s="68">
        <v>0.24409900000000001</v>
      </c>
      <c r="B16" s="68">
        <v>0.39177499999999998</v>
      </c>
      <c r="C16" s="68">
        <v>5.6839500000000003</v>
      </c>
      <c r="D16" s="68">
        <v>1</v>
      </c>
      <c r="E16" s="68" t="s">
        <v>370</v>
      </c>
    </row>
    <row r="17" spans="1:5">
      <c r="A17" s="68">
        <v>0.24849599999999999</v>
      </c>
      <c r="B17" s="68">
        <v>0.382517</v>
      </c>
      <c r="C17" s="68">
        <v>6.09239</v>
      </c>
      <c r="D17" s="68">
        <v>1</v>
      </c>
      <c r="E17" s="68" t="s">
        <v>371</v>
      </c>
    </row>
    <row r="18" spans="1:5">
      <c r="A18" s="68">
        <v>0.25250899999999998</v>
      </c>
      <c r="B18" s="68">
        <v>0.373971</v>
      </c>
      <c r="C18" s="68">
        <v>6.5021399999999998</v>
      </c>
      <c r="D18" s="68">
        <v>1</v>
      </c>
      <c r="E18" s="68" t="s">
        <v>372</v>
      </c>
    </row>
    <row r="19" spans="1:5">
      <c r="A19" s="68">
        <v>0.25612800000000002</v>
      </c>
      <c r="B19" s="68">
        <v>0.36638199999999999</v>
      </c>
      <c r="C19" s="68">
        <v>6.9047099999999997</v>
      </c>
      <c r="D19" s="68">
        <v>1</v>
      </c>
      <c r="E19" s="68" t="s">
        <v>373</v>
      </c>
    </row>
    <row r="20" spans="1:5">
      <c r="A20" s="68">
        <v>0.25966400000000001</v>
      </c>
      <c r="B20" s="68">
        <v>0.35905999999999999</v>
      </c>
      <c r="C20" s="68">
        <v>7.3156600000000003</v>
      </c>
      <c r="D20" s="68">
        <v>1</v>
      </c>
      <c r="E20" s="68" t="s">
        <v>374</v>
      </c>
    </row>
    <row r="21" spans="1:5">
      <c r="A21" s="68">
        <v>0.26268999999999998</v>
      </c>
      <c r="B21" s="68">
        <v>0.35251500000000002</v>
      </c>
      <c r="C21" s="68">
        <v>7.7233299999999998</v>
      </c>
      <c r="D21" s="68">
        <v>1</v>
      </c>
      <c r="E21" s="68" t="s">
        <v>375</v>
      </c>
    </row>
    <row r="22" spans="1:5">
      <c r="A22" s="68">
        <v>0.26533400000000001</v>
      </c>
      <c r="B22" s="68">
        <v>0.34644000000000003</v>
      </c>
      <c r="C22" s="68">
        <v>8.1263699999999996</v>
      </c>
      <c r="D22" s="68">
        <v>1</v>
      </c>
      <c r="E22" s="68" t="s">
        <v>376</v>
      </c>
    </row>
    <row r="23" spans="1:5">
      <c r="A23" s="68">
        <v>0.26753300000000002</v>
      </c>
      <c r="B23" s="68">
        <v>0.34102300000000002</v>
      </c>
      <c r="C23" s="68">
        <v>8.5291399999999999</v>
      </c>
      <c r="D23" s="68">
        <v>1</v>
      </c>
      <c r="E23" s="68" t="s">
        <v>377</v>
      </c>
    </row>
    <row r="24" spans="1:5">
      <c r="A24" s="68">
        <v>0.26953899999999997</v>
      </c>
      <c r="B24" s="68">
        <v>0.33519399999999999</v>
      </c>
      <c r="C24" s="68">
        <v>8.9400700000000004</v>
      </c>
      <c r="D24" s="68">
        <v>1</v>
      </c>
      <c r="E24" s="68" t="s">
        <v>378</v>
      </c>
    </row>
    <row r="25" spans="1:5">
      <c r="A25" s="68">
        <v>0.271621</v>
      </c>
      <c r="B25" s="68">
        <v>0.32914500000000002</v>
      </c>
      <c r="C25" s="68">
        <v>9.3460999999999999</v>
      </c>
      <c r="D25" s="68">
        <v>1</v>
      </c>
      <c r="E25" s="68" t="s">
        <v>379</v>
      </c>
    </row>
    <row r="26" spans="1:5">
      <c r="A26" s="68">
        <v>0.27374199999999999</v>
      </c>
      <c r="B26" s="68">
        <v>0.32283200000000001</v>
      </c>
      <c r="C26" s="68">
        <v>9.7489299999999997</v>
      </c>
      <c r="D26" s="68">
        <v>1</v>
      </c>
      <c r="E26" s="68" t="s">
        <v>380</v>
      </c>
    </row>
    <row r="27" spans="1:5">
      <c r="A27" s="68">
        <v>0.27634199999999998</v>
      </c>
      <c r="B27" s="68">
        <v>0.31598199999999999</v>
      </c>
      <c r="C27" s="68">
        <v>10.1548</v>
      </c>
      <c r="D27" s="68">
        <v>1</v>
      </c>
      <c r="E27" s="68" t="s">
        <v>381</v>
      </c>
    </row>
    <row r="28" spans="1:5">
      <c r="A28" s="68">
        <v>0.27920699999999998</v>
      </c>
      <c r="B28" s="68">
        <v>0.31191000000000002</v>
      </c>
      <c r="C28" s="68">
        <v>10.562799999999999</v>
      </c>
      <c r="D28" s="68">
        <v>1</v>
      </c>
      <c r="E28" s="68" t="s">
        <v>382</v>
      </c>
    </row>
    <row r="29" spans="1:5">
      <c r="A29" s="68">
        <v>0.28208899999999998</v>
      </c>
      <c r="B29" s="68">
        <v>0.30807899999999999</v>
      </c>
      <c r="C29" s="68">
        <v>10.9696</v>
      </c>
      <c r="D29" s="68">
        <v>1</v>
      </c>
      <c r="E29" s="68" t="s">
        <v>383</v>
      </c>
    </row>
    <row r="30" spans="1:5">
      <c r="A30" s="68">
        <v>0.28455799999999998</v>
      </c>
      <c r="B30" s="68">
        <v>0.305315</v>
      </c>
      <c r="C30" s="68">
        <v>11.3726</v>
      </c>
      <c r="D30" s="68">
        <v>1</v>
      </c>
      <c r="E30" s="68" t="s">
        <v>384</v>
      </c>
    </row>
    <row r="31" spans="1:5">
      <c r="A31" s="68">
        <v>0.28670600000000002</v>
      </c>
      <c r="B31" s="68">
        <v>0.30302099999999998</v>
      </c>
      <c r="C31" s="68">
        <v>11.781499999999999</v>
      </c>
      <c r="D31" s="68">
        <v>1</v>
      </c>
      <c r="E31" s="68" t="s">
        <v>385</v>
      </c>
    </row>
    <row r="32" spans="1:5">
      <c r="A32" s="68">
        <v>0.28856399999999999</v>
      </c>
      <c r="B32" s="68">
        <v>0.30154799999999998</v>
      </c>
      <c r="C32" s="68">
        <v>12.1884</v>
      </c>
      <c r="D32" s="68">
        <v>1</v>
      </c>
      <c r="E32" s="68" t="s">
        <v>386</v>
      </c>
    </row>
    <row r="33" spans="1:5">
      <c r="A33" s="68">
        <v>0.29027900000000001</v>
      </c>
      <c r="B33" s="68">
        <v>0.30020999999999998</v>
      </c>
      <c r="C33" s="68">
        <v>12.593299999999999</v>
      </c>
      <c r="D33" s="68">
        <v>1</v>
      </c>
      <c r="E33" s="68" t="s">
        <v>387</v>
      </c>
    </row>
    <row r="34" spans="1:5">
      <c r="A34" s="68">
        <v>0.29167199999999999</v>
      </c>
      <c r="B34" s="68">
        <v>0.29974200000000001</v>
      </c>
      <c r="C34" s="68">
        <v>13.000299999999999</v>
      </c>
      <c r="D34" s="68">
        <v>1</v>
      </c>
      <c r="E34" s="68" t="s">
        <v>388</v>
      </c>
    </row>
    <row r="35" spans="1:5">
      <c r="A35" s="68">
        <v>0.292989</v>
      </c>
      <c r="B35" s="68">
        <v>0.29961500000000002</v>
      </c>
      <c r="C35" s="68">
        <v>13.4072</v>
      </c>
      <c r="D35" s="68">
        <v>1</v>
      </c>
      <c r="E35" s="68" t="s">
        <v>389</v>
      </c>
    </row>
    <row r="36" spans="1:5">
      <c r="A36" s="68">
        <v>0.29413600000000001</v>
      </c>
      <c r="B36" s="68">
        <v>0.29981799999999997</v>
      </c>
      <c r="C36" s="68">
        <v>13.814</v>
      </c>
      <c r="D36" s="68">
        <v>1</v>
      </c>
      <c r="E36" s="68" t="s">
        <v>390</v>
      </c>
    </row>
    <row r="37" spans="1:5">
      <c r="A37" s="68">
        <v>0.295543</v>
      </c>
      <c r="B37" s="68">
        <v>0.300348</v>
      </c>
      <c r="C37" s="68">
        <v>14.2182</v>
      </c>
      <c r="D37" s="68">
        <v>1</v>
      </c>
      <c r="E37" s="68" t="s">
        <v>391</v>
      </c>
    </row>
    <row r="38" spans="1:5">
      <c r="A38" s="68">
        <v>0.29701300000000003</v>
      </c>
      <c r="B38" s="68">
        <v>0.301566</v>
      </c>
      <c r="C38" s="68">
        <v>14.621700000000001</v>
      </c>
      <c r="D38" s="68">
        <v>1</v>
      </c>
      <c r="E38" s="68" t="s">
        <v>392</v>
      </c>
    </row>
    <row r="39" spans="1:5">
      <c r="A39" s="68">
        <v>0.29838399999999998</v>
      </c>
      <c r="B39" s="68">
        <v>0.30359199999999997</v>
      </c>
      <c r="C39" s="68">
        <v>15.030900000000001</v>
      </c>
      <c r="D39" s="68">
        <v>1</v>
      </c>
      <c r="E39" s="68" t="s">
        <v>393</v>
      </c>
    </row>
    <row r="40" spans="1:5">
      <c r="A40" s="68">
        <v>0.29993399999999998</v>
      </c>
      <c r="B40" s="68">
        <v>0.30608099999999999</v>
      </c>
      <c r="C40" s="68">
        <v>15.4367</v>
      </c>
      <c r="D40" s="68">
        <v>1</v>
      </c>
      <c r="E40" s="68" t="s">
        <v>394</v>
      </c>
    </row>
    <row r="41" spans="1:5">
      <c r="A41" s="68">
        <v>0.301566</v>
      </c>
      <c r="B41" s="68">
        <v>0.30843599999999999</v>
      </c>
      <c r="C41" s="68">
        <v>15.8466</v>
      </c>
      <c r="D41" s="68">
        <v>1</v>
      </c>
      <c r="E41" s="68" t="s">
        <v>395</v>
      </c>
    </row>
    <row r="42" spans="1:5">
      <c r="A42" s="68">
        <v>0.30324899999999999</v>
      </c>
      <c r="B42" s="68">
        <v>0.31057099999999999</v>
      </c>
      <c r="C42" s="68">
        <v>16.2485</v>
      </c>
      <c r="D42" s="68">
        <v>1</v>
      </c>
      <c r="E42" s="68" t="s">
        <v>396</v>
      </c>
    </row>
    <row r="43" spans="1:5">
      <c r="A43" s="68">
        <v>0.30515900000000001</v>
      </c>
      <c r="B43" s="68">
        <v>0.312139</v>
      </c>
      <c r="C43" s="68">
        <v>16.6554</v>
      </c>
      <c r="D43" s="68">
        <v>1</v>
      </c>
      <c r="E43" s="68" t="s">
        <v>397</v>
      </c>
    </row>
    <row r="44" spans="1:5">
      <c r="A44" s="68">
        <v>0.30764000000000002</v>
      </c>
      <c r="B44" s="68">
        <v>0.31293700000000002</v>
      </c>
      <c r="C44" s="68">
        <v>17.063500000000001</v>
      </c>
      <c r="D44" s="68">
        <v>1</v>
      </c>
      <c r="E44" s="68" t="s">
        <v>398</v>
      </c>
    </row>
    <row r="45" spans="1:5">
      <c r="A45" s="68">
        <v>0.31040699999999999</v>
      </c>
      <c r="B45" s="68">
        <v>0.31348599999999999</v>
      </c>
      <c r="C45" s="68">
        <v>17.466000000000001</v>
      </c>
      <c r="D45" s="68">
        <v>1</v>
      </c>
      <c r="E45" s="68" t="s">
        <v>399</v>
      </c>
    </row>
    <row r="46" spans="1:5">
      <c r="A46" s="68">
        <v>0.31307099999999999</v>
      </c>
      <c r="B46" s="68">
        <v>0.31464199999999998</v>
      </c>
      <c r="C46" s="68">
        <v>17.8782</v>
      </c>
      <c r="D46" s="68">
        <v>1</v>
      </c>
      <c r="E46" s="68" t="s">
        <v>400</v>
      </c>
    </row>
    <row r="47" spans="1:5">
      <c r="A47" s="68">
        <v>0.315361</v>
      </c>
      <c r="B47" s="68">
        <v>0.31644499999999998</v>
      </c>
      <c r="C47" s="68">
        <v>18.281199999999998</v>
      </c>
      <c r="D47" s="68">
        <v>1</v>
      </c>
      <c r="E47" s="68" t="s">
        <v>401</v>
      </c>
    </row>
    <row r="48" spans="1:5">
      <c r="A48" s="68">
        <v>0.31756699999999999</v>
      </c>
      <c r="B48" s="68">
        <v>0.31854300000000002</v>
      </c>
      <c r="C48" s="68">
        <v>18.688199999999998</v>
      </c>
      <c r="D48" s="68">
        <v>1</v>
      </c>
      <c r="E48" s="68" t="s">
        <v>402</v>
      </c>
    </row>
    <row r="49" spans="1:5">
      <c r="A49" s="68">
        <v>0.319463</v>
      </c>
      <c r="B49" s="68">
        <v>0.32134600000000002</v>
      </c>
      <c r="C49" s="68">
        <v>19.095099999999999</v>
      </c>
      <c r="D49" s="68">
        <v>1</v>
      </c>
      <c r="E49" s="68" t="s">
        <v>403</v>
      </c>
    </row>
    <row r="50" spans="1:5">
      <c r="A50" s="68">
        <v>0.32085200000000003</v>
      </c>
      <c r="B50" s="68">
        <v>0.32547999999999999</v>
      </c>
      <c r="C50" s="68">
        <v>19.498100000000001</v>
      </c>
      <c r="D50" s="68">
        <v>1</v>
      </c>
      <c r="E50" s="68" t="s">
        <v>404</v>
      </c>
    </row>
    <row r="51" spans="1:5">
      <c r="A51" s="68">
        <v>0.32201999999999997</v>
      </c>
      <c r="B51" s="68">
        <v>0.32994699999999999</v>
      </c>
      <c r="C51" s="68">
        <v>19.908799999999999</v>
      </c>
      <c r="D51" s="68">
        <v>1</v>
      </c>
      <c r="E51" s="68" t="s">
        <v>405</v>
      </c>
    </row>
    <row r="52" spans="1:5">
      <c r="A52" s="68">
        <v>0.32269999999999999</v>
      </c>
      <c r="B52" s="68">
        <v>0.33319700000000002</v>
      </c>
      <c r="C52" s="68">
        <v>20.312799999999999</v>
      </c>
      <c r="D52" s="68">
        <v>1</v>
      </c>
      <c r="E52" s="68" t="s">
        <v>406</v>
      </c>
    </row>
    <row r="53" spans="1:5">
      <c r="A53" s="68">
        <v>0.32375999999999999</v>
      </c>
      <c r="B53" s="68">
        <v>0.33650099999999999</v>
      </c>
      <c r="C53" s="68">
        <v>20.715699999999998</v>
      </c>
      <c r="D53" s="68">
        <v>1</v>
      </c>
      <c r="E53" s="68" t="s">
        <v>407</v>
      </c>
    </row>
    <row r="54" spans="1:5">
      <c r="A54" s="68">
        <v>0.32443</v>
      </c>
      <c r="B54" s="68">
        <v>0.33954400000000001</v>
      </c>
      <c r="C54" s="68">
        <v>21.123899999999999</v>
      </c>
      <c r="D54" s="68">
        <v>1</v>
      </c>
      <c r="E54" s="68" t="s">
        <v>408</v>
      </c>
    </row>
    <row r="55" spans="1:5">
      <c r="A55" s="68">
        <v>0.32511099999999998</v>
      </c>
      <c r="B55" s="68">
        <v>0.342358</v>
      </c>
      <c r="C55" s="68">
        <v>21.529499999999999</v>
      </c>
      <c r="D55" s="68">
        <v>1</v>
      </c>
      <c r="E55" s="68" t="s">
        <v>409</v>
      </c>
    </row>
    <row r="56" spans="1:5">
      <c r="A56" s="68">
        <v>0.32580199999999998</v>
      </c>
      <c r="B56" s="68">
        <v>0.34508699999999998</v>
      </c>
      <c r="C56" s="68">
        <v>21.939499999999999</v>
      </c>
      <c r="D56" s="68">
        <v>1</v>
      </c>
      <c r="E56" s="68" t="s">
        <v>410</v>
      </c>
    </row>
    <row r="57" spans="1:5">
      <c r="A57" s="68">
        <v>0.32624199999999998</v>
      </c>
      <c r="B57" s="68">
        <v>0.34677999999999998</v>
      </c>
      <c r="C57" s="68">
        <v>22.344200000000001</v>
      </c>
      <c r="D57" s="68">
        <v>1</v>
      </c>
      <c r="E57" s="68" t="s">
        <v>411</v>
      </c>
    </row>
    <row r="58" spans="1:5">
      <c r="A58" s="68">
        <v>0.326625</v>
      </c>
      <c r="B58" s="68">
        <v>0.34819</v>
      </c>
      <c r="C58" s="68">
        <v>22.749700000000001</v>
      </c>
      <c r="D58" s="68">
        <v>1</v>
      </c>
      <c r="E58" s="68" t="s">
        <v>412</v>
      </c>
    </row>
    <row r="59" spans="1:5">
      <c r="A59" s="68">
        <v>0.32700899999999999</v>
      </c>
      <c r="B59" s="68">
        <v>0.348941</v>
      </c>
      <c r="C59" s="68">
        <v>23.152200000000001</v>
      </c>
      <c r="D59" s="68">
        <v>1</v>
      </c>
      <c r="E59" s="68" t="s">
        <v>413</v>
      </c>
    </row>
    <row r="60" spans="1:5">
      <c r="A60" s="68">
        <v>0.32687300000000002</v>
      </c>
      <c r="B60" s="68">
        <v>0.34877799999999998</v>
      </c>
      <c r="C60" s="68">
        <v>23.562100000000001</v>
      </c>
      <c r="D60" s="68">
        <v>1</v>
      </c>
      <c r="E60" s="68" t="s">
        <v>414</v>
      </c>
    </row>
    <row r="61" spans="1:5">
      <c r="A61" s="68">
        <v>0.32723600000000003</v>
      </c>
      <c r="B61" s="68">
        <v>0.34944900000000001</v>
      </c>
      <c r="C61" s="68">
        <v>23.966899999999999</v>
      </c>
      <c r="D61" s="68">
        <v>1</v>
      </c>
      <c r="E61" s="68" t="s">
        <v>415</v>
      </c>
    </row>
    <row r="62" spans="1:5">
      <c r="A62" s="68">
        <v>0.326984</v>
      </c>
      <c r="B62" s="68">
        <v>0.34971600000000003</v>
      </c>
      <c r="C62" s="68">
        <v>24.374300000000002</v>
      </c>
      <c r="D62" s="68">
        <v>1</v>
      </c>
      <c r="E62" s="68" t="s">
        <v>416</v>
      </c>
    </row>
    <row r="63" spans="1:5">
      <c r="A63" s="68">
        <v>0.32626300000000003</v>
      </c>
      <c r="B63" s="68">
        <v>0.34946700000000003</v>
      </c>
      <c r="C63" s="68">
        <v>24.782800000000002</v>
      </c>
      <c r="D63" s="68">
        <v>1</v>
      </c>
      <c r="E63" s="68" t="s">
        <v>417</v>
      </c>
    </row>
    <row r="64" spans="1:5">
      <c r="A64" s="68">
        <v>0.325878</v>
      </c>
      <c r="B64" s="68">
        <v>0.34919699999999998</v>
      </c>
      <c r="C64" s="68">
        <v>25.191700000000001</v>
      </c>
      <c r="D64" s="68">
        <v>1</v>
      </c>
      <c r="E64" s="68" t="s">
        <v>418</v>
      </c>
    </row>
    <row r="65" spans="1:5">
      <c r="A65" s="68">
        <v>0.32552900000000001</v>
      </c>
      <c r="B65" s="68">
        <v>0.348298</v>
      </c>
      <c r="C65" s="68">
        <v>25.5945</v>
      </c>
      <c r="D65" s="68">
        <v>1</v>
      </c>
      <c r="E65" s="68" t="s">
        <v>419</v>
      </c>
    </row>
    <row r="66" spans="1:5">
      <c r="A66" s="68">
        <v>0.32551000000000002</v>
      </c>
      <c r="B66" s="68">
        <v>0.34745999999999999</v>
      </c>
      <c r="C66" s="68">
        <v>25.999600000000001</v>
      </c>
      <c r="D66" s="68">
        <v>1</v>
      </c>
      <c r="E66" s="68" t="s">
        <v>420</v>
      </c>
    </row>
    <row r="67" spans="1:5">
      <c r="A67" s="68">
        <v>0.32548300000000002</v>
      </c>
      <c r="B67" s="68">
        <v>0.34655200000000003</v>
      </c>
      <c r="C67" s="68">
        <v>26.4056</v>
      </c>
      <c r="D67" s="68">
        <v>1</v>
      </c>
      <c r="E67" s="68" t="s">
        <v>421</v>
      </c>
    </row>
    <row r="68" spans="1:5">
      <c r="A68" s="68">
        <v>0.32545600000000002</v>
      </c>
      <c r="B68" s="68">
        <v>0.34572000000000003</v>
      </c>
      <c r="C68" s="68">
        <v>26.814299999999999</v>
      </c>
      <c r="D68" s="68">
        <v>1</v>
      </c>
      <c r="E68" s="68" t="s">
        <v>422</v>
      </c>
    </row>
    <row r="69" spans="1:5">
      <c r="A69" s="68">
        <v>0.32523299999999999</v>
      </c>
      <c r="B69" s="68">
        <v>0.34454800000000002</v>
      </c>
      <c r="C69" s="68">
        <v>27.2212</v>
      </c>
      <c r="D69" s="68">
        <v>1</v>
      </c>
      <c r="E69" s="68" t="s">
        <v>423</v>
      </c>
    </row>
    <row r="70" spans="1:5">
      <c r="A70" s="68">
        <v>0.32496900000000001</v>
      </c>
      <c r="B70" s="68">
        <v>0.34417700000000001</v>
      </c>
      <c r="C70" s="68">
        <v>27.624099999999999</v>
      </c>
      <c r="D70" s="68">
        <v>1</v>
      </c>
      <c r="E70" s="68" t="s">
        <v>424</v>
      </c>
    </row>
    <row r="71" spans="1:5">
      <c r="A71" s="68">
        <v>0.32480399999999998</v>
      </c>
      <c r="B71" s="68">
        <v>0.34370099999999998</v>
      </c>
      <c r="C71" s="68">
        <v>28.030999999999999</v>
      </c>
      <c r="D71" s="68">
        <v>1</v>
      </c>
      <c r="E71" s="68" t="s">
        <v>425</v>
      </c>
    </row>
    <row r="72" spans="1:5">
      <c r="A72" s="68">
        <v>0.32532699999999998</v>
      </c>
      <c r="B72" s="68">
        <v>0.34207500000000002</v>
      </c>
      <c r="C72" s="68">
        <v>28.434200000000001</v>
      </c>
      <c r="D72" s="68">
        <v>1</v>
      </c>
      <c r="E72" s="68" t="s">
        <v>426</v>
      </c>
    </row>
    <row r="73" spans="1:5">
      <c r="A73" s="68">
        <v>0.32667499999999999</v>
      </c>
      <c r="B73" s="68">
        <v>0.33989399999999997</v>
      </c>
      <c r="C73" s="68">
        <v>28.844899999999999</v>
      </c>
      <c r="D73" s="68">
        <v>1</v>
      </c>
      <c r="E73" s="68" t="s">
        <v>427</v>
      </c>
    </row>
    <row r="74" spans="1:5">
      <c r="A74" s="68">
        <v>0.32721899999999998</v>
      </c>
      <c r="B74" s="68">
        <v>0.33872400000000003</v>
      </c>
      <c r="C74" s="68">
        <v>29.252800000000001</v>
      </c>
      <c r="D74" s="68">
        <v>1</v>
      </c>
      <c r="E74" s="68" t="s">
        <v>428</v>
      </c>
    </row>
    <row r="75" spans="1:5">
      <c r="A75" s="68">
        <v>0.32750400000000002</v>
      </c>
      <c r="B75" s="68">
        <v>0.33710099999999998</v>
      </c>
      <c r="C75" s="68">
        <v>29.653700000000001</v>
      </c>
      <c r="D75" s="68">
        <v>1</v>
      </c>
      <c r="E75" s="68" t="s">
        <v>429</v>
      </c>
    </row>
    <row r="76" spans="1:5">
      <c r="A76" s="68">
        <v>0.32792199999999999</v>
      </c>
      <c r="B76" s="68">
        <v>0.33616800000000002</v>
      </c>
      <c r="C76" s="68">
        <v>30.063700000000001</v>
      </c>
      <c r="D76" s="68">
        <v>2</v>
      </c>
      <c r="E76" s="68" t="s">
        <v>430</v>
      </c>
    </row>
    <row r="77" spans="1:5">
      <c r="A77" s="68">
        <v>0.327928</v>
      </c>
      <c r="B77" s="68">
        <v>0.33583200000000002</v>
      </c>
      <c r="C77" s="68">
        <v>30.528400000000001</v>
      </c>
      <c r="D77" s="68">
        <v>2</v>
      </c>
      <c r="E77" s="68" t="s">
        <v>431</v>
      </c>
    </row>
    <row r="78" spans="1:5">
      <c r="A78" s="68">
        <v>0.32786100000000001</v>
      </c>
      <c r="B78" s="68">
        <v>0.33522800000000003</v>
      </c>
      <c r="C78" s="68">
        <v>30.923400000000001</v>
      </c>
      <c r="D78" s="68">
        <v>2</v>
      </c>
      <c r="E78" s="68" t="s">
        <v>432</v>
      </c>
    </row>
    <row r="79" spans="1:5">
      <c r="A79" s="68">
        <v>0.327961</v>
      </c>
      <c r="B79" s="68">
        <v>0.33421899999999999</v>
      </c>
      <c r="C79" s="68">
        <v>31.327400000000001</v>
      </c>
      <c r="D79" s="68">
        <v>2</v>
      </c>
      <c r="E79" s="68" t="s">
        <v>433</v>
      </c>
    </row>
    <row r="80" spans="1:5">
      <c r="A80" s="68">
        <v>0.32818399999999998</v>
      </c>
      <c r="B80" s="68">
        <v>0.33304499999999998</v>
      </c>
      <c r="C80" s="68">
        <v>31.7333</v>
      </c>
      <c r="D80" s="68">
        <v>2</v>
      </c>
      <c r="E80" s="68" t="s">
        <v>434</v>
      </c>
    </row>
    <row r="81" spans="1:5">
      <c r="A81" s="68">
        <v>0.32873999999999998</v>
      </c>
      <c r="B81" s="68">
        <v>0.33202700000000002</v>
      </c>
      <c r="C81" s="68">
        <v>32.141199999999998</v>
      </c>
      <c r="D81" s="68">
        <v>2</v>
      </c>
      <c r="E81" s="68" t="s">
        <v>435</v>
      </c>
    </row>
    <row r="82" spans="1:5">
      <c r="A82" s="68">
        <v>0.32966899999999999</v>
      </c>
      <c r="B82" s="68">
        <v>0.33121600000000001</v>
      </c>
      <c r="C82" s="68">
        <v>32.545200000000001</v>
      </c>
      <c r="D82" s="68">
        <v>2</v>
      </c>
      <c r="E82" s="68" t="s">
        <v>436</v>
      </c>
    </row>
    <row r="83" spans="1:5">
      <c r="A83" s="68">
        <v>0.33058199999999999</v>
      </c>
      <c r="B83" s="68">
        <v>0.33040199999999997</v>
      </c>
      <c r="C83" s="68">
        <v>32.954000000000001</v>
      </c>
      <c r="D83" s="68">
        <v>2</v>
      </c>
      <c r="E83" s="68" t="s">
        <v>437</v>
      </c>
    </row>
    <row r="84" spans="1:5">
      <c r="A84" s="68">
        <v>0.33160899999999999</v>
      </c>
      <c r="B84" s="68">
        <v>0.32993499999999998</v>
      </c>
      <c r="C84" s="68">
        <v>33.358899999999998</v>
      </c>
      <c r="D84" s="68">
        <v>2</v>
      </c>
      <c r="E84" s="68" t="s">
        <v>438</v>
      </c>
    </row>
    <row r="85" spans="1:5">
      <c r="A85" s="68">
        <v>0.33283499999999999</v>
      </c>
      <c r="B85" s="68">
        <v>0.33001399999999997</v>
      </c>
      <c r="C85" s="68">
        <v>33.765000000000001</v>
      </c>
      <c r="D85" s="68">
        <v>2</v>
      </c>
      <c r="E85" s="68" t="s">
        <v>439</v>
      </c>
    </row>
    <row r="86" spans="1:5">
      <c r="A86" s="68">
        <v>0.33421000000000001</v>
      </c>
      <c r="B86" s="68">
        <v>0.32953500000000002</v>
      </c>
      <c r="C86" s="68">
        <v>34.172699999999999</v>
      </c>
      <c r="D86" s="68">
        <v>2</v>
      </c>
      <c r="E86" s="68" t="s">
        <v>440</v>
      </c>
    </row>
    <row r="87" spans="1:5">
      <c r="A87" s="68">
        <v>0.335401</v>
      </c>
      <c r="B87" s="68">
        <v>0.32887</v>
      </c>
      <c r="C87" s="68">
        <v>34.577800000000003</v>
      </c>
      <c r="D87" s="68">
        <v>2</v>
      </c>
      <c r="E87" s="68" t="s">
        <v>441</v>
      </c>
    </row>
    <row r="88" spans="1:5">
      <c r="A88" s="68">
        <v>0.33673700000000001</v>
      </c>
      <c r="B88" s="68">
        <v>0.327652</v>
      </c>
      <c r="C88" s="68">
        <v>34.9876</v>
      </c>
      <c r="D88" s="68">
        <v>2</v>
      </c>
      <c r="E88" s="68" t="s">
        <v>442</v>
      </c>
    </row>
    <row r="89" spans="1:5">
      <c r="A89" s="68">
        <v>0.33788200000000002</v>
      </c>
      <c r="B89" s="68">
        <v>0.32660600000000001</v>
      </c>
      <c r="C89" s="68">
        <v>35.390500000000003</v>
      </c>
      <c r="D89" s="68">
        <v>2</v>
      </c>
      <c r="E89" s="68" t="s">
        <v>443</v>
      </c>
    </row>
    <row r="90" spans="1:5">
      <c r="A90" s="68">
        <v>0.33862599999999998</v>
      </c>
      <c r="B90" s="68">
        <v>0.325876</v>
      </c>
      <c r="C90" s="68">
        <v>35.796399999999998</v>
      </c>
      <c r="D90" s="68">
        <v>2</v>
      </c>
      <c r="E90" s="68" t="s">
        <v>444</v>
      </c>
    </row>
    <row r="91" spans="1:5">
      <c r="A91" s="68">
        <v>0.33910899999999999</v>
      </c>
      <c r="B91" s="68">
        <v>0.32470300000000002</v>
      </c>
      <c r="C91" s="68">
        <v>36.201599999999999</v>
      </c>
      <c r="D91" s="68">
        <v>2</v>
      </c>
      <c r="E91" s="68" t="s">
        <v>445</v>
      </c>
    </row>
    <row r="92" spans="1:5">
      <c r="A92" s="68">
        <v>0.33939900000000001</v>
      </c>
      <c r="B92" s="68">
        <v>0.323994</v>
      </c>
      <c r="C92" s="68">
        <v>36.610199999999999</v>
      </c>
      <c r="D92" s="68">
        <v>2</v>
      </c>
      <c r="E92" s="68" t="s">
        <v>446</v>
      </c>
    </row>
    <row r="93" spans="1:5">
      <c r="A93" s="68">
        <v>0.33935700000000002</v>
      </c>
      <c r="B93" s="68">
        <v>0.32439600000000002</v>
      </c>
      <c r="C93" s="68">
        <v>37.017299999999999</v>
      </c>
      <c r="D93" s="68">
        <v>2</v>
      </c>
      <c r="E93" s="68" t="s">
        <v>447</v>
      </c>
    </row>
    <row r="94" spans="1:5">
      <c r="A94" s="68">
        <v>0.33883099999999999</v>
      </c>
      <c r="B94" s="68">
        <v>0.32531100000000002</v>
      </c>
      <c r="C94" s="68">
        <v>37.420900000000003</v>
      </c>
      <c r="D94" s="68">
        <v>2</v>
      </c>
      <c r="E94" s="68" t="s">
        <v>448</v>
      </c>
    </row>
    <row r="95" spans="1:5">
      <c r="A95" s="68">
        <v>0.33796199999999998</v>
      </c>
      <c r="B95" s="68">
        <v>0.32570100000000002</v>
      </c>
      <c r="C95" s="68">
        <v>37.826999999999998</v>
      </c>
      <c r="D95" s="68">
        <v>2</v>
      </c>
      <c r="E95" s="68" t="s">
        <v>449</v>
      </c>
    </row>
    <row r="96" spans="1:5">
      <c r="A96" s="68">
        <v>0.33676699999999998</v>
      </c>
      <c r="B96" s="68">
        <v>0.32622699999999999</v>
      </c>
      <c r="C96" s="68">
        <v>38.235500000000002</v>
      </c>
      <c r="D96" s="68">
        <v>2</v>
      </c>
      <c r="E96" s="68" t="s">
        <v>450</v>
      </c>
    </row>
    <row r="97" spans="1:5">
      <c r="A97" s="68">
        <v>0.33510299999999998</v>
      </c>
      <c r="B97" s="68">
        <v>0.32727000000000001</v>
      </c>
      <c r="C97" s="68">
        <v>38.642800000000001</v>
      </c>
      <c r="D97" s="68">
        <v>2</v>
      </c>
      <c r="E97" s="68" t="s">
        <v>451</v>
      </c>
    </row>
    <row r="98" spans="1:5">
      <c r="A98" s="68">
        <v>0.33369100000000002</v>
      </c>
      <c r="B98" s="68">
        <v>0.32757799999999998</v>
      </c>
      <c r="C98" s="68">
        <v>39.046700000000001</v>
      </c>
      <c r="D98" s="68">
        <v>2</v>
      </c>
      <c r="E98" s="68" t="s">
        <v>452</v>
      </c>
    </row>
    <row r="99" spans="1:5">
      <c r="A99" s="68">
        <v>0.33244499999999999</v>
      </c>
      <c r="B99" s="68">
        <v>0.32715100000000003</v>
      </c>
      <c r="C99" s="68">
        <v>39.452599999999997</v>
      </c>
      <c r="D99" s="68">
        <v>2</v>
      </c>
      <c r="E99" s="68" t="s">
        <v>453</v>
      </c>
    </row>
    <row r="100" spans="1:5">
      <c r="A100" s="68">
        <v>0.331459</v>
      </c>
      <c r="B100" s="68">
        <v>0.32575700000000002</v>
      </c>
      <c r="C100" s="68">
        <v>39.858600000000003</v>
      </c>
      <c r="D100" s="68">
        <v>2</v>
      </c>
      <c r="E100" s="68" t="s">
        <v>454</v>
      </c>
    </row>
    <row r="101" spans="1:5">
      <c r="A101" s="68">
        <v>0.33048300000000003</v>
      </c>
      <c r="B101" s="68">
        <v>0.3236</v>
      </c>
      <c r="C101" s="68">
        <v>40.265599999999999</v>
      </c>
      <c r="D101" s="68">
        <v>2</v>
      </c>
      <c r="E101" s="68" t="s">
        <v>455</v>
      </c>
    </row>
    <row r="102" spans="1:5">
      <c r="A102" s="68">
        <v>0.32964100000000002</v>
      </c>
      <c r="B102" s="68">
        <v>0.32086300000000001</v>
      </c>
      <c r="C102" s="68">
        <v>40.674300000000002</v>
      </c>
      <c r="D102" s="68">
        <v>2</v>
      </c>
      <c r="E102" s="68" t="s">
        <v>456</v>
      </c>
    </row>
    <row r="103" spans="1:5">
      <c r="A103" s="68">
        <v>0.32893899999999998</v>
      </c>
      <c r="B103" s="68">
        <v>0.31878800000000002</v>
      </c>
      <c r="C103" s="68">
        <v>41.080300000000001</v>
      </c>
      <c r="D103" s="68">
        <v>2</v>
      </c>
      <c r="E103" s="68" t="s">
        <v>457</v>
      </c>
    </row>
    <row r="104" spans="1:5">
      <c r="A104" s="68">
        <v>0.32816800000000002</v>
      </c>
      <c r="B104" s="68">
        <v>0.316973</v>
      </c>
      <c r="C104" s="68">
        <v>41.4831</v>
      </c>
      <c r="D104" s="68">
        <v>2</v>
      </c>
      <c r="E104" s="68" t="s">
        <v>458</v>
      </c>
    </row>
    <row r="105" spans="1:5">
      <c r="A105" s="68">
        <v>0.32714399999999999</v>
      </c>
      <c r="B105" s="68">
        <v>0.31522</v>
      </c>
      <c r="C105" s="68">
        <v>41.888300000000001</v>
      </c>
      <c r="D105" s="68">
        <v>2</v>
      </c>
      <c r="E105" s="68" t="s">
        <v>459</v>
      </c>
    </row>
    <row r="106" spans="1:5">
      <c r="A106" s="68">
        <v>0.32570900000000003</v>
      </c>
      <c r="B106" s="68">
        <v>0.31365300000000002</v>
      </c>
      <c r="C106" s="68">
        <v>42.301299999999998</v>
      </c>
      <c r="D106" s="68">
        <v>2</v>
      </c>
      <c r="E106" s="68" t="s">
        <v>460</v>
      </c>
    </row>
    <row r="107" spans="1:5">
      <c r="A107" s="68">
        <v>0.32390200000000002</v>
      </c>
      <c r="B107" s="68">
        <v>0.31223899999999999</v>
      </c>
      <c r="C107" s="68">
        <v>42.7059</v>
      </c>
      <c r="D107" s="68">
        <v>2</v>
      </c>
      <c r="E107" s="68" t="s">
        <v>461</v>
      </c>
    </row>
    <row r="108" spans="1:5">
      <c r="A108" s="68">
        <v>0.32183</v>
      </c>
      <c r="B108" s="68">
        <v>0.31026300000000001</v>
      </c>
      <c r="C108" s="68">
        <v>43.111800000000002</v>
      </c>
      <c r="D108" s="68">
        <v>2</v>
      </c>
      <c r="E108" s="68" t="s">
        <v>462</v>
      </c>
    </row>
    <row r="109" spans="1:5">
      <c r="A109" s="68">
        <v>0.319689</v>
      </c>
      <c r="B109" s="68">
        <v>0.30797200000000002</v>
      </c>
      <c r="C109" s="68">
        <v>43.5167</v>
      </c>
      <c r="D109" s="68">
        <v>2</v>
      </c>
      <c r="E109" s="68" t="s">
        <v>463</v>
      </c>
    </row>
    <row r="110" spans="1:5">
      <c r="A110" s="68">
        <v>0.31714799999999999</v>
      </c>
      <c r="B110" s="68">
        <v>0.30524499999999999</v>
      </c>
      <c r="C110" s="68">
        <v>43.9206</v>
      </c>
      <c r="D110" s="68">
        <v>2</v>
      </c>
      <c r="E110" s="68" t="s">
        <v>464</v>
      </c>
    </row>
    <row r="111" spans="1:5">
      <c r="A111" s="68">
        <v>0.31445600000000001</v>
      </c>
      <c r="B111" s="68">
        <v>0.30285000000000001</v>
      </c>
      <c r="C111" s="68">
        <v>44.325699999999998</v>
      </c>
      <c r="D111" s="68">
        <v>2</v>
      </c>
      <c r="E111" s="68" t="s">
        <v>465</v>
      </c>
    </row>
    <row r="112" spans="1:5">
      <c r="A112" s="68">
        <v>0.311975</v>
      </c>
      <c r="B112" s="68">
        <v>0.30102800000000002</v>
      </c>
      <c r="C112" s="68">
        <v>44.737499999999997</v>
      </c>
      <c r="D112" s="68">
        <v>2</v>
      </c>
      <c r="E112" s="68" t="s">
        <v>466</v>
      </c>
    </row>
    <row r="113" spans="1:5">
      <c r="A113" s="68">
        <v>0.30918899999999999</v>
      </c>
      <c r="B113" s="68">
        <v>0.30057899999999999</v>
      </c>
      <c r="C113" s="68">
        <v>45.141300000000001</v>
      </c>
      <c r="D113" s="68">
        <v>2</v>
      </c>
      <c r="E113" s="68" t="s">
        <v>467</v>
      </c>
    </row>
    <row r="114" spans="1:5">
      <c r="A114" s="68">
        <v>0.30677599999999999</v>
      </c>
      <c r="B114" s="68">
        <v>0.29979099999999997</v>
      </c>
      <c r="C114" s="68">
        <v>45.546300000000002</v>
      </c>
      <c r="D114" s="68">
        <v>2</v>
      </c>
      <c r="E114" s="68" t="s">
        <v>468</v>
      </c>
    </row>
    <row r="115" spans="1:5">
      <c r="A115" s="68">
        <v>0.30436299999999999</v>
      </c>
      <c r="B115" s="68">
        <v>0.29912499999999997</v>
      </c>
      <c r="C115" s="68">
        <v>45.953200000000002</v>
      </c>
      <c r="D115" s="68">
        <v>2</v>
      </c>
      <c r="E115" s="68" t="s">
        <v>469</v>
      </c>
    </row>
    <row r="116" spans="1:5">
      <c r="A116" s="68">
        <v>0.30194199999999999</v>
      </c>
      <c r="B116" s="68">
        <v>0.29909799999999997</v>
      </c>
      <c r="C116" s="68">
        <v>46.358199999999997</v>
      </c>
      <c r="D116" s="68">
        <v>2</v>
      </c>
      <c r="E116" s="68" t="s">
        <v>470</v>
      </c>
    </row>
    <row r="117" spans="1:5">
      <c r="A117" s="68">
        <v>0.29965599999999998</v>
      </c>
      <c r="B117" s="68">
        <v>0.29813600000000001</v>
      </c>
      <c r="C117" s="68">
        <v>46.765999999999998</v>
      </c>
      <c r="D117" s="68">
        <v>2</v>
      </c>
      <c r="E117" s="68" t="s">
        <v>471</v>
      </c>
    </row>
    <row r="118" spans="1:5">
      <c r="A118" s="68">
        <v>0.29722199999999999</v>
      </c>
      <c r="B118" s="68">
        <v>0.29663499999999998</v>
      </c>
      <c r="C118" s="68">
        <v>47.1721</v>
      </c>
      <c r="D118" s="68">
        <v>2</v>
      </c>
      <c r="E118" s="68" t="s">
        <v>472</v>
      </c>
    </row>
    <row r="119" spans="1:5">
      <c r="A119" s="68">
        <v>0.29500399999999999</v>
      </c>
      <c r="B119" s="68">
        <v>0.29478700000000002</v>
      </c>
      <c r="C119" s="68">
        <v>47.575000000000003</v>
      </c>
      <c r="D119" s="68">
        <v>2</v>
      </c>
      <c r="E119" s="68" t="s">
        <v>473</v>
      </c>
    </row>
    <row r="120" spans="1:5">
      <c r="A120" s="68">
        <v>0.293076</v>
      </c>
      <c r="B120" s="68">
        <v>0.29255399999999998</v>
      </c>
      <c r="C120" s="68">
        <v>47.985700000000001</v>
      </c>
      <c r="D120" s="68">
        <v>2</v>
      </c>
      <c r="E120" s="68" t="s">
        <v>474</v>
      </c>
    </row>
    <row r="121" spans="1:5">
      <c r="A121" s="68">
        <v>0.291155</v>
      </c>
      <c r="B121" s="68">
        <v>0.29051900000000003</v>
      </c>
      <c r="C121" s="68">
        <v>48.390799999999999</v>
      </c>
      <c r="D121" s="68">
        <v>2</v>
      </c>
      <c r="E121" s="68" t="s">
        <v>475</v>
      </c>
    </row>
    <row r="122" spans="1:5">
      <c r="A122" s="68">
        <v>0.28935100000000002</v>
      </c>
      <c r="B122" s="68">
        <v>0.28855500000000001</v>
      </c>
      <c r="C122" s="68">
        <v>48.797600000000003</v>
      </c>
      <c r="D122" s="68">
        <v>2</v>
      </c>
      <c r="E122" s="68" t="s">
        <v>476</v>
      </c>
    </row>
    <row r="123" spans="1:5">
      <c r="A123" s="68">
        <v>0.287746</v>
      </c>
      <c r="B123" s="68">
        <v>0.28725800000000001</v>
      </c>
      <c r="C123" s="68">
        <v>49.201599999999999</v>
      </c>
      <c r="D123" s="68">
        <v>2</v>
      </c>
      <c r="E123" s="68" t="s">
        <v>477</v>
      </c>
    </row>
    <row r="124" spans="1:5">
      <c r="A124" s="68">
        <v>0.286356</v>
      </c>
      <c r="B124" s="68">
        <v>0.28635899999999997</v>
      </c>
      <c r="C124" s="68">
        <v>49.6066</v>
      </c>
      <c r="D124" s="68">
        <v>2</v>
      </c>
      <c r="E124" s="68" t="s">
        <v>478</v>
      </c>
    </row>
    <row r="125" spans="1:5">
      <c r="A125" s="68">
        <v>0.28503699999999998</v>
      </c>
      <c r="B125" s="68">
        <v>0.28573700000000002</v>
      </c>
      <c r="C125" s="68">
        <v>50.018599999999999</v>
      </c>
      <c r="D125" s="68">
        <v>2</v>
      </c>
      <c r="E125" s="68" t="s">
        <v>479</v>
      </c>
    </row>
    <row r="126" spans="1:5">
      <c r="A126" s="68">
        <v>0.28398499999999999</v>
      </c>
      <c r="B126" s="68">
        <v>0.28505999999999998</v>
      </c>
      <c r="C126" s="68">
        <v>50.423299999999998</v>
      </c>
      <c r="D126" s="68">
        <v>2</v>
      </c>
      <c r="E126" s="68" t="s">
        <v>480</v>
      </c>
    </row>
    <row r="127" spans="1:5">
      <c r="A127" s="68">
        <v>0.28319100000000003</v>
      </c>
      <c r="B127" s="68">
        <v>0.28382099999999999</v>
      </c>
      <c r="C127" s="68">
        <v>50.829099999999997</v>
      </c>
      <c r="D127" s="68">
        <v>2</v>
      </c>
      <c r="E127" s="68" t="s">
        <v>481</v>
      </c>
    </row>
    <row r="128" spans="1:5">
      <c r="A128" s="68">
        <v>0.282333</v>
      </c>
      <c r="B128" s="68">
        <v>0.282198</v>
      </c>
      <c r="C128" s="68">
        <v>51.236699999999999</v>
      </c>
      <c r="D128" s="68">
        <v>2</v>
      </c>
      <c r="E128" s="68" t="s">
        <v>482</v>
      </c>
    </row>
    <row r="129" spans="1:5">
      <c r="A129" s="68">
        <v>0.28134900000000002</v>
      </c>
      <c r="B129" s="68">
        <v>0.280829</v>
      </c>
      <c r="C129" s="68">
        <v>51.641100000000002</v>
      </c>
      <c r="D129" s="68">
        <v>2</v>
      </c>
      <c r="E129" s="68" t="s">
        <v>483</v>
      </c>
    </row>
    <row r="130" spans="1:5">
      <c r="A130" s="68">
        <v>0.28049200000000002</v>
      </c>
      <c r="B130" s="68">
        <v>0.27923100000000001</v>
      </c>
      <c r="C130" s="68">
        <v>52.049900000000001</v>
      </c>
      <c r="D130" s="68">
        <v>2</v>
      </c>
      <c r="E130" s="68" t="s">
        <v>484</v>
      </c>
    </row>
    <row r="131" spans="1:5">
      <c r="A131" s="68">
        <v>0.27973599999999998</v>
      </c>
      <c r="B131" s="68">
        <v>0.27722999999999998</v>
      </c>
      <c r="C131" s="68">
        <v>52.452800000000003</v>
      </c>
      <c r="D131" s="68">
        <v>2</v>
      </c>
      <c r="E131" s="68" t="s">
        <v>485</v>
      </c>
    </row>
    <row r="132" spans="1:5">
      <c r="A132" s="68">
        <v>0.27916099999999999</v>
      </c>
      <c r="B132" s="68">
        <v>0.27522099999999999</v>
      </c>
      <c r="C132" s="68">
        <v>52.857700000000001</v>
      </c>
      <c r="D132" s="68">
        <v>2</v>
      </c>
      <c r="E132" s="68" t="s">
        <v>486</v>
      </c>
    </row>
    <row r="133" spans="1:5">
      <c r="A133" s="68">
        <v>0.278839</v>
      </c>
      <c r="B133" s="68">
        <v>0.27411200000000002</v>
      </c>
      <c r="C133" s="68">
        <v>53.264699999999998</v>
      </c>
      <c r="D133" s="68">
        <v>2</v>
      </c>
      <c r="E133" s="68" t="s">
        <v>487</v>
      </c>
    </row>
    <row r="134" spans="1:5">
      <c r="A134" s="68">
        <v>0.278557</v>
      </c>
      <c r="B134" s="68">
        <v>0.27363700000000002</v>
      </c>
      <c r="C134" s="68">
        <v>53.671700000000001</v>
      </c>
      <c r="D134" s="68">
        <v>2</v>
      </c>
      <c r="E134" s="68" t="s">
        <v>488</v>
      </c>
    </row>
    <row r="135" spans="1:5">
      <c r="A135" s="68">
        <v>0.27875800000000001</v>
      </c>
      <c r="B135" s="68">
        <v>0.27364100000000002</v>
      </c>
      <c r="C135" s="68">
        <v>54.078400000000002</v>
      </c>
      <c r="D135" s="68">
        <v>2</v>
      </c>
      <c r="E135" s="68" t="s">
        <v>489</v>
      </c>
    </row>
    <row r="136" spans="1:5">
      <c r="A136" s="68">
        <v>0.27909600000000001</v>
      </c>
      <c r="B136" s="68">
        <v>0.27424300000000001</v>
      </c>
      <c r="C136" s="68">
        <v>54.4846</v>
      </c>
      <c r="D136" s="68">
        <v>2</v>
      </c>
      <c r="E136" s="68" t="s">
        <v>490</v>
      </c>
    </row>
    <row r="137" spans="1:5">
      <c r="A137" s="68">
        <v>0.27931499999999998</v>
      </c>
      <c r="B137" s="68">
        <v>0.27416200000000002</v>
      </c>
      <c r="C137" s="68">
        <v>54.891300000000001</v>
      </c>
      <c r="D137" s="68">
        <v>2</v>
      </c>
      <c r="E137" s="68" t="s">
        <v>491</v>
      </c>
    </row>
    <row r="138" spans="1:5">
      <c r="A138" s="68">
        <v>0.27950700000000001</v>
      </c>
      <c r="B138" s="68">
        <v>0.273644</v>
      </c>
      <c r="C138" s="68">
        <v>55.2973</v>
      </c>
      <c r="D138" s="68">
        <v>2</v>
      </c>
      <c r="E138" s="68" t="s">
        <v>492</v>
      </c>
    </row>
    <row r="139" spans="1:5">
      <c r="A139" s="68">
        <v>0.279084</v>
      </c>
      <c r="B139" s="68">
        <v>0.27404899999999999</v>
      </c>
      <c r="C139" s="68">
        <v>55.7042</v>
      </c>
      <c r="D139" s="68">
        <v>2</v>
      </c>
      <c r="E139" s="68" t="s">
        <v>493</v>
      </c>
    </row>
    <row r="140" spans="1:5">
      <c r="A140" s="68">
        <v>0.27913900000000003</v>
      </c>
      <c r="B140" s="68">
        <v>0.27356999999999998</v>
      </c>
      <c r="C140" s="68">
        <v>56.11</v>
      </c>
      <c r="D140" s="68">
        <v>2</v>
      </c>
      <c r="E140" s="68" t="s">
        <v>494</v>
      </c>
    </row>
    <row r="141" spans="1:5">
      <c r="A141" s="68">
        <v>0.27888299999999999</v>
      </c>
      <c r="B141" s="68">
        <v>0.27434599999999998</v>
      </c>
      <c r="C141" s="68">
        <v>56.517000000000003</v>
      </c>
      <c r="D141" s="68">
        <v>2</v>
      </c>
      <c r="E141" s="68" t="s">
        <v>495</v>
      </c>
    </row>
    <row r="142" spans="1:5">
      <c r="A142" s="68">
        <v>0.27824100000000002</v>
      </c>
      <c r="B142" s="68">
        <v>0.27751700000000001</v>
      </c>
      <c r="C142" s="68">
        <v>56.922899999999998</v>
      </c>
      <c r="D142" s="68">
        <v>2</v>
      </c>
      <c r="E142" s="68" t="s">
        <v>496</v>
      </c>
    </row>
    <row r="143" spans="1:5">
      <c r="A143" s="68">
        <v>0.278113</v>
      </c>
      <c r="B143" s="68">
        <v>0.28023900000000002</v>
      </c>
      <c r="C143" s="68">
        <v>57.324800000000003</v>
      </c>
      <c r="D143" s="68">
        <v>2</v>
      </c>
      <c r="E143" s="68" t="s">
        <v>497</v>
      </c>
    </row>
    <row r="144" spans="1:5">
      <c r="A144" s="68">
        <v>0.278144</v>
      </c>
      <c r="B144" s="68">
        <v>0.28229900000000002</v>
      </c>
      <c r="C144" s="68">
        <v>57.734099999999998</v>
      </c>
      <c r="D144" s="68">
        <v>2</v>
      </c>
      <c r="E144" s="68" t="s">
        <v>498</v>
      </c>
    </row>
    <row r="145" spans="1:5">
      <c r="A145" s="68">
        <v>0.27801199999999998</v>
      </c>
      <c r="B145" s="68">
        <v>0.28647</v>
      </c>
      <c r="C145" s="68">
        <v>58.142499999999998</v>
      </c>
      <c r="D145" s="68">
        <v>2</v>
      </c>
      <c r="E145" s="68" t="s">
        <v>499</v>
      </c>
    </row>
    <row r="146" spans="1:5">
      <c r="A146" s="68">
        <v>0.27927800000000003</v>
      </c>
      <c r="B146" s="68">
        <v>0.28856799999999999</v>
      </c>
      <c r="C146" s="68">
        <v>58.5456</v>
      </c>
      <c r="D146" s="68">
        <v>2</v>
      </c>
      <c r="E146" s="68" t="s">
        <v>500</v>
      </c>
    </row>
    <row r="147" spans="1:5">
      <c r="A147" s="68">
        <v>0.28165200000000001</v>
      </c>
      <c r="B147" s="68">
        <v>0.28640500000000002</v>
      </c>
      <c r="C147" s="68">
        <v>58.955500000000001</v>
      </c>
      <c r="D147" s="68">
        <v>2</v>
      </c>
      <c r="E147" s="68" t="s">
        <v>501</v>
      </c>
    </row>
    <row r="148" spans="1:5">
      <c r="A148" s="68">
        <v>0.28407199999999999</v>
      </c>
      <c r="B148" s="68">
        <v>0.28521400000000002</v>
      </c>
      <c r="C148" s="68">
        <v>59.359299999999998</v>
      </c>
      <c r="D148" s="68">
        <v>2</v>
      </c>
      <c r="E148" s="68" t="s">
        <v>502</v>
      </c>
    </row>
    <row r="149" spans="1:5">
      <c r="A149" s="68">
        <v>0.28425699999999998</v>
      </c>
      <c r="B149" s="68">
        <v>0.28480499999999997</v>
      </c>
      <c r="C149" s="68">
        <v>59.766599999999997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510</v>
      </c>
      <c r="G1" s="66" t="s">
        <v>294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43606.417743055557</v>
      </c>
      <c r="B2" s="66" t="s">
        <v>506</v>
      </c>
      <c r="C2" s="66"/>
      <c r="D2" s="66"/>
      <c r="E2" s="66">
        <v>4.9234099999999996</v>
      </c>
      <c r="F2" s="66">
        <v>1.5589200000000001</v>
      </c>
      <c r="G2" s="66">
        <v>0.67961400000000005</v>
      </c>
      <c r="H2" s="66">
        <v>0</v>
      </c>
      <c r="I2" s="66">
        <v>83656</v>
      </c>
      <c r="J2" s="66">
        <v>75</v>
      </c>
      <c r="K2" s="66">
        <v>75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2019-05-21T02:02:30Z</cp:lastPrinted>
  <dcterms:created xsi:type="dcterms:W3CDTF">2010-10-29T12:53:05Z</dcterms:created>
  <dcterms:modified xsi:type="dcterms:W3CDTF">2019-05-21T02:02:54Z</dcterms:modified>
</cp:coreProperties>
</file>