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<sst xmlns="http://schemas.openxmlformats.org/spreadsheetml/2006/main" count="701" uniqueCount="519">
  <si>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</si>
  <si>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</si>
  <si>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</si>
  <si>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</si>
  <si>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</si>
  <si>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</si>
  <si>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</si>
  <si>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</si>
  <si>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</si>
  <si>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</si>
  <si>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</si>
  <si>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</si>
  <si>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</si>
  <si>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</si>
  <si>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</si>
  <si>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</si>
  <si>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</si>
  <si>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</si>
  <si>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</si>
  <si>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</si>
  <si>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</si>
  <si>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</si>
  <si>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</si>
  <si>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</si>
  <si>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</si>
  <si>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</si>
  <si>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</si>
  <si>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</si>
  <si>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</si>
  <si>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</si>
  <si>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</si>
  <si>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</si>
  <si>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</si>
  <si>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</si>
  <si>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</si>
  <si>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</si>
  <si>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</si>
  <si>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</si>
  <si>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</si>
  <si>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</si>
  <si>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</si>
  <si>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</si>
  <si>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</si>
  <si>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</si>
  <si>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</si>
  <si>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</si>
  <si>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</si>
  <si>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</si>
  <si>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</si>
  <si>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</si>
  <si>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</si>
  <si>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</si>
  <si>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</si>
  <si>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</si>
  <si>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</si>
  <si>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</si>
  <si>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</si>
  <si>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</si>
  <si>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</si>
  <si>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</si>
  <si>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</si>
  <si>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</si>
  <si>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</si>
  <si>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</si>
  <si>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</si>
  <si>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</si>
  <si>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</si>
  <si>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</si>
  <si>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</si>
  <si>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</si>
  <si>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</si>
  <si>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</si>
  <si>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</si>
  <si>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</si>
  <si>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</si>
  <si>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</si>
  <si>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</si>
  <si>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</si>
  <si>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</si>
  <si>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</si>
  <si>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</si>
  <si>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</si>
  <si>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</si>
  <si>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</si>
  <si>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</si>
  <si>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</si>
  <si>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</si>
  <si>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</si>
  <si>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</si>
  <si>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</si>
  <si>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</si>
  <si>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</si>
  <si>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</si>
  <si>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</si>
  <si>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</si>
  <si>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</si>
  <si>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</si>
  <si>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</si>
  <si>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</si>
  <si>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</si>
  <si>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</si>
  <si>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</si>
  <si>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</si>
  <si>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</si>
  <si>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</si>
  <si>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</si>
  <si>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</si>
  <si>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</si>
  <si>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</si>
  <si>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</si>
  <si>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</si>
  <si>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</si>
  <si>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</si>
  <si>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</si>
  <si>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</si>
  <si>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</si>
  <si>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</si>
  <si>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</si>
  <si>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</si>
  <si>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</si>
  <si>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</si>
  <si>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</si>
  <si>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</si>
  <si>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</si>
  <si>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</si>
  <si>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</si>
  <si>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</si>
  <si>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</si>
  <si>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</si>
  <si>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</si>
  <si>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</si>
  <si>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</si>
  <si>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</si>
  <si>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</si>
  <si>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</si>
  <si>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</si>
  <si>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</si>
  <si>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</si>
  <si>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</si>
  <si>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</si>
  <si>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</si>
  <si>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</si>
  <si>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</si>
  <si>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</si>
  <si>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</si>
  <si>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</si>
  <si>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</si>
  <si>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</si>
  <si>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</si>
  <si>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</si>
  <si>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</si>
  <si>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</si>
  <si>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</si>
  <si>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</si>
  <si>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</si>
  <si>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</si>
  <si>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</si>
  <si>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</si>
  <si>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</si>
  <si>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</si>
  <si>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</si>
  <si>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</si>
  <si>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</si>
  <si>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</si>
  <si>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</si>
  <si>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</si>
  <si>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</si>
  <si>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</si>
  <si>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</si>
  <si>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</si>
  <si>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</si>
  <si>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</si>
  <si>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</si>
  <si>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</si>
  <si>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</si>
  <si>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</si>
  <si>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</si>
  <si>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</si>
  <si>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</si>
  <si>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</si>
  <si>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</si>
  <si>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</si>
  <si>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</si>
  <si>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</si>
  <si>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</si>
  <si>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</si>
  <si>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</si>
  <si>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</si>
  <si>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</si>
  <si>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</si>
  <si>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</si>
  <si>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</si>
  <si>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</si>
  <si>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</si>
  <si>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</si>
  <si>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</si>
  <si>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</si>
  <si>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</si>
  <si>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</si>
  <si>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</si>
  <si>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</si>
  <si>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</si>
  <si>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</si>
  <si>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</si>
  <si>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</si>
  <si>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</si>
  <si>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</si>
  <si>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</si>
  <si>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</si>
  <si>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</si>
  <si>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</si>
  <si>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</si>
  <si>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</si>
  <si>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</si>
  <si>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</si>
  <si>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</si>
  <si>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</si>
  <si>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</si>
  <si>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</si>
  <si>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</si>
  <si>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</si>
  <si>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</si>
  <si>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</si>
  <si>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</si>
  <si>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</si>
  <si>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</si>
  <si>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</si>
  <si>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</si>
  <si>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</si>
  <si>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</si>
  <si>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</si>
  <si>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</si>
  <si>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</si>
  <si>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</si>
  <si>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</si>
  <si>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</si>
  <si>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</si>
  <si>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</si>
  <si>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</si>
  <si>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</si>
  <si>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</si>
  <si>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</si>
  <si>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</si>
  <si>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</si>
  <si>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</si>
  <si>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</si>
  <si>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</si>
  <si>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</si>
  <si>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</si>
  <si>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</si>
  <si>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</si>
  <si>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</si>
  <si>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</si>
  <si>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</si>
  <si>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</si>
  <si>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</si>
  <si>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</si>
  <si>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</si>
  <si>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</si>
  <si>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</si>
  <si>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</si>
  <si>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</si>
  <si>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</si>
  <si>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</si>
  <si>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</si>
  <si>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</si>
  <si>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</si>
  <si>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</si>
  <si>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</si>
  <si>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</si>
  <si>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</si>
  <si>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</si>
  <si>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</si>
  <si>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</si>
  <si>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</si>
  <si>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</si>
  <si>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</si>
  <si>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</si>
  <si>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</si>
  <si>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</si>
  <si>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</si>
  <si>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</si>
  <si>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</si>
  <si>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</si>
  <si>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</si>
  <si>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</si>
  <si>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</si>
  <si>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</si>
  <si>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</si>
  <si>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</si>
  <si>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</si>
  <si>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</si>
  <si>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</si>
  <si>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</si>
  <si>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</si>
  <si>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</si>
  <si>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</si>
  <si>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</si>
  <si>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</si>
  <si>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</si>
  <si>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</si>
  <si>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</si>
  <si>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</si>
  <si>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</si>
  <si>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</si>
  <si>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</si>
  <si>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</si>
  <si>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</si>
  <si>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</si>
  <si>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</si>
  <si>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</si>
  <si>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</si>
  <si>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</si>
  <si>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</si>
  <si>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</si>
  <si>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</si>
  <si>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</si>
  <si>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</si>
  <si>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</si>
  <si>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</si>
  <si>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</si>
  <si>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</si>
  <si>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</si>
  <si>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</si>
  <si>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</si>
  <si>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</si>
  <si>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</si>
  <si>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</si>
  <si>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</si>
  <si>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</si>
  <si>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</si>
  <si>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</si>
  <si>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</si>
  <si>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</si>
  <si>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</si>
  <si>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</si>
  <si>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</si>
  <si>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</si>
  <si>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</si>
  <si>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</si>
  <si>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</si>
  <si>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</si>
  <si>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</si>
  <si>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</si>
  <si>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</si>
  <si>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</si>
  <si>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</t>
    <phoneticPr fontId="29" type="noConversion"/>
  </si>
  <si>
    <t>A2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</si>
  <si>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</si>
  <si>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</si>
  <si>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</si>
  <si>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</si>
  <si>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</si>
  <si>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</si>
  <si>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</si>
  <si>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</si>
  <si>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[0.408097]</t>
  </si>
  <si>
    <t>1 [0.816703]</t>
  </si>
  <si>
    <t>1 [1.222573]</t>
  </si>
  <si>
    <t>1 [1.627506]</t>
  </si>
  <si>
    <t>1 [2.030475]</t>
  </si>
  <si>
    <t>1 [2.438476]</t>
  </si>
  <si>
    <t>1 [2.847315]</t>
  </si>
  <si>
    <t>1 [3.252205]</t>
  </si>
  <si>
    <t>1 [3.658186]</t>
  </si>
  <si>
    <t>1 [4.067095]</t>
  </si>
  <si>
    <t>1 [4.469908]</t>
  </si>
  <si>
    <t>1 [4.873993]</t>
  </si>
  <si>
    <t>1 [5.284812]</t>
  </si>
  <si>
    <t>1 [5.690746]</t>
  </si>
  <si>
    <t>1 [6.091391]</t>
  </si>
  <si>
    <t>1 [6.497337]</t>
  </si>
  <si>
    <t>1 [6.909395]</t>
  </si>
  <si>
    <t>1 [7.318519]</t>
  </si>
  <si>
    <t>1 [7.726260]</t>
  </si>
  <si>
    <t>1 [8.133249]</t>
  </si>
  <si>
    <t>1 [8.531085]</t>
  </si>
  <si>
    <t>1 [8.937141]</t>
  </si>
  <si>
    <t>1 [9.347982]</t>
  </si>
  <si>
    <t>1 [9.749869]</t>
  </si>
  <si>
    <t>1 [10.161780]</t>
  </si>
  <si>
    <t>1 [10.568762]</t>
  </si>
  <si>
    <t>1 [10.969366]</t>
  </si>
  <si>
    <t>1 [11.376471]</t>
  </si>
  <si>
    <t>1 [11.785523]</t>
  </si>
  <si>
    <t>1 [12.186529]</t>
  </si>
  <si>
    <t>1 [12.597221]</t>
  </si>
  <si>
    <t>1 [13.003129]</t>
  </si>
  <si>
    <t>1 [13.407067]</t>
  </si>
  <si>
    <t>1 [13.811186]</t>
  </si>
  <si>
    <t>1 [14.216977]</t>
  </si>
  <si>
    <t>1 [14.627790]</t>
  </si>
  <si>
    <t>1 [15.034743]</t>
  </si>
  <si>
    <t>1 [15.440658]</t>
  </si>
  <si>
    <t>1 [15.846527]</t>
  </si>
  <si>
    <t>1 [16.250749]</t>
  </si>
  <si>
    <t>1 [16.654493]</t>
  </si>
  <si>
    <t>1 [17.061428]</t>
  </si>
  <si>
    <t>1 [17.470182]</t>
  </si>
  <si>
    <t>1 [17.875106]</t>
  </si>
  <si>
    <t>1 [18.280359]</t>
  </si>
  <si>
    <t>1 [18.690884]</t>
  </si>
  <si>
    <t>1 [19.096020]</t>
  </si>
  <si>
    <t>1 [19.504812]</t>
  </si>
  <si>
    <t>1 [19.906631]</t>
  </si>
  <si>
    <t>1 [20.312865]</t>
  </si>
  <si>
    <t>1 [20.720490]</t>
  </si>
  <si>
    <t>1 [21.125464]</t>
  </si>
  <si>
    <t>1 [21.534304]</t>
  </si>
  <si>
    <t>1 [21.941185]</t>
  </si>
  <si>
    <t>1 [22.348321]</t>
  </si>
  <si>
    <t>1 [22.752060]</t>
  </si>
  <si>
    <t>1 [23.158946]</t>
  </si>
  <si>
    <t>1 [23.562265]</t>
  </si>
  <si>
    <t>1 [23.966870]</t>
  </si>
  <si>
    <t>1 [24.378778]</t>
  </si>
  <si>
    <t>1 [24.780648]</t>
  </si>
  <si>
    <t>1 [25.185563]</t>
  </si>
  <si>
    <t>1 [25.592697]</t>
  </si>
  <si>
    <t>1 [26.005401]</t>
  </si>
  <si>
    <t>1 [26.410296]</t>
  </si>
  <si>
    <t>1 [26.816168]</t>
  </si>
  <si>
    <t>1 [27.218172]</t>
  </si>
  <si>
    <t>1 [27.623027]</t>
  </si>
  <si>
    <t>1 [28.030997]</t>
  </si>
  <si>
    <t>1 [28.436998]</t>
  </si>
  <si>
    <t>1 [28.844915]</t>
  </si>
  <si>
    <t>1 [29.253625]</t>
  </si>
  <si>
    <t>1 [29.657714]</t>
  </si>
  <si>
    <t>2 [30.060595]</t>
  </si>
  <si>
    <t>2 [30.533293]</t>
  </si>
  <si>
    <t>2 [30.936572]</t>
  </si>
  <si>
    <t>2 [31.349267]</t>
  </si>
  <si>
    <t>2 [31.734185]</t>
  </si>
  <si>
    <t>2 [32.141942]</t>
  </si>
  <si>
    <t>2 [32.547817]</t>
  </si>
  <si>
    <t>2 [32.957763]</t>
  </si>
  <si>
    <t>2 [33.364782]</t>
  </si>
  <si>
    <t>2 [33.766289]</t>
  </si>
  <si>
    <t>2 [34.171751]</t>
  </si>
  <si>
    <t>2 [34.583457]</t>
  </si>
  <si>
    <t>2 [34.988479]</t>
  </si>
  <si>
    <t>2 [35.393276]</t>
  </si>
  <si>
    <t>2 [35.801305]</t>
  </si>
  <si>
    <t>2 [36.201668]</t>
  </si>
  <si>
    <t>2 [36.615239]</t>
  </si>
  <si>
    <t>2 [37.016946]</t>
  </si>
  <si>
    <t>2 [37.425885]</t>
  </si>
  <si>
    <t>2 [37.832373]</t>
  </si>
  <si>
    <t>2 [38.237682]</t>
  </si>
  <si>
    <t>2 [38.642573]</t>
  </si>
  <si>
    <t>2 [39.047475]</t>
  </si>
  <si>
    <t>2 [39.455454]</t>
  </si>
  <si>
    <t>2 [39.864370]</t>
  </si>
  <si>
    <t>2 [40.267358]</t>
  </si>
  <si>
    <t>2 [40.676095]</t>
  </si>
  <si>
    <t>2 [41.079101]</t>
  </si>
  <si>
    <t>2 [41.486027]</t>
  </si>
  <si>
    <t>2 [41.893958]</t>
  </si>
  <si>
    <t>2 [42.295952]</t>
  </si>
  <si>
    <t>2 [42.703717]</t>
  </si>
  <si>
    <t>2 [43.108683]</t>
  </si>
  <si>
    <t>2 [43.512560]</t>
  </si>
  <si>
    <t>2 [43.923455]</t>
  </si>
  <si>
    <t>2 [44.332777]</t>
  </si>
  <si>
    <t>2 [44.733792]</t>
  </si>
  <si>
    <t>2 [45.140165]</t>
  </si>
  <si>
    <t>2 [45.548520]</t>
  </si>
  <si>
    <t>2 [45.957065]</t>
  </si>
  <si>
    <t>2 [46.365177]</t>
  </si>
  <si>
    <t>2 [46.766881]</t>
  </si>
  <si>
    <t>2 [47.172799]</t>
  </si>
  <si>
    <t>2 [47.581879]</t>
  </si>
  <si>
    <t>2 [47.985641]</t>
  </si>
  <si>
    <t>2 [48.394704]</t>
  </si>
  <si>
    <t>2 [48.799486]</t>
  </si>
  <si>
    <t>2 [49.206575]</t>
  </si>
  <si>
    <t>2 [49.611321]</t>
  </si>
  <si>
    <t>2 [50.014180]</t>
  </si>
  <si>
    <t>2 [50.425151]</t>
  </si>
  <si>
    <t>2 [50.828350]</t>
  </si>
  <si>
    <t>2 [51.234915]</t>
  </si>
  <si>
    <t>2 [51.643889]</t>
  </si>
  <si>
    <t>2 [52.047732]</t>
  </si>
  <si>
    <t>2 [52.453617]</t>
  </si>
  <si>
    <t>2 [52.859862]</t>
  </si>
  <si>
    <t>2 [53.264320]</t>
  </si>
  <si>
    <t>2 [53.670470]</t>
  </si>
  <si>
    <t>2 [54.080276]</t>
  </si>
  <si>
    <t>2 [54.487248]</t>
  </si>
  <si>
    <t>2 [54.895205]</t>
  </si>
  <si>
    <t>2 [55.302202]</t>
  </si>
  <si>
    <t>2 [55.709266]</t>
  </si>
  <si>
    <t>2 [56.113942]</t>
  </si>
  <si>
    <t>2 [56.516964]</t>
  </si>
  <si>
    <t>2 [56.920838]</t>
  </si>
  <si>
    <t>2 [57.330651]</t>
  </si>
  <si>
    <t>2 [57.736721]</t>
  </si>
  <si>
    <t>2 [58.139764]</t>
  </si>
  <si>
    <t>2 [58.554310]</t>
  </si>
  <si>
    <t>2 [58.957293]</t>
  </si>
  <si>
    <t>2 [59.362220]</t>
  </si>
  <si>
    <t>2 [59.769356]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</si>
  <si>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</si>
  <si>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</si>
  <si>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</si>
  <si>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</si>
  <si>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</si>
  <si>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</si>
  <si>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</si>
  <si>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</si>
  <si>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</si>
  <si>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</si>
  <si>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</si>
  <si>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</si>
  <si>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</si>
  <si>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</si>
  <si>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</si>
  <si>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高秀玲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</si>
</sst>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20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0" fontId="8" fillId="0" borderId="43" xfId="0" applyFont="1" applyBorder="1" applyAlignment="1">
      <alignment horizontal="center" vertical="center" wrapText="1"/>
    </xf>
    <xf numFmtId="179" fontId="32" fillId="0" borderId="13" xfId="0" applyNumberFormat="1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 wrapText="1"/>
    </xf>
    <xf numFmtId="179" fontId="32" fillId="0" borderId="44" xfId="0" applyNumberFormat="1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179" fontId="32" fillId="0" borderId="5" xfId="0" applyNumberFormat="1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 wrapText="1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53.235999999999997</c:v>
                </c:pt>
                <c:pt idx="1">
                  <c:v>28.5823</c:v>
                </c:pt>
                <c:pt idx="2">
                  <c:v>22.459099999999999</c:v>
                </c:pt>
                <c:pt idx="3">
                  <c:v>34.757599999999996</c:v>
                </c:pt>
                <c:pt idx="4">
                  <c:v>67.217200000000005</c:v>
                </c:pt>
                <c:pt idx="5">
                  <c:v>74.688699999999997</c:v>
                </c:pt>
                <c:pt idx="6">
                  <c:v>31.401299999999999</c:v>
                </c:pt>
                <c:pt idx="7">
                  <c:v>70.858699999999999</c:v>
                </c:pt>
                <c:pt idx="8">
                  <c:v>18.537299999999998</c:v>
                </c:pt>
                <c:pt idx="9">
                  <c:v>25.933900000000001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0.51714362991066487</c:v>
                </c:pt>
                <c:pt idx="1">
                  <c:v>0.29447627447006025</c:v>
                </c:pt>
                <c:pt idx="2">
                  <c:v>0.18838009561927491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1170</c:v>
                </c:pt>
                <c:pt idx="7">
                  <c:v>0</c:v>
                </c:pt>
                <c:pt idx="8">
                  <c:v>1042</c:v>
                </c:pt>
                <c:pt idx="9">
                  <c:v>0</c:v>
                </c:pt>
                <c:pt idx="10">
                  <c:v>0</c:v>
                </c:pt>
                <c:pt idx="11">
                  <c:v>1812</c:v>
                </c:pt>
                <c:pt idx="12">
                  <c:v>0</c:v>
                </c:pt>
                <c:pt idx="13">
                  <c:v>2928</c:v>
                </c:pt>
                <c:pt idx="14">
                  <c:v>0</c:v>
                </c:pt>
                <c:pt idx="15">
                  <c:v>0</c:v>
                </c:pt>
                <c:pt idx="16">
                  <c:v>1805</c:v>
                </c:pt>
                <c:pt idx="17">
                  <c:v>0</c:v>
                </c:pt>
                <c:pt idx="18">
                  <c:v>0</c:v>
                </c:pt>
                <c:pt idx="19">
                  <c:v>2475</c:v>
                </c:pt>
                <c:pt idx="20">
                  <c:v>0</c:v>
                </c:pt>
                <c:pt idx="21">
                  <c:v>3173</c:v>
                </c:pt>
                <c:pt idx="22">
                  <c:v>0</c:v>
                </c:pt>
                <c:pt idx="23">
                  <c:v>0</c:v>
                </c:pt>
                <c:pt idx="24">
                  <c:v>4496</c:v>
                </c:pt>
                <c:pt idx="25">
                  <c:v>0</c:v>
                </c:pt>
                <c:pt idx="26">
                  <c:v>4077</c:v>
                </c:pt>
                <c:pt idx="27">
                  <c:v>0</c:v>
                </c:pt>
                <c:pt idx="28">
                  <c:v>0</c:v>
                </c:pt>
                <c:pt idx="29">
                  <c:v>7131</c:v>
                </c:pt>
                <c:pt idx="30">
                  <c:v>0</c:v>
                </c:pt>
                <c:pt idx="31">
                  <c:v>10612</c:v>
                </c:pt>
                <c:pt idx="32">
                  <c:v>0</c:v>
                </c:pt>
                <c:pt idx="33">
                  <c:v>0</c:v>
                </c:pt>
                <c:pt idx="34">
                  <c:v>21097</c:v>
                </c:pt>
                <c:pt idx="35">
                  <c:v>0</c:v>
                </c:pt>
                <c:pt idx="36">
                  <c:v>0</c:v>
                </c:pt>
                <c:pt idx="37">
                  <c:v>26718</c:v>
                </c:pt>
                <c:pt idx="38">
                  <c:v>0</c:v>
                </c:pt>
                <c:pt idx="39">
                  <c:v>36027</c:v>
                </c:pt>
                <c:pt idx="40">
                  <c:v>0</c:v>
                </c:pt>
                <c:pt idx="41">
                  <c:v>0</c:v>
                </c:pt>
                <c:pt idx="42">
                  <c:v>51678</c:v>
                </c:pt>
                <c:pt idx="43">
                  <c:v>0</c:v>
                </c:pt>
                <c:pt idx="44">
                  <c:v>67342</c:v>
                </c:pt>
                <c:pt idx="45">
                  <c:v>0</c:v>
                </c:pt>
                <c:pt idx="46">
                  <c:v>0</c:v>
                </c:pt>
                <c:pt idx="47">
                  <c:v>71341</c:v>
                </c:pt>
                <c:pt idx="48">
                  <c:v>0</c:v>
                </c:pt>
                <c:pt idx="49">
                  <c:v>76621</c:v>
                </c:pt>
                <c:pt idx="50">
                  <c:v>0</c:v>
                </c:pt>
                <c:pt idx="51">
                  <c:v>0</c:v>
                </c:pt>
                <c:pt idx="52">
                  <c:v>89487</c:v>
                </c:pt>
                <c:pt idx="53">
                  <c:v>0</c:v>
                </c:pt>
                <c:pt idx="54">
                  <c:v>0</c:v>
                </c:pt>
                <c:pt idx="55">
                  <c:v>96713</c:v>
                </c:pt>
                <c:pt idx="56">
                  <c:v>0</c:v>
                </c:pt>
                <c:pt idx="57">
                  <c:v>105379</c:v>
                </c:pt>
                <c:pt idx="58">
                  <c:v>0</c:v>
                </c:pt>
                <c:pt idx="59">
                  <c:v>0</c:v>
                </c:pt>
                <c:pt idx="60">
                  <c:v>112987</c:v>
                </c:pt>
                <c:pt idx="61">
                  <c:v>0</c:v>
                </c:pt>
                <c:pt idx="62">
                  <c:v>117297</c:v>
                </c:pt>
                <c:pt idx="63">
                  <c:v>0</c:v>
                </c:pt>
                <c:pt idx="64">
                  <c:v>0</c:v>
                </c:pt>
                <c:pt idx="65">
                  <c:v>115158</c:v>
                </c:pt>
                <c:pt idx="66">
                  <c:v>0</c:v>
                </c:pt>
                <c:pt idx="67">
                  <c:v>116911</c:v>
                </c:pt>
                <c:pt idx="68">
                  <c:v>0</c:v>
                </c:pt>
                <c:pt idx="69">
                  <c:v>0</c:v>
                </c:pt>
                <c:pt idx="70">
                  <c:v>132873</c:v>
                </c:pt>
                <c:pt idx="71">
                  <c:v>0</c:v>
                </c:pt>
                <c:pt idx="72">
                  <c:v>0</c:v>
                </c:pt>
                <c:pt idx="73">
                  <c:v>130161</c:v>
                </c:pt>
                <c:pt idx="74">
                  <c:v>0</c:v>
                </c:pt>
                <c:pt idx="75">
                  <c:v>131563</c:v>
                </c:pt>
                <c:pt idx="76">
                  <c:v>0</c:v>
                </c:pt>
                <c:pt idx="77">
                  <c:v>0</c:v>
                </c:pt>
                <c:pt idx="78">
                  <c:v>136489</c:v>
                </c:pt>
                <c:pt idx="79">
                  <c:v>0</c:v>
                </c:pt>
                <c:pt idx="80">
                  <c:v>149888</c:v>
                </c:pt>
                <c:pt idx="81">
                  <c:v>0</c:v>
                </c:pt>
                <c:pt idx="82">
                  <c:v>0</c:v>
                </c:pt>
                <c:pt idx="83">
                  <c:v>176123</c:v>
                </c:pt>
                <c:pt idx="84">
                  <c:v>0</c:v>
                </c:pt>
                <c:pt idx="85">
                  <c:v>0</c:v>
                </c:pt>
                <c:pt idx="86">
                  <c:v>184154</c:v>
                </c:pt>
                <c:pt idx="87">
                  <c:v>0</c:v>
                </c:pt>
                <c:pt idx="88">
                  <c:v>198843</c:v>
                </c:pt>
                <c:pt idx="89">
                  <c:v>0</c:v>
                </c:pt>
                <c:pt idx="90">
                  <c:v>0</c:v>
                </c:pt>
                <c:pt idx="91">
                  <c:v>206025</c:v>
                </c:pt>
                <c:pt idx="92">
                  <c:v>0</c:v>
                </c:pt>
                <c:pt idx="93">
                  <c:v>206674</c:v>
                </c:pt>
                <c:pt idx="94">
                  <c:v>0</c:v>
                </c:pt>
                <c:pt idx="95">
                  <c:v>0</c:v>
                </c:pt>
                <c:pt idx="96">
                  <c:v>229403</c:v>
                </c:pt>
                <c:pt idx="97">
                  <c:v>0</c:v>
                </c:pt>
                <c:pt idx="98">
                  <c:v>243331</c:v>
                </c:pt>
                <c:pt idx="99">
                  <c:v>0</c:v>
                </c:pt>
                <c:pt idx="100">
                  <c:v>0</c:v>
                </c:pt>
                <c:pt idx="101">
                  <c:v>248959</c:v>
                </c:pt>
                <c:pt idx="102">
                  <c:v>0</c:v>
                </c:pt>
                <c:pt idx="103">
                  <c:v>0</c:v>
                </c:pt>
                <c:pt idx="104">
                  <c:v>253636</c:v>
                </c:pt>
                <c:pt idx="105">
                  <c:v>0</c:v>
                </c:pt>
                <c:pt idx="106">
                  <c:v>256265</c:v>
                </c:pt>
                <c:pt idx="107">
                  <c:v>0</c:v>
                </c:pt>
                <c:pt idx="108">
                  <c:v>0</c:v>
                </c:pt>
                <c:pt idx="109">
                  <c:v>266292</c:v>
                </c:pt>
                <c:pt idx="110">
                  <c:v>0</c:v>
                </c:pt>
                <c:pt idx="111">
                  <c:v>271590</c:v>
                </c:pt>
                <c:pt idx="112">
                  <c:v>0</c:v>
                </c:pt>
                <c:pt idx="113">
                  <c:v>0</c:v>
                </c:pt>
                <c:pt idx="114">
                  <c:v>287948</c:v>
                </c:pt>
                <c:pt idx="115">
                  <c:v>0</c:v>
                </c:pt>
                <c:pt idx="116">
                  <c:v>287733</c:v>
                </c:pt>
                <c:pt idx="117">
                  <c:v>0</c:v>
                </c:pt>
                <c:pt idx="118">
                  <c:v>0</c:v>
                </c:pt>
                <c:pt idx="119">
                  <c:v>289199</c:v>
                </c:pt>
                <c:pt idx="120">
                  <c:v>0</c:v>
                </c:pt>
                <c:pt idx="121">
                  <c:v>0</c:v>
                </c:pt>
                <c:pt idx="122">
                  <c:v>284950</c:v>
                </c:pt>
                <c:pt idx="123">
                  <c:v>0</c:v>
                </c:pt>
                <c:pt idx="124">
                  <c:v>291976</c:v>
                </c:pt>
                <c:pt idx="125">
                  <c:v>0</c:v>
                </c:pt>
                <c:pt idx="126">
                  <c:v>0</c:v>
                </c:pt>
                <c:pt idx="127">
                  <c:v>307353</c:v>
                </c:pt>
                <c:pt idx="128">
                  <c:v>0</c:v>
                </c:pt>
                <c:pt idx="129">
                  <c:v>324084</c:v>
                </c:pt>
                <c:pt idx="130">
                  <c:v>0</c:v>
                </c:pt>
                <c:pt idx="131">
                  <c:v>0</c:v>
                </c:pt>
                <c:pt idx="132">
                  <c:v>314537</c:v>
                </c:pt>
                <c:pt idx="133">
                  <c:v>0</c:v>
                </c:pt>
                <c:pt idx="134">
                  <c:v>311143</c:v>
                </c:pt>
                <c:pt idx="135">
                  <c:v>0</c:v>
                </c:pt>
                <c:pt idx="136">
                  <c:v>0</c:v>
                </c:pt>
                <c:pt idx="137">
                  <c:v>300352</c:v>
                </c:pt>
                <c:pt idx="138">
                  <c:v>0</c:v>
                </c:pt>
                <c:pt idx="139">
                  <c:v>0</c:v>
                </c:pt>
                <c:pt idx="140">
                  <c:v>292134</c:v>
                </c:pt>
                <c:pt idx="141">
                  <c:v>0</c:v>
                </c:pt>
                <c:pt idx="142">
                  <c:v>258270</c:v>
                </c:pt>
                <c:pt idx="143">
                  <c:v>0</c:v>
                </c:pt>
                <c:pt idx="144">
                  <c:v>0</c:v>
                </c:pt>
                <c:pt idx="145">
                  <c:v>232213</c:v>
                </c:pt>
                <c:pt idx="146">
                  <c:v>0</c:v>
                </c:pt>
                <c:pt idx="147">
                  <c:v>198443</c:v>
                </c:pt>
                <c:pt idx="148">
                  <c:v>0</c:v>
                </c:pt>
                <c:pt idx="149">
                  <c:v>0</c:v>
                </c:pt>
                <c:pt idx="150">
                  <c:v>167492</c:v>
                </c:pt>
                <c:pt idx="151">
                  <c:v>0</c:v>
                </c:pt>
                <c:pt idx="152">
                  <c:v>152585</c:v>
                </c:pt>
                <c:pt idx="153">
                  <c:v>0</c:v>
                </c:pt>
                <c:pt idx="154">
                  <c:v>0</c:v>
                </c:pt>
                <c:pt idx="155">
                  <c:v>148938</c:v>
                </c:pt>
                <c:pt idx="156">
                  <c:v>0</c:v>
                </c:pt>
                <c:pt idx="157">
                  <c:v>0</c:v>
                </c:pt>
                <c:pt idx="158">
                  <c:v>135451</c:v>
                </c:pt>
                <c:pt idx="159">
                  <c:v>0</c:v>
                </c:pt>
                <c:pt idx="160">
                  <c:v>117090</c:v>
                </c:pt>
                <c:pt idx="161">
                  <c:v>0</c:v>
                </c:pt>
                <c:pt idx="162">
                  <c:v>0</c:v>
                </c:pt>
                <c:pt idx="163">
                  <c:v>101153</c:v>
                </c:pt>
                <c:pt idx="164">
                  <c:v>0</c:v>
                </c:pt>
                <c:pt idx="165">
                  <c:v>95874</c:v>
                </c:pt>
                <c:pt idx="166">
                  <c:v>0</c:v>
                </c:pt>
                <c:pt idx="167">
                  <c:v>0</c:v>
                </c:pt>
                <c:pt idx="168">
                  <c:v>76380</c:v>
                </c:pt>
                <c:pt idx="169">
                  <c:v>0</c:v>
                </c:pt>
                <c:pt idx="170">
                  <c:v>0</c:v>
                </c:pt>
                <c:pt idx="171">
                  <c:v>61388</c:v>
                </c:pt>
                <c:pt idx="172">
                  <c:v>0</c:v>
                </c:pt>
                <c:pt idx="173">
                  <c:v>52823</c:v>
                </c:pt>
                <c:pt idx="174">
                  <c:v>0</c:v>
                </c:pt>
                <c:pt idx="175">
                  <c:v>0</c:v>
                </c:pt>
                <c:pt idx="176">
                  <c:v>49017</c:v>
                </c:pt>
                <c:pt idx="177">
                  <c:v>0</c:v>
                </c:pt>
                <c:pt idx="178">
                  <c:v>43515</c:v>
                </c:pt>
                <c:pt idx="179">
                  <c:v>0</c:v>
                </c:pt>
                <c:pt idx="180">
                  <c:v>0</c:v>
                </c:pt>
                <c:pt idx="181">
                  <c:v>41640</c:v>
                </c:pt>
                <c:pt idx="182">
                  <c:v>0</c:v>
                </c:pt>
                <c:pt idx="183">
                  <c:v>34642</c:v>
                </c:pt>
                <c:pt idx="184">
                  <c:v>0</c:v>
                </c:pt>
                <c:pt idx="185">
                  <c:v>0</c:v>
                </c:pt>
                <c:pt idx="186">
                  <c:v>29418</c:v>
                </c:pt>
                <c:pt idx="187">
                  <c:v>0</c:v>
                </c:pt>
                <c:pt idx="188">
                  <c:v>0</c:v>
                </c:pt>
                <c:pt idx="189">
                  <c:v>31513</c:v>
                </c:pt>
                <c:pt idx="190">
                  <c:v>0</c:v>
                </c:pt>
                <c:pt idx="191">
                  <c:v>33952</c:v>
                </c:pt>
                <c:pt idx="192">
                  <c:v>0</c:v>
                </c:pt>
                <c:pt idx="193">
                  <c:v>0</c:v>
                </c:pt>
                <c:pt idx="194">
                  <c:v>33347</c:v>
                </c:pt>
                <c:pt idx="195">
                  <c:v>0</c:v>
                </c:pt>
                <c:pt idx="196">
                  <c:v>38988</c:v>
                </c:pt>
                <c:pt idx="197">
                  <c:v>0</c:v>
                </c:pt>
                <c:pt idx="198">
                  <c:v>0</c:v>
                </c:pt>
                <c:pt idx="199">
                  <c:v>40535</c:v>
                </c:pt>
                <c:pt idx="200">
                  <c:v>0</c:v>
                </c:pt>
                <c:pt idx="201">
                  <c:v>46643</c:v>
                </c:pt>
                <c:pt idx="202">
                  <c:v>0</c:v>
                </c:pt>
                <c:pt idx="203">
                  <c:v>0</c:v>
                </c:pt>
                <c:pt idx="204">
                  <c:v>41551</c:v>
                </c:pt>
                <c:pt idx="205">
                  <c:v>0</c:v>
                </c:pt>
                <c:pt idx="206">
                  <c:v>0</c:v>
                </c:pt>
                <c:pt idx="207">
                  <c:v>45456</c:v>
                </c:pt>
                <c:pt idx="208">
                  <c:v>0</c:v>
                </c:pt>
                <c:pt idx="209">
                  <c:v>35836</c:v>
                </c:pt>
                <c:pt idx="210">
                  <c:v>0</c:v>
                </c:pt>
                <c:pt idx="211">
                  <c:v>0</c:v>
                </c:pt>
                <c:pt idx="212">
                  <c:v>20091</c:v>
                </c:pt>
                <c:pt idx="213">
                  <c:v>0</c:v>
                </c:pt>
                <c:pt idx="214">
                  <c:v>16912</c:v>
                </c:pt>
                <c:pt idx="215">
                  <c:v>0</c:v>
                </c:pt>
                <c:pt idx="216">
                  <c:v>0</c:v>
                </c:pt>
                <c:pt idx="217">
                  <c:v>23251</c:v>
                </c:pt>
                <c:pt idx="218">
                  <c:v>0</c:v>
                </c:pt>
                <c:pt idx="219">
                  <c:v>20546</c:v>
                </c:pt>
                <c:pt idx="220">
                  <c:v>0</c:v>
                </c:pt>
                <c:pt idx="221">
                  <c:v>0</c:v>
                </c:pt>
                <c:pt idx="222">
                  <c:v>8918</c:v>
                </c:pt>
                <c:pt idx="223">
                  <c:v>0</c:v>
                </c:pt>
                <c:pt idx="224">
                  <c:v>0</c:v>
                </c:pt>
                <c:pt idx="225">
                  <c:v>6658</c:v>
                </c:pt>
                <c:pt idx="226">
                  <c:v>0</c:v>
                </c:pt>
                <c:pt idx="227">
                  <c:v>2730</c:v>
                </c:pt>
                <c:pt idx="228">
                  <c:v>0</c:v>
                </c:pt>
                <c:pt idx="229">
                  <c:v>0</c:v>
                </c:pt>
                <c:pt idx="230">
                  <c:v>517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  <c:pt idx="74">
                  <c:v>4.5586199999999995</c:v>
                </c:pt>
                <c:pt idx="75">
                  <c:v>4.54894</c:v>
                </c:pt>
                <c:pt idx="76">
                  <c:v>4.5416499999999997</c:v>
                </c:pt>
                <c:pt idx="77">
                  <c:v>4.5375700000000005</c:v>
                </c:pt>
                <c:pt idx="78">
                  <c:v>4.5363199999999999</c:v>
                </c:pt>
                <c:pt idx="79">
                  <c:v>4.5361000000000002</c:v>
                </c:pt>
                <c:pt idx="80">
                  <c:v>4.5366</c:v>
                </c:pt>
                <c:pt idx="81">
                  <c:v>4.5375100000000002</c:v>
                </c:pt>
                <c:pt idx="82">
                  <c:v>4.5408400000000002</c:v>
                </c:pt>
                <c:pt idx="83">
                  <c:v>4.5464799999999999</c:v>
                </c:pt>
                <c:pt idx="84">
                  <c:v>4.5501000000000005</c:v>
                </c:pt>
                <c:pt idx="85">
                  <c:v>4.5549499999999998</c:v>
                </c:pt>
                <c:pt idx="86">
                  <c:v>4.5584299999999995</c:v>
                </c:pt>
                <c:pt idx="87">
                  <c:v>4.5602499999999999</c:v>
                </c:pt>
                <c:pt idx="88">
                  <c:v>4.5615499999999995</c:v>
                </c:pt>
                <c:pt idx="89">
                  <c:v>4.5615699999999997</c:v>
                </c:pt>
                <c:pt idx="90">
                  <c:v>4.5623300000000002</c:v>
                </c:pt>
                <c:pt idx="91">
                  <c:v>4.5655800000000006</c:v>
                </c:pt>
                <c:pt idx="92">
                  <c:v>4.5694499999999998</c:v>
                </c:pt>
                <c:pt idx="93">
                  <c:v>4.5705299999999998</c:v>
                </c:pt>
                <c:pt idx="94">
                  <c:v>4.5700200000000004</c:v>
                </c:pt>
                <c:pt idx="95">
                  <c:v>4.5694800000000004</c:v>
                </c:pt>
                <c:pt idx="96">
                  <c:v>4.5684699999999996</c:v>
                </c:pt>
                <c:pt idx="97">
                  <c:v>4.5656999999999996</c:v>
                </c:pt>
                <c:pt idx="98">
                  <c:v>4.5611300000000004</c:v>
                </c:pt>
                <c:pt idx="99">
                  <c:v>4.5530999999999997</c:v>
                </c:pt>
                <c:pt idx="100">
                  <c:v>4.5430599999999997</c:v>
                </c:pt>
                <c:pt idx="101">
                  <c:v>4.5331599999999996</c:v>
                </c:pt>
                <c:pt idx="102">
                  <c:v>4.5219399999999998</c:v>
                </c:pt>
                <c:pt idx="103">
                  <c:v>4.5123199999999999</c:v>
                </c:pt>
                <c:pt idx="104">
                  <c:v>4.5006000000000004</c:v>
                </c:pt>
                <c:pt idx="105">
                  <c:v>4.4866099999999998</c:v>
                </c:pt>
                <c:pt idx="106">
                  <c:v>4.4727899999999998</c:v>
                </c:pt>
                <c:pt idx="107">
                  <c:v>4.4619799999999996</c:v>
                </c:pt>
                <c:pt idx="108">
                  <c:v>4.4521500000000005</c:v>
                </c:pt>
                <c:pt idx="109">
                  <c:v>4.4449199999999998</c:v>
                </c:pt>
                <c:pt idx="110">
                  <c:v>4.4394600000000004</c:v>
                </c:pt>
                <c:pt idx="111">
                  <c:v>4.4344599999999996</c:v>
                </c:pt>
                <c:pt idx="112">
                  <c:v>4.4356400000000002</c:v>
                </c:pt>
                <c:pt idx="113">
                  <c:v>4.4416399999999996</c:v>
                </c:pt>
                <c:pt idx="114">
                  <c:v>4.4501400000000002</c:v>
                </c:pt>
                <c:pt idx="115">
                  <c:v>4.4603199999999994</c:v>
                </c:pt>
                <c:pt idx="116">
                  <c:v>4.47065</c:v>
                </c:pt>
                <c:pt idx="117">
                  <c:v>4.4789500000000002</c:v>
                </c:pt>
                <c:pt idx="118">
                  <c:v>4.4862900000000003</c:v>
                </c:pt>
                <c:pt idx="119">
                  <c:v>4.4912200000000002</c:v>
                </c:pt>
                <c:pt idx="120">
                  <c:v>4.4958799999999997</c:v>
                </c:pt>
                <c:pt idx="121">
                  <c:v>4.5019799999999996</c:v>
                </c:pt>
                <c:pt idx="122">
                  <c:v>4.5097800000000001</c:v>
                </c:pt>
                <c:pt idx="123">
                  <c:v>4.5168799999999996</c:v>
                </c:pt>
                <c:pt idx="124">
                  <c:v>4.5241600000000002</c:v>
                </c:pt>
                <c:pt idx="125">
                  <c:v>4.5327999999999999</c:v>
                </c:pt>
                <c:pt idx="126">
                  <c:v>4.5406000000000004</c:v>
                </c:pt>
                <c:pt idx="127">
                  <c:v>4.5510099999999998</c:v>
                </c:pt>
                <c:pt idx="128">
                  <c:v>4.56128</c:v>
                </c:pt>
                <c:pt idx="129">
                  <c:v>4.5732099999999996</c:v>
                </c:pt>
                <c:pt idx="130">
                  <c:v>4.5871599999999999</c:v>
                </c:pt>
                <c:pt idx="131">
                  <c:v>4.6006999999999998</c:v>
                </c:pt>
                <c:pt idx="132">
                  <c:v>4.6110499999999996</c:v>
                </c:pt>
                <c:pt idx="133">
                  <c:v>4.6207099999999999</c:v>
                </c:pt>
                <c:pt idx="134">
                  <c:v>4.63232</c:v>
                </c:pt>
                <c:pt idx="135">
                  <c:v>4.6428199999999995</c:v>
                </c:pt>
                <c:pt idx="136">
                  <c:v>4.6583100000000002</c:v>
                </c:pt>
                <c:pt idx="137">
                  <c:v>4.6693499999999997</c:v>
                </c:pt>
                <c:pt idx="138">
                  <c:v>4.6755599999999999</c:v>
                </c:pt>
                <c:pt idx="139">
                  <c:v>4.6787799999999997</c:v>
                </c:pt>
                <c:pt idx="140">
                  <c:v>4.6746999999999996</c:v>
                </c:pt>
                <c:pt idx="141">
                  <c:v>4.6639900000000001</c:v>
                </c:pt>
                <c:pt idx="142">
                  <c:v>4.6512099999999998</c:v>
                </c:pt>
                <c:pt idx="143">
                  <c:v>4.6418999999999997</c:v>
                </c:pt>
                <c:pt idx="144">
                  <c:v>4.6372999999999998</c:v>
                </c:pt>
                <c:pt idx="145">
                  <c:v>4.6297199999999998</c:v>
                </c:pt>
                <c:pt idx="146">
                  <c:v>4.6177799999999998</c:v>
                </c:pt>
                <c:pt idx="147">
                  <c:v>4.6014900000000001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  <c:pt idx="74">
                  <c:v>25.194299999999998</c:v>
                </c:pt>
                <c:pt idx="75">
                  <c:v>25.2363</c:v>
                </c:pt>
                <c:pt idx="76">
                  <c:v>25.212400000000002</c:v>
                </c:pt>
                <c:pt idx="77">
                  <c:v>25.243700000000004</c:v>
                </c:pt>
                <c:pt idx="78">
                  <c:v>25.3583</c:v>
                </c:pt>
                <c:pt idx="79">
                  <c:v>25.483299999999996</c:v>
                </c:pt>
                <c:pt idx="80">
                  <c:v>25.646999999999998</c:v>
                </c:pt>
                <c:pt idx="81">
                  <c:v>25.820700000000002</c:v>
                </c:pt>
                <c:pt idx="82">
                  <c:v>25.968299999999999</c:v>
                </c:pt>
                <c:pt idx="83">
                  <c:v>26.0639</c:v>
                </c:pt>
                <c:pt idx="84">
                  <c:v>26.120100000000001</c:v>
                </c:pt>
                <c:pt idx="85">
                  <c:v>26.1309</c:v>
                </c:pt>
                <c:pt idx="86">
                  <c:v>26.115100000000002</c:v>
                </c:pt>
                <c:pt idx="87">
                  <c:v>25.9892</c:v>
                </c:pt>
                <c:pt idx="88">
                  <c:v>25.8125</c:v>
                </c:pt>
                <c:pt idx="89">
                  <c:v>25.597999999999999</c:v>
                </c:pt>
                <c:pt idx="90">
                  <c:v>25.316400000000002</c:v>
                </c:pt>
                <c:pt idx="91">
                  <c:v>25.030400000000004</c:v>
                </c:pt>
                <c:pt idx="92">
                  <c:v>24.728999999999999</c:v>
                </c:pt>
                <c:pt idx="93">
                  <c:v>24.473200000000002</c:v>
                </c:pt>
                <c:pt idx="94">
                  <c:v>24.268799999999999</c:v>
                </c:pt>
                <c:pt idx="95">
                  <c:v>24.027799999999999</c:v>
                </c:pt>
                <c:pt idx="96">
                  <c:v>23.7438</c:v>
                </c:pt>
                <c:pt idx="97">
                  <c:v>23.459199999999999</c:v>
                </c:pt>
                <c:pt idx="98">
                  <c:v>23.2486</c:v>
                </c:pt>
                <c:pt idx="99">
                  <c:v>23.063099999999999</c:v>
                </c:pt>
                <c:pt idx="100">
                  <c:v>22.921900000000001</c:v>
                </c:pt>
                <c:pt idx="101">
                  <c:v>22.857700000000001</c:v>
                </c:pt>
                <c:pt idx="102">
                  <c:v>22.8187</c:v>
                </c:pt>
                <c:pt idx="103">
                  <c:v>22.818999999999999</c:v>
                </c:pt>
                <c:pt idx="104">
                  <c:v>22.8416</c:v>
                </c:pt>
                <c:pt idx="105">
                  <c:v>22.9162</c:v>
                </c:pt>
                <c:pt idx="106">
                  <c:v>23.014000000000003</c:v>
                </c:pt>
                <c:pt idx="107">
                  <c:v>23.130400000000002</c:v>
                </c:pt>
                <c:pt idx="108">
                  <c:v>23.295500000000001</c:v>
                </c:pt>
                <c:pt idx="109">
                  <c:v>23.479900000000001</c:v>
                </c:pt>
                <c:pt idx="110">
                  <c:v>23.694399999999998</c:v>
                </c:pt>
                <c:pt idx="111">
                  <c:v>23.9008</c:v>
                </c:pt>
                <c:pt idx="112">
                  <c:v>24.077500000000001</c:v>
                </c:pt>
                <c:pt idx="113">
                  <c:v>24.265999999999998</c:v>
                </c:pt>
                <c:pt idx="114">
                  <c:v>24.439299999999999</c:v>
                </c:pt>
                <c:pt idx="115">
                  <c:v>24.6539</c:v>
                </c:pt>
                <c:pt idx="116">
                  <c:v>24.8687</c:v>
                </c:pt>
                <c:pt idx="117">
                  <c:v>25.080999999999996</c:v>
                </c:pt>
                <c:pt idx="118">
                  <c:v>25.199300000000001</c:v>
                </c:pt>
                <c:pt idx="119">
                  <c:v>25.345499999999998</c:v>
                </c:pt>
                <c:pt idx="120">
                  <c:v>25.555</c:v>
                </c:pt>
                <c:pt idx="121">
                  <c:v>25.769799999999996</c:v>
                </c:pt>
                <c:pt idx="122">
                  <c:v>26.005499999999998</c:v>
                </c:pt>
                <c:pt idx="123">
                  <c:v>26.214599999999997</c:v>
                </c:pt>
                <c:pt idx="124">
                  <c:v>26.391300000000001</c:v>
                </c:pt>
                <c:pt idx="125">
                  <c:v>26.528400000000001</c:v>
                </c:pt>
                <c:pt idx="126">
                  <c:v>26.607799999999997</c:v>
                </c:pt>
                <c:pt idx="127">
                  <c:v>26.663500000000003</c:v>
                </c:pt>
                <c:pt idx="128">
                  <c:v>26.6922</c:v>
                </c:pt>
                <c:pt idx="129">
                  <c:v>26.711500000000001</c:v>
                </c:pt>
                <c:pt idx="130">
                  <c:v>26.704000000000001</c:v>
                </c:pt>
                <c:pt idx="131">
                  <c:v>26.658300000000001</c:v>
                </c:pt>
                <c:pt idx="132">
                  <c:v>26.566099999999999</c:v>
                </c:pt>
                <c:pt idx="133">
                  <c:v>26.4208</c:v>
                </c:pt>
                <c:pt idx="134">
                  <c:v>26.241399999999999</c:v>
                </c:pt>
                <c:pt idx="135">
                  <c:v>26.046200000000002</c:v>
                </c:pt>
                <c:pt idx="136">
                  <c:v>25.908199999999997</c:v>
                </c:pt>
                <c:pt idx="137">
                  <c:v>25.828499999999998</c:v>
                </c:pt>
                <c:pt idx="138">
                  <c:v>25.7486</c:v>
                </c:pt>
                <c:pt idx="139">
                  <c:v>25.693999999999999</c:v>
                </c:pt>
                <c:pt idx="140">
                  <c:v>25.624200000000002</c:v>
                </c:pt>
                <c:pt idx="141">
                  <c:v>25.542999999999999</c:v>
                </c:pt>
                <c:pt idx="142">
                  <c:v>25.571999999999999</c:v>
                </c:pt>
                <c:pt idx="143">
                  <c:v>25.8612</c:v>
                </c:pt>
                <c:pt idx="144">
                  <c:v>25.8811</c:v>
                </c:pt>
                <c:pt idx="145">
                  <c:v>25.901999999999997</c:v>
                </c:pt>
                <c:pt idx="146">
                  <c:v>26.011400000000002</c:v>
                </c:pt>
                <c:pt idx="147">
                  <c:v>25.7544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4.5701000000000001</c:v>
                </c:pt>
                <c:pt idx="1">
                  <c:v>4.5586199999999995</c:v>
                </c:pt>
                <c:pt idx="2">
                  <c:v>4.54894</c:v>
                </c:pt>
                <c:pt idx="3">
                  <c:v>4.5416499999999997</c:v>
                </c:pt>
                <c:pt idx="4">
                  <c:v>4.5375700000000005</c:v>
                </c:pt>
                <c:pt idx="5">
                  <c:v>4.5363199999999999</c:v>
                </c:pt>
                <c:pt idx="6">
                  <c:v>4.5361000000000002</c:v>
                </c:pt>
                <c:pt idx="7">
                  <c:v>4.5366</c:v>
                </c:pt>
                <c:pt idx="8">
                  <c:v>4.5375100000000002</c:v>
                </c:pt>
                <c:pt idx="9">
                  <c:v>4.5408400000000002</c:v>
                </c:pt>
                <c:pt idx="10">
                  <c:v>4.5464799999999999</c:v>
                </c:pt>
                <c:pt idx="11">
                  <c:v>4.5501000000000005</c:v>
                </c:pt>
                <c:pt idx="12">
                  <c:v>4.5549499999999998</c:v>
                </c:pt>
                <c:pt idx="13">
                  <c:v>4.5584299999999995</c:v>
                </c:pt>
                <c:pt idx="14">
                  <c:v>4.5602499999999999</c:v>
                </c:pt>
                <c:pt idx="15">
                  <c:v>4.5615499999999995</c:v>
                </c:pt>
                <c:pt idx="16">
                  <c:v>4.5615699999999997</c:v>
                </c:pt>
                <c:pt idx="17">
                  <c:v>4.5623300000000002</c:v>
                </c:pt>
                <c:pt idx="18">
                  <c:v>4.5655800000000006</c:v>
                </c:pt>
                <c:pt idx="19">
                  <c:v>4.5694499999999998</c:v>
                </c:pt>
                <c:pt idx="20">
                  <c:v>4.5705299999999998</c:v>
                </c:pt>
                <c:pt idx="21">
                  <c:v>4.5700200000000004</c:v>
                </c:pt>
                <c:pt idx="22">
                  <c:v>4.5694800000000004</c:v>
                </c:pt>
                <c:pt idx="23">
                  <c:v>4.5684699999999996</c:v>
                </c:pt>
                <c:pt idx="24">
                  <c:v>4.5656999999999996</c:v>
                </c:pt>
                <c:pt idx="25">
                  <c:v>4.5611300000000004</c:v>
                </c:pt>
                <c:pt idx="26">
                  <c:v>4.5530999999999997</c:v>
                </c:pt>
                <c:pt idx="27">
                  <c:v>4.5430599999999997</c:v>
                </c:pt>
                <c:pt idx="28">
                  <c:v>4.5331599999999996</c:v>
                </c:pt>
                <c:pt idx="29">
                  <c:v>4.5219399999999998</c:v>
                </c:pt>
                <c:pt idx="30">
                  <c:v>4.5123199999999999</c:v>
                </c:pt>
                <c:pt idx="31">
                  <c:v>4.5006000000000004</c:v>
                </c:pt>
                <c:pt idx="32">
                  <c:v>4.4866099999999998</c:v>
                </c:pt>
                <c:pt idx="33">
                  <c:v>4.4727899999999998</c:v>
                </c:pt>
                <c:pt idx="34">
                  <c:v>4.4619799999999996</c:v>
                </c:pt>
                <c:pt idx="35">
                  <c:v>4.4521500000000005</c:v>
                </c:pt>
                <c:pt idx="36">
                  <c:v>4.4449199999999998</c:v>
                </c:pt>
                <c:pt idx="37">
                  <c:v>4.4394600000000004</c:v>
                </c:pt>
                <c:pt idx="38">
                  <c:v>4.4344599999999996</c:v>
                </c:pt>
                <c:pt idx="39">
                  <c:v>4.4356400000000002</c:v>
                </c:pt>
                <c:pt idx="40">
                  <c:v>4.4416399999999996</c:v>
                </c:pt>
                <c:pt idx="41">
                  <c:v>4.4501400000000002</c:v>
                </c:pt>
                <c:pt idx="42">
                  <c:v>4.4603199999999994</c:v>
                </c:pt>
                <c:pt idx="43">
                  <c:v>4.47065</c:v>
                </c:pt>
                <c:pt idx="44">
                  <c:v>4.4789500000000002</c:v>
                </c:pt>
                <c:pt idx="45">
                  <c:v>4.4862900000000003</c:v>
                </c:pt>
                <c:pt idx="46">
                  <c:v>4.4912200000000002</c:v>
                </c:pt>
                <c:pt idx="47">
                  <c:v>4.4958799999999997</c:v>
                </c:pt>
                <c:pt idx="48">
                  <c:v>4.5019799999999996</c:v>
                </c:pt>
                <c:pt idx="49">
                  <c:v>4.5097800000000001</c:v>
                </c:pt>
                <c:pt idx="50">
                  <c:v>4.5168799999999996</c:v>
                </c:pt>
                <c:pt idx="51">
                  <c:v>4.5241600000000002</c:v>
                </c:pt>
                <c:pt idx="52">
                  <c:v>4.5327999999999999</c:v>
                </c:pt>
                <c:pt idx="53">
                  <c:v>4.5406000000000004</c:v>
                </c:pt>
                <c:pt idx="54">
                  <c:v>4.5510099999999998</c:v>
                </c:pt>
                <c:pt idx="55">
                  <c:v>4.56128</c:v>
                </c:pt>
                <c:pt idx="56">
                  <c:v>4.5732099999999996</c:v>
                </c:pt>
                <c:pt idx="57">
                  <c:v>4.5871599999999999</c:v>
                </c:pt>
                <c:pt idx="58">
                  <c:v>4.6006999999999998</c:v>
                </c:pt>
                <c:pt idx="59">
                  <c:v>4.6110499999999996</c:v>
                </c:pt>
                <c:pt idx="60">
                  <c:v>4.6207099999999999</c:v>
                </c:pt>
                <c:pt idx="61">
                  <c:v>4.63232</c:v>
                </c:pt>
                <c:pt idx="62">
                  <c:v>4.6428199999999995</c:v>
                </c:pt>
                <c:pt idx="63">
                  <c:v>4.6583100000000002</c:v>
                </c:pt>
                <c:pt idx="64">
                  <c:v>4.6693499999999997</c:v>
                </c:pt>
                <c:pt idx="65">
                  <c:v>4.6755599999999999</c:v>
                </c:pt>
                <c:pt idx="66">
                  <c:v>4.6787799999999997</c:v>
                </c:pt>
                <c:pt idx="67">
                  <c:v>4.6746999999999996</c:v>
                </c:pt>
                <c:pt idx="68">
                  <c:v>4.6639900000000001</c:v>
                </c:pt>
                <c:pt idx="69">
                  <c:v>4.6512099999999998</c:v>
                </c:pt>
                <c:pt idx="70">
                  <c:v>4.6418999999999997</c:v>
                </c:pt>
                <c:pt idx="71">
                  <c:v>4.6372999999999998</c:v>
                </c:pt>
                <c:pt idx="72">
                  <c:v>4.6297199999999998</c:v>
                </c:pt>
                <c:pt idx="73">
                  <c:v>4.6177799999999998</c:v>
                </c:pt>
                <c:pt idx="74">
                  <c:v>4.6014900000000001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25.228499999999997</c:v>
                </c:pt>
                <c:pt idx="1">
                  <c:v>25.194299999999998</c:v>
                </c:pt>
                <c:pt idx="2">
                  <c:v>25.2363</c:v>
                </c:pt>
                <c:pt idx="3">
                  <c:v>25.212400000000002</c:v>
                </c:pt>
                <c:pt idx="4">
                  <c:v>25.243700000000004</c:v>
                </c:pt>
                <c:pt idx="5">
                  <c:v>25.3583</c:v>
                </c:pt>
                <c:pt idx="6">
                  <c:v>25.483299999999996</c:v>
                </c:pt>
                <c:pt idx="7">
                  <c:v>25.646999999999998</c:v>
                </c:pt>
                <c:pt idx="8">
                  <c:v>25.820700000000002</c:v>
                </c:pt>
                <c:pt idx="9">
                  <c:v>25.968299999999999</c:v>
                </c:pt>
                <c:pt idx="10">
                  <c:v>26.0639</c:v>
                </c:pt>
                <c:pt idx="11">
                  <c:v>26.120100000000001</c:v>
                </c:pt>
                <c:pt idx="12">
                  <c:v>26.1309</c:v>
                </c:pt>
                <c:pt idx="13">
                  <c:v>26.115100000000002</c:v>
                </c:pt>
                <c:pt idx="14">
                  <c:v>25.9892</c:v>
                </c:pt>
                <c:pt idx="15">
                  <c:v>25.8125</c:v>
                </c:pt>
                <c:pt idx="16">
                  <c:v>25.597999999999999</c:v>
                </c:pt>
                <c:pt idx="17">
                  <c:v>25.316400000000002</c:v>
                </c:pt>
                <c:pt idx="18">
                  <c:v>25.030400000000004</c:v>
                </c:pt>
                <c:pt idx="19">
                  <c:v>24.728999999999999</c:v>
                </c:pt>
                <c:pt idx="20">
                  <c:v>24.473200000000002</c:v>
                </c:pt>
                <c:pt idx="21">
                  <c:v>24.268799999999999</c:v>
                </c:pt>
                <c:pt idx="22">
                  <c:v>24.027799999999999</c:v>
                </c:pt>
                <c:pt idx="23">
                  <c:v>23.7438</c:v>
                </c:pt>
                <c:pt idx="24">
                  <c:v>23.459199999999999</c:v>
                </c:pt>
                <c:pt idx="25">
                  <c:v>23.2486</c:v>
                </c:pt>
                <c:pt idx="26">
                  <c:v>23.063099999999999</c:v>
                </c:pt>
                <c:pt idx="27">
                  <c:v>22.921900000000001</c:v>
                </c:pt>
                <c:pt idx="28">
                  <c:v>22.857700000000001</c:v>
                </c:pt>
                <c:pt idx="29">
                  <c:v>22.8187</c:v>
                </c:pt>
                <c:pt idx="30">
                  <c:v>22.818999999999999</c:v>
                </c:pt>
                <c:pt idx="31">
                  <c:v>22.8416</c:v>
                </c:pt>
                <c:pt idx="32">
                  <c:v>22.9162</c:v>
                </c:pt>
                <c:pt idx="33">
                  <c:v>23.014000000000003</c:v>
                </c:pt>
                <c:pt idx="34">
                  <c:v>23.130400000000002</c:v>
                </c:pt>
                <c:pt idx="35">
                  <c:v>23.295500000000001</c:v>
                </c:pt>
                <c:pt idx="36">
                  <c:v>23.479900000000001</c:v>
                </c:pt>
                <c:pt idx="37">
                  <c:v>23.694399999999998</c:v>
                </c:pt>
                <c:pt idx="38">
                  <c:v>23.9008</c:v>
                </c:pt>
                <c:pt idx="39">
                  <c:v>24.077500000000001</c:v>
                </c:pt>
                <c:pt idx="40">
                  <c:v>24.265999999999998</c:v>
                </c:pt>
                <c:pt idx="41">
                  <c:v>24.439299999999999</c:v>
                </c:pt>
                <c:pt idx="42">
                  <c:v>24.6539</c:v>
                </c:pt>
                <c:pt idx="43">
                  <c:v>24.8687</c:v>
                </c:pt>
                <c:pt idx="44">
                  <c:v>25.080999999999996</c:v>
                </c:pt>
                <c:pt idx="45">
                  <c:v>25.199300000000001</c:v>
                </c:pt>
                <c:pt idx="46">
                  <c:v>25.345499999999998</c:v>
                </c:pt>
                <c:pt idx="47">
                  <c:v>25.555</c:v>
                </c:pt>
                <c:pt idx="48">
                  <c:v>25.769799999999996</c:v>
                </c:pt>
                <c:pt idx="49">
                  <c:v>26.005499999999998</c:v>
                </c:pt>
                <c:pt idx="50">
                  <c:v>26.214599999999997</c:v>
                </c:pt>
                <c:pt idx="51">
                  <c:v>26.391300000000001</c:v>
                </c:pt>
                <c:pt idx="52">
                  <c:v>26.528400000000001</c:v>
                </c:pt>
                <c:pt idx="53">
                  <c:v>26.607799999999997</c:v>
                </c:pt>
                <c:pt idx="54">
                  <c:v>26.663500000000003</c:v>
                </c:pt>
                <c:pt idx="55">
                  <c:v>26.6922</c:v>
                </c:pt>
                <c:pt idx="56">
                  <c:v>26.711500000000001</c:v>
                </c:pt>
                <c:pt idx="57">
                  <c:v>26.704000000000001</c:v>
                </c:pt>
                <c:pt idx="58">
                  <c:v>26.658300000000001</c:v>
                </c:pt>
                <c:pt idx="59">
                  <c:v>26.566099999999999</c:v>
                </c:pt>
                <c:pt idx="60">
                  <c:v>26.4208</c:v>
                </c:pt>
                <c:pt idx="61">
                  <c:v>26.241399999999999</c:v>
                </c:pt>
                <c:pt idx="62">
                  <c:v>26.046200000000002</c:v>
                </c:pt>
                <c:pt idx="63">
                  <c:v>25.908199999999997</c:v>
                </c:pt>
                <c:pt idx="64">
                  <c:v>25.828499999999998</c:v>
                </c:pt>
                <c:pt idx="65">
                  <c:v>25.7486</c:v>
                </c:pt>
                <c:pt idx="66">
                  <c:v>25.693999999999999</c:v>
                </c:pt>
                <c:pt idx="67">
                  <c:v>25.624200000000002</c:v>
                </c:pt>
                <c:pt idx="68">
                  <c:v>25.542999999999999</c:v>
                </c:pt>
                <c:pt idx="69">
                  <c:v>25.571999999999999</c:v>
                </c:pt>
                <c:pt idx="70">
                  <c:v>25.8612</c:v>
                </c:pt>
                <c:pt idx="71">
                  <c:v>25.8811</c:v>
                </c:pt>
                <c:pt idx="72">
                  <c:v>25.901999999999997</c:v>
                </c:pt>
                <c:pt idx="73">
                  <c:v>26.011400000000002</c:v>
                </c:pt>
                <c:pt idx="74">
                  <c:v>25.7544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4.7096321621621637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30.002906756756765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4.5505945945945934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25.122710810810812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4.5505945945945934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25.122710810810812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0.14893830211990422</c:v>
                </c:pt>
                <c:pt idx="1">
                  <c:v>0.30575867248151878</c:v>
                </c:pt>
                <c:pt idx="2">
                  <c:v>0.54530302539857689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  <c:pt idx="74">
                  <c:v>30.060600000000001</c:v>
                </c:pt>
                <c:pt idx="75">
                  <c:v>30.533300000000001</c:v>
                </c:pt>
                <c:pt idx="76">
                  <c:v>30.936599999999999</c:v>
                </c:pt>
                <c:pt idx="77">
                  <c:v>31.349299999999999</c:v>
                </c:pt>
                <c:pt idx="78">
                  <c:v>31.734200000000001</c:v>
                </c:pt>
                <c:pt idx="79">
                  <c:v>32.1419</c:v>
                </c:pt>
                <c:pt idx="80">
                  <c:v>32.547800000000002</c:v>
                </c:pt>
                <c:pt idx="81">
                  <c:v>32.957799999999999</c:v>
                </c:pt>
                <c:pt idx="82">
                  <c:v>33.364800000000002</c:v>
                </c:pt>
                <c:pt idx="83">
                  <c:v>33.766300000000001</c:v>
                </c:pt>
                <c:pt idx="84">
                  <c:v>34.171799999999998</c:v>
                </c:pt>
                <c:pt idx="85">
                  <c:v>34.583500000000001</c:v>
                </c:pt>
                <c:pt idx="86">
                  <c:v>34.988500000000002</c:v>
                </c:pt>
                <c:pt idx="87">
                  <c:v>35.393300000000004</c:v>
                </c:pt>
                <c:pt idx="88">
                  <c:v>35.801299999999998</c:v>
                </c:pt>
                <c:pt idx="89">
                  <c:v>36.201700000000002</c:v>
                </c:pt>
                <c:pt idx="90">
                  <c:v>36.615200000000002</c:v>
                </c:pt>
                <c:pt idx="91">
                  <c:v>37.0169</c:v>
                </c:pt>
                <c:pt idx="92">
                  <c:v>37.425899999999999</c:v>
                </c:pt>
                <c:pt idx="93">
                  <c:v>37.8324</c:v>
                </c:pt>
                <c:pt idx="94">
                  <c:v>38.237699999999997</c:v>
                </c:pt>
                <c:pt idx="95">
                  <c:v>38.642600000000002</c:v>
                </c:pt>
                <c:pt idx="96">
                  <c:v>39.047499999999999</c:v>
                </c:pt>
                <c:pt idx="97">
                  <c:v>39.455500000000001</c:v>
                </c:pt>
                <c:pt idx="98">
                  <c:v>39.864400000000003</c:v>
                </c:pt>
                <c:pt idx="99">
                  <c:v>40.267400000000002</c:v>
                </c:pt>
                <c:pt idx="100">
                  <c:v>40.676099999999998</c:v>
                </c:pt>
                <c:pt idx="101">
                  <c:v>41.079099999999997</c:v>
                </c:pt>
                <c:pt idx="102">
                  <c:v>41.485999999999997</c:v>
                </c:pt>
                <c:pt idx="103">
                  <c:v>41.893999999999998</c:v>
                </c:pt>
                <c:pt idx="104">
                  <c:v>42.295999999999999</c:v>
                </c:pt>
                <c:pt idx="105">
                  <c:v>42.703699999999998</c:v>
                </c:pt>
                <c:pt idx="106">
                  <c:v>43.108699999999999</c:v>
                </c:pt>
                <c:pt idx="107">
                  <c:v>43.512599999999999</c:v>
                </c:pt>
                <c:pt idx="108">
                  <c:v>43.923499999999997</c:v>
                </c:pt>
                <c:pt idx="109">
                  <c:v>44.332799999999999</c:v>
                </c:pt>
                <c:pt idx="110">
                  <c:v>44.733800000000002</c:v>
                </c:pt>
                <c:pt idx="111">
                  <c:v>45.1402</c:v>
                </c:pt>
                <c:pt idx="112">
                  <c:v>45.548499999999997</c:v>
                </c:pt>
                <c:pt idx="113">
                  <c:v>45.957099999999997</c:v>
                </c:pt>
                <c:pt idx="114">
                  <c:v>46.365200000000002</c:v>
                </c:pt>
                <c:pt idx="115">
                  <c:v>46.7669</c:v>
                </c:pt>
                <c:pt idx="116">
                  <c:v>47.172800000000002</c:v>
                </c:pt>
                <c:pt idx="117">
                  <c:v>47.581899999999997</c:v>
                </c:pt>
                <c:pt idx="118">
                  <c:v>47.985599999999998</c:v>
                </c:pt>
                <c:pt idx="119">
                  <c:v>48.3947</c:v>
                </c:pt>
                <c:pt idx="120">
                  <c:v>48.799500000000002</c:v>
                </c:pt>
                <c:pt idx="121">
                  <c:v>49.206600000000002</c:v>
                </c:pt>
                <c:pt idx="122">
                  <c:v>49.6113</c:v>
                </c:pt>
                <c:pt idx="123">
                  <c:v>50.014200000000002</c:v>
                </c:pt>
                <c:pt idx="124">
                  <c:v>50.425199999999997</c:v>
                </c:pt>
                <c:pt idx="125">
                  <c:v>50.828400000000002</c:v>
                </c:pt>
                <c:pt idx="126">
                  <c:v>51.234900000000003</c:v>
                </c:pt>
                <c:pt idx="127">
                  <c:v>51.643900000000002</c:v>
                </c:pt>
                <c:pt idx="128">
                  <c:v>52.047699999999999</c:v>
                </c:pt>
                <c:pt idx="129">
                  <c:v>52.453600000000002</c:v>
                </c:pt>
                <c:pt idx="130">
                  <c:v>52.859900000000003</c:v>
                </c:pt>
                <c:pt idx="131">
                  <c:v>53.264299999999999</c:v>
                </c:pt>
                <c:pt idx="132">
                  <c:v>53.670499999999997</c:v>
                </c:pt>
                <c:pt idx="133">
                  <c:v>54.080300000000001</c:v>
                </c:pt>
                <c:pt idx="134">
                  <c:v>54.487200000000001</c:v>
                </c:pt>
                <c:pt idx="135">
                  <c:v>54.895200000000003</c:v>
                </c:pt>
                <c:pt idx="136">
                  <c:v>55.302199999999999</c:v>
                </c:pt>
                <c:pt idx="137">
                  <c:v>55.709299999999999</c:v>
                </c:pt>
                <c:pt idx="138">
                  <c:v>56.113900000000001</c:v>
                </c:pt>
                <c:pt idx="139">
                  <c:v>56.517000000000003</c:v>
                </c:pt>
                <c:pt idx="140">
                  <c:v>56.9208</c:v>
                </c:pt>
                <c:pt idx="141">
                  <c:v>57.3307</c:v>
                </c:pt>
                <c:pt idx="142">
                  <c:v>57.736699999999999</c:v>
                </c:pt>
                <c:pt idx="143">
                  <c:v>58.139800000000001</c:v>
                </c:pt>
                <c:pt idx="144">
                  <c:v>58.554299999999998</c:v>
                </c:pt>
                <c:pt idx="145">
                  <c:v>58.957299999999996</c:v>
                </c:pt>
                <c:pt idx="146">
                  <c:v>59.362200000000001</c:v>
                </c:pt>
                <c:pt idx="147">
                  <c:v>59.769399999999997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  <c:pt idx="74">
                  <c:v>4.5586199999999995</c:v>
                </c:pt>
                <c:pt idx="75">
                  <c:v>4.54894</c:v>
                </c:pt>
                <c:pt idx="76">
                  <c:v>4.5416499999999997</c:v>
                </c:pt>
                <c:pt idx="77">
                  <c:v>4.5375700000000005</c:v>
                </c:pt>
                <c:pt idx="78">
                  <c:v>4.5363199999999999</c:v>
                </c:pt>
                <c:pt idx="79">
                  <c:v>4.5361000000000002</c:v>
                </c:pt>
                <c:pt idx="80">
                  <c:v>4.5366</c:v>
                </c:pt>
                <c:pt idx="81">
                  <c:v>4.5375100000000002</c:v>
                </c:pt>
                <c:pt idx="82">
                  <c:v>4.5408400000000002</c:v>
                </c:pt>
                <c:pt idx="83">
                  <c:v>4.5464799999999999</c:v>
                </c:pt>
                <c:pt idx="84">
                  <c:v>4.5501000000000005</c:v>
                </c:pt>
                <c:pt idx="85">
                  <c:v>4.5549499999999998</c:v>
                </c:pt>
                <c:pt idx="86">
                  <c:v>4.5584299999999995</c:v>
                </c:pt>
                <c:pt idx="87">
                  <c:v>4.5602499999999999</c:v>
                </c:pt>
                <c:pt idx="88">
                  <c:v>4.5615499999999995</c:v>
                </c:pt>
                <c:pt idx="89">
                  <c:v>4.5615699999999997</c:v>
                </c:pt>
                <c:pt idx="90">
                  <c:v>4.5623300000000002</c:v>
                </c:pt>
                <c:pt idx="91">
                  <c:v>4.5655800000000006</c:v>
                </c:pt>
                <c:pt idx="92">
                  <c:v>4.5694499999999998</c:v>
                </c:pt>
                <c:pt idx="93">
                  <c:v>4.5705299999999998</c:v>
                </c:pt>
                <c:pt idx="94">
                  <c:v>4.5700200000000004</c:v>
                </c:pt>
                <c:pt idx="95">
                  <c:v>4.5694800000000004</c:v>
                </c:pt>
                <c:pt idx="96">
                  <c:v>4.5684699999999996</c:v>
                </c:pt>
                <c:pt idx="97">
                  <c:v>4.5656999999999996</c:v>
                </c:pt>
                <c:pt idx="98">
                  <c:v>4.5611300000000004</c:v>
                </c:pt>
                <c:pt idx="99">
                  <c:v>4.5530999999999997</c:v>
                </c:pt>
                <c:pt idx="100">
                  <c:v>4.5430599999999997</c:v>
                </c:pt>
                <c:pt idx="101">
                  <c:v>4.5331599999999996</c:v>
                </c:pt>
                <c:pt idx="102">
                  <c:v>4.5219399999999998</c:v>
                </c:pt>
                <c:pt idx="103">
                  <c:v>4.5123199999999999</c:v>
                </c:pt>
                <c:pt idx="104">
                  <c:v>4.5006000000000004</c:v>
                </c:pt>
                <c:pt idx="105">
                  <c:v>4.4866099999999998</c:v>
                </c:pt>
                <c:pt idx="106">
                  <c:v>4.4727899999999998</c:v>
                </c:pt>
                <c:pt idx="107">
                  <c:v>4.4619799999999996</c:v>
                </c:pt>
                <c:pt idx="108">
                  <c:v>4.4521500000000005</c:v>
                </c:pt>
                <c:pt idx="109">
                  <c:v>4.4449199999999998</c:v>
                </c:pt>
                <c:pt idx="110">
                  <c:v>4.4394600000000004</c:v>
                </c:pt>
                <c:pt idx="111">
                  <c:v>4.4344599999999996</c:v>
                </c:pt>
                <c:pt idx="112">
                  <c:v>4.4356400000000002</c:v>
                </c:pt>
                <c:pt idx="113">
                  <c:v>4.4416399999999996</c:v>
                </c:pt>
                <c:pt idx="114">
                  <c:v>4.4501400000000002</c:v>
                </c:pt>
                <c:pt idx="115">
                  <c:v>4.4603199999999994</c:v>
                </c:pt>
                <c:pt idx="116">
                  <c:v>4.47065</c:v>
                </c:pt>
                <c:pt idx="117">
                  <c:v>4.4789500000000002</c:v>
                </c:pt>
                <c:pt idx="118">
                  <c:v>4.4862900000000003</c:v>
                </c:pt>
                <c:pt idx="119">
                  <c:v>4.4912200000000002</c:v>
                </c:pt>
                <c:pt idx="120">
                  <c:v>4.4958799999999997</c:v>
                </c:pt>
                <c:pt idx="121">
                  <c:v>4.5019799999999996</c:v>
                </c:pt>
                <c:pt idx="122">
                  <c:v>4.5097800000000001</c:v>
                </c:pt>
                <c:pt idx="123">
                  <c:v>4.5168799999999996</c:v>
                </c:pt>
                <c:pt idx="124">
                  <c:v>4.5241600000000002</c:v>
                </c:pt>
                <c:pt idx="125">
                  <c:v>4.5327999999999999</c:v>
                </c:pt>
                <c:pt idx="126">
                  <c:v>4.5406000000000004</c:v>
                </c:pt>
                <c:pt idx="127">
                  <c:v>4.5510099999999998</c:v>
                </c:pt>
                <c:pt idx="128">
                  <c:v>4.56128</c:v>
                </c:pt>
                <c:pt idx="129">
                  <c:v>4.5732099999999996</c:v>
                </c:pt>
                <c:pt idx="130">
                  <c:v>4.5871599999999999</c:v>
                </c:pt>
                <c:pt idx="131">
                  <c:v>4.6006999999999998</c:v>
                </c:pt>
                <c:pt idx="132">
                  <c:v>4.6110499999999996</c:v>
                </c:pt>
                <c:pt idx="133">
                  <c:v>4.6207099999999999</c:v>
                </c:pt>
                <c:pt idx="134">
                  <c:v>4.63232</c:v>
                </c:pt>
                <c:pt idx="135">
                  <c:v>4.6428199999999995</c:v>
                </c:pt>
                <c:pt idx="136">
                  <c:v>4.6583100000000002</c:v>
                </c:pt>
                <c:pt idx="137">
                  <c:v>4.6693499999999997</c:v>
                </c:pt>
                <c:pt idx="138">
                  <c:v>4.6755599999999999</c:v>
                </c:pt>
                <c:pt idx="139">
                  <c:v>4.6787799999999997</c:v>
                </c:pt>
                <c:pt idx="140">
                  <c:v>4.6746999999999996</c:v>
                </c:pt>
                <c:pt idx="141">
                  <c:v>4.6639900000000001</c:v>
                </c:pt>
                <c:pt idx="142">
                  <c:v>4.6512099999999998</c:v>
                </c:pt>
                <c:pt idx="143">
                  <c:v>4.6418999999999997</c:v>
                </c:pt>
                <c:pt idx="144">
                  <c:v>4.6372999999999998</c:v>
                </c:pt>
                <c:pt idx="145">
                  <c:v>4.6297199999999998</c:v>
                </c:pt>
                <c:pt idx="146">
                  <c:v>4.6177799999999998</c:v>
                </c:pt>
                <c:pt idx="147">
                  <c:v>4.6014900000000001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30.060600000000001</c:v>
                </c:pt>
                <c:pt idx="2">
                  <c:v>30.533300000000001</c:v>
                </c:pt>
                <c:pt idx="3">
                  <c:v>30.936599999999999</c:v>
                </c:pt>
                <c:pt idx="4">
                  <c:v>31.349299999999999</c:v>
                </c:pt>
                <c:pt idx="5">
                  <c:v>31.734200000000001</c:v>
                </c:pt>
                <c:pt idx="6">
                  <c:v>32.1419</c:v>
                </c:pt>
                <c:pt idx="7">
                  <c:v>32.547800000000002</c:v>
                </c:pt>
                <c:pt idx="8">
                  <c:v>32.957799999999999</c:v>
                </c:pt>
                <c:pt idx="9">
                  <c:v>33.364800000000002</c:v>
                </c:pt>
                <c:pt idx="10">
                  <c:v>33.766300000000001</c:v>
                </c:pt>
                <c:pt idx="11">
                  <c:v>34.171799999999998</c:v>
                </c:pt>
                <c:pt idx="12">
                  <c:v>34.583500000000001</c:v>
                </c:pt>
                <c:pt idx="13">
                  <c:v>34.988500000000002</c:v>
                </c:pt>
                <c:pt idx="14">
                  <c:v>35.393300000000004</c:v>
                </c:pt>
                <c:pt idx="15">
                  <c:v>35.801299999999998</c:v>
                </c:pt>
                <c:pt idx="16">
                  <c:v>36.201700000000002</c:v>
                </c:pt>
                <c:pt idx="17">
                  <c:v>36.615200000000002</c:v>
                </c:pt>
                <c:pt idx="18">
                  <c:v>37.0169</c:v>
                </c:pt>
                <c:pt idx="19">
                  <c:v>37.425899999999999</c:v>
                </c:pt>
                <c:pt idx="20">
                  <c:v>37.8324</c:v>
                </c:pt>
                <c:pt idx="21">
                  <c:v>38.237699999999997</c:v>
                </c:pt>
                <c:pt idx="22">
                  <c:v>38.642600000000002</c:v>
                </c:pt>
                <c:pt idx="23">
                  <c:v>39.047499999999999</c:v>
                </c:pt>
                <c:pt idx="24">
                  <c:v>39.455500000000001</c:v>
                </c:pt>
                <c:pt idx="25">
                  <c:v>39.864400000000003</c:v>
                </c:pt>
                <c:pt idx="26">
                  <c:v>40.267400000000002</c:v>
                </c:pt>
                <c:pt idx="27">
                  <c:v>40.676099999999998</c:v>
                </c:pt>
                <c:pt idx="28">
                  <c:v>41.079099999999997</c:v>
                </c:pt>
                <c:pt idx="29">
                  <c:v>41.485999999999997</c:v>
                </c:pt>
                <c:pt idx="30">
                  <c:v>41.893999999999998</c:v>
                </c:pt>
                <c:pt idx="31">
                  <c:v>42.295999999999999</c:v>
                </c:pt>
                <c:pt idx="32">
                  <c:v>42.703699999999998</c:v>
                </c:pt>
                <c:pt idx="33">
                  <c:v>43.108699999999999</c:v>
                </c:pt>
                <c:pt idx="34">
                  <c:v>43.512599999999999</c:v>
                </c:pt>
                <c:pt idx="35">
                  <c:v>43.923499999999997</c:v>
                </c:pt>
                <c:pt idx="36">
                  <c:v>44.332799999999999</c:v>
                </c:pt>
                <c:pt idx="37">
                  <c:v>44.733800000000002</c:v>
                </c:pt>
                <c:pt idx="38">
                  <c:v>45.1402</c:v>
                </c:pt>
                <c:pt idx="39">
                  <c:v>45.548499999999997</c:v>
                </c:pt>
                <c:pt idx="40">
                  <c:v>45.957099999999997</c:v>
                </c:pt>
                <c:pt idx="41">
                  <c:v>46.365200000000002</c:v>
                </c:pt>
                <c:pt idx="42">
                  <c:v>46.7669</c:v>
                </c:pt>
                <c:pt idx="43">
                  <c:v>47.172800000000002</c:v>
                </c:pt>
                <c:pt idx="44">
                  <c:v>47.581899999999997</c:v>
                </c:pt>
                <c:pt idx="45">
                  <c:v>47.985599999999998</c:v>
                </c:pt>
                <c:pt idx="46">
                  <c:v>48.3947</c:v>
                </c:pt>
                <c:pt idx="47">
                  <c:v>48.799500000000002</c:v>
                </c:pt>
                <c:pt idx="48">
                  <c:v>49.206600000000002</c:v>
                </c:pt>
                <c:pt idx="49">
                  <c:v>49.6113</c:v>
                </c:pt>
                <c:pt idx="50">
                  <c:v>50.014200000000002</c:v>
                </c:pt>
                <c:pt idx="51">
                  <c:v>50.425199999999997</c:v>
                </c:pt>
                <c:pt idx="52">
                  <c:v>50.828400000000002</c:v>
                </c:pt>
                <c:pt idx="53">
                  <c:v>51.234900000000003</c:v>
                </c:pt>
                <c:pt idx="54">
                  <c:v>51.643900000000002</c:v>
                </c:pt>
                <c:pt idx="55">
                  <c:v>52.047699999999999</c:v>
                </c:pt>
                <c:pt idx="56">
                  <c:v>52.453600000000002</c:v>
                </c:pt>
                <c:pt idx="57">
                  <c:v>52.859900000000003</c:v>
                </c:pt>
                <c:pt idx="58">
                  <c:v>53.264299999999999</c:v>
                </c:pt>
                <c:pt idx="59">
                  <c:v>53.670499999999997</c:v>
                </c:pt>
                <c:pt idx="60">
                  <c:v>54.080300000000001</c:v>
                </c:pt>
                <c:pt idx="61">
                  <c:v>54.487200000000001</c:v>
                </c:pt>
                <c:pt idx="62">
                  <c:v>54.895200000000003</c:v>
                </c:pt>
                <c:pt idx="63">
                  <c:v>55.302199999999999</c:v>
                </c:pt>
                <c:pt idx="64">
                  <c:v>55.709299999999999</c:v>
                </c:pt>
                <c:pt idx="65">
                  <c:v>56.113900000000001</c:v>
                </c:pt>
                <c:pt idx="66">
                  <c:v>56.517000000000003</c:v>
                </c:pt>
                <c:pt idx="67">
                  <c:v>56.9208</c:v>
                </c:pt>
                <c:pt idx="68">
                  <c:v>57.3307</c:v>
                </c:pt>
                <c:pt idx="69">
                  <c:v>57.736699999999999</c:v>
                </c:pt>
                <c:pt idx="70">
                  <c:v>58.139800000000001</c:v>
                </c:pt>
                <c:pt idx="71">
                  <c:v>58.554299999999998</c:v>
                </c:pt>
                <c:pt idx="72">
                  <c:v>58.957299999999996</c:v>
                </c:pt>
                <c:pt idx="73">
                  <c:v>59.362200000000001</c:v>
                </c:pt>
                <c:pt idx="74">
                  <c:v>59.769399999999997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4.5701000000000001</c:v>
                </c:pt>
                <c:pt idx="1">
                  <c:v>4.5586199999999995</c:v>
                </c:pt>
                <c:pt idx="2">
                  <c:v>4.54894</c:v>
                </c:pt>
                <c:pt idx="3">
                  <c:v>4.5416499999999997</c:v>
                </c:pt>
                <c:pt idx="4">
                  <c:v>4.5375700000000005</c:v>
                </c:pt>
                <c:pt idx="5">
                  <c:v>4.5363199999999999</c:v>
                </c:pt>
                <c:pt idx="6">
                  <c:v>4.5361000000000002</c:v>
                </c:pt>
                <c:pt idx="7">
                  <c:v>4.5366</c:v>
                </c:pt>
                <c:pt idx="8">
                  <c:v>4.5375100000000002</c:v>
                </c:pt>
                <c:pt idx="9">
                  <c:v>4.5408400000000002</c:v>
                </c:pt>
                <c:pt idx="10">
                  <c:v>4.5464799999999999</c:v>
                </c:pt>
                <c:pt idx="11">
                  <c:v>4.5501000000000005</c:v>
                </c:pt>
                <c:pt idx="12">
                  <c:v>4.5549499999999998</c:v>
                </c:pt>
                <c:pt idx="13">
                  <c:v>4.5584299999999995</c:v>
                </c:pt>
                <c:pt idx="14">
                  <c:v>4.5602499999999999</c:v>
                </c:pt>
                <c:pt idx="15">
                  <c:v>4.5615499999999995</c:v>
                </c:pt>
                <c:pt idx="16">
                  <c:v>4.5615699999999997</c:v>
                </c:pt>
                <c:pt idx="17">
                  <c:v>4.5623300000000002</c:v>
                </c:pt>
                <c:pt idx="18">
                  <c:v>4.5655800000000006</c:v>
                </c:pt>
                <c:pt idx="19">
                  <c:v>4.5694499999999998</c:v>
                </c:pt>
                <c:pt idx="20">
                  <c:v>4.5705299999999998</c:v>
                </c:pt>
                <c:pt idx="21">
                  <c:v>4.5700200000000004</c:v>
                </c:pt>
                <c:pt idx="22">
                  <c:v>4.5694800000000004</c:v>
                </c:pt>
                <c:pt idx="23">
                  <c:v>4.5684699999999996</c:v>
                </c:pt>
                <c:pt idx="24">
                  <c:v>4.5656999999999996</c:v>
                </c:pt>
                <c:pt idx="25">
                  <c:v>4.5611300000000004</c:v>
                </c:pt>
                <c:pt idx="26">
                  <c:v>4.5530999999999997</c:v>
                </c:pt>
                <c:pt idx="27">
                  <c:v>4.5430599999999997</c:v>
                </c:pt>
                <c:pt idx="28">
                  <c:v>4.5331599999999996</c:v>
                </c:pt>
                <c:pt idx="29">
                  <c:v>4.5219399999999998</c:v>
                </c:pt>
                <c:pt idx="30">
                  <c:v>4.5123199999999999</c:v>
                </c:pt>
                <c:pt idx="31">
                  <c:v>4.5006000000000004</c:v>
                </c:pt>
                <c:pt idx="32">
                  <c:v>4.4866099999999998</c:v>
                </c:pt>
                <c:pt idx="33">
                  <c:v>4.4727899999999998</c:v>
                </c:pt>
                <c:pt idx="34">
                  <c:v>4.4619799999999996</c:v>
                </c:pt>
                <c:pt idx="35">
                  <c:v>4.4521500000000005</c:v>
                </c:pt>
                <c:pt idx="36">
                  <c:v>4.4449199999999998</c:v>
                </c:pt>
                <c:pt idx="37">
                  <c:v>4.4394600000000004</c:v>
                </c:pt>
                <c:pt idx="38">
                  <c:v>4.4344599999999996</c:v>
                </c:pt>
                <c:pt idx="39">
                  <c:v>4.4356400000000002</c:v>
                </c:pt>
                <c:pt idx="40">
                  <c:v>4.4416399999999996</c:v>
                </c:pt>
                <c:pt idx="41">
                  <c:v>4.4501400000000002</c:v>
                </c:pt>
                <c:pt idx="42">
                  <c:v>4.4603199999999994</c:v>
                </c:pt>
                <c:pt idx="43">
                  <c:v>4.47065</c:v>
                </c:pt>
                <c:pt idx="44">
                  <c:v>4.4789500000000002</c:v>
                </c:pt>
                <c:pt idx="45">
                  <c:v>4.4862900000000003</c:v>
                </c:pt>
                <c:pt idx="46">
                  <c:v>4.4912200000000002</c:v>
                </c:pt>
                <c:pt idx="47">
                  <c:v>4.4958799999999997</c:v>
                </c:pt>
                <c:pt idx="48">
                  <c:v>4.5019799999999996</c:v>
                </c:pt>
                <c:pt idx="49">
                  <c:v>4.5097800000000001</c:v>
                </c:pt>
                <c:pt idx="50">
                  <c:v>4.5168799999999996</c:v>
                </c:pt>
                <c:pt idx="51">
                  <c:v>4.5241600000000002</c:v>
                </c:pt>
                <c:pt idx="52">
                  <c:v>4.5327999999999999</c:v>
                </c:pt>
                <c:pt idx="53">
                  <c:v>4.5406000000000004</c:v>
                </c:pt>
                <c:pt idx="54">
                  <c:v>4.5510099999999998</c:v>
                </c:pt>
                <c:pt idx="55">
                  <c:v>4.56128</c:v>
                </c:pt>
                <c:pt idx="56">
                  <c:v>4.5732099999999996</c:v>
                </c:pt>
                <c:pt idx="57">
                  <c:v>4.5871599999999999</c:v>
                </c:pt>
                <c:pt idx="58">
                  <c:v>4.6006999999999998</c:v>
                </c:pt>
                <c:pt idx="59">
                  <c:v>4.6110499999999996</c:v>
                </c:pt>
                <c:pt idx="60">
                  <c:v>4.6207099999999999</c:v>
                </c:pt>
                <c:pt idx="61">
                  <c:v>4.63232</c:v>
                </c:pt>
                <c:pt idx="62">
                  <c:v>4.6428199999999995</c:v>
                </c:pt>
                <c:pt idx="63">
                  <c:v>4.6583100000000002</c:v>
                </c:pt>
                <c:pt idx="64">
                  <c:v>4.6693499999999997</c:v>
                </c:pt>
                <c:pt idx="65">
                  <c:v>4.6755599999999999</c:v>
                </c:pt>
                <c:pt idx="66">
                  <c:v>4.6787799999999997</c:v>
                </c:pt>
                <c:pt idx="67">
                  <c:v>4.6746999999999996</c:v>
                </c:pt>
                <c:pt idx="68">
                  <c:v>4.6639900000000001</c:v>
                </c:pt>
                <c:pt idx="69">
                  <c:v>4.6512099999999998</c:v>
                </c:pt>
                <c:pt idx="70">
                  <c:v>4.6418999999999997</c:v>
                </c:pt>
                <c:pt idx="71">
                  <c:v>4.6372999999999998</c:v>
                </c:pt>
                <c:pt idx="72">
                  <c:v>4.6297199999999998</c:v>
                </c:pt>
                <c:pt idx="73">
                  <c:v>4.6177799999999998</c:v>
                </c:pt>
                <c:pt idx="74">
                  <c:v>4.6014900000000001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14.942349999999999</c:v>
                </c:pt>
                <c:pt idx="1">
                  <c:v>44.82705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4.7096321621621637</c:v>
                </c:pt>
                <c:pt idx="1">
                  <c:v>4.5505945945945934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  <c:pt idx="74">
                  <c:v>30.060600000000001</c:v>
                </c:pt>
                <c:pt idx="75">
                  <c:v>30.533300000000001</c:v>
                </c:pt>
                <c:pt idx="76">
                  <c:v>30.936599999999999</c:v>
                </c:pt>
                <c:pt idx="77">
                  <c:v>31.349299999999999</c:v>
                </c:pt>
                <c:pt idx="78">
                  <c:v>31.734200000000001</c:v>
                </c:pt>
                <c:pt idx="79">
                  <c:v>32.1419</c:v>
                </c:pt>
                <c:pt idx="80">
                  <c:v>32.547800000000002</c:v>
                </c:pt>
                <c:pt idx="81">
                  <c:v>32.957799999999999</c:v>
                </c:pt>
                <c:pt idx="82">
                  <c:v>33.364800000000002</c:v>
                </c:pt>
                <c:pt idx="83">
                  <c:v>33.766300000000001</c:v>
                </c:pt>
                <c:pt idx="84">
                  <c:v>34.171799999999998</c:v>
                </c:pt>
                <c:pt idx="85">
                  <c:v>34.583500000000001</c:v>
                </c:pt>
                <c:pt idx="86">
                  <c:v>34.988500000000002</c:v>
                </c:pt>
                <c:pt idx="87">
                  <c:v>35.393300000000004</c:v>
                </c:pt>
                <c:pt idx="88">
                  <c:v>35.801299999999998</c:v>
                </c:pt>
                <c:pt idx="89">
                  <c:v>36.201700000000002</c:v>
                </c:pt>
                <c:pt idx="90">
                  <c:v>36.615200000000002</c:v>
                </c:pt>
                <c:pt idx="91">
                  <c:v>37.0169</c:v>
                </c:pt>
                <c:pt idx="92">
                  <c:v>37.425899999999999</c:v>
                </c:pt>
                <c:pt idx="93">
                  <c:v>37.8324</c:v>
                </c:pt>
                <c:pt idx="94">
                  <c:v>38.237699999999997</c:v>
                </c:pt>
                <c:pt idx="95">
                  <c:v>38.642600000000002</c:v>
                </c:pt>
                <c:pt idx="96">
                  <c:v>39.047499999999999</c:v>
                </c:pt>
                <c:pt idx="97">
                  <c:v>39.455500000000001</c:v>
                </c:pt>
                <c:pt idx="98">
                  <c:v>39.864400000000003</c:v>
                </c:pt>
                <c:pt idx="99">
                  <c:v>40.267400000000002</c:v>
                </c:pt>
                <c:pt idx="100">
                  <c:v>40.676099999999998</c:v>
                </c:pt>
                <c:pt idx="101">
                  <c:v>41.079099999999997</c:v>
                </c:pt>
                <c:pt idx="102">
                  <c:v>41.485999999999997</c:v>
                </c:pt>
                <c:pt idx="103">
                  <c:v>41.893999999999998</c:v>
                </c:pt>
                <c:pt idx="104">
                  <c:v>42.295999999999999</c:v>
                </c:pt>
                <c:pt idx="105">
                  <c:v>42.703699999999998</c:v>
                </c:pt>
                <c:pt idx="106">
                  <c:v>43.108699999999999</c:v>
                </c:pt>
                <c:pt idx="107">
                  <c:v>43.512599999999999</c:v>
                </c:pt>
                <c:pt idx="108">
                  <c:v>43.923499999999997</c:v>
                </c:pt>
                <c:pt idx="109">
                  <c:v>44.332799999999999</c:v>
                </c:pt>
                <c:pt idx="110">
                  <c:v>44.733800000000002</c:v>
                </c:pt>
                <c:pt idx="111">
                  <c:v>45.1402</c:v>
                </c:pt>
                <c:pt idx="112">
                  <c:v>45.548499999999997</c:v>
                </c:pt>
                <c:pt idx="113">
                  <c:v>45.957099999999997</c:v>
                </c:pt>
                <c:pt idx="114">
                  <c:v>46.365200000000002</c:v>
                </c:pt>
                <c:pt idx="115">
                  <c:v>46.7669</c:v>
                </c:pt>
                <c:pt idx="116">
                  <c:v>47.172800000000002</c:v>
                </c:pt>
                <c:pt idx="117">
                  <c:v>47.581899999999997</c:v>
                </c:pt>
                <c:pt idx="118">
                  <c:v>47.985599999999998</c:v>
                </c:pt>
                <c:pt idx="119">
                  <c:v>48.3947</c:v>
                </c:pt>
                <c:pt idx="120">
                  <c:v>48.799500000000002</c:v>
                </c:pt>
                <c:pt idx="121">
                  <c:v>49.206600000000002</c:v>
                </c:pt>
                <c:pt idx="122">
                  <c:v>49.6113</c:v>
                </c:pt>
                <c:pt idx="123">
                  <c:v>50.014200000000002</c:v>
                </c:pt>
                <c:pt idx="124">
                  <c:v>50.425199999999997</c:v>
                </c:pt>
                <c:pt idx="125">
                  <c:v>50.828400000000002</c:v>
                </c:pt>
                <c:pt idx="126">
                  <c:v>51.234900000000003</c:v>
                </c:pt>
                <c:pt idx="127">
                  <c:v>51.643900000000002</c:v>
                </c:pt>
                <c:pt idx="128">
                  <c:v>52.047699999999999</c:v>
                </c:pt>
                <c:pt idx="129">
                  <c:v>52.453600000000002</c:v>
                </c:pt>
                <c:pt idx="130">
                  <c:v>52.859900000000003</c:v>
                </c:pt>
                <c:pt idx="131">
                  <c:v>53.264299999999999</c:v>
                </c:pt>
                <c:pt idx="132">
                  <c:v>53.670499999999997</c:v>
                </c:pt>
                <c:pt idx="133">
                  <c:v>54.080300000000001</c:v>
                </c:pt>
                <c:pt idx="134">
                  <c:v>54.487200000000001</c:v>
                </c:pt>
                <c:pt idx="135">
                  <c:v>54.895200000000003</c:v>
                </c:pt>
                <c:pt idx="136">
                  <c:v>55.302199999999999</c:v>
                </c:pt>
                <c:pt idx="137">
                  <c:v>55.709299999999999</c:v>
                </c:pt>
                <c:pt idx="138">
                  <c:v>56.113900000000001</c:v>
                </c:pt>
                <c:pt idx="139">
                  <c:v>56.517000000000003</c:v>
                </c:pt>
                <c:pt idx="140">
                  <c:v>56.9208</c:v>
                </c:pt>
                <c:pt idx="141">
                  <c:v>57.3307</c:v>
                </c:pt>
                <c:pt idx="142">
                  <c:v>57.736699999999999</c:v>
                </c:pt>
                <c:pt idx="143">
                  <c:v>58.139800000000001</c:v>
                </c:pt>
                <c:pt idx="144">
                  <c:v>58.554299999999998</c:v>
                </c:pt>
                <c:pt idx="145">
                  <c:v>58.957299999999996</c:v>
                </c:pt>
                <c:pt idx="146">
                  <c:v>59.362200000000001</c:v>
                </c:pt>
                <c:pt idx="147">
                  <c:v>59.769399999999997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  <c:pt idx="74">
                  <c:v>25.194299999999998</c:v>
                </c:pt>
                <c:pt idx="75">
                  <c:v>25.2363</c:v>
                </c:pt>
                <c:pt idx="76">
                  <c:v>25.212400000000002</c:v>
                </c:pt>
                <c:pt idx="77">
                  <c:v>25.243700000000004</c:v>
                </c:pt>
                <c:pt idx="78">
                  <c:v>25.3583</c:v>
                </c:pt>
                <c:pt idx="79">
                  <c:v>25.483299999999996</c:v>
                </c:pt>
                <c:pt idx="80">
                  <c:v>25.646999999999998</c:v>
                </c:pt>
                <c:pt idx="81">
                  <c:v>25.820700000000002</c:v>
                </c:pt>
                <c:pt idx="82">
                  <c:v>25.968299999999999</c:v>
                </c:pt>
                <c:pt idx="83">
                  <c:v>26.0639</c:v>
                </c:pt>
                <c:pt idx="84">
                  <c:v>26.120100000000001</c:v>
                </c:pt>
                <c:pt idx="85">
                  <c:v>26.1309</c:v>
                </c:pt>
                <c:pt idx="86">
                  <c:v>26.115100000000002</c:v>
                </c:pt>
                <c:pt idx="87">
                  <c:v>25.9892</c:v>
                </c:pt>
                <c:pt idx="88">
                  <c:v>25.8125</c:v>
                </c:pt>
                <c:pt idx="89">
                  <c:v>25.597999999999999</c:v>
                </c:pt>
                <c:pt idx="90">
                  <c:v>25.316400000000002</c:v>
                </c:pt>
                <c:pt idx="91">
                  <c:v>25.030400000000004</c:v>
                </c:pt>
                <c:pt idx="92">
                  <c:v>24.728999999999999</c:v>
                </c:pt>
                <c:pt idx="93">
                  <c:v>24.473200000000002</c:v>
                </c:pt>
                <c:pt idx="94">
                  <c:v>24.268799999999999</c:v>
                </c:pt>
                <c:pt idx="95">
                  <c:v>24.027799999999999</c:v>
                </c:pt>
                <c:pt idx="96">
                  <c:v>23.7438</c:v>
                </c:pt>
                <c:pt idx="97">
                  <c:v>23.459199999999999</c:v>
                </c:pt>
                <c:pt idx="98">
                  <c:v>23.2486</c:v>
                </c:pt>
                <c:pt idx="99">
                  <c:v>23.063099999999999</c:v>
                </c:pt>
                <c:pt idx="100">
                  <c:v>22.921900000000001</c:v>
                </c:pt>
                <c:pt idx="101">
                  <c:v>22.857700000000001</c:v>
                </c:pt>
                <c:pt idx="102">
                  <c:v>22.8187</c:v>
                </c:pt>
                <c:pt idx="103">
                  <c:v>22.818999999999999</c:v>
                </c:pt>
                <c:pt idx="104">
                  <c:v>22.8416</c:v>
                </c:pt>
                <c:pt idx="105">
                  <c:v>22.9162</c:v>
                </c:pt>
                <c:pt idx="106">
                  <c:v>23.014000000000003</c:v>
                </c:pt>
                <c:pt idx="107">
                  <c:v>23.130400000000002</c:v>
                </c:pt>
                <c:pt idx="108">
                  <c:v>23.295500000000001</c:v>
                </c:pt>
                <c:pt idx="109">
                  <c:v>23.479900000000001</c:v>
                </c:pt>
                <c:pt idx="110">
                  <c:v>23.694399999999998</c:v>
                </c:pt>
                <c:pt idx="111">
                  <c:v>23.9008</c:v>
                </c:pt>
                <c:pt idx="112">
                  <c:v>24.077500000000001</c:v>
                </c:pt>
                <c:pt idx="113">
                  <c:v>24.265999999999998</c:v>
                </c:pt>
                <c:pt idx="114">
                  <c:v>24.439299999999999</c:v>
                </c:pt>
                <c:pt idx="115">
                  <c:v>24.6539</c:v>
                </c:pt>
                <c:pt idx="116">
                  <c:v>24.8687</c:v>
                </c:pt>
                <c:pt idx="117">
                  <c:v>25.080999999999996</c:v>
                </c:pt>
                <c:pt idx="118">
                  <c:v>25.199300000000001</c:v>
                </c:pt>
                <c:pt idx="119">
                  <c:v>25.345499999999998</c:v>
                </c:pt>
                <c:pt idx="120">
                  <c:v>25.555</c:v>
                </c:pt>
                <c:pt idx="121">
                  <c:v>25.769799999999996</c:v>
                </c:pt>
                <c:pt idx="122">
                  <c:v>26.005499999999998</c:v>
                </c:pt>
                <c:pt idx="123">
                  <c:v>26.214599999999997</c:v>
                </c:pt>
                <c:pt idx="124">
                  <c:v>26.391300000000001</c:v>
                </c:pt>
                <c:pt idx="125">
                  <c:v>26.528400000000001</c:v>
                </c:pt>
                <c:pt idx="126">
                  <c:v>26.607799999999997</c:v>
                </c:pt>
                <c:pt idx="127">
                  <c:v>26.663500000000003</c:v>
                </c:pt>
                <c:pt idx="128">
                  <c:v>26.6922</c:v>
                </c:pt>
                <c:pt idx="129">
                  <c:v>26.711500000000001</c:v>
                </c:pt>
                <c:pt idx="130">
                  <c:v>26.704000000000001</c:v>
                </c:pt>
                <c:pt idx="131">
                  <c:v>26.658300000000001</c:v>
                </c:pt>
                <c:pt idx="132">
                  <c:v>26.566099999999999</c:v>
                </c:pt>
                <c:pt idx="133">
                  <c:v>26.4208</c:v>
                </c:pt>
                <c:pt idx="134">
                  <c:v>26.241399999999999</c:v>
                </c:pt>
                <c:pt idx="135">
                  <c:v>26.046200000000002</c:v>
                </c:pt>
                <c:pt idx="136">
                  <c:v>25.908199999999997</c:v>
                </c:pt>
                <c:pt idx="137">
                  <c:v>25.828499999999998</c:v>
                </c:pt>
                <c:pt idx="138">
                  <c:v>25.7486</c:v>
                </c:pt>
                <c:pt idx="139">
                  <c:v>25.693999999999999</c:v>
                </c:pt>
                <c:pt idx="140">
                  <c:v>25.624200000000002</c:v>
                </c:pt>
                <c:pt idx="141">
                  <c:v>25.542999999999999</c:v>
                </c:pt>
                <c:pt idx="142">
                  <c:v>25.571999999999999</c:v>
                </c:pt>
                <c:pt idx="143">
                  <c:v>25.8612</c:v>
                </c:pt>
                <c:pt idx="144">
                  <c:v>25.8811</c:v>
                </c:pt>
                <c:pt idx="145">
                  <c:v>25.901999999999997</c:v>
                </c:pt>
                <c:pt idx="146">
                  <c:v>26.011400000000002</c:v>
                </c:pt>
                <c:pt idx="147">
                  <c:v>25.7544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30.060600000000001</c:v>
                </c:pt>
                <c:pt idx="2">
                  <c:v>30.533300000000001</c:v>
                </c:pt>
                <c:pt idx="3">
                  <c:v>30.936599999999999</c:v>
                </c:pt>
                <c:pt idx="4">
                  <c:v>31.349299999999999</c:v>
                </c:pt>
                <c:pt idx="5">
                  <c:v>31.734200000000001</c:v>
                </c:pt>
                <c:pt idx="6">
                  <c:v>32.1419</c:v>
                </c:pt>
                <c:pt idx="7">
                  <c:v>32.547800000000002</c:v>
                </c:pt>
                <c:pt idx="8">
                  <c:v>32.957799999999999</c:v>
                </c:pt>
                <c:pt idx="9">
                  <c:v>33.364800000000002</c:v>
                </c:pt>
                <c:pt idx="10">
                  <c:v>33.766300000000001</c:v>
                </c:pt>
                <c:pt idx="11">
                  <c:v>34.171799999999998</c:v>
                </c:pt>
                <c:pt idx="12">
                  <c:v>34.583500000000001</c:v>
                </c:pt>
                <c:pt idx="13">
                  <c:v>34.988500000000002</c:v>
                </c:pt>
                <c:pt idx="14">
                  <c:v>35.393300000000004</c:v>
                </c:pt>
                <c:pt idx="15">
                  <c:v>35.801299999999998</c:v>
                </c:pt>
                <c:pt idx="16">
                  <c:v>36.201700000000002</c:v>
                </c:pt>
                <c:pt idx="17">
                  <c:v>36.615200000000002</c:v>
                </c:pt>
                <c:pt idx="18">
                  <c:v>37.0169</c:v>
                </c:pt>
                <c:pt idx="19">
                  <c:v>37.425899999999999</c:v>
                </c:pt>
                <c:pt idx="20">
                  <c:v>37.8324</c:v>
                </c:pt>
                <c:pt idx="21">
                  <c:v>38.237699999999997</c:v>
                </c:pt>
                <c:pt idx="22">
                  <c:v>38.642600000000002</c:v>
                </c:pt>
                <c:pt idx="23">
                  <c:v>39.047499999999999</c:v>
                </c:pt>
                <c:pt idx="24">
                  <c:v>39.455500000000001</c:v>
                </c:pt>
                <c:pt idx="25">
                  <c:v>39.864400000000003</c:v>
                </c:pt>
                <c:pt idx="26">
                  <c:v>40.267400000000002</c:v>
                </c:pt>
                <c:pt idx="27">
                  <c:v>40.676099999999998</c:v>
                </c:pt>
                <c:pt idx="28">
                  <c:v>41.079099999999997</c:v>
                </c:pt>
                <c:pt idx="29">
                  <c:v>41.485999999999997</c:v>
                </c:pt>
                <c:pt idx="30">
                  <c:v>41.893999999999998</c:v>
                </c:pt>
                <c:pt idx="31">
                  <c:v>42.295999999999999</c:v>
                </c:pt>
                <c:pt idx="32">
                  <c:v>42.703699999999998</c:v>
                </c:pt>
                <c:pt idx="33">
                  <c:v>43.108699999999999</c:v>
                </c:pt>
                <c:pt idx="34">
                  <c:v>43.512599999999999</c:v>
                </c:pt>
                <c:pt idx="35">
                  <c:v>43.923499999999997</c:v>
                </c:pt>
                <c:pt idx="36">
                  <c:v>44.332799999999999</c:v>
                </c:pt>
                <c:pt idx="37">
                  <c:v>44.733800000000002</c:v>
                </c:pt>
                <c:pt idx="38">
                  <c:v>45.1402</c:v>
                </c:pt>
                <c:pt idx="39">
                  <c:v>45.548499999999997</c:v>
                </c:pt>
                <c:pt idx="40">
                  <c:v>45.957099999999997</c:v>
                </c:pt>
                <c:pt idx="41">
                  <c:v>46.365200000000002</c:v>
                </c:pt>
                <c:pt idx="42">
                  <c:v>46.7669</c:v>
                </c:pt>
                <c:pt idx="43">
                  <c:v>47.172800000000002</c:v>
                </c:pt>
                <c:pt idx="44">
                  <c:v>47.581899999999997</c:v>
                </c:pt>
                <c:pt idx="45">
                  <c:v>47.985599999999998</c:v>
                </c:pt>
                <c:pt idx="46">
                  <c:v>48.3947</c:v>
                </c:pt>
                <c:pt idx="47">
                  <c:v>48.799500000000002</c:v>
                </c:pt>
                <c:pt idx="48">
                  <c:v>49.206600000000002</c:v>
                </c:pt>
                <c:pt idx="49">
                  <c:v>49.6113</c:v>
                </c:pt>
                <c:pt idx="50">
                  <c:v>50.014200000000002</c:v>
                </c:pt>
                <c:pt idx="51">
                  <c:v>50.425199999999997</c:v>
                </c:pt>
                <c:pt idx="52">
                  <c:v>50.828400000000002</c:v>
                </c:pt>
                <c:pt idx="53">
                  <c:v>51.234900000000003</c:v>
                </c:pt>
                <c:pt idx="54">
                  <c:v>51.643900000000002</c:v>
                </c:pt>
                <c:pt idx="55">
                  <c:v>52.047699999999999</c:v>
                </c:pt>
                <c:pt idx="56">
                  <c:v>52.453600000000002</c:v>
                </c:pt>
                <c:pt idx="57">
                  <c:v>52.859900000000003</c:v>
                </c:pt>
                <c:pt idx="58">
                  <c:v>53.264299999999999</c:v>
                </c:pt>
                <c:pt idx="59">
                  <c:v>53.670499999999997</c:v>
                </c:pt>
                <c:pt idx="60">
                  <c:v>54.080300000000001</c:v>
                </c:pt>
                <c:pt idx="61">
                  <c:v>54.487200000000001</c:v>
                </c:pt>
                <c:pt idx="62">
                  <c:v>54.895200000000003</c:v>
                </c:pt>
                <c:pt idx="63">
                  <c:v>55.302199999999999</c:v>
                </c:pt>
                <c:pt idx="64">
                  <c:v>55.709299999999999</c:v>
                </c:pt>
                <c:pt idx="65">
                  <c:v>56.113900000000001</c:v>
                </c:pt>
                <c:pt idx="66">
                  <c:v>56.517000000000003</c:v>
                </c:pt>
                <c:pt idx="67">
                  <c:v>56.9208</c:v>
                </c:pt>
                <c:pt idx="68">
                  <c:v>57.3307</c:v>
                </c:pt>
                <c:pt idx="69">
                  <c:v>57.736699999999999</c:v>
                </c:pt>
                <c:pt idx="70">
                  <c:v>58.139800000000001</c:v>
                </c:pt>
                <c:pt idx="71">
                  <c:v>58.554299999999998</c:v>
                </c:pt>
                <c:pt idx="72">
                  <c:v>58.957299999999996</c:v>
                </c:pt>
                <c:pt idx="73">
                  <c:v>59.362200000000001</c:v>
                </c:pt>
                <c:pt idx="74">
                  <c:v>59.769399999999997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25.228499999999997</c:v>
                </c:pt>
                <c:pt idx="1">
                  <c:v>25.194299999999998</c:v>
                </c:pt>
                <c:pt idx="2">
                  <c:v>25.2363</c:v>
                </c:pt>
                <c:pt idx="3">
                  <c:v>25.212400000000002</c:v>
                </c:pt>
                <c:pt idx="4">
                  <c:v>25.243700000000004</c:v>
                </c:pt>
                <c:pt idx="5">
                  <c:v>25.3583</c:v>
                </c:pt>
                <c:pt idx="6">
                  <c:v>25.483299999999996</c:v>
                </c:pt>
                <c:pt idx="7">
                  <c:v>25.646999999999998</c:v>
                </c:pt>
                <c:pt idx="8">
                  <c:v>25.820700000000002</c:v>
                </c:pt>
                <c:pt idx="9">
                  <c:v>25.968299999999999</c:v>
                </c:pt>
                <c:pt idx="10">
                  <c:v>26.0639</c:v>
                </c:pt>
                <c:pt idx="11">
                  <c:v>26.120100000000001</c:v>
                </c:pt>
                <c:pt idx="12">
                  <c:v>26.1309</c:v>
                </c:pt>
                <c:pt idx="13">
                  <c:v>26.115100000000002</c:v>
                </c:pt>
                <c:pt idx="14">
                  <c:v>25.9892</c:v>
                </c:pt>
                <c:pt idx="15">
                  <c:v>25.8125</c:v>
                </c:pt>
                <c:pt idx="16">
                  <c:v>25.597999999999999</c:v>
                </c:pt>
                <c:pt idx="17">
                  <c:v>25.316400000000002</c:v>
                </c:pt>
                <c:pt idx="18">
                  <c:v>25.030400000000004</c:v>
                </c:pt>
                <c:pt idx="19">
                  <c:v>24.728999999999999</c:v>
                </c:pt>
                <c:pt idx="20">
                  <c:v>24.473200000000002</c:v>
                </c:pt>
                <c:pt idx="21">
                  <c:v>24.268799999999999</c:v>
                </c:pt>
                <c:pt idx="22">
                  <c:v>24.027799999999999</c:v>
                </c:pt>
                <c:pt idx="23">
                  <c:v>23.7438</c:v>
                </c:pt>
                <c:pt idx="24">
                  <c:v>23.459199999999999</c:v>
                </c:pt>
                <c:pt idx="25">
                  <c:v>23.2486</c:v>
                </c:pt>
                <c:pt idx="26">
                  <c:v>23.063099999999999</c:v>
                </c:pt>
                <c:pt idx="27">
                  <c:v>22.921900000000001</c:v>
                </c:pt>
                <c:pt idx="28">
                  <c:v>22.857700000000001</c:v>
                </c:pt>
                <c:pt idx="29">
                  <c:v>22.8187</c:v>
                </c:pt>
                <c:pt idx="30">
                  <c:v>22.818999999999999</c:v>
                </c:pt>
                <c:pt idx="31">
                  <c:v>22.8416</c:v>
                </c:pt>
                <c:pt idx="32">
                  <c:v>22.9162</c:v>
                </c:pt>
                <c:pt idx="33">
                  <c:v>23.014000000000003</c:v>
                </c:pt>
                <c:pt idx="34">
                  <c:v>23.130400000000002</c:v>
                </c:pt>
                <c:pt idx="35">
                  <c:v>23.295500000000001</c:v>
                </c:pt>
                <c:pt idx="36">
                  <c:v>23.479900000000001</c:v>
                </c:pt>
                <c:pt idx="37">
                  <c:v>23.694399999999998</c:v>
                </c:pt>
                <c:pt idx="38">
                  <c:v>23.9008</c:v>
                </c:pt>
                <c:pt idx="39">
                  <c:v>24.077500000000001</c:v>
                </c:pt>
                <c:pt idx="40">
                  <c:v>24.265999999999998</c:v>
                </c:pt>
                <c:pt idx="41">
                  <c:v>24.439299999999999</c:v>
                </c:pt>
                <c:pt idx="42">
                  <c:v>24.6539</c:v>
                </c:pt>
                <c:pt idx="43">
                  <c:v>24.8687</c:v>
                </c:pt>
                <c:pt idx="44">
                  <c:v>25.080999999999996</c:v>
                </c:pt>
                <c:pt idx="45">
                  <c:v>25.199300000000001</c:v>
                </c:pt>
                <c:pt idx="46">
                  <c:v>25.345499999999998</c:v>
                </c:pt>
                <c:pt idx="47">
                  <c:v>25.555</c:v>
                </c:pt>
                <c:pt idx="48">
                  <c:v>25.769799999999996</c:v>
                </c:pt>
                <c:pt idx="49">
                  <c:v>26.005499999999998</c:v>
                </c:pt>
                <c:pt idx="50">
                  <c:v>26.214599999999997</c:v>
                </c:pt>
                <c:pt idx="51">
                  <c:v>26.391300000000001</c:v>
                </c:pt>
                <c:pt idx="52">
                  <c:v>26.528400000000001</c:v>
                </c:pt>
                <c:pt idx="53">
                  <c:v>26.607799999999997</c:v>
                </c:pt>
                <c:pt idx="54">
                  <c:v>26.663500000000003</c:v>
                </c:pt>
                <c:pt idx="55">
                  <c:v>26.6922</c:v>
                </c:pt>
                <c:pt idx="56">
                  <c:v>26.711500000000001</c:v>
                </c:pt>
                <c:pt idx="57">
                  <c:v>26.704000000000001</c:v>
                </c:pt>
                <c:pt idx="58">
                  <c:v>26.658300000000001</c:v>
                </c:pt>
                <c:pt idx="59">
                  <c:v>26.566099999999999</c:v>
                </c:pt>
                <c:pt idx="60">
                  <c:v>26.4208</c:v>
                </c:pt>
                <c:pt idx="61">
                  <c:v>26.241399999999999</c:v>
                </c:pt>
                <c:pt idx="62">
                  <c:v>26.046200000000002</c:v>
                </c:pt>
                <c:pt idx="63">
                  <c:v>25.908199999999997</c:v>
                </c:pt>
                <c:pt idx="64">
                  <c:v>25.828499999999998</c:v>
                </c:pt>
                <c:pt idx="65">
                  <c:v>25.7486</c:v>
                </c:pt>
                <c:pt idx="66">
                  <c:v>25.693999999999999</c:v>
                </c:pt>
                <c:pt idx="67">
                  <c:v>25.624200000000002</c:v>
                </c:pt>
                <c:pt idx="68">
                  <c:v>25.542999999999999</c:v>
                </c:pt>
                <c:pt idx="69">
                  <c:v>25.571999999999999</c:v>
                </c:pt>
                <c:pt idx="70">
                  <c:v>25.8612</c:v>
                </c:pt>
                <c:pt idx="71">
                  <c:v>25.8811</c:v>
                </c:pt>
                <c:pt idx="72">
                  <c:v>25.901999999999997</c:v>
                </c:pt>
                <c:pt idx="73">
                  <c:v>26.011400000000002</c:v>
                </c:pt>
                <c:pt idx="74">
                  <c:v>25.7544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14.942349999999999</c:v>
                </c:pt>
                <c:pt idx="1">
                  <c:v>44.82705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30.002906756756765</c:v>
                </c:pt>
                <c:pt idx="1">
                  <c:v>25.122710810810812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52.320300000000003</c:v>
                </c:pt>
                <c:pt idx="1">
                  <c:v>29.005400000000002</c:v>
                </c:pt>
                <c:pt idx="2">
                  <c:v>20.793399999999998</c:v>
                </c:pt>
                <c:pt idx="3">
                  <c:v>33.748699999999999</c:v>
                </c:pt>
                <c:pt idx="4">
                  <c:v>65.897999999999996</c:v>
                </c:pt>
                <c:pt idx="5">
                  <c:v>74.557400000000001</c:v>
                </c:pt>
                <c:pt idx="6">
                  <c:v>34.083100000000002</c:v>
                </c:pt>
                <c:pt idx="7">
                  <c:v>69.860600000000005</c:v>
                </c:pt>
                <c:pt idx="8">
                  <c:v>18.487300000000001</c:v>
                </c:pt>
                <c:pt idx="9">
                  <c:v>22.875800000000002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54.469099999999997</c:v>
                </c:pt>
                <c:pt idx="1">
                  <c:v>28.2256</c:v>
                </c:pt>
                <c:pt idx="2">
                  <c:v>25.765999999999998</c:v>
                </c:pt>
                <c:pt idx="3">
                  <c:v>35.905700000000003</c:v>
                </c:pt>
                <c:pt idx="4">
                  <c:v>67.394499999999994</c:v>
                </c:pt>
                <c:pt idx="5">
                  <c:v>75.120800000000003</c:v>
                </c:pt>
                <c:pt idx="6">
                  <c:v>30.427900000000001</c:v>
                </c:pt>
                <c:pt idx="7">
                  <c:v>71.152799999999999</c:v>
                </c:pt>
                <c:pt idx="8">
                  <c:v>18.823899999999998</c:v>
                </c:pt>
                <c:pt idx="9">
                  <c:v>28.626100000000001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0.52786769392459632</c:v>
                </c:pt>
                <c:pt idx="1">
                  <c:v>0.29345534523084682</c:v>
                </c:pt>
                <c:pt idx="2">
                  <c:v>0.17867696084455689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244</c:v>
                </c:pt>
                <c:pt idx="7">
                  <c:v>0</c:v>
                </c:pt>
                <c:pt idx="8">
                  <c:v>348</c:v>
                </c:pt>
                <c:pt idx="9">
                  <c:v>0</c:v>
                </c:pt>
                <c:pt idx="10">
                  <c:v>0</c:v>
                </c:pt>
                <c:pt idx="11">
                  <c:v>684</c:v>
                </c:pt>
                <c:pt idx="12">
                  <c:v>0</c:v>
                </c:pt>
                <c:pt idx="13">
                  <c:v>1171</c:v>
                </c:pt>
                <c:pt idx="14">
                  <c:v>0</c:v>
                </c:pt>
                <c:pt idx="15">
                  <c:v>0</c:v>
                </c:pt>
                <c:pt idx="16">
                  <c:v>781</c:v>
                </c:pt>
                <c:pt idx="17">
                  <c:v>0</c:v>
                </c:pt>
                <c:pt idx="18">
                  <c:v>0</c:v>
                </c:pt>
                <c:pt idx="19">
                  <c:v>842</c:v>
                </c:pt>
                <c:pt idx="20">
                  <c:v>0</c:v>
                </c:pt>
                <c:pt idx="21">
                  <c:v>1305</c:v>
                </c:pt>
                <c:pt idx="22">
                  <c:v>0</c:v>
                </c:pt>
                <c:pt idx="23">
                  <c:v>0</c:v>
                </c:pt>
                <c:pt idx="24">
                  <c:v>1861</c:v>
                </c:pt>
                <c:pt idx="25">
                  <c:v>0</c:v>
                </c:pt>
                <c:pt idx="26">
                  <c:v>1425</c:v>
                </c:pt>
                <c:pt idx="27">
                  <c:v>0</c:v>
                </c:pt>
                <c:pt idx="28">
                  <c:v>0</c:v>
                </c:pt>
                <c:pt idx="29">
                  <c:v>3248</c:v>
                </c:pt>
                <c:pt idx="30">
                  <c:v>0</c:v>
                </c:pt>
                <c:pt idx="31">
                  <c:v>4655</c:v>
                </c:pt>
                <c:pt idx="32">
                  <c:v>0</c:v>
                </c:pt>
                <c:pt idx="33">
                  <c:v>0</c:v>
                </c:pt>
                <c:pt idx="34">
                  <c:v>10420</c:v>
                </c:pt>
                <c:pt idx="35">
                  <c:v>0</c:v>
                </c:pt>
                <c:pt idx="36">
                  <c:v>0</c:v>
                </c:pt>
                <c:pt idx="37">
                  <c:v>13481</c:v>
                </c:pt>
                <c:pt idx="38">
                  <c:v>0</c:v>
                </c:pt>
                <c:pt idx="39">
                  <c:v>18037</c:v>
                </c:pt>
                <c:pt idx="40">
                  <c:v>0</c:v>
                </c:pt>
                <c:pt idx="41">
                  <c:v>0</c:v>
                </c:pt>
                <c:pt idx="42">
                  <c:v>26550</c:v>
                </c:pt>
                <c:pt idx="43">
                  <c:v>0</c:v>
                </c:pt>
                <c:pt idx="44">
                  <c:v>36115</c:v>
                </c:pt>
                <c:pt idx="45">
                  <c:v>0</c:v>
                </c:pt>
                <c:pt idx="46">
                  <c:v>0</c:v>
                </c:pt>
                <c:pt idx="47">
                  <c:v>34107</c:v>
                </c:pt>
                <c:pt idx="48">
                  <c:v>0</c:v>
                </c:pt>
                <c:pt idx="49">
                  <c:v>35465</c:v>
                </c:pt>
                <c:pt idx="50">
                  <c:v>0</c:v>
                </c:pt>
                <c:pt idx="51">
                  <c:v>0</c:v>
                </c:pt>
                <c:pt idx="52">
                  <c:v>41546</c:v>
                </c:pt>
                <c:pt idx="53">
                  <c:v>0</c:v>
                </c:pt>
                <c:pt idx="54">
                  <c:v>0</c:v>
                </c:pt>
                <c:pt idx="55">
                  <c:v>44110</c:v>
                </c:pt>
                <c:pt idx="56">
                  <c:v>0</c:v>
                </c:pt>
                <c:pt idx="57">
                  <c:v>47833</c:v>
                </c:pt>
                <c:pt idx="58">
                  <c:v>0</c:v>
                </c:pt>
                <c:pt idx="59">
                  <c:v>0</c:v>
                </c:pt>
                <c:pt idx="60">
                  <c:v>52151</c:v>
                </c:pt>
                <c:pt idx="61">
                  <c:v>0</c:v>
                </c:pt>
                <c:pt idx="62">
                  <c:v>57921</c:v>
                </c:pt>
                <c:pt idx="63">
                  <c:v>0</c:v>
                </c:pt>
                <c:pt idx="64">
                  <c:v>0</c:v>
                </c:pt>
                <c:pt idx="65">
                  <c:v>57219</c:v>
                </c:pt>
                <c:pt idx="66">
                  <c:v>0</c:v>
                </c:pt>
                <c:pt idx="67">
                  <c:v>52499</c:v>
                </c:pt>
                <c:pt idx="68">
                  <c:v>0</c:v>
                </c:pt>
                <c:pt idx="69">
                  <c:v>0</c:v>
                </c:pt>
                <c:pt idx="70">
                  <c:v>64387</c:v>
                </c:pt>
                <c:pt idx="71">
                  <c:v>0</c:v>
                </c:pt>
                <c:pt idx="72">
                  <c:v>0</c:v>
                </c:pt>
                <c:pt idx="73">
                  <c:v>61555</c:v>
                </c:pt>
                <c:pt idx="74">
                  <c:v>0</c:v>
                </c:pt>
                <c:pt idx="75">
                  <c:v>58917</c:v>
                </c:pt>
                <c:pt idx="76">
                  <c:v>0</c:v>
                </c:pt>
                <c:pt idx="77">
                  <c:v>0</c:v>
                </c:pt>
                <c:pt idx="78">
                  <c:v>59966</c:v>
                </c:pt>
                <c:pt idx="79">
                  <c:v>0</c:v>
                </c:pt>
                <c:pt idx="80">
                  <c:v>71915</c:v>
                </c:pt>
                <c:pt idx="81">
                  <c:v>0</c:v>
                </c:pt>
                <c:pt idx="82">
                  <c:v>0</c:v>
                </c:pt>
                <c:pt idx="83">
                  <c:v>85697</c:v>
                </c:pt>
                <c:pt idx="84">
                  <c:v>0</c:v>
                </c:pt>
                <c:pt idx="85">
                  <c:v>0</c:v>
                </c:pt>
                <c:pt idx="86">
                  <c:v>95877</c:v>
                </c:pt>
                <c:pt idx="87">
                  <c:v>0</c:v>
                </c:pt>
                <c:pt idx="88">
                  <c:v>101389</c:v>
                </c:pt>
                <c:pt idx="89">
                  <c:v>0</c:v>
                </c:pt>
                <c:pt idx="90">
                  <c:v>0</c:v>
                </c:pt>
                <c:pt idx="91">
                  <c:v>105363</c:v>
                </c:pt>
                <c:pt idx="92">
                  <c:v>0</c:v>
                </c:pt>
                <c:pt idx="93">
                  <c:v>103060</c:v>
                </c:pt>
                <c:pt idx="94">
                  <c:v>0</c:v>
                </c:pt>
                <c:pt idx="95">
                  <c:v>0</c:v>
                </c:pt>
                <c:pt idx="96">
                  <c:v>115963</c:v>
                </c:pt>
                <c:pt idx="97">
                  <c:v>0</c:v>
                </c:pt>
                <c:pt idx="98">
                  <c:v>117470</c:v>
                </c:pt>
                <c:pt idx="99">
                  <c:v>0</c:v>
                </c:pt>
                <c:pt idx="100">
                  <c:v>0</c:v>
                </c:pt>
                <c:pt idx="101">
                  <c:v>124904</c:v>
                </c:pt>
                <c:pt idx="102">
                  <c:v>0</c:v>
                </c:pt>
                <c:pt idx="103">
                  <c:v>0</c:v>
                </c:pt>
                <c:pt idx="104">
                  <c:v>126125</c:v>
                </c:pt>
                <c:pt idx="105">
                  <c:v>0</c:v>
                </c:pt>
                <c:pt idx="106">
                  <c:v>124369</c:v>
                </c:pt>
                <c:pt idx="107">
                  <c:v>0</c:v>
                </c:pt>
                <c:pt idx="108">
                  <c:v>0</c:v>
                </c:pt>
                <c:pt idx="109">
                  <c:v>135165</c:v>
                </c:pt>
                <c:pt idx="110">
                  <c:v>0</c:v>
                </c:pt>
                <c:pt idx="111">
                  <c:v>137242</c:v>
                </c:pt>
                <c:pt idx="112">
                  <c:v>0</c:v>
                </c:pt>
                <c:pt idx="113">
                  <c:v>0</c:v>
                </c:pt>
                <c:pt idx="114">
                  <c:v>150593</c:v>
                </c:pt>
                <c:pt idx="115">
                  <c:v>0</c:v>
                </c:pt>
                <c:pt idx="116">
                  <c:v>148809</c:v>
                </c:pt>
                <c:pt idx="117">
                  <c:v>0</c:v>
                </c:pt>
                <c:pt idx="118">
                  <c:v>0</c:v>
                </c:pt>
                <c:pt idx="119">
                  <c:v>156367</c:v>
                </c:pt>
                <c:pt idx="120">
                  <c:v>0</c:v>
                </c:pt>
                <c:pt idx="121">
                  <c:v>0</c:v>
                </c:pt>
                <c:pt idx="122">
                  <c:v>150401</c:v>
                </c:pt>
                <c:pt idx="123">
                  <c:v>0</c:v>
                </c:pt>
                <c:pt idx="124">
                  <c:v>157865</c:v>
                </c:pt>
                <c:pt idx="125">
                  <c:v>0</c:v>
                </c:pt>
                <c:pt idx="126">
                  <c:v>0</c:v>
                </c:pt>
                <c:pt idx="127">
                  <c:v>162709</c:v>
                </c:pt>
                <c:pt idx="128">
                  <c:v>0</c:v>
                </c:pt>
                <c:pt idx="129">
                  <c:v>174013</c:v>
                </c:pt>
                <c:pt idx="130">
                  <c:v>0</c:v>
                </c:pt>
                <c:pt idx="131">
                  <c:v>0</c:v>
                </c:pt>
                <c:pt idx="132">
                  <c:v>171237</c:v>
                </c:pt>
                <c:pt idx="133">
                  <c:v>0</c:v>
                </c:pt>
                <c:pt idx="134">
                  <c:v>166623</c:v>
                </c:pt>
                <c:pt idx="135">
                  <c:v>0</c:v>
                </c:pt>
                <c:pt idx="136">
                  <c:v>0</c:v>
                </c:pt>
                <c:pt idx="137">
                  <c:v>158349</c:v>
                </c:pt>
                <c:pt idx="138">
                  <c:v>0</c:v>
                </c:pt>
                <c:pt idx="139">
                  <c:v>0</c:v>
                </c:pt>
                <c:pt idx="140">
                  <c:v>154046</c:v>
                </c:pt>
                <c:pt idx="141">
                  <c:v>0</c:v>
                </c:pt>
                <c:pt idx="142">
                  <c:v>139675</c:v>
                </c:pt>
                <c:pt idx="143">
                  <c:v>0</c:v>
                </c:pt>
                <c:pt idx="144">
                  <c:v>0</c:v>
                </c:pt>
                <c:pt idx="145">
                  <c:v>127540</c:v>
                </c:pt>
                <c:pt idx="146">
                  <c:v>0</c:v>
                </c:pt>
                <c:pt idx="147">
                  <c:v>105494</c:v>
                </c:pt>
                <c:pt idx="148">
                  <c:v>0</c:v>
                </c:pt>
                <c:pt idx="149">
                  <c:v>0</c:v>
                </c:pt>
                <c:pt idx="150">
                  <c:v>84859</c:v>
                </c:pt>
                <c:pt idx="151">
                  <c:v>0</c:v>
                </c:pt>
                <c:pt idx="152">
                  <c:v>79392</c:v>
                </c:pt>
                <c:pt idx="153">
                  <c:v>0</c:v>
                </c:pt>
                <c:pt idx="154">
                  <c:v>0</c:v>
                </c:pt>
                <c:pt idx="155">
                  <c:v>82821</c:v>
                </c:pt>
                <c:pt idx="156">
                  <c:v>0</c:v>
                </c:pt>
                <c:pt idx="157">
                  <c:v>0</c:v>
                </c:pt>
                <c:pt idx="158">
                  <c:v>74620</c:v>
                </c:pt>
                <c:pt idx="159">
                  <c:v>0</c:v>
                </c:pt>
                <c:pt idx="160">
                  <c:v>60497</c:v>
                </c:pt>
                <c:pt idx="161">
                  <c:v>0</c:v>
                </c:pt>
                <c:pt idx="162">
                  <c:v>0</c:v>
                </c:pt>
                <c:pt idx="163">
                  <c:v>54706</c:v>
                </c:pt>
                <c:pt idx="164">
                  <c:v>0</c:v>
                </c:pt>
                <c:pt idx="165">
                  <c:v>51453</c:v>
                </c:pt>
                <c:pt idx="166">
                  <c:v>0</c:v>
                </c:pt>
                <c:pt idx="167">
                  <c:v>0</c:v>
                </c:pt>
                <c:pt idx="168">
                  <c:v>43312</c:v>
                </c:pt>
                <c:pt idx="169">
                  <c:v>0</c:v>
                </c:pt>
                <c:pt idx="170">
                  <c:v>0</c:v>
                </c:pt>
                <c:pt idx="171">
                  <c:v>33411</c:v>
                </c:pt>
                <c:pt idx="172">
                  <c:v>0</c:v>
                </c:pt>
                <c:pt idx="173">
                  <c:v>32344</c:v>
                </c:pt>
                <c:pt idx="174">
                  <c:v>0</c:v>
                </c:pt>
                <c:pt idx="175">
                  <c:v>0</c:v>
                </c:pt>
                <c:pt idx="176">
                  <c:v>30041</c:v>
                </c:pt>
                <c:pt idx="177">
                  <c:v>0</c:v>
                </c:pt>
                <c:pt idx="178">
                  <c:v>27495</c:v>
                </c:pt>
                <c:pt idx="179">
                  <c:v>0</c:v>
                </c:pt>
                <c:pt idx="180">
                  <c:v>0</c:v>
                </c:pt>
                <c:pt idx="181">
                  <c:v>19597</c:v>
                </c:pt>
                <c:pt idx="182">
                  <c:v>0</c:v>
                </c:pt>
                <c:pt idx="183">
                  <c:v>18425</c:v>
                </c:pt>
                <c:pt idx="184">
                  <c:v>0</c:v>
                </c:pt>
                <c:pt idx="185">
                  <c:v>0</c:v>
                </c:pt>
                <c:pt idx="186">
                  <c:v>16074</c:v>
                </c:pt>
                <c:pt idx="187">
                  <c:v>0</c:v>
                </c:pt>
                <c:pt idx="188">
                  <c:v>0</c:v>
                </c:pt>
                <c:pt idx="189">
                  <c:v>16180</c:v>
                </c:pt>
                <c:pt idx="190">
                  <c:v>0</c:v>
                </c:pt>
                <c:pt idx="191">
                  <c:v>15810</c:v>
                </c:pt>
                <c:pt idx="192">
                  <c:v>0</c:v>
                </c:pt>
                <c:pt idx="193">
                  <c:v>0</c:v>
                </c:pt>
                <c:pt idx="194">
                  <c:v>14663</c:v>
                </c:pt>
                <c:pt idx="195">
                  <c:v>0</c:v>
                </c:pt>
                <c:pt idx="196">
                  <c:v>14715</c:v>
                </c:pt>
                <c:pt idx="197">
                  <c:v>0</c:v>
                </c:pt>
                <c:pt idx="198">
                  <c:v>0</c:v>
                </c:pt>
                <c:pt idx="199">
                  <c:v>17478</c:v>
                </c:pt>
                <c:pt idx="200">
                  <c:v>0</c:v>
                </c:pt>
                <c:pt idx="201">
                  <c:v>25833</c:v>
                </c:pt>
                <c:pt idx="202">
                  <c:v>0</c:v>
                </c:pt>
                <c:pt idx="203">
                  <c:v>0</c:v>
                </c:pt>
                <c:pt idx="204">
                  <c:v>19552</c:v>
                </c:pt>
                <c:pt idx="205">
                  <c:v>0</c:v>
                </c:pt>
                <c:pt idx="206">
                  <c:v>0</c:v>
                </c:pt>
                <c:pt idx="207">
                  <c:v>24963</c:v>
                </c:pt>
                <c:pt idx="208">
                  <c:v>0</c:v>
                </c:pt>
                <c:pt idx="209">
                  <c:v>19250</c:v>
                </c:pt>
                <c:pt idx="210">
                  <c:v>0</c:v>
                </c:pt>
                <c:pt idx="211">
                  <c:v>0</c:v>
                </c:pt>
                <c:pt idx="212">
                  <c:v>7941</c:v>
                </c:pt>
                <c:pt idx="213">
                  <c:v>0</c:v>
                </c:pt>
                <c:pt idx="214">
                  <c:v>7348</c:v>
                </c:pt>
                <c:pt idx="215">
                  <c:v>0</c:v>
                </c:pt>
                <c:pt idx="216">
                  <c:v>0</c:v>
                </c:pt>
                <c:pt idx="217">
                  <c:v>5604</c:v>
                </c:pt>
                <c:pt idx="218">
                  <c:v>0</c:v>
                </c:pt>
                <c:pt idx="219">
                  <c:v>3657</c:v>
                </c:pt>
                <c:pt idx="220">
                  <c:v>0</c:v>
                </c:pt>
                <c:pt idx="221">
                  <c:v>0</c:v>
                </c:pt>
                <c:pt idx="222">
                  <c:v>241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926</c:v>
                </c:pt>
                <c:pt idx="7">
                  <c:v>0</c:v>
                </c:pt>
                <c:pt idx="8">
                  <c:v>718</c:v>
                </c:pt>
                <c:pt idx="9">
                  <c:v>0</c:v>
                </c:pt>
                <c:pt idx="10">
                  <c:v>0</c:v>
                </c:pt>
                <c:pt idx="11">
                  <c:v>1128</c:v>
                </c:pt>
                <c:pt idx="12">
                  <c:v>0</c:v>
                </c:pt>
                <c:pt idx="13">
                  <c:v>1809</c:v>
                </c:pt>
                <c:pt idx="14">
                  <c:v>0</c:v>
                </c:pt>
                <c:pt idx="15">
                  <c:v>0</c:v>
                </c:pt>
                <c:pt idx="16">
                  <c:v>1024</c:v>
                </c:pt>
                <c:pt idx="17">
                  <c:v>0</c:v>
                </c:pt>
                <c:pt idx="18">
                  <c:v>0</c:v>
                </c:pt>
                <c:pt idx="19">
                  <c:v>1651</c:v>
                </c:pt>
                <c:pt idx="20">
                  <c:v>0</c:v>
                </c:pt>
                <c:pt idx="21">
                  <c:v>1868</c:v>
                </c:pt>
                <c:pt idx="22">
                  <c:v>0</c:v>
                </c:pt>
                <c:pt idx="23">
                  <c:v>0</c:v>
                </c:pt>
                <c:pt idx="24">
                  <c:v>2655</c:v>
                </c:pt>
                <c:pt idx="25">
                  <c:v>0</c:v>
                </c:pt>
                <c:pt idx="26">
                  <c:v>2674</c:v>
                </c:pt>
                <c:pt idx="27">
                  <c:v>0</c:v>
                </c:pt>
                <c:pt idx="28">
                  <c:v>0</c:v>
                </c:pt>
                <c:pt idx="29">
                  <c:v>3911</c:v>
                </c:pt>
                <c:pt idx="30">
                  <c:v>0</c:v>
                </c:pt>
                <c:pt idx="31">
                  <c:v>5957</c:v>
                </c:pt>
                <c:pt idx="32">
                  <c:v>0</c:v>
                </c:pt>
                <c:pt idx="33">
                  <c:v>0</c:v>
                </c:pt>
                <c:pt idx="34">
                  <c:v>10677</c:v>
                </c:pt>
                <c:pt idx="35">
                  <c:v>0</c:v>
                </c:pt>
                <c:pt idx="36">
                  <c:v>0</c:v>
                </c:pt>
                <c:pt idx="37">
                  <c:v>13237</c:v>
                </c:pt>
                <c:pt idx="38">
                  <c:v>0</c:v>
                </c:pt>
                <c:pt idx="39">
                  <c:v>18070</c:v>
                </c:pt>
                <c:pt idx="40">
                  <c:v>0</c:v>
                </c:pt>
                <c:pt idx="41">
                  <c:v>0</c:v>
                </c:pt>
                <c:pt idx="42">
                  <c:v>25202</c:v>
                </c:pt>
                <c:pt idx="43">
                  <c:v>0</c:v>
                </c:pt>
                <c:pt idx="44">
                  <c:v>31301</c:v>
                </c:pt>
                <c:pt idx="45">
                  <c:v>0</c:v>
                </c:pt>
                <c:pt idx="46">
                  <c:v>0</c:v>
                </c:pt>
                <c:pt idx="47">
                  <c:v>37474</c:v>
                </c:pt>
                <c:pt idx="48">
                  <c:v>0</c:v>
                </c:pt>
                <c:pt idx="49">
                  <c:v>41335</c:v>
                </c:pt>
                <c:pt idx="50">
                  <c:v>0</c:v>
                </c:pt>
                <c:pt idx="51">
                  <c:v>0</c:v>
                </c:pt>
                <c:pt idx="52">
                  <c:v>48307</c:v>
                </c:pt>
                <c:pt idx="53">
                  <c:v>0</c:v>
                </c:pt>
                <c:pt idx="54">
                  <c:v>0</c:v>
                </c:pt>
                <c:pt idx="55">
                  <c:v>52892</c:v>
                </c:pt>
                <c:pt idx="56">
                  <c:v>0</c:v>
                </c:pt>
                <c:pt idx="57">
                  <c:v>57938</c:v>
                </c:pt>
                <c:pt idx="58">
                  <c:v>0</c:v>
                </c:pt>
                <c:pt idx="59">
                  <c:v>0</c:v>
                </c:pt>
                <c:pt idx="60">
                  <c:v>61617</c:v>
                </c:pt>
                <c:pt idx="61">
                  <c:v>0</c:v>
                </c:pt>
                <c:pt idx="62">
                  <c:v>60009</c:v>
                </c:pt>
                <c:pt idx="63">
                  <c:v>0</c:v>
                </c:pt>
                <c:pt idx="64">
                  <c:v>0</c:v>
                </c:pt>
                <c:pt idx="65">
                  <c:v>58629</c:v>
                </c:pt>
                <c:pt idx="66">
                  <c:v>0</c:v>
                </c:pt>
                <c:pt idx="67">
                  <c:v>64986</c:v>
                </c:pt>
                <c:pt idx="68">
                  <c:v>0</c:v>
                </c:pt>
                <c:pt idx="69">
                  <c:v>0</c:v>
                </c:pt>
                <c:pt idx="70">
                  <c:v>69930</c:v>
                </c:pt>
                <c:pt idx="71">
                  <c:v>0</c:v>
                </c:pt>
                <c:pt idx="72">
                  <c:v>0</c:v>
                </c:pt>
                <c:pt idx="73">
                  <c:v>69970</c:v>
                </c:pt>
                <c:pt idx="74">
                  <c:v>0</c:v>
                </c:pt>
                <c:pt idx="75">
                  <c:v>74116</c:v>
                </c:pt>
                <c:pt idx="76">
                  <c:v>0</c:v>
                </c:pt>
                <c:pt idx="77">
                  <c:v>0</c:v>
                </c:pt>
                <c:pt idx="78">
                  <c:v>77881</c:v>
                </c:pt>
                <c:pt idx="79">
                  <c:v>0</c:v>
                </c:pt>
                <c:pt idx="80">
                  <c:v>79617</c:v>
                </c:pt>
                <c:pt idx="81">
                  <c:v>0</c:v>
                </c:pt>
                <c:pt idx="82">
                  <c:v>0</c:v>
                </c:pt>
                <c:pt idx="83">
                  <c:v>91612</c:v>
                </c:pt>
                <c:pt idx="84">
                  <c:v>0</c:v>
                </c:pt>
                <c:pt idx="85">
                  <c:v>0</c:v>
                </c:pt>
                <c:pt idx="86">
                  <c:v>89193</c:v>
                </c:pt>
                <c:pt idx="87">
                  <c:v>0</c:v>
                </c:pt>
                <c:pt idx="88">
                  <c:v>98613</c:v>
                </c:pt>
                <c:pt idx="89">
                  <c:v>0</c:v>
                </c:pt>
                <c:pt idx="90">
                  <c:v>0</c:v>
                </c:pt>
                <c:pt idx="91">
                  <c:v>101901</c:v>
                </c:pt>
                <c:pt idx="92">
                  <c:v>0</c:v>
                </c:pt>
                <c:pt idx="93">
                  <c:v>105249</c:v>
                </c:pt>
                <c:pt idx="94">
                  <c:v>0</c:v>
                </c:pt>
                <c:pt idx="95">
                  <c:v>0</c:v>
                </c:pt>
                <c:pt idx="96">
                  <c:v>115570</c:v>
                </c:pt>
                <c:pt idx="97">
                  <c:v>0</c:v>
                </c:pt>
                <c:pt idx="98">
                  <c:v>128237</c:v>
                </c:pt>
                <c:pt idx="99">
                  <c:v>0</c:v>
                </c:pt>
                <c:pt idx="100">
                  <c:v>0</c:v>
                </c:pt>
                <c:pt idx="101">
                  <c:v>126370</c:v>
                </c:pt>
                <c:pt idx="102">
                  <c:v>0</c:v>
                </c:pt>
                <c:pt idx="103">
                  <c:v>0</c:v>
                </c:pt>
                <c:pt idx="104">
                  <c:v>130625</c:v>
                </c:pt>
                <c:pt idx="105">
                  <c:v>0</c:v>
                </c:pt>
                <c:pt idx="106">
                  <c:v>134343</c:v>
                </c:pt>
                <c:pt idx="107">
                  <c:v>0</c:v>
                </c:pt>
                <c:pt idx="108">
                  <c:v>0</c:v>
                </c:pt>
                <c:pt idx="109">
                  <c:v>133132</c:v>
                </c:pt>
                <c:pt idx="110">
                  <c:v>0</c:v>
                </c:pt>
                <c:pt idx="111">
                  <c:v>136346</c:v>
                </c:pt>
                <c:pt idx="112">
                  <c:v>0</c:v>
                </c:pt>
                <c:pt idx="113">
                  <c:v>0</c:v>
                </c:pt>
                <c:pt idx="114">
                  <c:v>139084</c:v>
                </c:pt>
                <c:pt idx="115">
                  <c:v>0</c:v>
                </c:pt>
                <c:pt idx="116">
                  <c:v>141519</c:v>
                </c:pt>
                <c:pt idx="117">
                  <c:v>0</c:v>
                </c:pt>
                <c:pt idx="118">
                  <c:v>0</c:v>
                </c:pt>
                <c:pt idx="119">
                  <c:v>135598</c:v>
                </c:pt>
                <c:pt idx="120">
                  <c:v>0</c:v>
                </c:pt>
                <c:pt idx="121">
                  <c:v>0</c:v>
                </c:pt>
                <c:pt idx="122">
                  <c:v>136304</c:v>
                </c:pt>
                <c:pt idx="123">
                  <c:v>0</c:v>
                </c:pt>
                <c:pt idx="124">
                  <c:v>136230</c:v>
                </c:pt>
                <c:pt idx="125">
                  <c:v>0</c:v>
                </c:pt>
                <c:pt idx="126">
                  <c:v>0</c:v>
                </c:pt>
                <c:pt idx="127">
                  <c:v>146933</c:v>
                </c:pt>
                <c:pt idx="128">
                  <c:v>0</c:v>
                </c:pt>
                <c:pt idx="129">
                  <c:v>152279</c:v>
                </c:pt>
                <c:pt idx="130">
                  <c:v>0</c:v>
                </c:pt>
                <c:pt idx="131">
                  <c:v>0</c:v>
                </c:pt>
                <c:pt idx="132">
                  <c:v>145722</c:v>
                </c:pt>
                <c:pt idx="133">
                  <c:v>0</c:v>
                </c:pt>
                <c:pt idx="134">
                  <c:v>146224</c:v>
                </c:pt>
                <c:pt idx="135">
                  <c:v>0</c:v>
                </c:pt>
                <c:pt idx="136">
                  <c:v>0</c:v>
                </c:pt>
                <c:pt idx="137">
                  <c:v>144543</c:v>
                </c:pt>
                <c:pt idx="138">
                  <c:v>0</c:v>
                </c:pt>
                <c:pt idx="139">
                  <c:v>0</c:v>
                </c:pt>
                <c:pt idx="140">
                  <c:v>140762</c:v>
                </c:pt>
                <c:pt idx="141">
                  <c:v>0</c:v>
                </c:pt>
                <c:pt idx="142">
                  <c:v>120553</c:v>
                </c:pt>
                <c:pt idx="143">
                  <c:v>0</c:v>
                </c:pt>
                <c:pt idx="144">
                  <c:v>0</c:v>
                </c:pt>
                <c:pt idx="145">
                  <c:v>107004</c:v>
                </c:pt>
                <c:pt idx="146">
                  <c:v>0</c:v>
                </c:pt>
                <c:pt idx="147">
                  <c:v>94994</c:v>
                </c:pt>
                <c:pt idx="148">
                  <c:v>0</c:v>
                </c:pt>
                <c:pt idx="149">
                  <c:v>0</c:v>
                </c:pt>
                <c:pt idx="150">
                  <c:v>84542</c:v>
                </c:pt>
                <c:pt idx="151">
                  <c:v>0</c:v>
                </c:pt>
                <c:pt idx="152">
                  <c:v>74753</c:v>
                </c:pt>
                <c:pt idx="153">
                  <c:v>0</c:v>
                </c:pt>
                <c:pt idx="154">
                  <c:v>0</c:v>
                </c:pt>
                <c:pt idx="155">
                  <c:v>68139</c:v>
                </c:pt>
                <c:pt idx="156">
                  <c:v>0</c:v>
                </c:pt>
                <c:pt idx="157">
                  <c:v>0</c:v>
                </c:pt>
                <c:pt idx="158">
                  <c:v>61943</c:v>
                </c:pt>
                <c:pt idx="159">
                  <c:v>0</c:v>
                </c:pt>
                <c:pt idx="160">
                  <c:v>57126</c:v>
                </c:pt>
                <c:pt idx="161">
                  <c:v>0</c:v>
                </c:pt>
                <c:pt idx="162">
                  <c:v>0</c:v>
                </c:pt>
                <c:pt idx="163">
                  <c:v>47266</c:v>
                </c:pt>
                <c:pt idx="164">
                  <c:v>0</c:v>
                </c:pt>
                <c:pt idx="165">
                  <c:v>45103</c:v>
                </c:pt>
                <c:pt idx="166">
                  <c:v>0</c:v>
                </c:pt>
                <c:pt idx="167">
                  <c:v>0</c:v>
                </c:pt>
                <c:pt idx="168">
                  <c:v>34080</c:v>
                </c:pt>
                <c:pt idx="169">
                  <c:v>0</c:v>
                </c:pt>
                <c:pt idx="170">
                  <c:v>0</c:v>
                </c:pt>
                <c:pt idx="171">
                  <c:v>28056</c:v>
                </c:pt>
                <c:pt idx="172">
                  <c:v>0</c:v>
                </c:pt>
                <c:pt idx="173">
                  <c:v>20928</c:v>
                </c:pt>
                <c:pt idx="174">
                  <c:v>0</c:v>
                </c:pt>
                <c:pt idx="175">
                  <c:v>0</c:v>
                </c:pt>
                <c:pt idx="176">
                  <c:v>19873</c:v>
                </c:pt>
                <c:pt idx="177">
                  <c:v>0</c:v>
                </c:pt>
                <c:pt idx="178">
                  <c:v>16464</c:v>
                </c:pt>
                <c:pt idx="179">
                  <c:v>0</c:v>
                </c:pt>
                <c:pt idx="180">
                  <c:v>0</c:v>
                </c:pt>
                <c:pt idx="181">
                  <c:v>22105</c:v>
                </c:pt>
                <c:pt idx="182">
                  <c:v>0</c:v>
                </c:pt>
                <c:pt idx="183">
                  <c:v>16429</c:v>
                </c:pt>
                <c:pt idx="184">
                  <c:v>0</c:v>
                </c:pt>
                <c:pt idx="185">
                  <c:v>0</c:v>
                </c:pt>
                <c:pt idx="186">
                  <c:v>13456</c:v>
                </c:pt>
                <c:pt idx="187">
                  <c:v>0</c:v>
                </c:pt>
                <c:pt idx="188">
                  <c:v>0</c:v>
                </c:pt>
                <c:pt idx="189">
                  <c:v>15669</c:v>
                </c:pt>
                <c:pt idx="190">
                  <c:v>0</c:v>
                </c:pt>
                <c:pt idx="191">
                  <c:v>18368</c:v>
                </c:pt>
                <c:pt idx="192">
                  <c:v>0</c:v>
                </c:pt>
                <c:pt idx="193">
                  <c:v>0</c:v>
                </c:pt>
                <c:pt idx="194">
                  <c:v>19120</c:v>
                </c:pt>
                <c:pt idx="195">
                  <c:v>0</c:v>
                </c:pt>
                <c:pt idx="196">
                  <c:v>24273</c:v>
                </c:pt>
                <c:pt idx="197">
                  <c:v>0</c:v>
                </c:pt>
                <c:pt idx="198">
                  <c:v>0</c:v>
                </c:pt>
                <c:pt idx="199">
                  <c:v>23401</c:v>
                </c:pt>
                <c:pt idx="200">
                  <c:v>0</c:v>
                </c:pt>
                <c:pt idx="201">
                  <c:v>21217</c:v>
                </c:pt>
                <c:pt idx="202">
                  <c:v>0</c:v>
                </c:pt>
                <c:pt idx="203">
                  <c:v>0</c:v>
                </c:pt>
                <c:pt idx="204">
                  <c:v>22225</c:v>
                </c:pt>
                <c:pt idx="205">
                  <c:v>0</c:v>
                </c:pt>
                <c:pt idx="206">
                  <c:v>0</c:v>
                </c:pt>
                <c:pt idx="207">
                  <c:v>21457</c:v>
                </c:pt>
                <c:pt idx="208">
                  <c:v>0</c:v>
                </c:pt>
                <c:pt idx="209">
                  <c:v>17196</c:v>
                </c:pt>
                <c:pt idx="210">
                  <c:v>0</c:v>
                </c:pt>
                <c:pt idx="211">
                  <c:v>0</c:v>
                </c:pt>
                <c:pt idx="212">
                  <c:v>12658</c:v>
                </c:pt>
                <c:pt idx="213">
                  <c:v>0</c:v>
                </c:pt>
                <c:pt idx="214">
                  <c:v>9564</c:v>
                </c:pt>
                <c:pt idx="215">
                  <c:v>0</c:v>
                </c:pt>
                <c:pt idx="216">
                  <c:v>0</c:v>
                </c:pt>
                <c:pt idx="217">
                  <c:v>18142</c:v>
                </c:pt>
                <c:pt idx="218">
                  <c:v>0</c:v>
                </c:pt>
                <c:pt idx="219">
                  <c:v>17753</c:v>
                </c:pt>
                <c:pt idx="220">
                  <c:v>0</c:v>
                </c:pt>
                <c:pt idx="221">
                  <c:v>0</c:v>
                </c:pt>
                <c:pt idx="222">
                  <c:v>8789</c:v>
                </c:pt>
                <c:pt idx="223">
                  <c:v>0</c:v>
                </c:pt>
                <c:pt idx="224">
                  <c:v>0</c:v>
                </c:pt>
                <c:pt idx="225">
                  <c:v>6658</c:v>
                </c:pt>
                <c:pt idx="226">
                  <c:v>0</c:v>
                </c:pt>
                <c:pt idx="227">
                  <c:v>2730</c:v>
                </c:pt>
                <c:pt idx="228">
                  <c:v>0</c:v>
                </c:pt>
                <c:pt idx="229">
                  <c:v>0</c:v>
                </c:pt>
                <c:pt idx="230">
                  <c:v>517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0.16460840890818323</c:v>
                </c:pt>
                <c:pt idx="1">
                  <c:v>0.34270264552765112</c:v>
                </c:pt>
                <c:pt idx="2">
                  <c:v>0.49268894556416559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0.50499583749170396</c:v>
                </c:pt>
                <c:pt idx="1">
                  <c:v>0.29867114198373729</c:v>
                </c:pt>
                <c:pt idx="2">
                  <c:v>0.19633302052455881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3.6698750000000002</c:v>
                </c:pt>
                <c:pt idx="1">
                  <c:v>7.9913574999999994</c:v>
                </c:pt>
                <c:pt idx="2">
                  <c:v>22.454750000000001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  <c:pt idx="74">
                  <c:v>30.060600000000001</c:v>
                </c:pt>
                <c:pt idx="75">
                  <c:v>30.533300000000001</c:v>
                </c:pt>
                <c:pt idx="76">
                  <c:v>30.936599999999999</c:v>
                </c:pt>
                <c:pt idx="77">
                  <c:v>31.349299999999999</c:v>
                </c:pt>
                <c:pt idx="78">
                  <c:v>31.734200000000001</c:v>
                </c:pt>
                <c:pt idx="79">
                  <c:v>32.1419</c:v>
                </c:pt>
                <c:pt idx="80">
                  <c:v>32.547800000000002</c:v>
                </c:pt>
                <c:pt idx="81">
                  <c:v>32.957799999999999</c:v>
                </c:pt>
                <c:pt idx="82">
                  <c:v>33.364800000000002</c:v>
                </c:pt>
                <c:pt idx="83">
                  <c:v>33.766300000000001</c:v>
                </c:pt>
                <c:pt idx="84">
                  <c:v>34.171799999999998</c:v>
                </c:pt>
                <c:pt idx="85">
                  <c:v>34.583500000000001</c:v>
                </c:pt>
                <c:pt idx="86">
                  <c:v>34.988500000000002</c:v>
                </c:pt>
                <c:pt idx="87">
                  <c:v>35.393300000000004</c:v>
                </c:pt>
                <c:pt idx="88">
                  <c:v>35.801299999999998</c:v>
                </c:pt>
                <c:pt idx="89">
                  <c:v>36.201700000000002</c:v>
                </c:pt>
                <c:pt idx="90">
                  <c:v>36.615200000000002</c:v>
                </c:pt>
                <c:pt idx="91">
                  <c:v>37.0169</c:v>
                </c:pt>
                <c:pt idx="92">
                  <c:v>37.425899999999999</c:v>
                </c:pt>
                <c:pt idx="93">
                  <c:v>37.8324</c:v>
                </c:pt>
                <c:pt idx="94">
                  <c:v>38.237699999999997</c:v>
                </c:pt>
                <c:pt idx="95">
                  <c:v>38.642600000000002</c:v>
                </c:pt>
                <c:pt idx="96">
                  <c:v>39.047499999999999</c:v>
                </c:pt>
                <c:pt idx="97">
                  <c:v>39.455500000000001</c:v>
                </c:pt>
                <c:pt idx="98">
                  <c:v>39.864400000000003</c:v>
                </c:pt>
                <c:pt idx="99">
                  <c:v>40.267400000000002</c:v>
                </c:pt>
                <c:pt idx="100">
                  <c:v>40.676099999999998</c:v>
                </c:pt>
                <c:pt idx="101">
                  <c:v>41.079099999999997</c:v>
                </c:pt>
                <c:pt idx="102">
                  <c:v>41.485999999999997</c:v>
                </c:pt>
                <c:pt idx="103">
                  <c:v>41.893999999999998</c:v>
                </c:pt>
                <c:pt idx="104">
                  <c:v>42.295999999999999</c:v>
                </c:pt>
                <c:pt idx="105">
                  <c:v>42.703699999999998</c:v>
                </c:pt>
                <c:pt idx="106">
                  <c:v>43.108699999999999</c:v>
                </c:pt>
                <c:pt idx="107">
                  <c:v>43.512599999999999</c:v>
                </c:pt>
                <c:pt idx="108">
                  <c:v>43.923499999999997</c:v>
                </c:pt>
                <c:pt idx="109">
                  <c:v>44.332799999999999</c:v>
                </c:pt>
                <c:pt idx="110">
                  <c:v>44.733800000000002</c:v>
                </c:pt>
                <c:pt idx="111">
                  <c:v>45.1402</c:v>
                </c:pt>
                <c:pt idx="112">
                  <c:v>45.548499999999997</c:v>
                </c:pt>
                <c:pt idx="113">
                  <c:v>45.957099999999997</c:v>
                </c:pt>
                <c:pt idx="114">
                  <c:v>46.365200000000002</c:v>
                </c:pt>
                <c:pt idx="115">
                  <c:v>46.7669</c:v>
                </c:pt>
                <c:pt idx="116">
                  <c:v>47.172800000000002</c:v>
                </c:pt>
                <c:pt idx="117">
                  <c:v>47.581899999999997</c:v>
                </c:pt>
                <c:pt idx="118">
                  <c:v>47.985599999999998</c:v>
                </c:pt>
                <c:pt idx="119">
                  <c:v>48.3947</c:v>
                </c:pt>
                <c:pt idx="120">
                  <c:v>48.799500000000002</c:v>
                </c:pt>
                <c:pt idx="121">
                  <c:v>49.206600000000002</c:v>
                </c:pt>
                <c:pt idx="122">
                  <c:v>49.6113</c:v>
                </c:pt>
                <c:pt idx="123">
                  <c:v>50.014200000000002</c:v>
                </c:pt>
                <c:pt idx="124">
                  <c:v>50.425199999999997</c:v>
                </c:pt>
                <c:pt idx="125">
                  <c:v>50.828400000000002</c:v>
                </c:pt>
                <c:pt idx="126">
                  <c:v>51.234900000000003</c:v>
                </c:pt>
                <c:pt idx="127">
                  <c:v>51.643900000000002</c:v>
                </c:pt>
                <c:pt idx="128">
                  <c:v>52.047699999999999</c:v>
                </c:pt>
                <c:pt idx="129">
                  <c:v>52.453600000000002</c:v>
                </c:pt>
                <c:pt idx="130">
                  <c:v>52.859900000000003</c:v>
                </c:pt>
                <c:pt idx="131">
                  <c:v>53.264299999999999</c:v>
                </c:pt>
                <c:pt idx="132">
                  <c:v>53.670499999999997</c:v>
                </c:pt>
                <c:pt idx="133">
                  <c:v>54.080300000000001</c:v>
                </c:pt>
                <c:pt idx="134">
                  <c:v>54.487200000000001</c:v>
                </c:pt>
                <c:pt idx="135">
                  <c:v>54.895200000000003</c:v>
                </c:pt>
                <c:pt idx="136">
                  <c:v>55.302199999999999</c:v>
                </c:pt>
                <c:pt idx="137">
                  <c:v>55.709299999999999</c:v>
                </c:pt>
                <c:pt idx="138">
                  <c:v>56.113900000000001</c:v>
                </c:pt>
                <c:pt idx="139">
                  <c:v>56.517000000000003</c:v>
                </c:pt>
                <c:pt idx="140">
                  <c:v>56.9208</c:v>
                </c:pt>
                <c:pt idx="141">
                  <c:v>57.3307</c:v>
                </c:pt>
                <c:pt idx="142">
                  <c:v>57.736699999999999</c:v>
                </c:pt>
                <c:pt idx="143">
                  <c:v>58.139800000000001</c:v>
                </c:pt>
                <c:pt idx="144">
                  <c:v>58.554299999999998</c:v>
                </c:pt>
                <c:pt idx="145">
                  <c:v>58.957299999999996</c:v>
                </c:pt>
                <c:pt idx="146">
                  <c:v>59.362200000000001</c:v>
                </c:pt>
                <c:pt idx="147">
                  <c:v>59.769399999999997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  <c:pt idx="74">
                  <c:v>4.5586199999999995</c:v>
                </c:pt>
                <c:pt idx="75">
                  <c:v>4.54894</c:v>
                </c:pt>
                <c:pt idx="76">
                  <c:v>4.5416499999999997</c:v>
                </c:pt>
                <c:pt idx="77">
                  <c:v>4.5375700000000005</c:v>
                </c:pt>
                <c:pt idx="78">
                  <c:v>4.5363199999999999</c:v>
                </c:pt>
                <c:pt idx="79">
                  <c:v>4.5361000000000002</c:v>
                </c:pt>
                <c:pt idx="80">
                  <c:v>4.5366</c:v>
                </c:pt>
                <c:pt idx="81">
                  <c:v>4.5375100000000002</c:v>
                </c:pt>
                <c:pt idx="82">
                  <c:v>4.5408400000000002</c:v>
                </c:pt>
                <c:pt idx="83">
                  <c:v>4.5464799999999999</c:v>
                </c:pt>
                <c:pt idx="84">
                  <c:v>4.5501000000000005</c:v>
                </c:pt>
                <c:pt idx="85">
                  <c:v>4.5549499999999998</c:v>
                </c:pt>
                <c:pt idx="86">
                  <c:v>4.5584299999999995</c:v>
                </c:pt>
                <c:pt idx="87">
                  <c:v>4.5602499999999999</c:v>
                </c:pt>
                <c:pt idx="88">
                  <c:v>4.5615499999999995</c:v>
                </c:pt>
                <c:pt idx="89">
                  <c:v>4.5615699999999997</c:v>
                </c:pt>
                <c:pt idx="90">
                  <c:v>4.5623300000000002</c:v>
                </c:pt>
                <c:pt idx="91">
                  <c:v>4.5655800000000006</c:v>
                </c:pt>
                <c:pt idx="92">
                  <c:v>4.5694499999999998</c:v>
                </c:pt>
                <c:pt idx="93">
                  <c:v>4.5705299999999998</c:v>
                </c:pt>
                <c:pt idx="94">
                  <c:v>4.5700200000000004</c:v>
                </c:pt>
                <c:pt idx="95">
                  <c:v>4.5694800000000004</c:v>
                </c:pt>
                <c:pt idx="96">
                  <c:v>4.5684699999999996</c:v>
                </c:pt>
                <c:pt idx="97">
                  <c:v>4.5656999999999996</c:v>
                </c:pt>
                <c:pt idx="98">
                  <c:v>4.5611300000000004</c:v>
                </c:pt>
                <c:pt idx="99">
                  <c:v>4.5530999999999997</c:v>
                </c:pt>
                <c:pt idx="100">
                  <c:v>4.5430599999999997</c:v>
                </c:pt>
                <c:pt idx="101">
                  <c:v>4.5331599999999996</c:v>
                </c:pt>
                <c:pt idx="102">
                  <c:v>4.5219399999999998</c:v>
                </c:pt>
                <c:pt idx="103">
                  <c:v>4.5123199999999999</c:v>
                </c:pt>
                <c:pt idx="104">
                  <c:v>4.5006000000000004</c:v>
                </c:pt>
                <c:pt idx="105">
                  <c:v>4.4866099999999998</c:v>
                </c:pt>
                <c:pt idx="106">
                  <c:v>4.4727899999999998</c:v>
                </c:pt>
                <c:pt idx="107">
                  <c:v>4.4619799999999996</c:v>
                </c:pt>
                <c:pt idx="108">
                  <c:v>4.4521500000000005</c:v>
                </c:pt>
                <c:pt idx="109">
                  <c:v>4.4449199999999998</c:v>
                </c:pt>
                <c:pt idx="110">
                  <c:v>4.4394600000000004</c:v>
                </c:pt>
                <c:pt idx="111">
                  <c:v>4.4344599999999996</c:v>
                </c:pt>
                <c:pt idx="112">
                  <c:v>4.4356400000000002</c:v>
                </c:pt>
                <c:pt idx="113">
                  <c:v>4.4416399999999996</c:v>
                </c:pt>
                <c:pt idx="114">
                  <c:v>4.4501400000000002</c:v>
                </c:pt>
                <c:pt idx="115">
                  <c:v>4.4603199999999994</c:v>
                </c:pt>
                <c:pt idx="116">
                  <c:v>4.47065</c:v>
                </c:pt>
                <c:pt idx="117">
                  <c:v>4.4789500000000002</c:v>
                </c:pt>
                <c:pt idx="118">
                  <c:v>4.4862900000000003</c:v>
                </c:pt>
                <c:pt idx="119">
                  <c:v>4.4912200000000002</c:v>
                </c:pt>
                <c:pt idx="120">
                  <c:v>4.4958799999999997</c:v>
                </c:pt>
                <c:pt idx="121">
                  <c:v>4.5019799999999996</c:v>
                </c:pt>
                <c:pt idx="122">
                  <c:v>4.5097800000000001</c:v>
                </c:pt>
                <c:pt idx="123">
                  <c:v>4.5168799999999996</c:v>
                </c:pt>
                <c:pt idx="124">
                  <c:v>4.5241600000000002</c:v>
                </c:pt>
                <c:pt idx="125">
                  <c:v>4.5327999999999999</c:v>
                </c:pt>
                <c:pt idx="126">
                  <c:v>4.5406000000000004</c:v>
                </c:pt>
                <c:pt idx="127">
                  <c:v>4.5510099999999998</c:v>
                </c:pt>
                <c:pt idx="128">
                  <c:v>4.56128</c:v>
                </c:pt>
                <c:pt idx="129">
                  <c:v>4.5732099999999996</c:v>
                </c:pt>
                <c:pt idx="130">
                  <c:v>4.5871599999999999</c:v>
                </c:pt>
                <c:pt idx="131">
                  <c:v>4.6006999999999998</c:v>
                </c:pt>
                <c:pt idx="132">
                  <c:v>4.6110499999999996</c:v>
                </c:pt>
                <c:pt idx="133">
                  <c:v>4.6207099999999999</c:v>
                </c:pt>
                <c:pt idx="134">
                  <c:v>4.63232</c:v>
                </c:pt>
                <c:pt idx="135">
                  <c:v>4.6428199999999995</c:v>
                </c:pt>
                <c:pt idx="136">
                  <c:v>4.6583100000000002</c:v>
                </c:pt>
                <c:pt idx="137">
                  <c:v>4.6693499999999997</c:v>
                </c:pt>
                <c:pt idx="138">
                  <c:v>4.6755599999999999</c:v>
                </c:pt>
                <c:pt idx="139">
                  <c:v>4.6787799999999997</c:v>
                </c:pt>
                <c:pt idx="140">
                  <c:v>4.6746999999999996</c:v>
                </c:pt>
                <c:pt idx="141">
                  <c:v>4.6639900000000001</c:v>
                </c:pt>
                <c:pt idx="142">
                  <c:v>4.6512099999999998</c:v>
                </c:pt>
                <c:pt idx="143">
                  <c:v>4.6418999999999997</c:v>
                </c:pt>
                <c:pt idx="144">
                  <c:v>4.6372999999999998</c:v>
                </c:pt>
                <c:pt idx="145">
                  <c:v>4.6297199999999998</c:v>
                </c:pt>
                <c:pt idx="146">
                  <c:v>4.6177799999999998</c:v>
                </c:pt>
                <c:pt idx="147">
                  <c:v>4.6014900000000001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30.060600000000001</c:v>
                </c:pt>
                <c:pt idx="2">
                  <c:v>30.533300000000001</c:v>
                </c:pt>
                <c:pt idx="3">
                  <c:v>30.936599999999999</c:v>
                </c:pt>
                <c:pt idx="4">
                  <c:v>31.349299999999999</c:v>
                </c:pt>
                <c:pt idx="5">
                  <c:v>31.734200000000001</c:v>
                </c:pt>
                <c:pt idx="6">
                  <c:v>32.1419</c:v>
                </c:pt>
                <c:pt idx="7">
                  <c:v>32.547800000000002</c:v>
                </c:pt>
                <c:pt idx="8">
                  <c:v>32.957799999999999</c:v>
                </c:pt>
                <c:pt idx="9">
                  <c:v>33.364800000000002</c:v>
                </c:pt>
                <c:pt idx="10">
                  <c:v>33.766300000000001</c:v>
                </c:pt>
                <c:pt idx="11">
                  <c:v>34.171799999999998</c:v>
                </c:pt>
                <c:pt idx="12">
                  <c:v>34.583500000000001</c:v>
                </c:pt>
                <c:pt idx="13">
                  <c:v>34.988500000000002</c:v>
                </c:pt>
                <c:pt idx="14">
                  <c:v>35.393300000000004</c:v>
                </c:pt>
                <c:pt idx="15">
                  <c:v>35.801299999999998</c:v>
                </c:pt>
                <c:pt idx="16">
                  <c:v>36.201700000000002</c:v>
                </c:pt>
                <c:pt idx="17">
                  <c:v>36.615200000000002</c:v>
                </c:pt>
                <c:pt idx="18">
                  <c:v>37.0169</c:v>
                </c:pt>
                <c:pt idx="19">
                  <c:v>37.425899999999999</c:v>
                </c:pt>
                <c:pt idx="20">
                  <c:v>37.8324</c:v>
                </c:pt>
                <c:pt idx="21">
                  <c:v>38.237699999999997</c:v>
                </c:pt>
                <c:pt idx="22">
                  <c:v>38.642600000000002</c:v>
                </c:pt>
                <c:pt idx="23">
                  <c:v>39.047499999999999</c:v>
                </c:pt>
                <c:pt idx="24">
                  <c:v>39.455500000000001</c:v>
                </c:pt>
                <c:pt idx="25">
                  <c:v>39.864400000000003</c:v>
                </c:pt>
                <c:pt idx="26">
                  <c:v>40.267400000000002</c:v>
                </c:pt>
                <c:pt idx="27">
                  <c:v>40.676099999999998</c:v>
                </c:pt>
                <c:pt idx="28">
                  <c:v>41.079099999999997</c:v>
                </c:pt>
                <c:pt idx="29">
                  <c:v>41.485999999999997</c:v>
                </c:pt>
                <c:pt idx="30">
                  <c:v>41.893999999999998</c:v>
                </c:pt>
                <c:pt idx="31">
                  <c:v>42.295999999999999</c:v>
                </c:pt>
                <c:pt idx="32">
                  <c:v>42.703699999999998</c:v>
                </c:pt>
                <c:pt idx="33">
                  <c:v>43.108699999999999</c:v>
                </c:pt>
                <c:pt idx="34">
                  <c:v>43.512599999999999</c:v>
                </c:pt>
                <c:pt idx="35">
                  <c:v>43.923499999999997</c:v>
                </c:pt>
                <c:pt idx="36">
                  <c:v>44.332799999999999</c:v>
                </c:pt>
                <c:pt idx="37">
                  <c:v>44.733800000000002</c:v>
                </c:pt>
                <c:pt idx="38">
                  <c:v>45.1402</c:v>
                </c:pt>
                <c:pt idx="39">
                  <c:v>45.548499999999997</c:v>
                </c:pt>
                <c:pt idx="40">
                  <c:v>45.957099999999997</c:v>
                </c:pt>
                <c:pt idx="41">
                  <c:v>46.365200000000002</c:v>
                </c:pt>
                <c:pt idx="42">
                  <c:v>46.7669</c:v>
                </c:pt>
                <c:pt idx="43">
                  <c:v>47.172800000000002</c:v>
                </c:pt>
                <c:pt idx="44">
                  <c:v>47.581899999999997</c:v>
                </c:pt>
                <c:pt idx="45">
                  <c:v>47.985599999999998</c:v>
                </c:pt>
                <c:pt idx="46">
                  <c:v>48.3947</c:v>
                </c:pt>
                <c:pt idx="47">
                  <c:v>48.799500000000002</c:v>
                </c:pt>
                <c:pt idx="48">
                  <c:v>49.206600000000002</c:v>
                </c:pt>
                <c:pt idx="49">
                  <c:v>49.6113</c:v>
                </c:pt>
                <c:pt idx="50">
                  <c:v>50.014200000000002</c:v>
                </c:pt>
                <c:pt idx="51">
                  <c:v>50.425199999999997</c:v>
                </c:pt>
                <c:pt idx="52">
                  <c:v>50.828400000000002</c:v>
                </c:pt>
                <c:pt idx="53">
                  <c:v>51.234900000000003</c:v>
                </c:pt>
                <c:pt idx="54">
                  <c:v>51.643900000000002</c:v>
                </c:pt>
                <c:pt idx="55">
                  <c:v>52.047699999999999</c:v>
                </c:pt>
                <c:pt idx="56">
                  <c:v>52.453600000000002</c:v>
                </c:pt>
                <c:pt idx="57">
                  <c:v>52.859900000000003</c:v>
                </c:pt>
                <c:pt idx="58">
                  <c:v>53.264299999999999</c:v>
                </c:pt>
                <c:pt idx="59">
                  <c:v>53.670499999999997</c:v>
                </c:pt>
                <c:pt idx="60">
                  <c:v>54.080300000000001</c:v>
                </c:pt>
                <c:pt idx="61">
                  <c:v>54.487200000000001</c:v>
                </c:pt>
                <c:pt idx="62">
                  <c:v>54.895200000000003</c:v>
                </c:pt>
                <c:pt idx="63">
                  <c:v>55.302199999999999</c:v>
                </c:pt>
                <c:pt idx="64">
                  <c:v>55.709299999999999</c:v>
                </c:pt>
                <c:pt idx="65">
                  <c:v>56.113900000000001</c:v>
                </c:pt>
                <c:pt idx="66">
                  <c:v>56.517000000000003</c:v>
                </c:pt>
                <c:pt idx="67">
                  <c:v>56.9208</c:v>
                </c:pt>
                <c:pt idx="68">
                  <c:v>57.3307</c:v>
                </c:pt>
                <c:pt idx="69">
                  <c:v>57.736699999999999</c:v>
                </c:pt>
                <c:pt idx="70">
                  <c:v>58.139800000000001</c:v>
                </c:pt>
                <c:pt idx="71">
                  <c:v>58.554299999999998</c:v>
                </c:pt>
                <c:pt idx="72">
                  <c:v>58.957299999999996</c:v>
                </c:pt>
                <c:pt idx="73">
                  <c:v>59.362200000000001</c:v>
                </c:pt>
                <c:pt idx="74">
                  <c:v>59.769399999999997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4.5701000000000001</c:v>
                </c:pt>
                <c:pt idx="1">
                  <c:v>4.5586199999999995</c:v>
                </c:pt>
                <c:pt idx="2">
                  <c:v>4.54894</c:v>
                </c:pt>
                <c:pt idx="3">
                  <c:v>4.5416499999999997</c:v>
                </c:pt>
                <c:pt idx="4">
                  <c:v>4.5375700000000005</c:v>
                </c:pt>
                <c:pt idx="5">
                  <c:v>4.5363199999999999</c:v>
                </c:pt>
                <c:pt idx="6">
                  <c:v>4.5361000000000002</c:v>
                </c:pt>
                <c:pt idx="7">
                  <c:v>4.5366</c:v>
                </c:pt>
                <c:pt idx="8">
                  <c:v>4.5375100000000002</c:v>
                </c:pt>
                <c:pt idx="9">
                  <c:v>4.5408400000000002</c:v>
                </c:pt>
                <c:pt idx="10">
                  <c:v>4.5464799999999999</c:v>
                </c:pt>
                <c:pt idx="11">
                  <c:v>4.5501000000000005</c:v>
                </c:pt>
                <c:pt idx="12">
                  <c:v>4.5549499999999998</c:v>
                </c:pt>
                <c:pt idx="13">
                  <c:v>4.5584299999999995</c:v>
                </c:pt>
                <c:pt idx="14">
                  <c:v>4.5602499999999999</c:v>
                </c:pt>
                <c:pt idx="15">
                  <c:v>4.5615499999999995</c:v>
                </c:pt>
                <c:pt idx="16">
                  <c:v>4.5615699999999997</c:v>
                </c:pt>
                <c:pt idx="17">
                  <c:v>4.5623300000000002</c:v>
                </c:pt>
                <c:pt idx="18">
                  <c:v>4.5655800000000006</c:v>
                </c:pt>
                <c:pt idx="19">
                  <c:v>4.5694499999999998</c:v>
                </c:pt>
                <c:pt idx="20">
                  <c:v>4.5705299999999998</c:v>
                </c:pt>
                <c:pt idx="21">
                  <c:v>4.5700200000000004</c:v>
                </c:pt>
                <c:pt idx="22">
                  <c:v>4.5694800000000004</c:v>
                </c:pt>
                <c:pt idx="23">
                  <c:v>4.5684699999999996</c:v>
                </c:pt>
                <c:pt idx="24">
                  <c:v>4.5656999999999996</c:v>
                </c:pt>
                <c:pt idx="25">
                  <c:v>4.5611300000000004</c:v>
                </c:pt>
                <c:pt idx="26">
                  <c:v>4.5530999999999997</c:v>
                </c:pt>
                <c:pt idx="27">
                  <c:v>4.5430599999999997</c:v>
                </c:pt>
                <c:pt idx="28">
                  <c:v>4.5331599999999996</c:v>
                </c:pt>
                <c:pt idx="29">
                  <c:v>4.5219399999999998</c:v>
                </c:pt>
                <c:pt idx="30">
                  <c:v>4.5123199999999999</c:v>
                </c:pt>
                <c:pt idx="31">
                  <c:v>4.5006000000000004</c:v>
                </c:pt>
                <c:pt idx="32">
                  <c:v>4.4866099999999998</c:v>
                </c:pt>
                <c:pt idx="33">
                  <c:v>4.4727899999999998</c:v>
                </c:pt>
                <c:pt idx="34">
                  <c:v>4.4619799999999996</c:v>
                </c:pt>
                <c:pt idx="35">
                  <c:v>4.4521500000000005</c:v>
                </c:pt>
                <c:pt idx="36">
                  <c:v>4.4449199999999998</c:v>
                </c:pt>
                <c:pt idx="37">
                  <c:v>4.4394600000000004</c:v>
                </c:pt>
                <c:pt idx="38">
                  <c:v>4.4344599999999996</c:v>
                </c:pt>
                <c:pt idx="39">
                  <c:v>4.4356400000000002</c:v>
                </c:pt>
                <c:pt idx="40">
                  <c:v>4.4416399999999996</c:v>
                </c:pt>
                <c:pt idx="41">
                  <c:v>4.4501400000000002</c:v>
                </c:pt>
                <c:pt idx="42">
                  <c:v>4.4603199999999994</c:v>
                </c:pt>
                <c:pt idx="43">
                  <c:v>4.47065</c:v>
                </c:pt>
                <c:pt idx="44">
                  <c:v>4.4789500000000002</c:v>
                </c:pt>
                <c:pt idx="45">
                  <c:v>4.4862900000000003</c:v>
                </c:pt>
                <c:pt idx="46">
                  <c:v>4.4912200000000002</c:v>
                </c:pt>
                <c:pt idx="47">
                  <c:v>4.4958799999999997</c:v>
                </c:pt>
                <c:pt idx="48">
                  <c:v>4.5019799999999996</c:v>
                </c:pt>
                <c:pt idx="49">
                  <c:v>4.5097800000000001</c:v>
                </c:pt>
                <c:pt idx="50">
                  <c:v>4.5168799999999996</c:v>
                </c:pt>
                <c:pt idx="51">
                  <c:v>4.5241600000000002</c:v>
                </c:pt>
                <c:pt idx="52">
                  <c:v>4.5327999999999999</c:v>
                </c:pt>
                <c:pt idx="53">
                  <c:v>4.5406000000000004</c:v>
                </c:pt>
                <c:pt idx="54">
                  <c:v>4.5510099999999998</c:v>
                </c:pt>
                <c:pt idx="55">
                  <c:v>4.56128</c:v>
                </c:pt>
                <c:pt idx="56">
                  <c:v>4.5732099999999996</c:v>
                </c:pt>
                <c:pt idx="57">
                  <c:v>4.5871599999999999</c:v>
                </c:pt>
                <c:pt idx="58">
                  <c:v>4.6006999999999998</c:v>
                </c:pt>
                <c:pt idx="59">
                  <c:v>4.6110499999999996</c:v>
                </c:pt>
                <c:pt idx="60">
                  <c:v>4.6207099999999999</c:v>
                </c:pt>
                <c:pt idx="61">
                  <c:v>4.63232</c:v>
                </c:pt>
                <c:pt idx="62">
                  <c:v>4.6428199999999995</c:v>
                </c:pt>
                <c:pt idx="63">
                  <c:v>4.6583100000000002</c:v>
                </c:pt>
                <c:pt idx="64">
                  <c:v>4.6693499999999997</c:v>
                </c:pt>
                <c:pt idx="65">
                  <c:v>4.6755599999999999</c:v>
                </c:pt>
                <c:pt idx="66">
                  <c:v>4.6787799999999997</c:v>
                </c:pt>
                <c:pt idx="67">
                  <c:v>4.6746999999999996</c:v>
                </c:pt>
                <c:pt idx="68">
                  <c:v>4.6639900000000001</c:v>
                </c:pt>
                <c:pt idx="69">
                  <c:v>4.6512099999999998</c:v>
                </c:pt>
                <c:pt idx="70">
                  <c:v>4.6418999999999997</c:v>
                </c:pt>
                <c:pt idx="71">
                  <c:v>4.6372999999999998</c:v>
                </c:pt>
                <c:pt idx="72">
                  <c:v>4.6297199999999998</c:v>
                </c:pt>
                <c:pt idx="73">
                  <c:v>4.6177799999999998</c:v>
                </c:pt>
                <c:pt idx="74">
                  <c:v>4.6014900000000001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14.942349999999999</c:v>
                </c:pt>
                <c:pt idx="1">
                  <c:v>44.82705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4.7096321621621637</c:v>
                </c:pt>
                <c:pt idx="1">
                  <c:v>4.5505945945945934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  <c:pt idx="74">
                  <c:v>30.060600000000001</c:v>
                </c:pt>
                <c:pt idx="75">
                  <c:v>30.533300000000001</c:v>
                </c:pt>
                <c:pt idx="76">
                  <c:v>30.936599999999999</c:v>
                </c:pt>
                <c:pt idx="77">
                  <c:v>31.349299999999999</c:v>
                </c:pt>
                <c:pt idx="78">
                  <c:v>31.734200000000001</c:v>
                </c:pt>
                <c:pt idx="79">
                  <c:v>32.1419</c:v>
                </c:pt>
                <c:pt idx="80">
                  <c:v>32.547800000000002</c:v>
                </c:pt>
                <c:pt idx="81">
                  <c:v>32.957799999999999</c:v>
                </c:pt>
                <c:pt idx="82">
                  <c:v>33.364800000000002</c:v>
                </c:pt>
                <c:pt idx="83">
                  <c:v>33.766300000000001</c:v>
                </c:pt>
                <c:pt idx="84">
                  <c:v>34.171799999999998</c:v>
                </c:pt>
                <c:pt idx="85">
                  <c:v>34.583500000000001</c:v>
                </c:pt>
                <c:pt idx="86">
                  <c:v>34.988500000000002</c:v>
                </c:pt>
                <c:pt idx="87">
                  <c:v>35.393300000000004</c:v>
                </c:pt>
                <c:pt idx="88">
                  <c:v>35.801299999999998</c:v>
                </c:pt>
                <c:pt idx="89">
                  <c:v>36.201700000000002</c:v>
                </c:pt>
                <c:pt idx="90">
                  <c:v>36.615200000000002</c:v>
                </c:pt>
                <c:pt idx="91">
                  <c:v>37.0169</c:v>
                </c:pt>
                <c:pt idx="92">
                  <c:v>37.425899999999999</c:v>
                </c:pt>
                <c:pt idx="93">
                  <c:v>37.8324</c:v>
                </c:pt>
                <c:pt idx="94">
                  <c:v>38.237699999999997</c:v>
                </c:pt>
                <c:pt idx="95">
                  <c:v>38.642600000000002</c:v>
                </c:pt>
                <c:pt idx="96">
                  <c:v>39.047499999999999</c:v>
                </c:pt>
                <c:pt idx="97">
                  <c:v>39.455500000000001</c:v>
                </c:pt>
                <c:pt idx="98">
                  <c:v>39.864400000000003</c:v>
                </c:pt>
                <c:pt idx="99">
                  <c:v>40.267400000000002</c:v>
                </c:pt>
                <c:pt idx="100">
                  <c:v>40.676099999999998</c:v>
                </c:pt>
                <c:pt idx="101">
                  <c:v>41.079099999999997</c:v>
                </c:pt>
                <c:pt idx="102">
                  <c:v>41.485999999999997</c:v>
                </c:pt>
                <c:pt idx="103">
                  <c:v>41.893999999999998</c:v>
                </c:pt>
                <c:pt idx="104">
                  <c:v>42.295999999999999</c:v>
                </c:pt>
                <c:pt idx="105">
                  <c:v>42.703699999999998</c:v>
                </c:pt>
                <c:pt idx="106">
                  <c:v>43.108699999999999</c:v>
                </c:pt>
                <c:pt idx="107">
                  <c:v>43.512599999999999</c:v>
                </c:pt>
                <c:pt idx="108">
                  <c:v>43.923499999999997</c:v>
                </c:pt>
                <c:pt idx="109">
                  <c:v>44.332799999999999</c:v>
                </c:pt>
                <c:pt idx="110">
                  <c:v>44.733800000000002</c:v>
                </c:pt>
                <c:pt idx="111">
                  <c:v>45.1402</c:v>
                </c:pt>
                <c:pt idx="112">
                  <c:v>45.548499999999997</c:v>
                </c:pt>
                <c:pt idx="113">
                  <c:v>45.957099999999997</c:v>
                </c:pt>
                <c:pt idx="114">
                  <c:v>46.365200000000002</c:v>
                </c:pt>
                <c:pt idx="115">
                  <c:v>46.7669</c:v>
                </c:pt>
                <c:pt idx="116">
                  <c:v>47.172800000000002</c:v>
                </c:pt>
                <c:pt idx="117">
                  <c:v>47.581899999999997</c:v>
                </c:pt>
                <c:pt idx="118">
                  <c:v>47.985599999999998</c:v>
                </c:pt>
                <c:pt idx="119">
                  <c:v>48.3947</c:v>
                </c:pt>
                <c:pt idx="120">
                  <c:v>48.799500000000002</c:v>
                </c:pt>
                <c:pt idx="121">
                  <c:v>49.206600000000002</c:v>
                </c:pt>
                <c:pt idx="122">
                  <c:v>49.6113</c:v>
                </c:pt>
                <c:pt idx="123">
                  <c:v>50.014200000000002</c:v>
                </c:pt>
                <c:pt idx="124">
                  <c:v>50.425199999999997</c:v>
                </c:pt>
                <c:pt idx="125">
                  <c:v>50.828400000000002</c:v>
                </c:pt>
                <c:pt idx="126">
                  <c:v>51.234900000000003</c:v>
                </c:pt>
                <c:pt idx="127">
                  <c:v>51.643900000000002</c:v>
                </c:pt>
                <c:pt idx="128">
                  <c:v>52.047699999999999</c:v>
                </c:pt>
                <c:pt idx="129">
                  <c:v>52.453600000000002</c:v>
                </c:pt>
                <c:pt idx="130">
                  <c:v>52.859900000000003</c:v>
                </c:pt>
                <c:pt idx="131">
                  <c:v>53.264299999999999</c:v>
                </c:pt>
                <c:pt idx="132">
                  <c:v>53.670499999999997</c:v>
                </c:pt>
                <c:pt idx="133">
                  <c:v>54.080300000000001</c:v>
                </c:pt>
                <c:pt idx="134">
                  <c:v>54.487200000000001</c:v>
                </c:pt>
                <c:pt idx="135">
                  <c:v>54.895200000000003</c:v>
                </c:pt>
                <c:pt idx="136">
                  <c:v>55.302199999999999</c:v>
                </c:pt>
                <c:pt idx="137">
                  <c:v>55.709299999999999</c:v>
                </c:pt>
                <c:pt idx="138">
                  <c:v>56.113900000000001</c:v>
                </c:pt>
                <c:pt idx="139">
                  <c:v>56.517000000000003</c:v>
                </c:pt>
                <c:pt idx="140">
                  <c:v>56.9208</c:v>
                </c:pt>
                <c:pt idx="141">
                  <c:v>57.3307</c:v>
                </c:pt>
                <c:pt idx="142">
                  <c:v>57.736699999999999</c:v>
                </c:pt>
                <c:pt idx="143">
                  <c:v>58.139800000000001</c:v>
                </c:pt>
                <c:pt idx="144">
                  <c:v>58.554299999999998</c:v>
                </c:pt>
                <c:pt idx="145">
                  <c:v>58.957299999999996</c:v>
                </c:pt>
                <c:pt idx="146">
                  <c:v>59.362200000000001</c:v>
                </c:pt>
                <c:pt idx="147">
                  <c:v>59.769399999999997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  <c:pt idx="74">
                  <c:v>25.194299999999998</c:v>
                </c:pt>
                <c:pt idx="75">
                  <c:v>25.2363</c:v>
                </c:pt>
                <c:pt idx="76">
                  <c:v>25.212400000000002</c:v>
                </c:pt>
                <c:pt idx="77">
                  <c:v>25.243700000000004</c:v>
                </c:pt>
                <c:pt idx="78">
                  <c:v>25.3583</c:v>
                </c:pt>
                <c:pt idx="79">
                  <c:v>25.483299999999996</c:v>
                </c:pt>
                <c:pt idx="80">
                  <c:v>25.646999999999998</c:v>
                </c:pt>
                <c:pt idx="81">
                  <c:v>25.820700000000002</c:v>
                </c:pt>
                <c:pt idx="82">
                  <c:v>25.968299999999999</c:v>
                </c:pt>
                <c:pt idx="83">
                  <c:v>26.0639</c:v>
                </c:pt>
                <c:pt idx="84">
                  <c:v>26.120100000000001</c:v>
                </c:pt>
                <c:pt idx="85">
                  <c:v>26.1309</c:v>
                </c:pt>
                <c:pt idx="86">
                  <c:v>26.115100000000002</c:v>
                </c:pt>
                <c:pt idx="87">
                  <c:v>25.9892</c:v>
                </c:pt>
                <c:pt idx="88">
                  <c:v>25.8125</c:v>
                </c:pt>
                <c:pt idx="89">
                  <c:v>25.597999999999999</c:v>
                </c:pt>
                <c:pt idx="90">
                  <c:v>25.316400000000002</c:v>
                </c:pt>
                <c:pt idx="91">
                  <c:v>25.030400000000004</c:v>
                </c:pt>
                <c:pt idx="92">
                  <c:v>24.728999999999999</c:v>
                </c:pt>
                <c:pt idx="93">
                  <c:v>24.473200000000002</c:v>
                </c:pt>
                <c:pt idx="94">
                  <c:v>24.268799999999999</c:v>
                </c:pt>
                <c:pt idx="95">
                  <c:v>24.027799999999999</c:v>
                </c:pt>
                <c:pt idx="96">
                  <c:v>23.7438</c:v>
                </c:pt>
                <c:pt idx="97">
                  <c:v>23.459199999999999</c:v>
                </c:pt>
                <c:pt idx="98">
                  <c:v>23.2486</c:v>
                </c:pt>
                <c:pt idx="99">
                  <c:v>23.063099999999999</c:v>
                </c:pt>
                <c:pt idx="100">
                  <c:v>22.921900000000001</c:v>
                </c:pt>
                <c:pt idx="101">
                  <c:v>22.857700000000001</c:v>
                </c:pt>
                <c:pt idx="102">
                  <c:v>22.8187</c:v>
                </c:pt>
                <c:pt idx="103">
                  <c:v>22.818999999999999</c:v>
                </c:pt>
                <c:pt idx="104">
                  <c:v>22.8416</c:v>
                </c:pt>
                <c:pt idx="105">
                  <c:v>22.9162</c:v>
                </c:pt>
                <c:pt idx="106">
                  <c:v>23.014000000000003</c:v>
                </c:pt>
                <c:pt idx="107">
                  <c:v>23.130400000000002</c:v>
                </c:pt>
                <c:pt idx="108">
                  <c:v>23.295500000000001</c:v>
                </c:pt>
                <c:pt idx="109">
                  <c:v>23.479900000000001</c:v>
                </c:pt>
                <c:pt idx="110">
                  <c:v>23.694399999999998</c:v>
                </c:pt>
                <c:pt idx="111">
                  <c:v>23.9008</c:v>
                </c:pt>
                <c:pt idx="112">
                  <c:v>24.077500000000001</c:v>
                </c:pt>
                <c:pt idx="113">
                  <c:v>24.265999999999998</c:v>
                </c:pt>
                <c:pt idx="114">
                  <c:v>24.439299999999999</c:v>
                </c:pt>
                <c:pt idx="115">
                  <c:v>24.6539</c:v>
                </c:pt>
                <c:pt idx="116">
                  <c:v>24.8687</c:v>
                </c:pt>
                <c:pt idx="117">
                  <c:v>25.080999999999996</c:v>
                </c:pt>
                <c:pt idx="118">
                  <c:v>25.199300000000001</c:v>
                </c:pt>
                <c:pt idx="119">
                  <c:v>25.345499999999998</c:v>
                </c:pt>
                <c:pt idx="120">
                  <c:v>25.555</c:v>
                </c:pt>
                <c:pt idx="121">
                  <c:v>25.769799999999996</c:v>
                </c:pt>
                <c:pt idx="122">
                  <c:v>26.005499999999998</c:v>
                </c:pt>
                <c:pt idx="123">
                  <c:v>26.214599999999997</c:v>
                </c:pt>
                <c:pt idx="124">
                  <c:v>26.391300000000001</c:v>
                </c:pt>
                <c:pt idx="125">
                  <c:v>26.528400000000001</c:v>
                </c:pt>
                <c:pt idx="126">
                  <c:v>26.607799999999997</c:v>
                </c:pt>
                <c:pt idx="127">
                  <c:v>26.663500000000003</c:v>
                </c:pt>
                <c:pt idx="128">
                  <c:v>26.6922</c:v>
                </c:pt>
                <c:pt idx="129">
                  <c:v>26.711500000000001</c:v>
                </c:pt>
                <c:pt idx="130">
                  <c:v>26.704000000000001</c:v>
                </c:pt>
                <c:pt idx="131">
                  <c:v>26.658300000000001</c:v>
                </c:pt>
                <c:pt idx="132">
                  <c:v>26.566099999999999</c:v>
                </c:pt>
                <c:pt idx="133">
                  <c:v>26.4208</c:v>
                </c:pt>
                <c:pt idx="134">
                  <c:v>26.241399999999999</c:v>
                </c:pt>
                <c:pt idx="135">
                  <c:v>26.046200000000002</c:v>
                </c:pt>
                <c:pt idx="136">
                  <c:v>25.908199999999997</c:v>
                </c:pt>
                <c:pt idx="137">
                  <c:v>25.828499999999998</c:v>
                </c:pt>
                <c:pt idx="138">
                  <c:v>25.7486</c:v>
                </c:pt>
                <c:pt idx="139">
                  <c:v>25.693999999999999</c:v>
                </c:pt>
                <c:pt idx="140">
                  <c:v>25.624200000000002</c:v>
                </c:pt>
                <c:pt idx="141">
                  <c:v>25.542999999999999</c:v>
                </c:pt>
                <c:pt idx="142">
                  <c:v>25.571999999999999</c:v>
                </c:pt>
                <c:pt idx="143">
                  <c:v>25.8612</c:v>
                </c:pt>
                <c:pt idx="144">
                  <c:v>25.8811</c:v>
                </c:pt>
                <c:pt idx="145">
                  <c:v>25.901999999999997</c:v>
                </c:pt>
                <c:pt idx="146">
                  <c:v>26.011400000000002</c:v>
                </c:pt>
                <c:pt idx="147">
                  <c:v>25.7544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0.40809699999999999</c:v>
                </c:pt>
                <c:pt idx="2">
                  <c:v>0.81670299999999996</c:v>
                </c:pt>
                <c:pt idx="3">
                  <c:v>1.2225699999999999</c:v>
                </c:pt>
                <c:pt idx="4">
                  <c:v>1.62751</c:v>
                </c:pt>
                <c:pt idx="5">
                  <c:v>2.0304700000000002</c:v>
                </c:pt>
                <c:pt idx="6">
                  <c:v>2.4384800000000002</c:v>
                </c:pt>
                <c:pt idx="7">
                  <c:v>2.8473099999999998</c:v>
                </c:pt>
                <c:pt idx="8">
                  <c:v>3.2522000000000002</c:v>
                </c:pt>
                <c:pt idx="9">
                  <c:v>3.6581899999999998</c:v>
                </c:pt>
                <c:pt idx="10">
                  <c:v>4.0670900000000003</c:v>
                </c:pt>
                <c:pt idx="11">
                  <c:v>4.4699099999999996</c:v>
                </c:pt>
                <c:pt idx="12">
                  <c:v>4.87399</c:v>
                </c:pt>
                <c:pt idx="13">
                  <c:v>5.2848100000000002</c:v>
                </c:pt>
                <c:pt idx="14">
                  <c:v>5.6907500000000004</c:v>
                </c:pt>
                <c:pt idx="15">
                  <c:v>6.0913899999999996</c:v>
                </c:pt>
                <c:pt idx="16">
                  <c:v>6.4973400000000003</c:v>
                </c:pt>
                <c:pt idx="17">
                  <c:v>6.9093900000000001</c:v>
                </c:pt>
                <c:pt idx="18">
                  <c:v>7.3185200000000004</c:v>
                </c:pt>
                <c:pt idx="19">
                  <c:v>7.7262599999999999</c:v>
                </c:pt>
                <c:pt idx="20">
                  <c:v>8.1332500000000003</c:v>
                </c:pt>
                <c:pt idx="21">
                  <c:v>8.5310799999999993</c:v>
                </c:pt>
                <c:pt idx="22">
                  <c:v>8.9371399999999994</c:v>
                </c:pt>
                <c:pt idx="23">
                  <c:v>9.3479799999999997</c:v>
                </c:pt>
                <c:pt idx="24">
                  <c:v>9.7498699999999996</c:v>
                </c:pt>
                <c:pt idx="25">
                  <c:v>10.161799999999999</c:v>
                </c:pt>
                <c:pt idx="26">
                  <c:v>10.5688</c:v>
                </c:pt>
                <c:pt idx="27">
                  <c:v>10.9694</c:v>
                </c:pt>
                <c:pt idx="28">
                  <c:v>11.3765</c:v>
                </c:pt>
                <c:pt idx="29">
                  <c:v>11.785500000000001</c:v>
                </c:pt>
                <c:pt idx="30">
                  <c:v>12.186500000000001</c:v>
                </c:pt>
                <c:pt idx="31">
                  <c:v>12.597200000000001</c:v>
                </c:pt>
                <c:pt idx="32">
                  <c:v>13.0031</c:v>
                </c:pt>
                <c:pt idx="33">
                  <c:v>13.4071</c:v>
                </c:pt>
                <c:pt idx="34">
                  <c:v>13.811199999999999</c:v>
                </c:pt>
                <c:pt idx="35">
                  <c:v>14.217000000000001</c:v>
                </c:pt>
                <c:pt idx="36">
                  <c:v>14.627800000000001</c:v>
                </c:pt>
                <c:pt idx="37">
                  <c:v>15.034700000000001</c:v>
                </c:pt>
                <c:pt idx="38">
                  <c:v>15.4407</c:v>
                </c:pt>
                <c:pt idx="39">
                  <c:v>15.846500000000001</c:v>
                </c:pt>
                <c:pt idx="40">
                  <c:v>16.250699999999998</c:v>
                </c:pt>
                <c:pt idx="41">
                  <c:v>16.654499999999999</c:v>
                </c:pt>
                <c:pt idx="42">
                  <c:v>17.061399999999999</c:v>
                </c:pt>
                <c:pt idx="43">
                  <c:v>17.470199999999998</c:v>
                </c:pt>
                <c:pt idx="44">
                  <c:v>17.8751</c:v>
                </c:pt>
                <c:pt idx="45">
                  <c:v>18.2804</c:v>
                </c:pt>
                <c:pt idx="46">
                  <c:v>18.690899999999999</c:v>
                </c:pt>
                <c:pt idx="47">
                  <c:v>19.096</c:v>
                </c:pt>
                <c:pt idx="48">
                  <c:v>19.504799999999999</c:v>
                </c:pt>
                <c:pt idx="49">
                  <c:v>19.906600000000001</c:v>
                </c:pt>
                <c:pt idx="50">
                  <c:v>20.312899999999999</c:v>
                </c:pt>
                <c:pt idx="51">
                  <c:v>20.720500000000001</c:v>
                </c:pt>
                <c:pt idx="52">
                  <c:v>21.125499999999999</c:v>
                </c:pt>
                <c:pt idx="53">
                  <c:v>21.534300000000002</c:v>
                </c:pt>
                <c:pt idx="54">
                  <c:v>21.941199999999998</c:v>
                </c:pt>
                <c:pt idx="55">
                  <c:v>22.348299999999998</c:v>
                </c:pt>
                <c:pt idx="56">
                  <c:v>22.752099999999999</c:v>
                </c:pt>
                <c:pt idx="57">
                  <c:v>23.158899999999999</c:v>
                </c:pt>
                <c:pt idx="58">
                  <c:v>23.5623</c:v>
                </c:pt>
                <c:pt idx="59">
                  <c:v>23.966899999999999</c:v>
                </c:pt>
                <c:pt idx="60">
                  <c:v>24.378799999999998</c:v>
                </c:pt>
                <c:pt idx="61">
                  <c:v>24.7806</c:v>
                </c:pt>
                <c:pt idx="62">
                  <c:v>25.185600000000001</c:v>
                </c:pt>
                <c:pt idx="63">
                  <c:v>25.592700000000001</c:v>
                </c:pt>
                <c:pt idx="64">
                  <c:v>26.005400000000002</c:v>
                </c:pt>
                <c:pt idx="65">
                  <c:v>26.410299999999999</c:v>
                </c:pt>
                <c:pt idx="66">
                  <c:v>26.816199999999998</c:v>
                </c:pt>
                <c:pt idx="67">
                  <c:v>27.2182</c:v>
                </c:pt>
                <c:pt idx="68">
                  <c:v>27.623000000000001</c:v>
                </c:pt>
                <c:pt idx="69">
                  <c:v>28.030999999999999</c:v>
                </c:pt>
                <c:pt idx="70">
                  <c:v>28.437000000000001</c:v>
                </c:pt>
                <c:pt idx="71">
                  <c:v>28.844899999999999</c:v>
                </c:pt>
                <c:pt idx="72">
                  <c:v>29.253599999999999</c:v>
                </c:pt>
                <c:pt idx="73">
                  <c:v>29.657699999999998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29.657699999999998</c:v>
                </c:pt>
                <c:pt idx="1">
                  <c:v>30.060600000000001</c:v>
                </c:pt>
                <c:pt idx="2">
                  <c:v>30.533300000000001</c:v>
                </c:pt>
                <c:pt idx="3">
                  <c:v>30.936599999999999</c:v>
                </c:pt>
                <c:pt idx="4">
                  <c:v>31.349299999999999</c:v>
                </c:pt>
                <c:pt idx="5">
                  <c:v>31.734200000000001</c:v>
                </c:pt>
                <c:pt idx="6">
                  <c:v>32.1419</c:v>
                </c:pt>
                <c:pt idx="7">
                  <c:v>32.547800000000002</c:v>
                </c:pt>
                <c:pt idx="8">
                  <c:v>32.957799999999999</c:v>
                </c:pt>
                <c:pt idx="9">
                  <c:v>33.364800000000002</c:v>
                </c:pt>
                <c:pt idx="10">
                  <c:v>33.766300000000001</c:v>
                </c:pt>
                <c:pt idx="11">
                  <c:v>34.171799999999998</c:v>
                </c:pt>
                <c:pt idx="12">
                  <c:v>34.583500000000001</c:v>
                </c:pt>
                <c:pt idx="13">
                  <c:v>34.988500000000002</c:v>
                </c:pt>
                <c:pt idx="14">
                  <c:v>35.393300000000004</c:v>
                </c:pt>
                <c:pt idx="15">
                  <c:v>35.801299999999998</c:v>
                </c:pt>
                <c:pt idx="16">
                  <c:v>36.201700000000002</c:v>
                </c:pt>
                <c:pt idx="17">
                  <c:v>36.615200000000002</c:v>
                </c:pt>
                <c:pt idx="18">
                  <c:v>37.0169</c:v>
                </c:pt>
                <c:pt idx="19">
                  <c:v>37.425899999999999</c:v>
                </c:pt>
                <c:pt idx="20">
                  <c:v>37.8324</c:v>
                </c:pt>
                <c:pt idx="21">
                  <c:v>38.237699999999997</c:v>
                </c:pt>
                <c:pt idx="22">
                  <c:v>38.642600000000002</c:v>
                </c:pt>
                <c:pt idx="23">
                  <c:v>39.047499999999999</c:v>
                </c:pt>
                <c:pt idx="24">
                  <c:v>39.455500000000001</c:v>
                </c:pt>
                <c:pt idx="25">
                  <c:v>39.864400000000003</c:v>
                </c:pt>
                <c:pt idx="26">
                  <c:v>40.267400000000002</c:v>
                </c:pt>
                <c:pt idx="27">
                  <c:v>40.676099999999998</c:v>
                </c:pt>
                <c:pt idx="28">
                  <c:v>41.079099999999997</c:v>
                </c:pt>
                <c:pt idx="29">
                  <c:v>41.485999999999997</c:v>
                </c:pt>
                <c:pt idx="30">
                  <c:v>41.893999999999998</c:v>
                </c:pt>
                <c:pt idx="31">
                  <c:v>42.295999999999999</c:v>
                </c:pt>
                <c:pt idx="32">
                  <c:v>42.703699999999998</c:v>
                </c:pt>
                <c:pt idx="33">
                  <c:v>43.108699999999999</c:v>
                </c:pt>
                <c:pt idx="34">
                  <c:v>43.512599999999999</c:v>
                </c:pt>
                <c:pt idx="35">
                  <c:v>43.923499999999997</c:v>
                </c:pt>
                <c:pt idx="36">
                  <c:v>44.332799999999999</c:v>
                </c:pt>
                <c:pt idx="37">
                  <c:v>44.733800000000002</c:v>
                </c:pt>
                <c:pt idx="38">
                  <c:v>45.1402</c:v>
                </c:pt>
                <c:pt idx="39">
                  <c:v>45.548499999999997</c:v>
                </c:pt>
                <c:pt idx="40">
                  <c:v>45.957099999999997</c:v>
                </c:pt>
                <c:pt idx="41">
                  <c:v>46.365200000000002</c:v>
                </c:pt>
                <c:pt idx="42">
                  <c:v>46.7669</c:v>
                </c:pt>
                <c:pt idx="43">
                  <c:v>47.172800000000002</c:v>
                </c:pt>
                <c:pt idx="44">
                  <c:v>47.581899999999997</c:v>
                </c:pt>
                <c:pt idx="45">
                  <c:v>47.985599999999998</c:v>
                </c:pt>
                <c:pt idx="46">
                  <c:v>48.3947</c:v>
                </c:pt>
                <c:pt idx="47">
                  <c:v>48.799500000000002</c:v>
                </c:pt>
                <c:pt idx="48">
                  <c:v>49.206600000000002</c:v>
                </c:pt>
                <c:pt idx="49">
                  <c:v>49.6113</c:v>
                </c:pt>
                <c:pt idx="50">
                  <c:v>50.014200000000002</c:v>
                </c:pt>
                <c:pt idx="51">
                  <c:v>50.425199999999997</c:v>
                </c:pt>
                <c:pt idx="52">
                  <c:v>50.828400000000002</c:v>
                </c:pt>
                <c:pt idx="53">
                  <c:v>51.234900000000003</c:v>
                </c:pt>
                <c:pt idx="54">
                  <c:v>51.643900000000002</c:v>
                </c:pt>
                <c:pt idx="55">
                  <c:v>52.047699999999999</c:v>
                </c:pt>
                <c:pt idx="56">
                  <c:v>52.453600000000002</c:v>
                </c:pt>
                <c:pt idx="57">
                  <c:v>52.859900000000003</c:v>
                </c:pt>
                <c:pt idx="58">
                  <c:v>53.264299999999999</c:v>
                </c:pt>
                <c:pt idx="59">
                  <c:v>53.670499999999997</c:v>
                </c:pt>
                <c:pt idx="60">
                  <c:v>54.080300000000001</c:v>
                </c:pt>
                <c:pt idx="61">
                  <c:v>54.487200000000001</c:v>
                </c:pt>
                <c:pt idx="62">
                  <c:v>54.895200000000003</c:v>
                </c:pt>
                <c:pt idx="63">
                  <c:v>55.302199999999999</c:v>
                </c:pt>
                <c:pt idx="64">
                  <c:v>55.709299999999999</c:v>
                </c:pt>
                <c:pt idx="65">
                  <c:v>56.113900000000001</c:v>
                </c:pt>
                <c:pt idx="66">
                  <c:v>56.517000000000003</c:v>
                </c:pt>
                <c:pt idx="67">
                  <c:v>56.9208</c:v>
                </c:pt>
                <c:pt idx="68">
                  <c:v>57.3307</c:v>
                </c:pt>
                <c:pt idx="69">
                  <c:v>57.736699999999999</c:v>
                </c:pt>
                <c:pt idx="70">
                  <c:v>58.139800000000001</c:v>
                </c:pt>
                <c:pt idx="71">
                  <c:v>58.554299999999998</c:v>
                </c:pt>
                <c:pt idx="72">
                  <c:v>58.957299999999996</c:v>
                </c:pt>
                <c:pt idx="73">
                  <c:v>59.362200000000001</c:v>
                </c:pt>
                <c:pt idx="74">
                  <c:v>59.769399999999997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25.228499999999997</c:v>
                </c:pt>
                <c:pt idx="1">
                  <c:v>25.194299999999998</c:v>
                </c:pt>
                <c:pt idx="2">
                  <c:v>25.2363</c:v>
                </c:pt>
                <c:pt idx="3">
                  <c:v>25.212400000000002</c:v>
                </c:pt>
                <c:pt idx="4">
                  <c:v>25.243700000000004</c:v>
                </c:pt>
                <c:pt idx="5">
                  <c:v>25.3583</c:v>
                </c:pt>
                <c:pt idx="6">
                  <c:v>25.483299999999996</c:v>
                </c:pt>
                <c:pt idx="7">
                  <c:v>25.646999999999998</c:v>
                </c:pt>
                <c:pt idx="8">
                  <c:v>25.820700000000002</c:v>
                </c:pt>
                <c:pt idx="9">
                  <c:v>25.968299999999999</c:v>
                </c:pt>
                <c:pt idx="10">
                  <c:v>26.0639</c:v>
                </c:pt>
                <c:pt idx="11">
                  <c:v>26.120100000000001</c:v>
                </c:pt>
                <c:pt idx="12">
                  <c:v>26.1309</c:v>
                </c:pt>
                <c:pt idx="13">
                  <c:v>26.115100000000002</c:v>
                </c:pt>
                <c:pt idx="14">
                  <c:v>25.9892</c:v>
                </c:pt>
                <c:pt idx="15">
                  <c:v>25.8125</c:v>
                </c:pt>
                <c:pt idx="16">
                  <c:v>25.597999999999999</c:v>
                </c:pt>
                <c:pt idx="17">
                  <c:v>25.316400000000002</c:v>
                </c:pt>
                <c:pt idx="18">
                  <c:v>25.030400000000004</c:v>
                </c:pt>
                <c:pt idx="19">
                  <c:v>24.728999999999999</c:v>
                </c:pt>
                <c:pt idx="20">
                  <c:v>24.473200000000002</c:v>
                </c:pt>
                <c:pt idx="21">
                  <c:v>24.268799999999999</c:v>
                </c:pt>
                <c:pt idx="22">
                  <c:v>24.027799999999999</c:v>
                </c:pt>
                <c:pt idx="23">
                  <c:v>23.7438</c:v>
                </c:pt>
                <c:pt idx="24">
                  <c:v>23.459199999999999</c:v>
                </c:pt>
                <c:pt idx="25">
                  <c:v>23.2486</c:v>
                </c:pt>
                <c:pt idx="26">
                  <c:v>23.063099999999999</c:v>
                </c:pt>
                <c:pt idx="27">
                  <c:v>22.921900000000001</c:v>
                </c:pt>
                <c:pt idx="28">
                  <c:v>22.857700000000001</c:v>
                </c:pt>
                <c:pt idx="29">
                  <c:v>22.8187</c:v>
                </c:pt>
                <c:pt idx="30">
                  <c:v>22.818999999999999</c:v>
                </c:pt>
                <c:pt idx="31">
                  <c:v>22.8416</c:v>
                </c:pt>
                <c:pt idx="32">
                  <c:v>22.9162</c:v>
                </c:pt>
                <c:pt idx="33">
                  <c:v>23.014000000000003</c:v>
                </c:pt>
                <c:pt idx="34">
                  <c:v>23.130400000000002</c:v>
                </c:pt>
                <c:pt idx="35">
                  <c:v>23.295500000000001</c:v>
                </c:pt>
                <c:pt idx="36">
                  <c:v>23.479900000000001</c:v>
                </c:pt>
                <c:pt idx="37">
                  <c:v>23.694399999999998</c:v>
                </c:pt>
                <c:pt idx="38">
                  <c:v>23.9008</c:v>
                </c:pt>
                <c:pt idx="39">
                  <c:v>24.077500000000001</c:v>
                </c:pt>
                <c:pt idx="40">
                  <c:v>24.265999999999998</c:v>
                </c:pt>
                <c:pt idx="41">
                  <c:v>24.439299999999999</c:v>
                </c:pt>
                <c:pt idx="42">
                  <c:v>24.6539</c:v>
                </c:pt>
                <c:pt idx="43">
                  <c:v>24.8687</c:v>
                </c:pt>
                <c:pt idx="44">
                  <c:v>25.080999999999996</c:v>
                </c:pt>
                <c:pt idx="45">
                  <c:v>25.199300000000001</c:v>
                </c:pt>
                <c:pt idx="46">
                  <c:v>25.345499999999998</c:v>
                </c:pt>
                <c:pt idx="47">
                  <c:v>25.555</c:v>
                </c:pt>
                <c:pt idx="48">
                  <c:v>25.769799999999996</c:v>
                </c:pt>
                <c:pt idx="49">
                  <c:v>26.005499999999998</c:v>
                </c:pt>
                <c:pt idx="50">
                  <c:v>26.214599999999997</c:v>
                </c:pt>
                <c:pt idx="51">
                  <c:v>26.391300000000001</c:v>
                </c:pt>
                <c:pt idx="52">
                  <c:v>26.528400000000001</c:v>
                </c:pt>
                <c:pt idx="53">
                  <c:v>26.607799999999997</c:v>
                </c:pt>
                <c:pt idx="54">
                  <c:v>26.663500000000003</c:v>
                </c:pt>
                <c:pt idx="55">
                  <c:v>26.6922</c:v>
                </c:pt>
                <c:pt idx="56">
                  <c:v>26.711500000000001</c:v>
                </c:pt>
                <c:pt idx="57">
                  <c:v>26.704000000000001</c:v>
                </c:pt>
                <c:pt idx="58">
                  <c:v>26.658300000000001</c:v>
                </c:pt>
                <c:pt idx="59">
                  <c:v>26.566099999999999</c:v>
                </c:pt>
                <c:pt idx="60">
                  <c:v>26.4208</c:v>
                </c:pt>
                <c:pt idx="61">
                  <c:v>26.241399999999999</c:v>
                </c:pt>
                <c:pt idx="62">
                  <c:v>26.046200000000002</c:v>
                </c:pt>
                <c:pt idx="63">
                  <c:v>25.908199999999997</c:v>
                </c:pt>
                <c:pt idx="64">
                  <c:v>25.828499999999998</c:v>
                </c:pt>
                <c:pt idx="65">
                  <c:v>25.7486</c:v>
                </c:pt>
                <c:pt idx="66">
                  <c:v>25.693999999999999</c:v>
                </c:pt>
                <c:pt idx="67">
                  <c:v>25.624200000000002</c:v>
                </c:pt>
                <c:pt idx="68">
                  <c:v>25.542999999999999</c:v>
                </c:pt>
                <c:pt idx="69">
                  <c:v>25.571999999999999</c:v>
                </c:pt>
                <c:pt idx="70">
                  <c:v>25.8612</c:v>
                </c:pt>
                <c:pt idx="71">
                  <c:v>25.8811</c:v>
                </c:pt>
                <c:pt idx="72">
                  <c:v>25.901999999999997</c:v>
                </c:pt>
                <c:pt idx="73">
                  <c:v>26.011400000000002</c:v>
                </c:pt>
                <c:pt idx="74">
                  <c:v>25.7544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14.942349999999999</c:v>
                </c:pt>
                <c:pt idx="1">
                  <c:v>44.82705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30.002906756756765</c:v>
                </c:pt>
                <c:pt idx="1">
                  <c:v>25.122710810810812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  <c:pt idx="74">
                  <c:v>4.5586199999999995</c:v>
                </c:pt>
                <c:pt idx="75">
                  <c:v>4.54894</c:v>
                </c:pt>
                <c:pt idx="76">
                  <c:v>4.5416499999999997</c:v>
                </c:pt>
                <c:pt idx="77">
                  <c:v>4.5375700000000005</c:v>
                </c:pt>
                <c:pt idx="78">
                  <c:v>4.5363199999999999</c:v>
                </c:pt>
                <c:pt idx="79">
                  <c:v>4.5361000000000002</c:v>
                </c:pt>
                <c:pt idx="80">
                  <c:v>4.5366</c:v>
                </c:pt>
                <c:pt idx="81">
                  <c:v>4.5375100000000002</c:v>
                </c:pt>
                <c:pt idx="82">
                  <c:v>4.5408400000000002</c:v>
                </c:pt>
                <c:pt idx="83">
                  <c:v>4.5464799999999999</c:v>
                </c:pt>
                <c:pt idx="84">
                  <c:v>4.5501000000000005</c:v>
                </c:pt>
                <c:pt idx="85">
                  <c:v>4.5549499999999998</c:v>
                </c:pt>
                <c:pt idx="86">
                  <c:v>4.5584299999999995</c:v>
                </c:pt>
                <c:pt idx="87">
                  <c:v>4.5602499999999999</c:v>
                </c:pt>
                <c:pt idx="88">
                  <c:v>4.5615499999999995</c:v>
                </c:pt>
                <c:pt idx="89">
                  <c:v>4.5615699999999997</c:v>
                </c:pt>
                <c:pt idx="90">
                  <c:v>4.5623300000000002</c:v>
                </c:pt>
                <c:pt idx="91">
                  <c:v>4.5655800000000006</c:v>
                </c:pt>
                <c:pt idx="92">
                  <c:v>4.5694499999999998</c:v>
                </c:pt>
                <c:pt idx="93">
                  <c:v>4.5705299999999998</c:v>
                </c:pt>
                <c:pt idx="94">
                  <c:v>4.5700200000000004</c:v>
                </c:pt>
                <c:pt idx="95">
                  <c:v>4.5694800000000004</c:v>
                </c:pt>
                <c:pt idx="96">
                  <c:v>4.5684699999999996</c:v>
                </c:pt>
                <c:pt idx="97">
                  <c:v>4.5656999999999996</c:v>
                </c:pt>
                <c:pt idx="98">
                  <c:v>4.5611300000000004</c:v>
                </c:pt>
                <c:pt idx="99">
                  <c:v>4.5530999999999997</c:v>
                </c:pt>
                <c:pt idx="100">
                  <c:v>4.5430599999999997</c:v>
                </c:pt>
                <c:pt idx="101">
                  <c:v>4.5331599999999996</c:v>
                </c:pt>
                <c:pt idx="102">
                  <c:v>4.5219399999999998</c:v>
                </c:pt>
                <c:pt idx="103">
                  <c:v>4.5123199999999999</c:v>
                </c:pt>
                <c:pt idx="104">
                  <c:v>4.5006000000000004</c:v>
                </c:pt>
                <c:pt idx="105">
                  <c:v>4.4866099999999998</c:v>
                </c:pt>
                <c:pt idx="106">
                  <c:v>4.4727899999999998</c:v>
                </c:pt>
                <c:pt idx="107">
                  <c:v>4.4619799999999996</c:v>
                </c:pt>
                <c:pt idx="108">
                  <c:v>4.4521500000000005</c:v>
                </c:pt>
                <c:pt idx="109">
                  <c:v>4.4449199999999998</c:v>
                </c:pt>
                <c:pt idx="110">
                  <c:v>4.4394600000000004</c:v>
                </c:pt>
                <c:pt idx="111">
                  <c:v>4.4344599999999996</c:v>
                </c:pt>
                <c:pt idx="112">
                  <c:v>4.4356400000000002</c:v>
                </c:pt>
                <c:pt idx="113">
                  <c:v>4.4416399999999996</c:v>
                </c:pt>
                <c:pt idx="114">
                  <c:v>4.4501400000000002</c:v>
                </c:pt>
                <c:pt idx="115">
                  <c:v>4.4603199999999994</c:v>
                </c:pt>
                <c:pt idx="116">
                  <c:v>4.47065</c:v>
                </c:pt>
                <c:pt idx="117">
                  <c:v>4.4789500000000002</c:v>
                </c:pt>
                <c:pt idx="118">
                  <c:v>4.4862900000000003</c:v>
                </c:pt>
                <c:pt idx="119">
                  <c:v>4.4912200000000002</c:v>
                </c:pt>
                <c:pt idx="120">
                  <c:v>4.4958799999999997</c:v>
                </c:pt>
                <c:pt idx="121">
                  <c:v>4.5019799999999996</c:v>
                </c:pt>
                <c:pt idx="122">
                  <c:v>4.5097800000000001</c:v>
                </c:pt>
                <c:pt idx="123">
                  <c:v>4.5168799999999996</c:v>
                </c:pt>
                <c:pt idx="124">
                  <c:v>4.5241600000000002</c:v>
                </c:pt>
                <c:pt idx="125">
                  <c:v>4.5327999999999999</c:v>
                </c:pt>
                <c:pt idx="126">
                  <c:v>4.5406000000000004</c:v>
                </c:pt>
                <c:pt idx="127">
                  <c:v>4.5510099999999998</c:v>
                </c:pt>
                <c:pt idx="128">
                  <c:v>4.56128</c:v>
                </c:pt>
                <c:pt idx="129">
                  <c:v>4.5732099999999996</c:v>
                </c:pt>
                <c:pt idx="130">
                  <c:v>4.5871599999999999</c:v>
                </c:pt>
                <c:pt idx="131">
                  <c:v>4.6006999999999998</c:v>
                </c:pt>
                <c:pt idx="132">
                  <c:v>4.6110499999999996</c:v>
                </c:pt>
                <c:pt idx="133">
                  <c:v>4.6207099999999999</c:v>
                </c:pt>
                <c:pt idx="134">
                  <c:v>4.63232</c:v>
                </c:pt>
                <c:pt idx="135">
                  <c:v>4.6428199999999995</c:v>
                </c:pt>
                <c:pt idx="136">
                  <c:v>4.6583100000000002</c:v>
                </c:pt>
                <c:pt idx="137">
                  <c:v>4.6693499999999997</c:v>
                </c:pt>
                <c:pt idx="138">
                  <c:v>4.6755599999999999</c:v>
                </c:pt>
                <c:pt idx="139">
                  <c:v>4.6787799999999997</c:v>
                </c:pt>
                <c:pt idx="140">
                  <c:v>4.6746999999999996</c:v>
                </c:pt>
                <c:pt idx="141">
                  <c:v>4.6639900000000001</c:v>
                </c:pt>
                <c:pt idx="142">
                  <c:v>4.6512099999999998</c:v>
                </c:pt>
                <c:pt idx="143">
                  <c:v>4.6418999999999997</c:v>
                </c:pt>
                <c:pt idx="144">
                  <c:v>4.6372999999999998</c:v>
                </c:pt>
                <c:pt idx="145">
                  <c:v>4.6297199999999998</c:v>
                </c:pt>
                <c:pt idx="146">
                  <c:v>4.6177799999999998</c:v>
                </c:pt>
                <c:pt idx="147">
                  <c:v>4.6014900000000001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  <c:pt idx="74">
                  <c:v>25.194299999999998</c:v>
                </c:pt>
                <c:pt idx="75">
                  <c:v>25.2363</c:v>
                </c:pt>
                <c:pt idx="76">
                  <c:v>25.212400000000002</c:v>
                </c:pt>
                <c:pt idx="77">
                  <c:v>25.243700000000004</c:v>
                </c:pt>
                <c:pt idx="78">
                  <c:v>25.3583</c:v>
                </c:pt>
                <c:pt idx="79">
                  <c:v>25.483299999999996</c:v>
                </c:pt>
                <c:pt idx="80">
                  <c:v>25.646999999999998</c:v>
                </c:pt>
                <c:pt idx="81">
                  <c:v>25.820700000000002</c:v>
                </c:pt>
                <c:pt idx="82">
                  <c:v>25.968299999999999</c:v>
                </c:pt>
                <c:pt idx="83">
                  <c:v>26.0639</c:v>
                </c:pt>
                <c:pt idx="84">
                  <c:v>26.120100000000001</c:v>
                </c:pt>
                <c:pt idx="85">
                  <c:v>26.1309</c:v>
                </c:pt>
                <c:pt idx="86">
                  <c:v>26.115100000000002</c:v>
                </c:pt>
                <c:pt idx="87">
                  <c:v>25.9892</c:v>
                </c:pt>
                <c:pt idx="88">
                  <c:v>25.8125</c:v>
                </c:pt>
                <c:pt idx="89">
                  <c:v>25.597999999999999</c:v>
                </c:pt>
                <c:pt idx="90">
                  <c:v>25.316400000000002</c:v>
                </c:pt>
                <c:pt idx="91">
                  <c:v>25.030400000000004</c:v>
                </c:pt>
                <c:pt idx="92">
                  <c:v>24.728999999999999</c:v>
                </c:pt>
                <c:pt idx="93">
                  <c:v>24.473200000000002</c:v>
                </c:pt>
                <c:pt idx="94">
                  <c:v>24.268799999999999</c:v>
                </c:pt>
                <c:pt idx="95">
                  <c:v>24.027799999999999</c:v>
                </c:pt>
                <c:pt idx="96">
                  <c:v>23.7438</c:v>
                </c:pt>
                <c:pt idx="97">
                  <c:v>23.459199999999999</c:v>
                </c:pt>
                <c:pt idx="98">
                  <c:v>23.2486</c:v>
                </c:pt>
                <c:pt idx="99">
                  <c:v>23.063099999999999</c:v>
                </c:pt>
                <c:pt idx="100">
                  <c:v>22.921900000000001</c:v>
                </c:pt>
                <c:pt idx="101">
                  <c:v>22.857700000000001</c:v>
                </c:pt>
                <c:pt idx="102">
                  <c:v>22.8187</c:v>
                </c:pt>
                <c:pt idx="103">
                  <c:v>22.818999999999999</c:v>
                </c:pt>
                <c:pt idx="104">
                  <c:v>22.8416</c:v>
                </c:pt>
                <c:pt idx="105">
                  <c:v>22.9162</c:v>
                </c:pt>
                <c:pt idx="106">
                  <c:v>23.014000000000003</c:v>
                </c:pt>
                <c:pt idx="107">
                  <c:v>23.130400000000002</c:v>
                </c:pt>
                <c:pt idx="108">
                  <c:v>23.295500000000001</c:v>
                </c:pt>
                <c:pt idx="109">
                  <c:v>23.479900000000001</c:v>
                </c:pt>
                <c:pt idx="110">
                  <c:v>23.694399999999998</c:v>
                </c:pt>
                <c:pt idx="111">
                  <c:v>23.9008</c:v>
                </c:pt>
                <c:pt idx="112">
                  <c:v>24.077500000000001</c:v>
                </c:pt>
                <c:pt idx="113">
                  <c:v>24.265999999999998</c:v>
                </c:pt>
                <c:pt idx="114">
                  <c:v>24.439299999999999</c:v>
                </c:pt>
                <c:pt idx="115">
                  <c:v>24.6539</c:v>
                </c:pt>
                <c:pt idx="116">
                  <c:v>24.8687</c:v>
                </c:pt>
                <c:pt idx="117">
                  <c:v>25.080999999999996</c:v>
                </c:pt>
                <c:pt idx="118">
                  <c:v>25.199300000000001</c:v>
                </c:pt>
                <c:pt idx="119">
                  <c:v>25.345499999999998</c:v>
                </c:pt>
                <c:pt idx="120">
                  <c:v>25.555</c:v>
                </c:pt>
                <c:pt idx="121">
                  <c:v>25.769799999999996</c:v>
                </c:pt>
                <c:pt idx="122">
                  <c:v>26.005499999999998</c:v>
                </c:pt>
                <c:pt idx="123">
                  <c:v>26.214599999999997</c:v>
                </c:pt>
                <c:pt idx="124">
                  <c:v>26.391300000000001</c:v>
                </c:pt>
                <c:pt idx="125">
                  <c:v>26.528400000000001</c:v>
                </c:pt>
                <c:pt idx="126">
                  <c:v>26.607799999999997</c:v>
                </c:pt>
                <c:pt idx="127">
                  <c:v>26.663500000000003</c:v>
                </c:pt>
                <c:pt idx="128">
                  <c:v>26.6922</c:v>
                </c:pt>
                <c:pt idx="129">
                  <c:v>26.711500000000001</c:v>
                </c:pt>
                <c:pt idx="130">
                  <c:v>26.704000000000001</c:v>
                </c:pt>
                <c:pt idx="131">
                  <c:v>26.658300000000001</c:v>
                </c:pt>
                <c:pt idx="132">
                  <c:v>26.566099999999999</c:v>
                </c:pt>
                <c:pt idx="133">
                  <c:v>26.4208</c:v>
                </c:pt>
                <c:pt idx="134">
                  <c:v>26.241399999999999</c:v>
                </c:pt>
                <c:pt idx="135">
                  <c:v>26.046200000000002</c:v>
                </c:pt>
                <c:pt idx="136">
                  <c:v>25.908199999999997</c:v>
                </c:pt>
                <c:pt idx="137">
                  <c:v>25.828499999999998</c:v>
                </c:pt>
                <c:pt idx="138">
                  <c:v>25.7486</c:v>
                </c:pt>
                <c:pt idx="139">
                  <c:v>25.693999999999999</c:v>
                </c:pt>
                <c:pt idx="140">
                  <c:v>25.624200000000002</c:v>
                </c:pt>
                <c:pt idx="141">
                  <c:v>25.542999999999999</c:v>
                </c:pt>
                <c:pt idx="142">
                  <c:v>25.571999999999999</c:v>
                </c:pt>
                <c:pt idx="143">
                  <c:v>25.8612</c:v>
                </c:pt>
                <c:pt idx="144">
                  <c:v>25.8811</c:v>
                </c:pt>
                <c:pt idx="145">
                  <c:v>25.901999999999997</c:v>
                </c:pt>
                <c:pt idx="146">
                  <c:v>26.011400000000002</c:v>
                </c:pt>
                <c:pt idx="147">
                  <c:v>25.7544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4.0106900000000003</c:v>
                </c:pt>
                <c:pt idx="1">
                  <c:v>4.0803500000000001</c:v>
                </c:pt>
                <c:pt idx="2">
                  <c:v>4.1453499999999996</c:v>
                </c:pt>
                <c:pt idx="3">
                  <c:v>4.2072900000000004</c:v>
                </c:pt>
                <c:pt idx="4">
                  <c:v>4.26539</c:v>
                </c:pt>
                <c:pt idx="5">
                  <c:v>4.3175499999999998</c:v>
                </c:pt>
                <c:pt idx="6">
                  <c:v>4.3655799999999996</c:v>
                </c:pt>
                <c:pt idx="7">
                  <c:v>4.4109999999999996</c:v>
                </c:pt>
                <c:pt idx="8">
                  <c:v>4.4530900000000004</c:v>
                </c:pt>
                <c:pt idx="9">
                  <c:v>4.4937500000000004</c:v>
                </c:pt>
                <c:pt idx="10">
                  <c:v>4.5352300000000003</c:v>
                </c:pt>
                <c:pt idx="11">
                  <c:v>4.5732099999999996</c:v>
                </c:pt>
                <c:pt idx="12">
                  <c:v>4.6080800000000002</c:v>
                </c:pt>
                <c:pt idx="13">
                  <c:v>4.6406499999999999</c:v>
                </c:pt>
                <c:pt idx="14">
                  <c:v>4.6712199999999999</c:v>
                </c:pt>
                <c:pt idx="15">
                  <c:v>4.6974499999999999</c:v>
                </c:pt>
                <c:pt idx="16">
                  <c:v>4.7194000000000003</c:v>
                </c:pt>
                <c:pt idx="17">
                  <c:v>4.7398600000000002</c:v>
                </c:pt>
                <c:pt idx="18">
                  <c:v>4.7580799999999996</c:v>
                </c:pt>
                <c:pt idx="19">
                  <c:v>4.7721</c:v>
                </c:pt>
                <c:pt idx="20">
                  <c:v>4.7829899999999999</c:v>
                </c:pt>
                <c:pt idx="21">
                  <c:v>4.7901100000000003</c:v>
                </c:pt>
                <c:pt idx="22">
                  <c:v>4.7938399999999994</c:v>
                </c:pt>
                <c:pt idx="23">
                  <c:v>4.7972599999999996</c:v>
                </c:pt>
                <c:pt idx="24">
                  <c:v>4.8003099999999996</c:v>
                </c:pt>
                <c:pt idx="25">
                  <c:v>4.8033700000000001</c:v>
                </c:pt>
                <c:pt idx="26">
                  <c:v>4.8092499999999996</c:v>
                </c:pt>
                <c:pt idx="27">
                  <c:v>4.8138699999999996</c:v>
                </c:pt>
                <c:pt idx="28">
                  <c:v>4.81745</c:v>
                </c:pt>
                <c:pt idx="29">
                  <c:v>4.8212599999999997</c:v>
                </c:pt>
                <c:pt idx="30">
                  <c:v>4.8267500000000005</c:v>
                </c:pt>
                <c:pt idx="31">
                  <c:v>4.8329699999999995</c:v>
                </c:pt>
                <c:pt idx="32">
                  <c:v>4.8377799999999995</c:v>
                </c:pt>
                <c:pt idx="33">
                  <c:v>4.8427300000000004</c:v>
                </c:pt>
                <c:pt idx="34">
                  <c:v>4.8492800000000003</c:v>
                </c:pt>
                <c:pt idx="35">
                  <c:v>4.85433</c:v>
                </c:pt>
                <c:pt idx="36">
                  <c:v>4.8580499999999995</c:v>
                </c:pt>
                <c:pt idx="37">
                  <c:v>4.8635900000000003</c:v>
                </c:pt>
                <c:pt idx="38">
                  <c:v>4.8695300000000001</c:v>
                </c:pt>
                <c:pt idx="39">
                  <c:v>4.8723400000000003</c:v>
                </c:pt>
                <c:pt idx="40">
                  <c:v>4.8741699999999994</c:v>
                </c:pt>
                <c:pt idx="41">
                  <c:v>4.8754200000000001</c:v>
                </c:pt>
                <c:pt idx="42">
                  <c:v>4.8747100000000003</c:v>
                </c:pt>
                <c:pt idx="43">
                  <c:v>4.8749099999999999</c:v>
                </c:pt>
                <c:pt idx="44">
                  <c:v>4.8758699999999999</c:v>
                </c:pt>
                <c:pt idx="45">
                  <c:v>4.8767700000000005</c:v>
                </c:pt>
                <c:pt idx="46">
                  <c:v>4.8787000000000003</c:v>
                </c:pt>
                <c:pt idx="47">
                  <c:v>4.8808100000000003</c:v>
                </c:pt>
                <c:pt idx="48">
                  <c:v>4.8788400000000003</c:v>
                </c:pt>
                <c:pt idx="49">
                  <c:v>4.8757999999999999</c:v>
                </c:pt>
                <c:pt idx="50">
                  <c:v>4.8733300000000002</c:v>
                </c:pt>
                <c:pt idx="51">
                  <c:v>4.8675800000000002</c:v>
                </c:pt>
                <c:pt idx="52">
                  <c:v>4.8613600000000003</c:v>
                </c:pt>
                <c:pt idx="53">
                  <c:v>4.8525</c:v>
                </c:pt>
                <c:pt idx="54">
                  <c:v>4.8423600000000002</c:v>
                </c:pt>
                <c:pt idx="55">
                  <c:v>4.8304499999999999</c:v>
                </c:pt>
                <c:pt idx="56">
                  <c:v>4.8259600000000002</c:v>
                </c:pt>
                <c:pt idx="57">
                  <c:v>4.81792</c:v>
                </c:pt>
                <c:pt idx="58">
                  <c:v>4.8075299999999999</c:v>
                </c:pt>
                <c:pt idx="59">
                  <c:v>4.7941500000000001</c:v>
                </c:pt>
                <c:pt idx="60">
                  <c:v>4.7745899999999999</c:v>
                </c:pt>
                <c:pt idx="61">
                  <c:v>4.7600499999999997</c:v>
                </c:pt>
                <c:pt idx="62">
                  <c:v>4.7483399999999998</c:v>
                </c:pt>
                <c:pt idx="63">
                  <c:v>4.7283999999999997</c:v>
                </c:pt>
                <c:pt idx="64">
                  <c:v>4.7051699999999999</c:v>
                </c:pt>
                <c:pt idx="65">
                  <c:v>4.6875099999999996</c:v>
                </c:pt>
                <c:pt idx="66">
                  <c:v>4.6697300000000004</c:v>
                </c:pt>
                <c:pt idx="67">
                  <c:v>4.6579800000000002</c:v>
                </c:pt>
                <c:pt idx="68">
                  <c:v>4.6421299999999999</c:v>
                </c:pt>
                <c:pt idx="69">
                  <c:v>4.6279300000000001</c:v>
                </c:pt>
                <c:pt idx="70">
                  <c:v>4.6141199999999998</c:v>
                </c:pt>
                <c:pt idx="71">
                  <c:v>4.5996300000000003</c:v>
                </c:pt>
                <c:pt idx="72">
                  <c:v>4.5855800000000002</c:v>
                </c:pt>
                <c:pt idx="73">
                  <c:v>4.5701000000000001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34.280500000000004</c:v>
                </c:pt>
                <c:pt idx="1">
                  <c:v>33.710299999999997</c:v>
                </c:pt>
                <c:pt idx="2">
                  <c:v>33.258400000000002</c:v>
                </c:pt>
                <c:pt idx="3">
                  <c:v>32.865600000000001</c:v>
                </c:pt>
                <c:pt idx="4">
                  <c:v>32.6006</c:v>
                </c:pt>
                <c:pt idx="5">
                  <c:v>32.4206</c:v>
                </c:pt>
                <c:pt idx="6">
                  <c:v>32.247199999999999</c:v>
                </c:pt>
                <c:pt idx="7">
                  <c:v>32.079500000000003</c:v>
                </c:pt>
                <c:pt idx="8">
                  <c:v>31.935599999999997</c:v>
                </c:pt>
                <c:pt idx="9">
                  <c:v>31.843399999999999</c:v>
                </c:pt>
                <c:pt idx="10">
                  <c:v>31.792199999999998</c:v>
                </c:pt>
                <c:pt idx="11">
                  <c:v>31.716799999999999</c:v>
                </c:pt>
                <c:pt idx="12">
                  <c:v>31.6206</c:v>
                </c:pt>
                <c:pt idx="13">
                  <c:v>31.522200000000002</c:v>
                </c:pt>
                <c:pt idx="14">
                  <c:v>31.4345</c:v>
                </c:pt>
                <c:pt idx="15">
                  <c:v>31.337300000000003</c:v>
                </c:pt>
                <c:pt idx="16">
                  <c:v>31.264700000000001</c:v>
                </c:pt>
                <c:pt idx="17">
                  <c:v>31.2072</c:v>
                </c:pt>
                <c:pt idx="18">
                  <c:v>31.1797</c:v>
                </c:pt>
                <c:pt idx="19">
                  <c:v>31.168499999999998</c:v>
                </c:pt>
                <c:pt idx="20">
                  <c:v>31.192199999999996</c:v>
                </c:pt>
                <c:pt idx="21">
                  <c:v>31.220300000000002</c:v>
                </c:pt>
                <c:pt idx="22">
                  <c:v>31.269799999999996</c:v>
                </c:pt>
                <c:pt idx="23">
                  <c:v>31.282599999999999</c:v>
                </c:pt>
                <c:pt idx="24">
                  <c:v>31.267699999999998</c:v>
                </c:pt>
                <c:pt idx="25">
                  <c:v>31.267400000000002</c:v>
                </c:pt>
                <c:pt idx="26">
                  <c:v>31.245200000000001</c:v>
                </c:pt>
                <c:pt idx="27">
                  <c:v>31.259999999999998</c:v>
                </c:pt>
                <c:pt idx="28">
                  <c:v>31.280200000000001</c:v>
                </c:pt>
                <c:pt idx="29">
                  <c:v>31.252000000000002</c:v>
                </c:pt>
                <c:pt idx="30">
                  <c:v>31.218299999999999</c:v>
                </c:pt>
                <c:pt idx="31">
                  <c:v>31.210100000000001</c:v>
                </c:pt>
                <c:pt idx="32">
                  <c:v>31.219599999999996</c:v>
                </c:pt>
                <c:pt idx="33">
                  <c:v>31.278299999999998</c:v>
                </c:pt>
                <c:pt idx="34">
                  <c:v>31.285899999999998</c:v>
                </c:pt>
                <c:pt idx="35">
                  <c:v>31.270799999999998</c:v>
                </c:pt>
                <c:pt idx="36">
                  <c:v>31.263300000000001</c:v>
                </c:pt>
                <c:pt idx="37">
                  <c:v>31.215900000000001</c:v>
                </c:pt>
                <c:pt idx="38">
                  <c:v>31.169499999999999</c:v>
                </c:pt>
                <c:pt idx="39">
                  <c:v>31.087999999999997</c:v>
                </c:pt>
                <c:pt idx="40">
                  <c:v>30.995099999999997</c:v>
                </c:pt>
                <c:pt idx="41">
                  <c:v>30.917299999999997</c:v>
                </c:pt>
                <c:pt idx="42">
                  <c:v>30.847200000000001</c:v>
                </c:pt>
                <c:pt idx="43">
                  <c:v>30.761399999999998</c:v>
                </c:pt>
                <c:pt idx="44">
                  <c:v>30.654799999999998</c:v>
                </c:pt>
                <c:pt idx="45">
                  <c:v>30.532399999999999</c:v>
                </c:pt>
                <c:pt idx="46">
                  <c:v>30.418600000000001</c:v>
                </c:pt>
                <c:pt idx="47">
                  <c:v>30.298599999999997</c:v>
                </c:pt>
                <c:pt idx="48">
                  <c:v>30.182300000000001</c:v>
                </c:pt>
                <c:pt idx="49">
                  <c:v>30.071100000000001</c:v>
                </c:pt>
                <c:pt idx="50">
                  <c:v>29.9937</c:v>
                </c:pt>
                <c:pt idx="51">
                  <c:v>29.8691</c:v>
                </c:pt>
                <c:pt idx="52">
                  <c:v>29.698799999999999</c:v>
                </c:pt>
                <c:pt idx="53">
                  <c:v>29.410299999999999</c:v>
                </c:pt>
                <c:pt idx="54">
                  <c:v>29.076800000000002</c:v>
                </c:pt>
                <c:pt idx="55">
                  <c:v>28.584599999999998</c:v>
                </c:pt>
                <c:pt idx="56">
                  <c:v>28.348699999999997</c:v>
                </c:pt>
                <c:pt idx="57">
                  <c:v>27.973500000000001</c:v>
                </c:pt>
                <c:pt idx="58">
                  <c:v>27.558899999999998</c:v>
                </c:pt>
                <c:pt idx="59">
                  <c:v>27.201700000000002</c:v>
                </c:pt>
                <c:pt idx="60">
                  <c:v>26.798100000000002</c:v>
                </c:pt>
                <c:pt idx="61">
                  <c:v>26.480900000000002</c:v>
                </c:pt>
                <c:pt idx="62">
                  <c:v>26.332100000000004</c:v>
                </c:pt>
                <c:pt idx="63">
                  <c:v>26.139200000000002</c:v>
                </c:pt>
                <c:pt idx="64">
                  <c:v>25.9619</c:v>
                </c:pt>
                <c:pt idx="65">
                  <c:v>25.8368</c:v>
                </c:pt>
                <c:pt idx="66">
                  <c:v>25.7</c:v>
                </c:pt>
                <c:pt idx="67">
                  <c:v>25.547900000000002</c:v>
                </c:pt>
                <c:pt idx="68">
                  <c:v>25.436700000000002</c:v>
                </c:pt>
                <c:pt idx="69">
                  <c:v>25.361099999999997</c:v>
                </c:pt>
                <c:pt idx="70">
                  <c:v>25.287700000000001</c:v>
                </c:pt>
                <c:pt idx="71">
                  <c:v>25.2498</c:v>
                </c:pt>
                <c:pt idx="72">
                  <c:v>25.216999999999999</c:v>
                </c:pt>
                <c:pt idx="73">
                  <c:v>25.228499999999997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4.5701000000000001</c:v>
                </c:pt>
                <c:pt idx="1">
                  <c:v>4.5586199999999995</c:v>
                </c:pt>
                <c:pt idx="2">
                  <c:v>4.54894</c:v>
                </c:pt>
                <c:pt idx="3">
                  <c:v>4.5416499999999997</c:v>
                </c:pt>
                <c:pt idx="4">
                  <c:v>4.5375700000000005</c:v>
                </c:pt>
                <c:pt idx="5">
                  <c:v>4.5363199999999999</c:v>
                </c:pt>
                <c:pt idx="6">
                  <c:v>4.5361000000000002</c:v>
                </c:pt>
                <c:pt idx="7">
                  <c:v>4.5366</c:v>
                </c:pt>
                <c:pt idx="8">
                  <c:v>4.5375100000000002</c:v>
                </c:pt>
                <c:pt idx="9">
                  <c:v>4.5408400000000002</c:v>
                </c:pt>
                <c:pt idx="10">
                  <c:v>4.5464799999999999</c:v>
                </c:pt>
                <c:pt idx="11">
                  <c:v>4.5501000000000005</c:v>
                </c:pt>
                <c:pt idx="12">
                  <c:v>4.5549499999999998</c:v>
                </c:pt>
                <c:pt idx="13">
                  <c:v>4.5584299999999995</c:v>
                </c:pt>
                <c:pt idx="14">
                  <c:v>4.5602499999999999</c:v>
                </c:pt>
                <c:pt idx="15">
                  <c:v>4.5615499999999995</c:v>
                </c:pt>
                <c:pt idx="16">
                  <c:v>4.5615699999999997</c:v>
                </c:pt>
                <c:pt idx="17">
                  <c:v>4.5623300000000002</c:v>
                </c:pt>
                <c:pt idx="18">
                  <c:v>4.5655800000000006</c:v>
                </c:pt>
                <c:pt idx="19">
                  <c:v>4.5694499999999998</c:v>
                </c:pt>
                <c:pt idx="20">
                  <c:v>4.5705299999999998</c:v>
                </c:pt>
                <c:pt idx="21">
                  <c:v>4.5700200000000004</c:v>
                </c:pt>
                <c:pt idx="22">
                  <c:v>4.5694800000000004</c:v>
                </c:pt>
                <c:pt idx="23">
                  <c:v>4.5684699999999996</c:v>
                </c:pt>
                <c:pt idx="24">
                  <c:v>4.5656999999999996</c:v>
                </c:pt>
                <c:pt idx="25">
                  <c:v>4.5611300000000004</c:v>
                </c:pt>
                <c:pt idx="26">
                  <c:v>4.5530999999999997</c:v>
                </c:pt>
                <c:pt idx="27">
                  <c:v>4.5430599999999997</c:v>
                </c:pt>
                <c:pt idx="28">
                  <c:v>4.5331599999999996</c:v>
                </c:pt>
                <c:pt idx="29">
                  <c:v>4.5219399999999998</c:v>
                </c:pt>
                <c:pt idx="30">
                  <c:v>4.5123199999999999</c:v>
                </c:pt>
                <c:pt idx="31">
                  <c:v>4.5006000000000004</c:v>
                </c:pt>
                <c:pt idx="32">
                  <c:v>4.4866099999999998</c:v>
                </c:pt>
                <c:pt idx="33">
                  <c:v>4.4727899999999998</c:v>
                </c:pt>
                <c:pt idx="34">
                  <c:v>4.4619799999999996</c:v>
                </c:pt>
                <c:pt idx="35">
                  <c:v>4.4521500000000005</c:v>
                </c:pt>
                <c:pt idx="36">
                  <c:v>4.4449199999999998</c:v>
                </c:pt>
                <c:pt idx="37">
                  <c:v>4.4394600000000004</c:v>
                </c:pt>
                <c:pt idx="38">
                  <c:v>4.4344599999999996</c:v>
                </c:pt>
                <c:pt idx="39">
                  <c:v>4.4356400000000002</c:v>
                </c:pt>
                <c:pt idx="40">
                  <c:v>4.4416399999999996</c:v>
                </c:pt>
                <c:pt idx="41">
                  <c:v>4.4501400000000002</c:v>
                </c:pt>
                <c:pt idx="42">
                  <c:v>4.4603199999999994</c:v>
                </c:pt>
                <c:pt idx="43">
                  <c:v>4.47065</c:v>
                </c:pt>
                <c:pt idx="44">
                  <c:v>4.4789500000000002</c:v>
                </c:pt>
                <c:pt idx="45">
                  <c:v>4.4862900000000003</c:v>
                </c:pt>
                <c:pt idx="46">
                  <c:v>4.4912200000000002</c:v>
                </c:pt>
                <c:pt idx="47">
                  <c:v>4.4958799999999997</c:v>
                </c:pt>
                <c:pt idx="48">
                  <c:v>4.5019799999999996</c:v>
                </c:pt>
                <c:pt idx="49">
                  <c:v>4.5097800000000001</c:v>
                </c:pt>
                <c:pt idx="50">
                  <c:v>4.5168799999999996</c:v>
                </c:pt>
                <c:pt idx="51">
                  <c:v>4.5241600000000002</c:v>
                </c:pt>
                <c:pt idx="52">
                  <c:v>4.5327999999999999</c:v>
                </c:pt>
                <c:pt idx="53">
                  <c:v>4.5406000000000004</c:v>
                </c:pt>
                <c:pt idx="54">
                  <c:v>4.5510099999999998</c:v>
                </c:pt>
                <c:pt idx="55">
                  <c:v>4.56128</c:v>
                </c:pt>
                <c:pt idx="56">
                  <c:v>4.5732099999999996</c:v>
                </c:pt>
                <c:pt idx="57">
                  <c:v>4.5871599999999999</c:v>
                </c:pt>
                <c:pt idx="58">
                  <c:v>4.6006999999999998</c:v>
                </c:pt>
                <c:pt idx="59">
                  <c:v>4.6110499999999996</c:v>
                </c:pt>
                <c:pt idx="60">
                  <c:v>4.6207099999999999</c:v>
                </c:pt>
                <c:pt idx="61">
                  <c:v>4.63232</c:v>
                </c:pt>
                <c:pt idx="62">
                  <c:v>4.6428199999999995</c:v>
                </c:pt>
                <c:pt idx="63">
                  <c:v>4.6583100000000002</c:v>
                </c:pt>
                <c:pt idx="64">
                  <c:v>4.6693499999999997</c:v>
                </c:pt>
                <c:pt idx="65">
                  <c:v>4.6755599999999999</c:v>
                </c:pt>
                <c:pt idx="66">
                  <c:v>4.6787799999999997</c:v>
                </c:pt>
                <c:pt idx="67">
                  <c:v>4.6746999999999996</c:v>
                </c:pt>
                <c:pt idx="68">
                  <c:v>4.6639900000000001</c:v>
                </c:pt>
                <c:pt idx="69">
                  <c:v>4.6512099999999998</c:v>
                </c:pt>
                <c:pt idx="70">
                  <c:v>4.6418999999999997</c:v>
                </c:pt>
                <c:pt idx="71">
                  <c:v>4.6372999999999998</c:v>
                </c:pt>
                <c:pt idx="72">
                  <c:v>4.6297199999999998</c:v>
                </c:pt>
                <c:pt idx="73">
                  <c:v>4.6177799999999998</c:v>
                </c:pt>
                <c:pt idx="74">
                  <c:v>4.6014900000000001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25.228499999999997</c:v>
                </c:pt>
                <c:pt idx="1">
                  <c:v>25.194299999999998</c:v>
                </c:pt>
                <c:pt idx="2">
                  <c:v>25.2363</c:v>
                </c:pt>
                <c:pt idx="3">
                  <c:v>25.212400000000002</c:v>
                </c:pt>
                <c:pt idx="4">
                  <c:v>25.243700000000004</c:v>
                </c:pt>
                <c:pt idx="5">
                  <c:v>25.3583</c:v>
                </c:pt>
                <c:pt idx="6">
                  <c:v>25.483299999999996</c:v>
                </c:pt>
                <c:pt idx="7">
                  <c:v>25.646999999999998</c:v>
                </c:pt>
                <c:pt idx="8">
                  <c:v>25.820700000000002</c:v>
                </c:pt>
                <c:pt idx="9">
                  <c:v>25.968299999999999</c:v>
                </c:pt>
                <c:pt idx="10">
                  <c:v>26.0639</c:v>
                </c:pt>
                <c:pt idx="11">
                  <c:v>26.120100000000001</c:v>
                </c:pt>
                <c:pt idx="12">
                  <c:v>26.1309</c:v>
                </c:pt>
                <c:pt idx="13">
                  <c:v>26.115100000000002</c:v>
                </c:pt>
                <c:pt idx="14">
                  <c:v>25.9892</c:v>
                </c:pt>
                <c:pt idx="15">
                  <c:v>25.8125</c:v>
                </c:pt>
                <c:pt idx="16">
                  <c:v>25.597999999999999</c:v>
                </c:pt>
                <c:pt idx="17">
                  <c:v>25.316400000000002</c:v>
                </c:pt>
                <c:pt idx="18">
                  <c:v>25.030400000000004</c:v>
                </c:pt>
                <c:pt idx="19">
                  <c:v>24.728999999999999</c:v>
                </c:pt>
                <c:pt idx="20">
                  <c:v>24.473200000000002</c:v>
                </c:pt>
                <c:pt idx="21">
                  <c:v>24.268799999999999</c:v>
                </c:pt>
                <c:pt idx="22">
                  <c:v>24.027799999999999</c:v>
                </c:pt>
                <c:pt idx="23">
                  <c:v>23.7438</c:v>
                </c:pt>
                <c:pt idx="24">
                  <c:v>23.459199999999999</c:v>
                </c:pt>
                <c:pt idx="25">
                  <c:v>23.2486</c:v>
                </c:pt>
                <c:pt idx="26">
                  <c:v>23.063099999999999</c:v>
                </c:pt>
                <c:pt idx="27">
                  <c:v>22.921900000000001</c:v>
                </c:pt>
                <c:pt idx="28">
                  <c:v>22.857700000000001</c:v>
                </c:pt>
                <c:pt idx="29">
                  <c:v>22.8187</c:v>
                </c:pt>
                <c:pt idx="30">
                  <c:v>22.818999999999999</c:v>
                </c:pt>
                <c:pt idx="31">
                  <c:v>22.8416</c:v>
                </c:pt>
                <c:pt idx="32">
                  <c:v>22.9162</c:v>
                </c:pt>
                <c:pt idx="33">
                  <c:v>23.014000000000003</c:v>
                </c:pt>
                <c:pt idx="34">
                  <c:v>23.130400000000002</c:v>
                </c:pt>
                <c:pt idx="35">
                  <c:v>23.295500000000001</c:v>
                </c:pt>
                <c:pt idx="36">
                  <c:v>23.479900000000001</c:v>
                </c:pt>
                <c:pt idx="37">
                  <c:v>23.694399999999998</c:v>
                </c:pt>
                <c:pt idx="38">
                  <c:v>23.9008</c:v>
                </c:pt>
                <c:pt idx="39">
                  <c:v>24.077500000000001</c:v>
                </c:pt>
                <c:pt idx="40">
                  <c:v>24.265999999999998</c:v>
                </c:pt>
                <c:pt idx="41">
                  <c:v>24.439299999999999</c:v>
                </c:pt>
                <c:pt idx="42">
                  <c:v>24.6539</c:v>
                </c:pt>
                <c:pt idx="43">
                  <c:v>24.8687</c:v>
                </c:pt>
                <c:pt idx="44">
                  <c:v>25.080999999999996</c:v>
                </c:pt>
                <c:pt idx="45">
                  <c:v>25.199300000000001</c:v>
                </c:pt>
                <c:pt idx="46">
                  <c:v>25.345499999999998</c:v>
                </c:pt>
                <c:pt idx="47">
                  <c:v>25.555</c:v>
                </c:pt>
                <c:pt idx="48">
                  <c:v>25.769799999999996</c:v>
                </c:pt>
                <c:pt idx="49">
                  <c:v>26.005499999999998</c:v>
                </c:pt>
                <c:pt idx="50">
                  <c:v>26.214599999999997</c:v>
                </c:pt>
                <c:pt idx="51">
                  <c:v>26.391300000000001</c:v>
                </c:pt>
                <c:pt idx="52">
                  <c:v>26.528400000000001</c:v>
                </c:pt>
                <c:pt idx="53">
                  <c:v>26.607799999999997</c:v>
                </c:pt>
                <c:pt idx="54">
                  <c:v>26.663500000000003</c:v>
                </c:pt>
                <c:pt idx="55">
                  <c:v>26.6922</c:v>
                </c:pt>
                <c:pt idx="56">
                  <c:v>26.711500000000001</c:v>
                </c:pt>
                <c:pt idx="57">
                  <c:v>26.704000000000001</c:v>
                </c:pt>
                <c:pt idx="58">
                  <c:v>26.658300000000001</c:v>
                </c:pt>
                <c:pt idx="59">
                  <c:v>26.566099999999999</c:v>
                </c:pt>
                <c:pt idx="60">
                  <c:v>26.4208</c:v>
                </c:pt>
                <c:pt idx="61">
                  <c:v>26.241399999999999</c:v>
                </c:pt>
                <c:pt idx="62">
                  <c:v>26.046200000000002</c:v>
                </c:pt>
                <c:pt idx="63">
                  <c:v>25.908199999999997</c:v>
                </c:pt>
                <c:pt idx="64">
                  <c:v>25.828499999999998</c:v>
                </c:pt>
                <c:pt idx="65">
                  <c:v>25.7486</c:v>
                </c:pt>
                <c:pt idx="66">
                  <c:v>25.693999999999999</c:v>
                </c:pt>
                <c:pt idx="67">
                  <c:v>25.624200000000002</c:v>
                </c:pt>
                <c:pt idx="68">
                  <c:v>25.542999999999999</c:v>
                </c:pt>
                <c:pt idx="69">
                  <c:v>25.571999999999999</c:v>
                </c:pt>
                <c:pt idx="70">
                  <c:v>25.8612</c:v>
                </c:pt>
                <c:pt idx="71">
                  <c:v>25.8811</c:v>
                </c:pt>
                <c:pt idx="72">
                  <c:v>25.901999999999997</c:v>
                </c:pt>
                <c:pt idx="73">
                  <c:v>26.011400000000002</c:v>
                </c:pt>
                <c:pt idx="74">
                  <c:v>25.7544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4.0106900000000003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34.280500000000004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4.7096321621621637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30.002906756756765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4.5505945945945934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25.122710810810812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4.5505945945945934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25.122710810810812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5"/>
      <c r="D1" s="116"/>
      <c r="E1" s="116"/>
      <c r="F1" s="116"/>
      <c r="G1" s="116"/>
      <c r="H1" s="116"/>
      <c r="I1" s="116"/>
      <c r="J1" s="26"/>
      <c r="K1" s="8"/>
      <c r="L1" s="2"/>
      <c r="M1" s="2"/>
      <c r="N1" s="2"/>
      <c r="O1" s="2"/>
      <c r="P1" s="2"/>
    </row>
    <row r="2" spans="2:21" ht="27.75" customHeight="1" thickBot="1">
      <c r="B2" s="156" t="s">
        <v>290</v>
      </c>
      <c r="C2" s="157"/>
      <c r="D2" s="157"/>
      <c r="E2" s="157"/>
      <c r="F2" s="157"/>
      <c r="G2" s="157"/>
      <c r="H2" s="157"/>
      <c r="I2" s="157"/>
      <c r="J2" s="157"/>
      <c r="K2" s="157"/>
      <c r="L2" s="90"/>
      <c r="M2" s="90"/>
      <c r="N2" s="90"/>
      <c r="O2" s="90"/>
      <c r="P2" s="90"/>
    </row>
    <row r="3" spans="2:21" ht="13.5">
      <c r="B3" s="138" t="str">
        <f>lang!B2</f>
        <v>心理生理状态分析结果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2:21" ht="34.5" customHeight="1" thickBot="1">
      <c r="B4" s="141"/>
      <c r="C4" s="142"/>
      <c r="D4" s="142"/>
      <c r="E4" s="142"/>
      <c r="F4" s="142"/>
      <c r="G4" s="142"/>
      <c r="H4" s="142"/>
      <c r="I4" s="142"/>
      <c r="J4" s="142"/>
      <c r="K4" s="143"/>
    </row>
    <row r="5" spans="2:21" ht="16.5" customHeight="1">
      <c r="B5" s="45" t="str">
        <f>lang!B24</f>
        <v>姓名</v>
      </c>
      <c r="C5" s="199" t="s">
        <v>518</v>
      </c>
      <c r="D5" s="153"/>
      <c r="E5" s="153"/>
      <c r="F5" s="154"/>
      <c r="G5" s="48" t="str">
        <f>lang!B27</f>
        <v>编号</v>
      </c>
      <c r="H5" s="152">
        <v>2</v>
      </c>
      <c r="I5" s="153"/>
      <c r="J5" s="153"/>
      <c r="K5" s="155"/>
    </row>
    <row r="6" spans="2:21" ht="17.25" customHeight="1">
      <c r="B6" s="46" t="str">
        <f>lang!B25</f>
        <v>性别</v>
      </c>
      <c r="C6" s="200" t="s">
        <v>517</v>
      </c>
      <c r="D6" s="190"/>
      <c r="E6" s="190"/>
      <c r="F6" s="191"/>
      <c r="G6" s="49" t="str">
        <f>lang!B28</f>
        <v xml:space="preserve"> 日期</v>
      </c>
      <c r="H6" s="174">
        <f>FH_info!A2</f>
        <v>43605.436469907407</v>
      </c>
      <c r="I6" s="175"/>
      <c r="J6" s="175"/>
      <c r="K6" s="176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2">
        <v>59</v>
      </c>
      <c r="D7" s="193"/>
      <c r="E7" s="193"/>
      <c r="F7" s="194"/>
      <c r="G7" s="50" t="str">
        <f>lang!B29</f>
        <v>误差率（%）</v>
      </c>
      <c r="H7" s="177">
        <f>M!B17*1</f>
        <v>11.9991</v>
      </c>
      <c r="I7" s="178"/>
      <c r="J7" s="178"/>
      <c r="K7" s="179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70" t="str">
        <f>lang!B30</f>
        <v>10项参数结果</v>
      </c>
      <c r="C8" s="171"/>
      <c r="D8" s="172"/>
      <c r="E8" s="172"/>
      <c r="F8" s="172"/>
      <c r="G8" s="172"/>
      <c r="H8" s="172"/>
      <c r="I8" s="172"/>
      <c r="J8" s="172"/>
      <c r="K8" s="173"/>
      <c r="M8" s="27" t="str">
        <f>lang!B14</f>
        <v>攻击性</v>
      </c>
      <c r="N8" s="59">
        <f>M!B5*1</f>
        <v>53.235999999999997</v>
      </c>
      <c r="O8" s="59">
        <f>M!C5*1</f>
        <v>5.2228500000000002</v>
      </c>
      <c r="P8" s="59">
        <f>M!D5*1</f>
        <v>9.8107500000000005</v>
      </c>
      <c r="Q8" s="59">
        <f>M!E5*1</f>
        <v>20</v>
      </c>
      <c r="R8" s="59">
        <f>M!F5*1</f>
        <v>30.689699999999998</v>
      </c>
      <c r="S8" s="59">
        <f>M!G5*1</f>
        <v>50</v>
      </c>
      <c r="T8" s="59">
        <f>M!H5*1</f>
        <v>59.675800000000002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28.5823</v>
      </c>
      <c r="O9" s="59">
        <f>M!C6*1</f>
        <v>1.1163000000000001</v>
      </c>
      <c r="P9" s="59">
        <f>M!D6*1</f>
        <v>3.90557</v>
      </c>
      <c r="Q9" s="59">
        <f>M!E6*1</f>
        <v>20</v>
      </c>
      <c r="R9" s="59">
        <f>M!F6*1</f>
        <v>25.841200000000001</v>
      </c>
      <c r="S9" s="59">
        <f>M!G6*1</f>
        <v>40</v>
      </c>
      <c r="T9" s="59">
        <f>M!H6*1</f>
        <v>30.228100000000001</v>
      </c>
      <c r="U9" s="15"/>
    </row>
    <row r="10" spans="2:21" s="7" customFormat="1" ht="21" customHeight="1">
      <c r="B10" s="91" t="str">
        <f>CONCATENATE(M8,"
(20 ~ 50)")</f>
        <v>攻击性
(20 ~ 50)</v>
      </c>
      <c r="C10" s="104">
        <f>R8</f>
        <v>30.689699999999998</v>
      </c>
      <c r="D10" s="105">
        <f>N8</f>
        <v>53.235999999999997</v>
      </c>
      <c r="E10" s="106">
        <f>T8</f>
        <v>59.675800000000002</v>
      </c>
      <c r="F10" s="92">
        <f>P8</f>
        <v>9.8107500000000005</v>
      </c>
      <c r="G10" s="93" t="str">
        <f>CONCATENATE(M9,"
(20 ~ 40)")</f>
        <v>压力
(20 ~ 40)</v>
      </c>
      <c r="H10" s="104">
        <f>R9</f>
        <v>25.841200000000001</v>
      </c>
      <c r="I10" s="114">
        <f>N9</f>
        <v>28.5823</v>
      </c>
      <c r="J10" s="104">
        <f>T9</f>
        <v>30.228100000000001</v>
      </c>
      <c r="K10" s="94">
        <f>P9</f>
        <v>3.90557</v>
      </c>
      <c r="L10" s="6"/>
      <c r="M10" s="27" t="str">
        <f>lang!B16</f>
        <v>焦虑</v>
      </c>
      <c r="N10" s="59">
        <f>M!B7*1</f>
        <v>22.459099999999999</v>
      </c>
      <c r="O10" s="59">
        <f>M!C7*1</f>
        <v>6.2114700000000003</v>
      </c>
      <c r="P10" s="59">
        <f>M!D7*1</f>
        <v>27.6568</v>
      </c>
      <c r="Q10" s="59">
        <f>M!E7*1</f>
        <v>15</v>
      </c>
      <c r="R10" s="59">
        <f>M!F7*1</f>
        <v>8.8666800000000006</v>
      </c>
      <c r="S10" s="59">
        <f>M!G7*1</f>
        <v>40</v>
      </c>
      <c r="T10" s="59">
        <f>M!H7*1</f>
        <v>39.715499999999999</v>
      </c>
      <c r="U10" s="14"/>
    </row>
    <row r="11" spans="2:21" s="5" customFormat="1" ht="22.5" customHeight="1">
      <c r="B11" s="95" t="str">
        <f>CONCATENATE(M10,"
(15 ~ 40)")</f>
        <v>焦虑
(15 ~ 40)</v>
      </c>
      <c r="C11" s="107">
        <f>R10</f>
        <v>8.8666800000000006</v>
      </c>
      <c r="D11" s="108">
        <f>N10</f>
        <v>22.459099999999999</v>
      </c>
      <c r="E11" s="109">
        <f>T10</f>
        <v>39.715499999999999</v>
      </c>
      <c r="F11" s="97">
        <f>P10</f>
        <v>27.6568</v>
      </c>
      <c r="G11" s="98" t="str">
        <f>CONCATENATE(M11,"
(20 ~ 50)")</f>
        <v>可疑
(20 ~ 50)</v>
      </c>
      <c r="H11" s="107">
        <f>R11</f>
        <v>24.417899999999999</v>
      </c>
      <c r="I11" s="110">
        <f>N11</f>
        <v>34.757599999999996</v>
      </c>
      <c r="J11" s="107">
        <f>T11</f>
        <v>39.455500000000001</v>
      </c>
      <c r="K11" s="99">
        <f>P11</f>
        <v>9.0680899999999998</v>
      </c>
      <c r="L11" s="4"/>
      <c r="M11" s="27" t="str">
        <f>lang!B17</f>
        <v>可疑</v>
      </c>
      <c r="N11" s="59">
        <f>M!B8*1</f>
        <v>34.757599999999996</v>
      </c>
      <c r="O11" s="59">
        <f>M!C8*1</f>
        <v>3.15185</v>
      </c>
      <c r="P11" s="59">
        <f>M!D8*1</f>
        <v>9.0680899999999998</v>
      </c>
      <c r="Q11" s="59">
        <f>M!E8*1</f>
        <v>20</v>
      </c>
      <c r="R11" s="59">
        <f>M!F8*1</f>
        <v>24.417899999999999</v>
      </c>
      <c r="S11" s="59">
        <f>M!G8*1</f>
        <v>50</v>
      </c>
      <c r="T11" s="59">
        <f>M!H8*1</f>
        <v>39.455500000000001</v>
      </c>
      <c r="U11" s="14"/>
    </row>
    <row r="12" spans="2:21" s="5" customFormat="1" ht="21.75" customHeight="1">
      <c r="B12" s="95" t="str">
        <f>CONCATENATE(M12,"
(50 ~ 100)")</f>
        <v>平衡
(50 ~ 100)</v>
      </c>
      <c r="C12" s="107">
        <f>R12</f>
        <v>47.572600000000001</v>
      </c>
      <c r="D12" s="110">
        <f>N12</f>
        <v>67.217200000000005</v>
      </c>
      <c r="E12" s="107">
        <f>T12</f>
        <v>77.438800000000001</v>
      </c>
      <c r="F12" s="96">
        <f>P12</f>
        <v>8.0101099999999992</v>
      </c>
      <c r="G12" s="98" t="str">
        <f>CONCATENATE(M13,"
(40 ~ 100)")</f>
        <v>自信
(40 ~ 100)</v>
      </c>
      <c r="H12" s="107">
        <f>R13</f>
        <v>70.017799999999994</v>
      </c>
      <c r="I12" s="110">
        <f>N13</f>
        <v>74.688699999999997</v>
      </c>
      <c r="J12" s="107">
        <f>T13</f>
        <v>81.0749</v>
      </c>
      <c r="K12" s="99">
        <f>P13</f>
        <v>2.7421099999999998</v>
      </c>
      <c r="L12" s="4"/>
      <c r="M12" s="27" t="str">
        <f>lang!B18</f>
        <v>平衡</v>
      </c>
      <c r="N12" s="59">
        <f>M!B9*1</f>
        <v>67.217200000000005</v>
      </c>
      <c r="O12" s="59">
        <f>M!C9*1</f>
        <v>5.3841799999999997</v>
      </c>
      <c r="P12" s="59">
        <f>M!D9*1</f>
        <v>8.0101099999999992</v>
      </c>
      <c r="Q12" s="59">
        <f>M!E9*1</f>
        <v>50</v>
      </c>
      <c r="R12" s="59">
        <f>M!F9*1</f>
        <v>47.572600000000001</v>
      </c>
      <c r="S12" s="59">
        <f>M!G9*1</f>
        <v>100</v>
      </c>
      <c r="T12" s="59">
        <f>M!H9*1</f>
        <v>77.438800000000001</v>
      </c>
      <c r="U12" s="14"/>
    </row>
    <row r="13" spans="2:21" s="5" customFormat="1" ht="24" customHeight="1">
      <c r="B13" s="95" t="str">
        <f>CONCATENATE(M14,"
(10 ~ 50)")</f>
        <v>活力
(10 ~ 50)</v>
      </c>
      <c r="C13" s="107">
        <f>R14</f>
        <v>21.253699999999998</v>
      </c>
      <c r="D13" s="108">
        <f>N14</f>
        <v>31.401299999999999</v>
      </c>
      <c r="E13" s="109">
        <f>T14</f>
        <v>35.4621</v>
      </c>
      <c r="F13" s="97">
        <f>P14</f>
        <v>9.6492599999999999</v>
      </c>
      <c r="G13" s="98" t="str">
        <f>CONCATENATE(M15,"
(50 ~ 100)")</f>
        <v>自我调节
(50 ~ 100)</v>
      </c>
      <c r="H13" s="107">
        <f>R15</f>
        <v>60.844299999999997</v>
      </c>
      <c r="I13" s="110">
        <f>N15</f>
        <v>70.858699999999999</v>
      </c>
      <c r="J13" s="107">
        <f>T15</f>
        <v>77.8245</v>
      </c>
      <c r="K13" s="99">
        <f>P15</f>
        <v>4.1689699999999998</v>
      </c>
      <c r="L13" s="4"/>
      <c r="M13" s="27" t="str">
        <f>lang!B19</f>
        <v>自信</v>
      </c>
      <c r="N13" s="59">
        <f>M!B10*1</f>
        <v>74.688699999999997</v>
      </c>
      <c r="O13" s="59">
        <f>M!C10*1</f>
        <v>2.0480399999999999</v>
      </c>
      <c r="P13" s="59">
        <f>M!D10*1</f>
        <v>2.7421099999999998</v>
      </c>
      <c r="Q13" s="59">
        <f>M!E10*1</f>
        <v>40</v>
      </c>
      <c r="R13" s="59">
        <f>M!F10*1</f>
        <v>70.017799999999994</v>
      </c>
      <c r="S13" s="59">
        <f>M!G10*1</f>
        <v>100</v>
      </c>
      <c r="T13" s="59">
        <f>M!H10*1</f>
        <v>81.0749</v>
      </c>
      <c r="U13" s="15"/>
    </row>
    <row r="14" spans="2:21" ht="25.5" customHeight="1" thickBot="1">
      <c r="B14" s="100" t="str">
        <f>CONCATENATE(M16,"
(10 ~ 25)")</f>
        <v>抑郁
(10 ~ 25)</v>
      </c>
      <c r="C14" s="111">
        <f>R16</f>
        <v>14.755100000000001</v>
      </c>
      <c r="D14" s="112">
        <f>N16</f>
        <v>18.537299999999998</v>
      </c>
      <c r="E14" s="113">
        <f>T16</f>
        <v>26.399100000000001</v>
      </c>
      <c r="F14" s="101">
        <f>P16</f>
        <v>13.9901</v>
      </c>
      <c r="G14" s="102" t="str">
        <f>CONCATENATE(M17,"
(10 ~ 50)")</f>
        <v>神经质
(10 ~ 50)</v>
      </c>
      <c r="H14" s="111">
        <f>R17</f>
        <v>1.8821300000000001</v>
      </c>
      <c r="I14" s="112">
        <f>N17</f>
        <v>25.933900000000001</v>
      </c>
      <c r="J14" s="113">
        <f>T17</f>
        <v>28.566600000000001</v>
      </c>
      <c r="K14" s="103">
        <f>P17</f>
        <v>30.9894</v>
      </c>
      <c r="M14" s="27" t="str">
        <f>lang!B20</f>
        <v>活力</v>
      </c>
      <c r="N14" s="59">
        <f>M!B11*1</f>
        <v>31.401299999999999</v>
      </c>
      <c r="O14" s="59">
        <f>M!C11*1</f>
        <v>3.03</v>
      </c>
      <c r="P14" s="59">
        <f>M!D11*1</f>
        <v>9.6492599999999999</v>
      </c>
      <c r="Q14" s="59">
        <f>M!E11*1</f>
        <v>10</v>
      </c>
      <c r="R14" s="59">
        <f>M!F11*1</f>
        <v>21.253699999999998</v>
      </c>
      <c r="S14" s="59">
        <f>M!G11*1</f>
        <v>50</v>
      </c>
      <c r="T14" s="59">
        <f>M!H11*1</f>
        <v>35.4621</v>
      </c>
      <c r="U14" s="14"/>
    </row>
    <row r="15" spans="2:21" ht="19.5" customHeight="1" thickBot="1">
      <c r="B15" s="149" t="str">
        <f>lang!B3</f>
        <v>参数表</v>
      </c>
      <c r="C15" s="150"/>
      <c r="D15" s="150"/>
      <c r="E15" s="150"/>
      <c r="F15" s="151"/>
      <c r="G15" s="146" t="str">
        <f>lang!B4</f>
        <v>情感状态分布图</v>
      </c>
      <c r="H15" s="147"/>
      <c r="I15" s="147"/>
      <c r="J15" s="147"/>
      <c r="K15" s="148"/>
      <c r="M15" s="27" t="str">
        <f>lang!B21</f>
        <v>自我调节</v>
      </c>
      <c r="N15" s="59">
        <f>M!B12*1</f>
        <v>70.858699999999999</v>
      </c>
      <c r="O15" s="59">
        <f>M!C12*1</f>
        <v>2.9540799999999998</v>
      </c>
      <c r="P15" s="59">
        <f>M!D12*1</f>
        <v>4.1689699999999998</v>
      </c>
      <c r="Q15" s="59">
        <f>M!E12*1</f>
        <v>50</v>
      </c>
      <c r="R15" s="59">
        <f>M!F12*1</f>
        <v>60.844299999999997</v>
      </c>
      <c r="S15" s="59">
        <f>M!G12*1</f>
        <v>100</v>
      </c>
      <c r="T15" s="59">
        <f>M!H12*1</f>
        <v>77.8245</v>
      </c>
      <c r="U15" s="14"/>
    </row>
    <row r="16" spans="2:21" ht="21" customHeight="1">
      <c r="B16" s="38"/>
      <c r="C16" s="28"/>
      <c r="D16" s="28"/>
      <c r="E16" s="28"/>
      <c r="F16" s="28"/>
      <c r="G16" s="127"/>
      <c r="H16" s="128"/>
      <c r="I16" s="128"/>
      <c r="J16" s="128"/>
      <c r="K16" s="129"/>
      <c r="M16" s="27" t="str">
        <f>lang!B22</f>
        <v>抑郁</v>
      </c>
      <c r="N16" s="59">
        <f>M!B13*1</f>
        <v>18.537299999999998</v>
      </c>
      <c r="O16" s="59">
        <f>M!C13*1</f>
        <v>2.5933899999999999</v>
      </c>
      <c r="P16" s="59">
        <f>M!D13*1</f>
        <v>13.9901</v>
      </c>
      <c r="Q16" s="59">
        <f>M!E13*1</f>
        <v>10</v>
      </c>
      <c r="R16" s="59">
        <f>M!F13*1</f>
        <v>14.755100000000001</v>
      </c>
      <c r="S16" s="59">
        <f>M!G13*1</f>
        <v>25</v>
      </c>
      <c r="T16" s="59">
        <f>M!H13*1</f>
        <v>26.399100000000001</v>
      </c>
      <c r="U16" s="14"/>
    </row>
    <row r="17" spans="2:24" ht="21" customHeight="1">
      <c r="B17" s="29"/>
      <c r="C17" s="32"/>
      <c r="D17" s="32"/>
      <c r="E17" s="32"/>
      <c r="F17" s="32"/>
      <c r="G17" s="130"/>
      <c r="H17" s="131"/>
      <c r="I17" s="131"/>
      <c r="J17" s="131"/>
      <c r="K17" s="132"/>
      <c r="M17" s="27" t="str">
        <f>lang!B23</f>
        <v>神经质</v>
      </c>
      <c r="N17" s="59">
        <f>M!B14*1</f>
        <v>25.933900000000001</v>
      </c>
      <c r="O17" s="59">
        <f>M!C14*1</f>
        <v>8.0367499999999996</v>
      </c>
      <c r="P17" s="59">
        <f>M!D14*1</f>
        <v>30.9894</v>
      </c>
      <c r="Q17" s="59">
        <f>M!E14*1</f>
        <v>10</v>
      </c>
      <c r="R17" s="59">
        <f>M!F14*1</f>
        <v>1.8821300000000001</v>
      </c>
      <c r="S17" s="59">
        <f>M!G14*1</f>
        <v>50</v>
      </c>
      <c r="T17" s="59">
        <f>M!H14*1</f>
        <v>28.566600000000001</v>
      </c>
      <c r="U17" s="15"/>
    </row>
    <row r="18" spans="2:24" ht="21" customHeight="1">
      <c r="B18" s="29"/>
      <c r="C18" s="32"/>
      <c r="D18" s="32"/>
      <c r="E18" s="32"/>
      <c r="F18" s="32"/>
      <c r="G18" s="130"/>
      <c r="H18" s="131"/>
      <c r="I18" s="131"/>
      <c r="J18" s="131"/>
      <c r="K18" s="132"/>
      <c r="M18" s="21" t="str">
        <f>lang!B7</f>
        <v>Positive</v>
      </c>
      <c r="N18" s="65">
        <f>SUM(N12:N15)/4</f>
        <v>61.041474999999998</v>
      </c>
      <c r="O18" s="22">
        <f>N18/(N18+N19+N20)</f>
        <v>0.51714362991066487</v>
      </c>
      <c r="P18" s="65">
        <f>SUM(P12:P15)/4</f>
        <v>6.1426125000000003</v>
      </c>
      <c r="Q18" s="22">
        <f>P18/(P18+P19+P20)</f>
        <v>0.14893830211990422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30"/>
      <c r="H19" s="131"/>
      <c r="I19" s="131"/>
      <c r="J19" s="131"/>
      <c r="K19" s="132"/>
      <c r="M19" s="21" t="str">
        <f>lang!B8</f>
        <v>Negative</v>
      </c>
      <c r="N19" s="18">
        <f>SUM(N8:N11)/4</f>
        <v>34.758749999999999</v>
      </c>
      <c r="O19" s="22">
        <f>N19/(N18+N19+N20)</f>
        <v>0.29447627447006025</v>
      </c>
      <c r="P19" s="18">
        <f>SUM(P8:P11)/4</f>
        <v>12.6103025</v>
      </c>
      <c r="Q19" s="22">
        <f>P19/(P18+P19+P20)</f>
        <v>0.30575867248151878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30"/>
      <c r="H20" s="131"/>
      <c r="I20" s="131"/>
      <c r="J20" s="131"/>
      <c r="K20" s="132"/>
      <c r="M20" s="21" t="str">
        <f>lang!B9</f>
        <v>Physiological</v>
      </c>
      <c r="N20" s="18">
        <f>(N16+N17)/2</f>
        <v>22.235599999999998</v>
      </c>
      <c r="O20" s="22">
        <f>N20/(N18+N19+N20)</f>
        <v>0.18838009561927491</v>
      </c>
      <c r="P20" s="18">
        <f>(P16+P17)/2</f>
        <v>22.489750000000001</v>
      </c>
      <c r="Q20" s="22">
        <f>P20/(P18+P19+P20)</f>
        <v>0.54530302539857689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30"/>
      <c r="H21" s="131"/>
      <c r="I21" s="131"/>
      <c r="J21" s="131"/>
      <c r="K21" s="132"/>
      <c r="M21" s="21" t="str">
        <f>lang!B50</f>
        <v>Sat</v>
      </c>
      <c r="N21" s="88">
        <f ca="1">(info!V3-info!U3)-(info!X3-info!W3)</f>
        <v>-3.289820270270255E-2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30"/>
      <c r="H22" s="131"/>
      <c r="I22" s="131"/>
      <c r="J22" s="131"/>
      <c r="K22" s="132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3"/>
      <c r="H23" s="134"/>
      <c r="I23" s="134"/>
      <c r="J23" s="134"/>
      <c r="K23" s="135"/>
      <c r="M23" s="16"/>
      <c r="O23" s="17"/>
      <c r="Q23"/>
      <c r="T23"/>
      <c r="U23" s="19"/>
    </row>
    <row r="24" spans="2:24" ht="17.25" customHeight="1" thickBot="1">
      <c r="B24" s="195" t="str">
        <f>lang!B5</f>
        <v>频率分布直方图</v>
      </c>
      <c r="C24" s="196"/>
      <c r="D24" s="196"/>
      <c r="E24" s="196"/>
      <c r="F24" s="197"/>
      <c r="G24" s="124" t="str">
        <f>lang!B6</f>
        <v xml:space="preserve">心理变化 - 心理基础代谢 </v>
      </c>
      <c r="H24" s="125"/>
      <c r="I24" s="125"/>
      <c r="J24" s="125"/>
      <c r="K24" s="126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2.2529228864243649</v>
      </c>
      <c r="D25" s="44" t="str">
        <f>lang!B11</f>
        <v>频率方差</v>
      </c>
      <c r="E25" s="144">
        <f ca="1">FH!L3</f>
        <v>0.71869072664222167</v>
      </c>
      <c r="F25" s="145"/>
      <c r="G25" s="136" t="str">
        <f>lang!B12</f>
        <v>生理变化率</v>
      </c>
      <c r="H25" s="137"/>
      <c r="I25" s="62" t="str">
        <f ca="1">CONCATENATE(info!M7,"-",info!M8)</f>
        <v>22.8-34.3</v>
      </c>
      <c r="J25" s="42" t="str">
        <f>lang!B13</f>
        <v>千卡l/分钟</v>
      </c>
      <c r="K25" s="41" t="str">
        <f ca="1">CONCATENATE(info!M5,"-",info!M6)</f>
        <v>4-4.9</v>
      </c>
      <c r="M25" s="16"/>
      <c r="O25" s="17"/>
      <c r="P25" s="17"/>
      <c r="Q25"/>
      <c r="T25"/>
      <c r="U25" s="19"/>
    </row>
    <row r="26" spans="2:24" ht="156.75" customHeight="1" thickBot="1">
      <c r="B26" s="117" ph="1"/>
      <c r="C26" s="118" ph="1"/>
      <c r="D26" s="118" ph="1"/>
      <c r="E26" s="119" ph="1"/>
      <c r="F26" s="39" ph="1"/>
      <c r="G26" s="120"/>
      <c r="H26" s="121"/>
      <c r="I26" s="121"/>
      <c r="J26" s="122"/>
      <c r="K26" s="123"/>
      <c r="M26"/>
      <c r="O26" s="17"/>
      <c r="Q26"/>
      <c r="T26"/>
      <c r="U26" s="19"/>
    </row>
    <row r="27" spans="2:24" ht="15" customHeight="1" thickBot="1">
      <c r="B27" s="164" t="str">
        <f>CONCATENATE( lang!B31," ",ROUND(100-FH_info!L2,0),"%]")</f>
        <v>Result [Quality 100%]</v>
      </c>
      <c r="C27" s="165"/>
      <c r="D27" s="165"/>
      <c r="E27" s="165"/>
      <c r="F27" s="165"/>
      <c r="G27" s="165"/>
      <c r="H27" s="165"/>
      <c r="I27" s="165"/>
      <c r="J27" s="165"/>
      <c r="K27" s="166"/>
      <c r="M27"/>
      <c r="Q27"/>
      <c r="T27"/>
    </row>
    <row r="28" spans="2:24" ht="15.75" thickBot="1">
      <c r="B28" s="180" t="str">
        <f>lang!B32</f>
        <v>外向性</v>
      </c>
      <c r="C28" s="181"/>
      <c r="D28" s="182"/>
      <c r="E28" s="164">
        <f>M!B18*100</f>
        <v>37.338900000000002</v>
      </c>
      <c r="F28" s="166"/>
      <c r="G28" s="180" t="str">
        <f>lang!B33</f>
        <v>稳定性</v>
      </c>
      <c r="H28" s="181"/>
      <c r="I28" s="182"/>
      <c r="J28" s="183">
        <f>M!B19*100</f>
        <v>38.711100000000002</v>
      </c>
      <c r="K28" s="184"/>
    </row>
    <row r="29" spans="2:24" ht="24.75" customHeight="1">
      <c r="B29" s="167" t="str">
        <f>lang!B34</f>
        <v xml:space="preserve">心理生理状态分析结果： </v>
      </c>
      <c r="C29" s="168"/>
      <c r="D29" s="168"/>
      <c r="E29" s="168"/>
      <c r="F29" s="168"/>
      <c r="G29" s="168"/>
      <c r="H29" s="168"/>
      <c r="I29" s="168"/>
      <c r="J29" s="168"/>
      <c r="K29" s="169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5" t="str">
        <f>lang!B37</f>
        <v>意见</v>
      </c>
      <c r="C32" s="186"/>
      <c r="D32" s="187"/>
      <c r="E32" s="187"/>
      <c r="F32" s="187"/>
      <c r="G32" s="187"/>
      <c r="H32" s="187"/>
      <c r="I32" s="187"/>
      <c r="J32" s="187"/>
      <c r="K32" s="188"/>
      <c r="M32"/>
      <c r="Q32"/>
      <c r="T32"/>
      <c r="W32" s="33"/>
      <c r="X32" s="33"/>
    </row>
    <row r="33" spans="2:24" ht="18" customHeight="1">
      <c r="B33" s="158"/>
      <c r="C33" s="159"/>
      <c r="D33" s="159"/>
      <c r="E33" s="159"/>
      <c r="F33" s="159"/>
      <c r="G33" s="159"/>
      <c r="H33" s="159"/>
      <c r="I33" s="159"/>
      <c r="J33" s="159"/>
      <c r="K33" s="160"/>
      <c r="M33"/>
      <c r="Q33"/>
      <c r="T33"/>
      <c r="W33" s="33"/>
      <c r="X33" s="33"/>
    </row>
    <row r="34" spans="2:24" ht="20.25" customHeight="1">
      <c r="B34" s="158"/>
      <c r="C34" s="159"/>
      <c r="D34" s="159"/>
      <c r="E34" s="159"/>
      <c r="F34" s="159"/>
      <c r="G34" s="159"/>
      <c r="H34" s="159"/>
      <c r="I34" s="159"/>
      <c r="J34" s="159"/>
      <c r="K34" s="160"/>
      <c r="M34"/>
      <c r="Q34"/>
      <c r="T34"/>
      <c r="W34" s="33"/>
      <c r="X34" s="33"/>
    </row>
    <row r="35" spans="2:24" ht="35.25" customHeight="1" thickBot="1">
      <c r="B35" s="161"/>
      <c r="C35" s="162"/>
      <c r="D35" s="162"/>
      <c r="E35" s="162"/>
      <c r="F35" s="162"/>
      <c r="G35" s="162"/>
      <c r="H35" s="162"/>
      <c r="I35" s="162"/>
      <c r="J35" s="162"/>
      <c r="K35" s="163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92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5"/>
      <c r="D1" s="116"/>
      <c r="E1" s="116"/>
      <c r="F1" s="116"/>
      <c r="G1" s="116"/>
      <c r="H1" s="116"/>
      <c r="I1" s="116"/>
      <c r="J1" s="87"/>
      <c r="K1" s="87"/>
      <c r="L1" s="86"/>
      <c r="M1" s="86"/>
      <c r="N1" s="86"/>
      <c r="O1" s="86"/>
      <c r="P1" s="86"/>
    </row>
    <row r="2" spans="2:38" ht="13.5">
      <c r="B2" s="138" t="str">
        <f>lang!B2</f>
        <v>心理生理状态分析结果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2:38" ht="31.5" customHeight="1" thickBot="1">
      <c r="B3" s="141"/>
      <c r="C3" s="142"/>
      <c r="D3" s="142"/>
      <c r="E3" s="142"/>
      <c r="F3" s="142"/>
      <c r="G3" s="142"/>
      <c r="H3" s="142"/>
      <c r="I3" s="142"/>
      <c r="J3" s="142"/>
      <c r="K3" s="143"/>
    </row>
    <row r="4" spans="2:38" ht="16.5" customHeight="1">
      <c r="B4" s="45" t="str">
        <f>lang!B24</f>
        <v>姓名</v>
      </c>
      <c r="C4" s="152" t="str">
        <f>FH_info!B2</f>
        <v>.</v>
      </c>
      <c r="D4" s="153"/>
      <c r="E4" s="153"/>
      <c r="F4" s="154"/>
      <c r="G4" s="48" t="str">
        <f>lang!B27</f>
        <v>编号</v>
      </c>
      <c r="H4" s="152"/>
      <c r="I4" s="153"/>
      <c r="J4" s="153"/>
      <c r="K4" s="155"/>
    </row>
    <row r="5" spans="2:38" ht="17.25" customHeight="1">
      <c r="B5" s="46" t="str">
        <f>lang!B25</f>
        <v>性别</v>
      </c>
      <c r="C5" s="189"/>
      <c r="D5" s="190"/>
      <c r="E5" s="190"/>
      <c r="F5" s="191"/>
      <c r="G5" s="49" t="str">
        <f>lang!B28</f>
        <v xml:space="preserve"> 日期</v>
      </c>
      <c r="H5" s="174">
        <f>FH_info!A2</f>
        <v>43605.436469907407</v>
      </c>
      <c r="I5" s="175"/>
      <c r="J5" s="175"/>
      <c r="K5" s="176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2"/>
      <c r="D6" s="193"/>
      <c r="E6" s="193"/>
      <c r="F6" s="194"/>
      <c r="G6" s="50" t="str">
        <f>lang!B29</f>
        <v>误差率（%）</v>
      </c>
      <c r="H6" s="177">
        <f>dM!B17*1</f>
        <v>0</v>
      </c>
      <c r="I6" s="178"/>
      <c r="J6" s="178"/>
      <c r="K6" s="179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70" t="str">
        <f>lang!B30</f>
        <v>10项参数结果</v>
      </c>
      <c r="C7" s="171"/>
      <c r="D7" s="172"/>
      <c r="E7" s="172"/>
      <c r="F7" s="172"/>
      <c r="G7" s="172"/>
      <c r="H7" s="172"/>
      <c r="I7" s="172"/>
      <c r="J7" s="172"/>
      <c r="K7" s="173"/>
      <c r="M7" s="27" t="str">
        <f>lang!B14</f>
        <v>攻击性</v>
      </c>
      <c r="N7" s="59">
        <f>AF7-W7</f>
        <v>2.1487999999999943</v>
      </c>
      <c r="O7" s="59">
        <f t="shared" ref="O7:T7" si="2">AG7-X7</f>
        <v>-3.3235100000000002</v>
      </c>
      <c r="P7" s="59">
        <f t="shared" si="2"/>
        <v>-6.56229</v>
      </c>
      <c r="Q7" s="59">
        <f t="shared" si="2"/>
        <v>0</v>
      </c>
      <c r="R7" s="59">
        <f t="shared" si="2"/>
        <v>15.031299999999998</v>
      </c>
      <c r="S7" s="59">
        <f t="shared" si="2"/>
        <v>0</v>
      </c>
      <c r="T7" s="59">
        <f t="shared" si="2"/>
        <v>0.74750000000000227</v>
      </c>
      <c r="U7" s="14"/>
      <c r="V7" s="27" t="str">
        <f>M7</f>
        <v>攻击性</v>
      </c>
      <c r="W7" s="59">
        <f>'M1'!B5*1</f>
        <v>52.320300000000003</v>
      </c>
      <c r="X7" s="59">
        <f>'M1'!C5*1</f>
        <v>6.1097700000000001</v>
      </c>
      <c r="Y7" s="59">
        <f>'M1'!D5*1</f>
        <v>11.6776</v>
      </c>
      <c r="Z7" s="59">
        <f>'M1'!E5*1</f>
        <v>20</v>
      </c>
      <c r="AA7" s="59">
        <f>'M1'!F5*1</f>
        <v>30.689699999999998</v>
      </c>
      <c r="AB7" s="59">
        <f>'M1'!G5*1</f>
        <v>50</v>
      </c>
      <c r="AC7" s="59">
        <f>'M1'!H5*1</f>
        <v>58.9283</v>
      </c>
      <c r="AE7" s="27" t="str">
        <f>V7</f>
        <v>攻击性</v>
      </c>
      <c r="AF7" s="59">
        <f>'M2'!B5*1</f>
        <v>54.469099999999997</v>
      </c>
      <c r="AG7" s="59">
        <f>'M2'!C5*1</f>
        <v>2.78626</v>
      </c>
      <c r="AH7" s="59">
        <f>'M2'!D5*1</f>
        <v>5.11531</v>
      </c>
      <c r="AI7" s="59">
        <f>'M2'!E5*1</f>
        <v>20</v>
      </c>
      <c r="AJ7" s="59">
        <f>'M2'!F5*1</f>
        <v>45.720999999999997</v>
      </c>
      <c r="AK7" s="59">
        <f>'M2'!G5*1</f>
        <v>50</v>
      </c>
      <c r="AL7" s="59">
        <f>'M2'!H5*1</f>
        <v>59.675800000000002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-0.7798000000000016</v>
      </c>
      <c r="O8" s="59">
        <f t="shared" ref="O8:O16" si="5">AG8-X8</f>
        <v>-7.0399999999999352E-3</v>
      </c>
      <c r="P8" s="59">
        <f t="shared" ref="P8:P16" si="6">AH8-Y8</f>
        <v>7.5759999999999827E-2</v>
      </c>
      <c r="Q8" s="59">
        <f t="shared" ref="Q8:Q16" si="7">AI8-Z8</f>
        <v>0</v>
      </c>
      <c r="R8" s="59">
        <f t="shared" ref="R8:R16" si="8">AJ8-AA8</f>
        <v>0.35079999999999956</v>
      </c>
      <c r="S8" s="59">
        <f t="shared" ref="S8:S16" si="9">AK8-AB8</f>
        <v>0</v>
      </c>
      <c r="T8" s="59">
        <f t="shared" ref="T8:T16" si="10">AL8-AC8</f>
        <v>-0.23370000000000246</v>
      </c>
      <c r="U8" s="15"/>
      <c r="V8" s="27" t="str">
        <f t="shared" ref="V8:V16" si="11">M8</f>
        <v>压力</v>
      </c>
      <c r="W8" s="59">
        <f>'M1'!B6*1</f>
        <v>29.005400000000002</v>
      </c>
      <c r="X8" s="59">
        <f>'M1'!C6*1</f>
        <v>1.0572699999999999</v>
      </c>
      <c r="Y8" s="59">
        <f>'M1'!D6*1</f>
        <v>3.6450800000000001</v>
      </c>
      <c r="Z8" s="59">
        <f>'M1'!E6*1</f>
        <v>20</v>
      </c>
      <c r="AA8" s="59">
        <f>'M1'!F6*1</f>
        <v>25.841200000000001</v>
      </c>
      <c r="AB8" s="59">
        <f>'M1'!G6*1</f>
        <v>40</v>
      </c>
      <c r="AC8" s="59">
        <f>'M1'!H6*1</f>
        <v>30.228100000000001</v>
      </c>
      <c r="AE8" s="27" t="str">
        <f t="shared" ref="AE8:AE16" si="12">V8</f>
        <v>压力</v>
      </c>
      <c r="AF8" s="59">
        <f>'M2'!B6*1</f>
        <v>28.2256</v>
      </c>
      <c r="AG8" s="59">
        <f>'M2'!C6*1</f>
        <v>1.05023</v>
      </c>
      <c r="AH8" s="59">
        <f>'M2'!D6*1</f>
        <v>3.7208399999999999</v>
      </c>
      <c r="AI8" s="59">
        <f>'M2'!E6*1</f>
        <v>20</v>
      </c>
      <c r="AJ8" s="59">
        <f>'M2'!F6*1</f>
        <v>26.192</v>
      </c>
      <c r="AK8" s="59">
        <f>'M2'!G6*1</f>
        <v>40</v>
      </c>
      <c r="AL8" s="59">
        <f>'M2'!H6*1</f>
        <v>29.994399999999999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15.031299999999998</v>
      </c>
      <c r="D9" s="78">
        <f>N7</f>
        <v>2.1487999999999943</v>
      </c>
      <c r="E9" s="79">
        <f>T7</f>
        <v>0.74750000000000227</v>
      </c>
      <c r="F9" s="79">
        <f>P7</f>
        <v>-6.56229</v>
      </c>
      <c r="G9" s="80" t="str">
        <f>CONCATENATE(M8,"
(20 ~ 40)")</f>
        <v>压力
(20 ~ 40)</v>
      </c>
      <c r="H9" s="77">
        <f>R8</f>
        <v>0.35079999999999956</v>
      </c>
      <c r="I9" s="81">
        <f>N8</f>
        <v>-0.7798000000000016</v>
      </c>
      <c r="J9" s="77">
        <f>T8</f>
        <v>-0.23370000000000246</v>
      </c>
      <c r="K9" s="82">
        <f>P8</f>
        <v>7.5759999999999827E-2</v>
      </c>
      <c r="L9" s="6"/>
      <c r="M9" s="27" t="str">
        <f>lang!B16</f>
        <v>焦虑</v>
      </c>
      <c r="N9" s="59">
        <f t="shared" si="4"/>
        <v>4.9725999999999999</v>
      </c>
      <c r="O9" s="59">
        <f t="shared" si="5"/>
        <v>-2.5734399999999997</v>
      </c>
      <c r="P9" s="59">
        <f t="shared" si="6"/>
        <v>-16.6708</v>
      </c>
      <c r="Q9" s="59">
        <f t="shared" si="7"/>
        <v>0</v>
      </c>
      <c r="R9" s="59">
        <f t="shared" si="8"/>
        <v>6.0091199999999994</v>
      </c>
      <c r="S9" s="59">
        <f t="shared" si="9"/>
        <v>0</v>
      </c>
      <c r="T9" s="59">
        <f t="shared" si="10"/>
        <v>-4.083599999999997</v>
      </c>
      <c r="U9" s="14"/>
      <c r="V9" s="27" t="str">
        <f t="shared" si="11"/>
        <v>焦虑</v>
      </c>
      <c r="W9" s="59">
        <f>'M1'!B7*1</f>
        <v>20.793399999999998</v>
      </c>
      <c r="X9" s="59">
        <f>'M1'!C7*1</f>
        <v>7.2004099999999998</v>
      </c>
      <c r="Y9" s="59">
        <f>'M1'!D7*1</f>
        <v>34.628399999999999</v>
      </c>
      <c r="Z9" s="59">
        <f>'M1'!E7*1</f>
        <v>15</v>
      </c>
      <c r="AA9" s="59">
        <f>'M1'!F7*1</f>
        <v>8.8666800000000006</v>
      </c>
      <c r="AB9" s="59">
        <f>'M1'!G7*1</f>
        <v>40</v>
      </c>
      <c r="AC9" s="59">
        <f>'M1'!H7*1</f>
        <v>39.715499999999999</v>
      </c>
      <c r="AE9" s="27" t="str">
        <f t="shared" si="12"/>
        <v>焦虑</v>
      </c>
      <c r="AF9" s="59">
        <f>'M2'!B7*1</f>
        <v>25.765999999999998</v>
      </c>
      <c r="AG9" s="59">
        <f>'M2'!C7*1</f>
        <v>4.62697</v>
      </c>
      <c r="AH9" s="59">
        <f>'M2'!D7*1</f>
        <v>17.957599999999999</v>
      </c>
      <c r="AI9" s="59">
        <f>'M2'!E7*1</f>
        <v>15</v>
      </c>
      <c r="AJ9" s="59">
        <f>'M2'!F7*1</f>
        <v>14.8758</v>
      </c>
      <c r="AK9" s="59">
        <f>'M2'!G7*1</f>
        <v>40</v>
      </c>
      <c r="AL9" s="59">
        <f>'M2'!H7*1</f>
        <v>35.631900000000002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6.0091199999999994</v>
      </c>
      <c r="D10" s="51">
        <f>N9</f>
        <v>4.9725999999999999</v>
      </c>
      <c r="E10" s="53">
        <f>T9</f>
        <v>-4.083599999999997</v>
      </c>
      <c r="F10" s="53">
        <f>P9</f>
        <v>-16.6708</v>
      </c>
      <c r="G10" s="73" t="str">
        <f>CONCATENATE(M10,"
(20 ~ 50)")</f>
        <v>可疑
(20 ~ 50)</v>
      </c>
      <c r="H10" s="24">
        <f>R10</f>
        <v>7.9527000000000037</v>
      </c>
      <c r="I10" s="52">
        <f>N10</f>
        <v>2.1570000000000036</v>
      </c>
      <c r="J10" s="24">
        <f>T10</f>
        <v>-0.63430000000000319</v>
      </c>
      <c r="K10" s="25">
        <f>P10</f>
        <v>-5.7884200000000003</v>
      </c>
      <c r="L10" s="4"/>
      <c r="M10" s="27" t="str">
        <f>lang!B17</f>
        <v>可疑</v>
      </c>
      <c r="N10" s="59">
        <f t="shared" si="4"/>
        <v>2.1570000000000036</v>
      </c>
      <c r="O10" s="59">
        <f t="shared" si="5"/>
        <v>-1.8419399999999999</v>
      </c>
      <c r="P10" s="59">
        <f t="shared" si="6"/>
        <v>-5.7884200000000003</v>
      </c>
      <c r="Q10" s="59">
        <f t="shared" si="7"/>
        <v>0</v>
      </c>
      <c r="R10" s="59">
        <f t="shared" si="8"/>
        <v>7.9527000000000037</v>
      </c>
      <c r="S10" s="59">
        <f t="shared" si="9"/>
        <v>0</v>
      </c>
      <c r="T10" s="59">
        <f t="shared" si="10"/>
        <v>-0.63430000000000319</v>
      </c>
      <c r="U10" s="14"/>
      <c r="V10" s="27" t="str">
        <f t="shared" si="11"/>
        <v>可疑</v>
      </c>
      <c r="W10" s="59">
        <f>'M1'!B8*1</f>
        <v>33.748699999999999</v>
      </c>
      <c r="X10" s="59">
        <f>'M1'!C8*1</f>
        <v>3.6988699999999999</v>
      </c>
      <c r="Y10" s="59">
        <f>'M1'!D8*1</f>
        <v>10.960100000000001</v>
      </c>
      <c r="Z10" s="59">
        <f>'M1'!E8*1</f>
        <v>20</v>
      </c>
      <c r="AA10" s="59">
        <f>'M1'!F8*1</f>
        <v>24.417899999999999</v>
      </c>
      <c r="AB10" s="59">
        <f>'M1'!G8*1</f>
        <v>50</v>
      </c>
      <c r="AC10" s="59">
        <f>'M1'!H8*1</f>
        <v>39.455500000000001</v>
      </c>
      <c r="AE10" s="27" t="str">
        <f t="shared" si="12"/>
        <v>可疑</v>
      </c>
      <c r="AF10" s="59">
        <f>'M2'!B8*1</f>
        <v>35.905700000000003</v>
      </c>
      <c r="AG10" s="59">
        <f>'M2'!C8*1</f>
        <v>1.85693</v>
      </c>
      <c r="AH10" s="59">
        <f>'M2'!D8*1</f>
        <v>5.1716800000000003</v>
      </c>
      <c r="AI10" s="59">
        <f>'M2'!E8*1</f>
        <v>20</v>
      </c>
      <c r="AJ10" s="59">
        <f>'M2'!F8*1</f>
        <v>32.370600000000003</v>
      </c>
      <c r="AK10" s="59">
        <f>'M2'!G8*1</f>
        <v>50</v>
      </c>
      <c r="AL10" s="59">
        <f>'M2'!H8*1</f>
        <v>38.821199999999997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12.605499999999999</v>
      </c>
      <c r="D11" s="52">
        <f>N11</f>
        <v>1.4964999999999975</v>
      </c>
      <c r="E11" s="24">
        <f>T11</f>
        <v>0.68099999999999739</v>
      </c>
      <c r="F11" s="24">
        <f>P11</f>
        <v>-5.4515000000000002</v>
      </c>
      <c r="G11" s="73" t="str">
        <f>CONCATENATE(M12,"
(40 ~ 100)")</f>
        <v>自信
(40 ~ 100)</v>
      </c>
      <c r="H11" s="24">
        <f>R12</f>
        <v>-2.1830000000000069</v>
      </c>
      <c r="I11" s="52">
        <f>N12</f>
        <v>0.56340000000000146</v>
      </c>
      <c r="J11" s="24">
        <f>T12</f>
        <v>-2.863900000000001</v>
      </c>
      <c r="K11" s="25">
        <f>P12</f>
        <v>0.2909900000000003</v>
      </c>
      <c r="L11" s="4"/>
      <c r="M11" s="27" t="str">
        <f>lang!B18</f>
        <v>平衡</v>
      </c>
      <c r="N11" s="59">
        <f t="shared" si="4"/>
        <v>1.4964999999999975</v>
      </c>
      <c r="O11" s="59">
        <f t="shared" si="5"/>
        <v>-3.5215000000000001</v>
      </c>
      <c r="P11" s="59">
        <f t="shared" si="6"/>
        <v>-5.4515000000000002</v>
      </c>
      <c r="Q11" s="59">
        <f t="shared" si="7"/>
        <v>0</v>
      </c>
      <c r="R11" s="59">
        <f t="shared" si="8"/>
        <v>12.605499999999999</v>
      </c>
      <c r="S11" s="59">
        <f t="shared" si="9"/>
        <v>0</v>
      </c>
      <c r="T11" s="59">
        <f t="shared" si="10"/>
        <v>0.68099999999999739</v>
      </c>
      <c r="U11" s="14"/>
      <c r="V11" s="27" t="str">
        <f t="shared" si="11"/>
        <v>平衡</v>
      </c>
      <c r="W11" s="59">
        <f>'M1'!B9*1</f>
        <v>65.897999999999996</v>
      </c>
      <c r="X11" s="59">
        <f>'M1'!C9*1</f>
        <v>6.7153900000000002</v>
      </c>
      <c r="Y11" s="59">
        <f>'M1'!D9*1</f>
        <v>10.1906</v>
      </c>
      <c r="Z11" s="59">
        <f>'M1'!E9*1</f>
        <v>50</v>
      </c>
      <c r="AA11" s="59">
        <f>'M1'!F9*1</f>
        <v>47.572600000000001</v>
      </c>
      <c r="AB11" s="59">
        <f>'M1'!G9*1</f>
        <v>100</v>
      </c>
      <c r="AC11" s="59">
        <f>'M1'!H9*1</f>
        <v>76.757800000000003</v>
      </c>
      <c r="AE11" s="27" t="str">
        <f t="shared" si="12"/>
        <v>平衡</v>
      </c>
      <c r="AF11" s="59">
        <f>'M2'!B9*1</f>
        <v>67.394499999999994</v>
      </c>
      <c r="AG11" s="59">
        <f>'M2'!C9*1</f>
        <v>3.1938900000000001</v>
      </c>
      <c r="AH11" s="59">
        <f>'M2'!D9*1</f>
        <v>4.7390999999999996</v>
      </c>
      <c r="AI11" s="59">
        <f>'M2'!E9*1</f>
        <v>50</v>
      </c>
      <c r="AJ11" s="59">
        <f>'M2'!F9*1</f>
        <v>60.178100000000001</v>
      </c>
      <c r="AK11" s="59">
        <f>'M2'!G9*1</f>
        <v>100</v>
      </c>
      <c r="AL11" s="59">
        <f>'M2'!H9*1</f>
        <v>77.438800000000001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6.5705000000000027</v>
      </c>
      <c r="D12" s="51">
        <f>N13</f>
        <v>-3.6552000000000007</v>
      </c>
      <c r="E12" s="53">
        <f>T13</f>
        <v>-2.0450000000000017</v>
      </c>
      <c r="F12" s="53">
        <f>P13</f>
        <v>-7.0021199999999997</v>
      </c>
      <c r="G12" s="73" t="str">
        <f>CONCATENATE(M14,"
(50 ~ 100)")</f>
        <v>自我调节
(50 ~ 100)</v>
      </c>
      <c r="H12" s="24">
        <f>R14</f>
        <v>5.6058999999999983</v>
      </c>
      <c r="I12" s="52">
        <f>N14</f>
        <v>1.292199999999994</v>
      </c>
      <c r="J12" s="24">
        <f>T14</f>
        <v>-1.3855000000000075</v>
      </c>
      <c r="K12" s="25">
        <f>P14</f>
        <v>-2.4149900000000004</v>
      </c>
      <c r="L12" s="4"/>
      <c r="M12" s="27" t="str">
        <f>lang!B19</f>
        <v>自信</v>
      </c>
      <c r="N12" s="59">
        <f t="shared" si="4"/>
        <v>0.56340000000000146</v>
      </c>
      <c r="O12" s="59">
        <f t="shared" si="5"/>
        <v>0.23314000000000012</v>
      </c>
      <c r="P12" s="59">
        <f t="shared" si="6"/>
        <v>0.2909900000000003</v>
      </c>
      <c r="Q12" s="59">
        <f t="shared" si="7"/>
        <v>0</v>
      </c>
      <c r="R12" s="59">
        <f t="shared" si="8"/>
        <v>-2.1830000000000069</v>
      </c>
      <c r="S12" s="59">
        <f t="shared" si="9"/>
        <v>0</v>
      </c>
      <c r="T12" s="59">
        <f t="shared" si="10"/>
        <v>-2.863900000000001</v>
      </c>
      <c r="U12" s="15"/>
      <c r="V12" s="27" t="str">
        <f t="shared" si="11"/>
        <v>自信</v>
      </c>
      <c r="W12" s="59">
        <f>'M1'!B10*1</f>
        <v>74.557400000000001</v>
      </c>
      <c r="X12" s="59">
        <f>'M1'!C10*1</f>
        <v>1.9250799999999999</v>
      </c>
      <c r="Y12" s="59">
        <f>'M1'!D10*1</f>
        <v>2.5820099999999999</v>
      </c>
      <c r="Z12" s="59">
        <f>'M1'!E10*1</f>
        <v>40</v>
      </c>
      <c r="AA12" s="59">
        <f>'M1'!F10*1</f>
        <v>72.200800000000001</v>
      </c>
      <c r="AB12" s="59">
        <f>'M1'!G10*1</f>
        <v>100</v>
      </c>
      <c r="AC12" s="59">
        <f>'M1'!H10*1</f>
        <v>81.0749</v>
      </c>
      <c r="AE12" s="27" t="str">
        <f t="shared" si="12"/>
        <v>自信</v>
      </c>
      <c r="AF12" s="59">
        <f>'M2'!B10*1</f>
        <v>75.120800000000003</v>
      </c>
      <c r="AG12" s="59">
        <f>'M2'!C10*1</f>
        <v>2.15822</v>
      </c>
      <c r="AH12" s="59">
        <f>'M2'!D10*1</f>
        <v>2.8730000000000002</v>
      </c>
      <c r="AI12" s="59">
        <f>'M2'!E10*1</f>
        <v>40</v>
      </c>
      <c r="AJ12" s="59">
        <f>'M2'!F10*1</f>
        <v>70.017799999999994</v>
      </c>
      <c r="AK12" s="59">
        <f>'M2'!G10*1</f>
        <v>100</v>
      </c>
      <c r="AL12" s="59">
        <f>'M2'!H10*1</f>
        <v>78.210999999999999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-0.72330000000000005</v>
      </c>
      <c r="D13" s="55">
        <f>N15</f>
        <v>0.33659999999999712</v>
      </c>
      <c r="E13" s="56">
        <f>T15</f>
        <v>0.22170000000000201</v>
      </c>
      <c r="F13" s="56">
        <f>P15</f>
        <v>2.8336000000000006</v>
      </c>
      <c r="G13" s="74" t="str">
        <f>CONCATENATE(M16,"
(10 ~ 50)")</f>
        <v>神经质
(10 ~ 50)</v>
      </c>
      <c r="H13" s="54">
        <f>R16</f>
        <v>-0.75458999999999987</v>
      </c>
      <c r="I13" s="55">
        <f>N16</f>
        <v>5.7502999999999993</v>
      </c>
      <c r="J13" s="56">
        <f>T16</f>
        <v>3.7557000000000009</v>
      </c>
      <c r="K13" s="57">
        <f>P16</f>
        <v>-1.7088000000000001</v>
      </c>
      <c r="M13" s="27" t="str">
        <f>lang!B20</f>
        <v>活力</v>
      </c>
      <c r="N13" s="59">
        <f t="shared" si="4"/>
        <v>-3.6552000000000007</v>
      </c>
      <c r="O13" s="59">
        <f t="shared" si="5"/>
        <v>-2.5440700000000001</v>
      </c>
      <c r="P13" s="59">
        <f t="shared" si="6"/>
        <v>-7.0021199999999997</v>
      </c>
      <c r="Q13" s="59">
        <f t="shared" si="7"/>
        <v>0</v>
      </c>
      <c r="R13" s="59">
        <f t="shared" si="8"/>
        <v>6.5705000000000027</v>
      </c>
      <c r="S13" s="59">
        <f t="shared" si="9"/>
        <v>0</v>
      </c>
      <c r="T13" s="59">
        <f t="shared" si="10"/>
        <v>-2.0450000000000017</v>
      </c>
      <c r="U13" s="14"/>
      <c r="V13" s="27" t="str">
        <f t="shared" si="11"/>
        <v>活力</v>
      </c>
      <c r="W13" s="59">
        <f>'M1'!B11*1</f>
        <v>34.083100000000002</v>
      </c>
      <c r="X13" s="59">
        <f>'M1'!C11*1</f>
        <v>3.8554200000000001</v>
      </c>
      <c r="Y13" s="59">
        <f>'M1'!D11*1</f>
        <v>11.3118</v>
      </c>
      <c r="Z13" s="59">
        <f>'M1'!E11*1</f>
        <v>10</v>
      </c>
      <c r="AA13" s="59">
        <f>'M1'!F11*1</f>
        <v>21.253699999999998</v>
      </c>
      <c r="AB13" s="59">
        <f>'M1'!G11*1</f>
        <v>50</v>
      </c>
      <c r="AC13" s="59">
        <f>'M1'!H11*1</f>
        <v>35.4621</v>
      </c>
      <c r="AE13" s="27" t="str">
        <f t="shared" si="12"/>
        <v>活力</v>
      </c>
      <c r="AF13" s="59">
        <f>'M2'!B11*1</f>
        <v>30.427900000000001</v>
      </c>
      <c r="AG13" s="59">
        <f>'M2'!C11*1</f>
        <v>1.31135</v>
      </c>
      <c r="AH13" s="59">
        <f>'M2'!D11*1</f>
        <v>4.3096800000000002</v>
      </c>
      <c r="AI13" s="59">
        <f>'M2'!E11*1</f>
        <v>10</v>
      </c>
      <c r="AJ13" s="59">
        <f>'M2'!F11*1</f>
        <v>27.824200000000001</v>
      </c>
      <c r="AK13" s="59">
        <f>'M2'!G11*1</f>
        <v>50</v>
      </c>
      <c r="AL13" s="59">
        <f>'M2'!H11*1</f>
        <v>33.417099999999998</v>
      </c>
    </row>
    <row r="14" spans="2:38" ht="19.5" customHeight="1" thickBot="1">
      <c r="B14" s="149" t="str">
        <f>lang!B3</f>
        <v>参数表</v>
      </c>
      <c r="C14" s="150"/>
      <c r="D14" s="150"/>
      <c r="E14" s="150"/>
      <c r="F14" s="151"/>
      <c r="G14" s="146" t="str">
        <f>lang!B4</f>
        <v>情感状态分布图</v>
      </c>
      <c r="H14" s="147"/>
      <c r="I14" s="147"/>
      <c r="J14" s="147"/>
      <c r="K14" s="148"/>
      <c r="M14" s="27" t="str">
        <f>lang!B21</f>
        <v>自我调节</v>
      </c>
      <c r="N14" s="59">
        <f t="shared" si="4"/>
        <v>1.292199999999994</v>
      </c>
      <c r="O14" s="59">
        <f t="shared" si="5"/>
        <v>-1.6514899999999999</v>
      </c>
      <c r="P14" s="59">
        <f t="shared" si="6"/>
        <v>-2.4149900000000004</v>
      </c>
      <c r="Q14" s="59">
        <f t="shared" si="7"/>
        <v>0</v>
      </c>
      <c r="R14" s="59">
        <f t="shared" si="8"/>
        <v>5.6058999999999983</v>
      </c>
      <c r="S14" s="59">
        <f t="shared" si="9"/>
        <v>0</v>
      </c>
      <c r="T14" s="59">
        <f t="shared" si="10"/>
        <v>-1.3855000000000075</v>
      </c>
      <c r="U14" s="14"/>
      <c r="V14" s="27" t="str">
        <f t="shared" si="11"/>
        <v>自我调节</v>
      </c>
      <c r="W14" s="59">
        <f>'M1'!B12*1</f>
        <v>69.860600000000005</v>
      </c>
      <c r="X14" s="59">
        <f>'M1'!C12*1</f>
        <v>3.61368</v>
      </c>
      <c r="Y14" s="59">
        <f>'M1'!D12*1</f>
        <v>5.1727100000000004</v>
      </c>
      <c r="Z14" s="59">
        <f>'M1'!E12*1</f>
        <v>50</v>
      </c>
      <c r="AA14" s="59">
        <f>'M1'!F12*1</f>
        <v>60.844299999999997</v>
      </c>
      <c r="AB14" s="59">
        <f>'M1'!G12*1</f>
        <v>100</v>
      </c>
      <c r="AC14" s="59">
        <f>'M1'!H12*1</f>
        <v>77.8245</v>
      </c>
      <c r="AE14" s="27" t="str">
        <f t="shared" si="12"/>
        <v>自我调节</v>
      </c>
      <c r="AF14" s="59">
        <f>'M2'!B12*1</f>
        <v>71.152799999999999</v>
      </c>
      <c r="AG14" s="59">
        <f>'M2'!C12*1</f>
        <v>1.9621900000000001</v>
      </c>
      <c r="AH14" s="59">
        <f>'M2'!D12*1</f>
        <v>2.7577199999999999</v>
      </c>
      <c r="AI14" s="59">
        <f>'M2'!E12*1</f>
        <v>50</v>
      </c>
      <c r="AJ14" s="59">
        <f>'M2'!F12*1</f>
        <v>66.450199999999995</v>
      </c>
      <c r="AK14" s="59">
        <f>'M2'!G12*1</f>
        <v>100</v>
      </c>
      <c r="AL14" s="59">
        <f>'M2'!H12*1</f>
        <v>76.438999999999993</v>
      </c>
    </row>
    <row r="15" spans="2:38" ht="21" customHeight="1">
      <c r="B15" s="38"/>
      <c r="C15" s="28"/>
      <c r="D15" s="28"/>
      <c r="E15" s="28"/>
      <c r="F15" s="28"/>
      <c r="G15" s="127"/>
      <c r="H15" s="128"/>
      <c r="I15" s="128"/>
      <c r="J15" s="128"/>
      <c r="K15" s="129"/>
      <c r="M15" s="27" t="str">
        <f>lang!B22</f>
        <v>抑郁</v>
      </c>
      <c r="N15" s="59">
        <f t="shared" si="4"/>
        <v>0.33659999999999712</v>
      </c>
      <c r="O15" s="59">
        <f t="shared" si="5"/>
        <v>0.57502999999999993</v>
      </c>
      <c r="P15" s="59">
        <f t="shared" si="6"/>
        <v>2.8336000000000006</v>
      </c>
      <c r="Q15" s="59">
        <f t="shared" si="7"/>
        <v>0</v>
      </c>
      <c r="R15" s="59">
        <f t="shared" si="8"/>
        <v>-0.72330000000000005</v>
      </c>
      <c r="S15" s="59">
        <f t="shared" si="9"/>
        <v>0</v>
      </c>
      <c r="T15" s="59">
        <f t="shared" si="10"/>
        <v>0.22170000000000201</v>
      </c>
      <c r="U15" s="14"/>
      <c r="V15" s="27" t="str">
        <f t="shared" si="11"/>
        <v>抑郁</v>
      </c>
      <c r="W15" s="59">
        <f>'M1'!B13*1</f>
        <v>18.487300000000001</v>
      </c>
      <c r="X15" s="59">
        <f>'M1'!C13*1</f>
        <v>2.2875800000000002</v>
      </c>
      <c r="Y15" s="59">
        <f>'M1'!D13*1</f>
        <v>12.373799999999999</v>
      </c>
      <c r="Z15" s="59">
        <f>'M1'!E13*1</f>
        <v>10</v>
      </c>
      <c r="AA15" s="59">
        <f>'M1'!F13*1</f>
        <v>15.478400000000001</v>
      </c>
      <c r="AB15" s="59">
        <f>'M1'!G13*1</f>
        <v>25</v>
      </c>
      <c r="AC15" s="59">
        <f>'M1'!H13*1</f>
        <v>26.177399999999999</v>
      </c>
      <c r="AE15" s="27" t="str">
        <f t="shared" si="12"/>
        <v>抑郁</v>
      </c>
      <c r="AF15" s="59">
        <f>'M2'!B13*1</f>
        <v>18.823899999999998</v>
      </c>
      <c r="AG15" s="59">
        <f>'M2'!C13*1</f>
        <v>2.8626100000000001</v>
      </c>
      <c r="AH15" s="59">
        <f>'M2'!D13*1</f>
        <v>15.2074</v>
      </c>
      <c r="AI15" s="59">
        <f>'M2'!E13*1</f>
        <v>10</v>
      </c>
      <c r="AJ15" s="59">
        <f>'M2'!F13*1</f>
        <v>14.755100000000001</v>
      </c>
      <c r="AK15" s="59">
        <f>'M2'!G13*1</f>
        <v>25</v>
      </c>
      <c r="AL15" s="59">
        <f>'M2'!H13*1</f>
        <v>26.399100000000001</v>
      </c>
    </row>
    <row r="16" spans="2:38" ht="21" customHeight="1">
      <c r="B16" s="29"/>
      <c r="C16" s="32"/>
      <c r="D16" s="32"/>
      <c r="E16" s="32"/>
      <c r="F16" s="32"/>
      <c r="G16" s="130"/>
      <c r="H16" s="131"/>
      <c r="I16" s="131"/>
      <c r="J16" s="131"/>
      <c r="K16" s="132"/>
      <c r="M16" s="27" t="str">
        <f>lang!B23</f>
        <v>神经质</v>
      </c>
      <c r="N16" s="59">
        <f t="shared" si="4"/>
        <v>5.7502999999999993</v>
      </c>
      <c r="O16" s="59">
        <f t="shared" si="5"/>
        <v>1.3170500000000009</v>
      </c>
      <c r="P16" s="59">
        <f t="shared" si="6"/>
        <v>-1.7088000000000001</v>
      </c>
      <c r="Q16" s="59">
        <f t="shared" si="7"/>
        <v>0</v>
      </c>
      <c r="R16" s="59">
        <f t="shared" si="8"/>
        <v>-0.75458999999999987</v>
      </c>
      <c r="S16" s="59">
        <f t="shared" si="9"/>
        <v>0</v>
      </c>
      <c r="T16" s="59">
        <f t="shared" si="10"/>
        <v>3.7557000000000009</v>
      </c>
      <c r="U16" s="15"/>
      <c r="V16" s="27" t="str">
        <f t="shared" si="11"/>
        <v>神经质</v>
      </c>
      <c r="W16" s="59">
        <f>'M1'!B14*1</f>
        <v>22.875800000000002</v>
      </c>
      <c r="X16" s="59">
        <f>'M1'!C14*1</f>
        <v>7.1855099999999998</v>
      </c>
      <c r="Y16" s="59">
        <f>'M1'!D14*1</f>
        <v>31.410900000000002</v>
      </c>
      <c r="Z16" s="59">
        <f>'M1'!E14*1</f>
        <v>10</v>
      </c>
      <c r="AA16" s="59">
        <f>'M1'!F14*1</f>
        <v>2.63672</v>
      </c>
      <c r="AB16" s="59">
        <f>'M1'!G14*1</f>
        <v>50</v>
      </c>
      <c r="AC16" s="59">
        <f>'M1'!H14*1</f>
        <v>24.8109</v>
      </c>
      <c r="AE16" s="27" t="str">
        <f t="shared" si="12"/>
        <v>神经质</v>
      </c>
      <c r="AF16" s="59">
        <f>'M2'!B14*1</f>
        <v>28.626100000000001</v>
      </c>
      <c r="AG16" s="59">
        <f>'M2'!C14*1</f>
        <v>8.5025600000000008</v>
      </c>
      <c r="AH16" s="59">
        <f>'M2'!D14*1</f>
        <v>29.702100000000002</v>
      </c>
      <c r="AI16" s="59">
        <f>'M2'!E14*1</f>
        <v>10</v>
      </c>
      <c r="AJ16" s="59">
        <f>'M2'!F14*1</f>
        <v>1.8821300000000001</v>
      </c>
      <c r="AK16" s="59">
        <f>'M2'!G14*1</f>
        <v>50</v>
      </c>
      <c r="AL16" s="59">
        <f>'M2'!H14*1</f>
        <v>28.566600000000001</v>
      </c>
    </row>
    <row r="17" spans="2:38" ht="21" customHeight="1">
      <c r="B17" s="29"/>
      <c r="C17" s="32"/>
      <c r="D17" s="32"/>
      <c r="E17" s="32"/>
      <c r="F17" s="32"/>
      <c r="G17" s="130"/>
      <c r="H17" s="131"/>
      <c r="I17" s="131"/>
      <c r="J17" s="131"/>
      <c r="K17" s="132"/>
      <c r="M17" s="21" t="str">
        <f>lang!B7</f>
        <v>Positive</v>
      </c>
      <c r="N17" s="65">
        <f>SUM(N11:N14)/4</f>
        <v>-7.5775000000001924E-2</v>
      </c>
      <c r="O17" s="22">
        <f>N17/(N17+N18+N19)</f>
        <v>-1.4880236434242118E-2</v>
      </c>
      <c r="P17" s="65">
        <f>SUM(P11:P14)/4</f>
        <v>-3.6444049999999999</v>
      </c>
      <c r="Q17" s="22">
        <f>P17/(P17+P18+P19)</f>
        <v>0.35319332350788407</v>
      </c>
      <c r="R17" s="14"/>
      <c r="S17" s="14"/>
      <c r="T17" s="14"/>
      <c r="U17" s="14"/>
      <c r="V17" s="21" t="str">
        <f>M17</f>
        <v>Positive</v>
      </c>
      <c r="W17" s="65">
        <f>SUM(W11:W14)/4</f>
        <v>61.099775000000001</v>
      </c>
      <c r="X17" s="22">
        <f>W17/(W17+W18+W19)</f>
        <v>0.52786769392459632</v>
      </c>
      <c r="Y17" s="65">
        <f>SUM(Y11:Y14)/4</f>
        <v>7.3142800000000001</v>
      </c>
      <c r="Z17" s="22">
        <f>Y17/(Y17+Y18+Y19)</f>
        <v>0.16460840890818323</v>
      </c>
      <c r="AA17" s="14"/>
      <c r="AB17" s="14"/>
      <c r="AC17" s="14"/>
      <c r="AE17" s="21" t="str">
        <f>V17</f>
        <v>Positive</v>
      </c>
      <c r="AF17" s="65">
        <f>SUM(AF11:AF14)/4</f>
        <v>61.024000000000001</v>
      </c>
      <c r="AG17" s="22">
        <f>AF17/(AF17+AF18+AF19)</f>
        <v>0.50499583749170396</v>
      </c>
      <c r="AH17" s="65">
        <f>SUM(AH11:AH14)/4</f>
        <v>3.6698750000000002</v>
      </c>
      <c r="AI17" s="22">
        <f>AH17/(AH17+AH18+AH19)</f>
        <v>0.10757054996144402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30"/>
      <c r="H18" s="131"/>
      <c r="I18" s="131"/>
      <c r="J18" s="131"/>
      <c r="K18" s="132"/>
      <c r="M18" s="21" t="str">
        <f>lang!B8</f>
        <v>Negative</v>
      </c>
      <c r="N18" s="18">
        <f>SUM(N7:N10)/4</f>
        <v>2.124649999999999</v>
      </c>
      <c r="O18" s="22">
        <f>N18/(N17+N18+N19)</f>
        <v>0.41722592332578951</v>
      </c>
      <c r="P18" s="18">
        <f>SUM(P7:P10)/4</f>
        <v>-7.236437500000001</v>
      </c>
      <c r="Q18" s="22">
        <f>P18/(P17+P18+P19)</f>
        <v>0.70131102634918019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33.966949999999997</v>
      </c>
      <c r="X18" s="22">
        <f>W18/(W17+W18+W19)</f>
        <v>0.29345534523084682</v>
      </c>
      <c r="Y18" s="18">
        <f>SUM(Y7:Y10)/4</f>
        <v>15.227795</v>
      </c>
      <c r="Z18" s="22">
        <f>Y18/(Y17+Y18+Y19)</f>
        <v>0.34270264552765112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36.0916</v>
      </c>
      <c r="AG18" s="22">
        <f>AF18/(AF17+AF18+AF19)</f>
        <v>0.29867114198373729</v>
      </c>
      <c r="AH18" s="18">
        <f>SUM(AH7:AH10)/4</f>
        <v>7.9913574999999994</v>
      </c>
      <c r="AI18" s="22">
        <f>AH18/(AH17+AH18+AH19)</f>
        <v>0.23424087229497198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30"/>
      <c r="H19" s="131"/>
      <c r="I19" s="131"/>
      <c r="J19" s="131"/>
      <c r="K19" s="132"/>
      <c r="M19" s="21" t="str">
        <f>lang!B9</f>
        <v>Physiological</v>
      </c>
      <c r="N19" s="18">
        <f>(N15+N16)/2</f>
        <v>3.0434499999999982</v>
      </c>
      <c r="O19" s="22">
        <f>N19/(N17+N18+N19)</f>
        <v>0.59765431310845263</v>
      </c>
      <c r="P19" s="18">
        <f>(P15+P16)/2</f>
        <v>0.56240000000000023</v>
      </c>
      <c r="Q19" s="22">
        <f>P19/(P17+P18+P19)</f>
        <v>-5.4504349857064205E-2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20.681550000000001</v>
      </c>
      <c r="X19" s="22">
        <f>W19/(W17+W18+W19)</f>
        <v>0.17867696084455689</v>
      </c>
      <c r="Y19" s="18">
        <f>(Y15+Y16)/2</f>
        <v>21.89235</v>
      </c>
      <c r="Z19" s="22">
        <f>Y19/(Y17+Y18+Y19)</f>
        <v>0.49268894556416559</v>
      </c>
      <c r="AA19" s="14"/>
      <c r="AB19" s="14"/>
      <c r="AC19" s="14"/>
      <c r="AE19" s="21" t="str">
        <f t="shared" si="14"/>
        <v>Physiological</v>
      </c>
      <c r="AF19" s="18">
        <f>(AF15+AF16)/2</f>
        <v>23.725000000000001</v>
      </c>
      <c r="AG19" s="22">
        <f>AF19/(AF17+AF18+AF19)</f>
        <v>0.19633302052455881</v>
      </c>
      <c r="AH19" s="18">
        <f>(AH15+AH16)/2</f>
        <v>22.454750000000001</v>
      </c>
      <c r="AI19" s="22">
        <f>AH19/(AH17+AH18+AH19)</f>
        <v>0.65818857774358397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30"/>
      <c r="H20" s="131"/>
      <c r="I20" s="131"/>
      <c r="J20" s="131"/>
      <c r="K20" s="132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30"/>
      <c r="H21" s="131"/>
      <c r="I21" s="131"/>
      <c r="J21" s="131"/>
      <c r="K21" s="132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3"/>
      <c r="H22" s="134"/>
      <c r="I22" s="134"/>
      <c r="J22" s="134"/>
      <c r="K22" s="135"/>
      <c r="M22" s="16"/>
      <c r="O22" s="17"/>
      <c r="Q22"/>
      <c r="T22"/>
      <c r="U22" s="19"/>
    </row>
    <row r="23" spans="2:38" ht="17.25" customHeight="1" thickBot="1">
      <c r="B23" s="195" t="str">
        <f>lang!B5</f>
        <v>频率分布直方图</v>
      </c>
      <c r="C23" s="196"/>
      <c r="D23" s="196"/>
      <c r="E23" s="196"/>
      <c r="F23" s="197"/>
      <c r="G23" s="124" t="str">
        <f>lang!B6</f>
        <v xml:space="preserve">心理变化 - 心理基础代谢 </v>
      </c>
      <c r="H23" s="125"/>
      <c r="I23" s="125"/>
      <c r="J23" s="125"/>
      <c r="K23" s="126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2.27/2.24</v>
      </c>
      <c r="D24" s="44" t="str">
        <f>lang!B11</f>
        <v>频率方差</v>
      </c>
      <c r="E24" s="144" t="str">
        <f ca="1">CONCATENATE(ROUND('FH1'!L3,2),"/",ROUND('FH2'!L3,2))</f>
        <v>0.7/0.74</v>
      </c>
      <c r="F24" s="145"/>
      <c r="G24" s="136" t="str">
        <f>lang!B12</f>
        <v>生理变化率</v>
      </c>
      <c r="H24" s="137"/>
      <c r="I24" s="62" t="str">
        <f ca="1">CONCATENATE(info!M7,"-",info!M8)</f>
        <v>22.8-34.3</v>
      </c>
      <c r="J24" s="42" t="str">
        <f>lang!B13</f>
        <v>千卡l/分钟</v>
      </c>
      <c r="K24" s="41" t="str">
        <f ca="1">CONCATENATE(info!M5,"-",info!M6)</f>
        <v>4-4.9</v>
      </c>
      <c r="M24" s="16"/>
      <c r="O24" s="17"/>
      <c r="P24" s="17"/>
      <c r="Q24"/>
      <c r="T24"/>
      <c r="U24" s="19"/>
    </row>
    <row r="25" spans="2:38" ht="156.75" customHeight="1" thickBot="1">
      <c r="B25" s="117"/>
      <c r="C25" s="118"/>
      <c r="D25" s="118"/>
      <c r="E25" s="119"/>
      <c r="F25" s="39"/>
      <c r="G25" s="120"/>
      <c r="H25" s="121"/>
      <c r="I25" s="121"/>
      <c r="J25" s="122"/>
      <c r="K25" s="123"/>
      <c r="M25"/>
      <c r="O25" s="17"/>
      <c r="Q25"/>
      <c r="T25"/>
      <c r="U25" s="19"/>
    </row>
    <row r="26" spans="2:38" ht="15" customHeight="1" thickBot="1">
      <c r="B26" s="164" t="str">
        <f>CONCATENATE( lang!B31," ",ROUND(100-FH_info!L2,0),"%]")</f>
        <v>Result [Quality 100%]</v>
      </c>
      <c r="C26" s="165"/>
      <c r="D26" s="165"/>
      <c r="E26" s="165"/>
      <c r="F26" s="165"/>
      <c r="G26" s="165"/>
      <c r="H26" s="165"/>
      <c r="I26" s="165"/>
      <c r="J26" s="165"/>
      <c r="K26" s="166"/>
      <c r="M26"/>
      <c r="Q26"/>
      <c r="T26"/>
    </row>
    <row r="27" spans="2:38" ht="15.75" thickBot="1">
      <c r="B27" s="180" t="str">
        <f>lang!B32</f>
        <v>外向性</v>
      </c>
      <c r="C27" s="181"/>
      <c r="D27" s="182"/>
      <c r="E27" s="164">
        <f>dM!B18*100</f>
        <v>5.9353000000000042</v>
      </c>
      <c r="F27" s="166"/>
      <c r="G27" s="180" t="str">
        <f>lang!B33</f>
        <v>稳定性</v>
      </c>
      <c r="H27" s="181"/>
      <c r="I27" s="182"/>
      <c r="J27" s="183">
        <f>dM!B19*100</f>
        <v>-4.4272000000000036</v>
      </c>
      <c r="K27" s="184"/>
    </row>
    <row r="28" spans="2:38" ht="24.75" customHeight="1">
      <c r="B28" s="167" t="str">
        <f>lang!B34</f>
        <v xml:space="preserve">心理生理状态分析结果： </v>
      </c>
      <c r="C28" s="168"/>
      <c r="D28" s="168"/>
      <c r="E28" s="168"/>
      <c r="F28" s="168"/>
      <c r="G28" s="168"/>
      <c r="H28" s="168"/>
      <c r="I28" s="168"/>
      <c r="J28" s="168"/>
      <c r="K28" s="169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5" t="str">
        <f>lang!B37</f>
        <v>意见</v>
      </c>
      <c r="C31" s="186"/>
      <c r="D31" s="187"/>
      <c r="E31" s="187"/>
      <c r="F31" s="187"/>
      <c r="G31" s="187"/>
      <c r="H31" s="187"/>
      <c r="I31" s="187"/>
      <c r="J31" s="187"/>
      <c r="K31" s="188"/>
      <c r="M31"/>
      <c r="Q31"/>
      <c r="T31"/>
      <c r="W31" s="33"/>
      <c r="X31" s="33"/>
    </row>
    <row r="32" spans="2:38" ht="18" customHeight="1">
      <c r="B32" s="158"/>
      <c r="C32" s="159"/>
      <c r="D32" s="159"/>
      <c r="E32" s="159"/>
      <c r="F32" s="159"/>
      <c r="G32" s="159"/>
      <c r="H32" s="159"/>
      <c r="I32" s="159"/>
      <c r="J32" s="159"/>
      <c r="K32" s="160"/>
      <c r="M32"/>
      <c r="Q32"/>
      <c r="T32"/>
      <c r="W32" s="33"/>
      <c r="X32" s="33"/>
    </row>
    <row r="33" spans="2:24" ht="20.25" customHeight="1">
      <c r="B33" s="158"/>
      <c r="C33" s="159"/>
      <c r="D33" s="159"/>
      <c r="E33" s="159"/>
      <c r="F33" s="159"/>
      <c r="G33" s="159"/>
      <c r="H33" s="159"/>
      <c r="I33" s="159"/>
      <c r="J33" s="159"/>
      <c r="K33" s="160"/>
      <c r="M33"/>
      <c r="Q33"/>
      <c r="T33"/>
      <c r="W33" s="33"/>
      <c r="X33" s="33"/>
    </row>
    <row r="34" spans="2:24" ht="35.25" customHeight="1" thickBot="1">
      <c r="B34" s="161"/>
      <c r="C34" s="162"/>
      <c r="D34" s="162"/>
      <c r="E34" s="162"/>
      <c r="F34" s="162"/>
      <c r="G34" s="162"/>
      <c r="H34" s="162"/>
      <c r="I34" s="162"/>
      <c r="J34" s="162"/>
      <c r="K34" s="163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-0.2364769124891547</v>
      </c>
      <c r="C2">
        <f t="array" aca="1" ref="C2" ca="1">CORREL(FT_E02,FT_PH02)</f>
        <v>0.49117674749103146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4.0106900000000003</v>
      </c>
      <c r="G2" s="61">
        <f>IF(FT!B2&lt;&gt;"",FT!B2*100,"")</f>
        <v>34.280500000000004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4.0803500000000001</v>
      </c>
      <c r="G3" s="61">
        <f>IF(FT!B3&lt;&gt;"",FT!B3*100,"")</f>
        <v>33.710299999999997</v>
      </c>
      <c r="H3" s="61">
        <f t="shared" ref="H3:H66" si="1">(IF(F3&lt;&gt;"",1,""))</f>
        <v>1</v>
      </c>
      <c r="I3" t="str">
        <f>IF(FT!B3&lt;&gt;"",FT!E3,"")</f>
        <v>1 [0.408097]</v>
      </c>
      <c r="J3">
        <f>IF(FT!B3&lt;&gt;"",FT!C3,"")</f>
        <v>0.40809699999999999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0.30002906756756764</v>
      </c>
      <c r="V3">
        <f ca="1">AVERAGE(OFFSET(FT!B2,info!$L$3/2,0,info!$L$3/2,1))</f>
        <v>0.25122710810810811</v>
      </c>
      <c r="W3">
        <f ca="1">AVERAGE(OFFSET(FT!A2,0,0,info!$L$3/2,1))</f>
        <v>0.47096321621621634</v>
      </c>
      <c r="X3">
        <f ca="1">AVERAGE(OFFSET(FT!A2,info!$L$3/2,0,info!$L$3/2,1))</f>
        <v>0.45505945945945936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4.1453499999999996</v>
      </c>
      <c r="G4" s="61">
        <f>IF(FT!B4&lt;&gt;"",FT!B4*100,"")</f>
        <v>33.258400000000002</v>
      </c>
      <c r="H4" s="61">
        <f t="shared" si="1"/>
        <v>1</v>
      </c>
      <c r="I4" t="str">
        <f>IF(FT!B4&lt;&gt;"",FT!E4,"")</f>
        <v>1 [0.816703]</v>
      </c>
      <c r="J4">
        <f>IF(FT!B4&lt;&gt;"",FT!C4,"")</f>
        <v>0.81670299999999996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14.942349999999999</v>
      </c>
      <c r="V4">
        <f>U4*3</f>
        <v>44.82705</v>
      </c>
      <c r="W4">
        <f>U4</f>
        <v>14.942349999999999</v>
      </c>
      <c r="X4">
        <f>V4</f>
        <v>44.82705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4.2072900000000004</v>
      </c>
      <c r="G5" s="61">
        <f>IF(FT!B5&lt;&gt;"",FT!B5*100,"")</f>
        <v>32.865600000000001</v>
      </c>
      <c r="H5" s="61">
        <f t="shared" si="1"/>
        <v>1</v>
      </c>
      <c r="I5" t="str">
        <f>IF(FT!B5&lt;&gt;"",FT!E5,"")</f>
        <v>1 [1.222573]</v>
      </c>
      <c r="J5">
        <f>IF(FT!B5&lt;&gt;"",FT!C5,"")</f>
        <v>1.2225699999999999</v>
      </c>
      <c r="K5" t="s">
        <v>53</v>
      </c>
      <c r="L5" s="63">
        <f ca="1">MIN(FT_E)</f>
        <v>4.0106900000000003</v>
      </c>
      <c r="M5" s="63">
        <f ca="1">ROUND(L5,1)</f>
        <v>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30.002906756756765</v>
      </c>
      <c r="V5">
        <f ca="1">V3*100</f>
        <v>25.122710810810812</v>
      </c>
      <c r="W5">
        <f ca="1">W3*10</f>
        <v>4.7096321621621637</v>
      </c>
      <c r="X5">
        <f ca="1">X3*10</f>
        <v>4.5505945945945934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4.26539</v>
      </c>
      <c r="G6" s="61">
        <f>IF(FT!B6&lt;&gt;"",FT!B6*100,"")</f>
        <v>32.6006</v>
      </c>
      <c r="H6" s="61">
        <f t="shared" si="1"/>
        <v>1</v>
      </c>
      <c r="I6" t="str">
        <f>IF(FT!B6&lt;&gt;"",FT!E6,"")</f>
        <v>1 [1.627506]</v>
      </c>
      <c r="J6">
        <f>IF(FT!B6&lt;&gt;"",FT!C6,"")</f>
        <v>1.62751</v>
      </c>
      <c r="K6" t="s">
        <v>54</v>
      </c>
      <c r="L6" s="63">
        <f ca="1">MAX(FT_E)</f>
        <v>4.8808100000000003</v>
      </c>
      <c r="M6" s="63">
        <f ca="1">ROUND(L6,1)</f>
        <v>4.9000000000000004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4.3175499999999998</v>
      </c>
      <c r="G7" s="61">
        <f>IF(FT!B7&lt;&gt;"",FT!B7*100,"")</f>
        <v>32.4206</v>
      </c>
      <c r="H7" s="61">
        <f t="shared" si="1"/>
        <v>1</v>
      </c>
      <c r="I7" t="str">
        <f>IF(FT!B7&lt;&gt;"",FT!E7,"")</f>
        <v>1 [2.030475]</v>
      </c>
      <c r="J7">
        <f>IF(FT!B7&lt;&gt;"",FT!C7,"")</f>
        <v>2.0304700000000002</v>
      </c>
      <c r="K7" t="s">
        <v>55</v>
      </c>
      <c r="L7" s="63">
        <f ca="1">MIN(FT_PH)</f>
        <v>22.8187</v>
      </c>
      <c r="M7" s="63">
        <f ca="1">ROUND(L7,1)</f>
        <v>22.8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1170</v>
      </c>
      <c r="D8" s="61">
        <f>FH!B8*1</f>
        <v>1170</v>
      </c>
      <c r="E8">
        <f t="shared" si="3"/>
        <v>6</v>
      </c>
      <c r="F8" s="61">
        <f>IF(FT!A8&lt;&gt;"",FT!A8*10,"")</f>
        <v>4.3655799999999996</v>
      </c>
      <c r="G8" s="61">
        <f>IF(FT!B8&lt;&gt;"",FT!B8*100,"")</f>
        <v>32.247199999999999</v>
      </c>
      <c r="H8" s="61">
        <f t="shared" si="1"/>
        <v>1</v>
      </c>
      <c r="I8" t="str">
        <f>IF(FT!B8&lt;&gt;"",FT!E8,"")</f>
        <v>1 [2.438476]</v>
      </c>
      <c r="J8">
        <f>IF(FT!B8&lt;&gt;"",FT!C8,"")</f>
        <v>2.4384800000000002</v>
      </c>
      <c r="K8" t="s">
        <v>56</v>
      </c>
      <c r="L8" s="63">
        <f ca="1">MAX(FT_PH)</f>
        <v>34.280500000000004</v>
      </c>
      <c r="M8" s="63">
        <f ca="1">ROUND(L8,1)</f>
        <v>34.299999999999997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4.4109999999999996</v>
      </c>
      <c r="G9" s="61">
        <f>IF(FT!B9&lt;&gt;"",FT!B9*100,"")</f>
        <v>32.079500000000003</v>
      </c>
      <c r="H9" s="61">
        <f t="shared" si="1"/>
        <v>1</v>
      </c>
      <c r="I9" t="str">
        <f>IF(FT!B9&lt;&gt;"",FT!E9,"")</f>
        <v>1 [2.847315]</v>
      </c>
      <c r="J9">
        <f>IF(FT!B9&lt;&gt;"",FT!C9,"")</f>
        <v>2.8473099999999998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1042</v>
      </c>
      <c r="D10" s="61">
        <f>FH!B10*1</f>
        <v>1042</v>
      </c>
      <c r="E10">
        <f t="shared" si="3"/>
        <v>8</v>
      </c>
      <c r="F10" s="61">
        <f>IF(FT!A10&lt;&gt;"",FT!A10*10,"")</f>
        <v>4.4530900000000004</v>
      </c>
      <c r="G10" s="61">
        <f>IF(FT!B10&lt;&gt;"",FT!B10*100,"")</f>
        <v>31.935599999999997</v>
      </c>
      <c r="H10" s="61">
        <f t="shared" si="1"/>
        <v>1</v>
      </c>
      <c r="I10" t="str">
        <f>IF(FT!B10&lt;&gt;"",FT!E10,"")</f>
        <v>1 [3.252205]</v>
      </c>
      <c r="J10">
        <f>IF(FT!B10&lt;&gt;"",FT!C10,"")</f>
        <v>3.2522000000000002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4.4937500000000004</v>
      </c>
      <c r="G11" s="61">
        <f>IF(FT!B11&lt;&gt;"",FT!B11*100,"")</f>
        <v>31.843399999999999</v>
      </c>
      <c r="H11" s="61">
        <f t="shared" si="1"/>
        <v>1</v>
      </c>
      <c r="I11" t="str">
        <f>IF(FT!B11&lt;&gt;"",FT!E11,"")</f>
        <v>1 [3.658186]</v>
      </c>
      <c r="J11">
        <f>IF(FT!B11&lt;&gt;"",FT!C11,"")</f>
        <v>3.6581899999999998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4.5352300000000003</v>
      </c>
      <c r="G12" s="61">
        <f>IF(FT!B12&lt;&gt;"",FT!B12*100,"")</f>
        <v>31.792199999999998</v>
      </c>
      <c r="H12" s="61">
        <f t="shared" si="1"/>
        <v>1</v>
      </c>
      <c r="I12" t="str">
        <f>IF(FT!B12&lt;&gt;"",FT!E12,"")</f>
        <v>1 [4.067095]</v>
      </c>
      <c r="J12">
        <f>IF(FT!B12&lt;&gt;"",FT!C12,"")</f>
        <v>4.0670900000000003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1812</v>
      </c>
      <c r="D13" s="61">
        <f>FH!B13*1</f>
        <v>1812</v>
      </c>
      <c r="E13">
        <f t="shared" si="3"/>
        <v>11</v>
      </c>
      <c r="F13" s="61">
        <f>IF(FT!A13&lt;&gt;"",FT!A13*10,"")</f>
        <v>4.5732099999999996</v>
      </c>
      <c r="G13" s="61">
        <f>IF(FT!B13&lt;&gt;"",FT!B13*100,"")</f>
        <v>31.716799999999999</v>
      </c>
      <c r="H13" s="61">
        <f t="shared" si="1"/>
        <v>1</v>
      </c>
      <c r="I13" t="str">
        <f>IF(FT!B13&lt;&gt;"",FT!E13,"")</f>
        <v>1 [4.469908]</v>
      </c>
      <c r="J13">
        <f>IF(FT!B13&lt;&gt;"",FT!C13,"")</f>
        <v>4.4699099999999996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4.6080800000000002</v>
      </c>
      <c r="G14" s="61">
        <f>IF(FT!B14&lt;&gt;"",FT!B14*100,"")</f>
        <v>31.6206</v>
      </c>
      <c r="H14" s="61">
        <f t="shared" si="1"/>
        <v>1</v>
      </c>
      <c r="I14" t="str">
        <f>IF(FT!B14&lt;&gt;"",FT!E14,"")</f>
        <v>1 [4.873993]</v>
      </c>
      <c r="J14">
        <f>IF(FT!B14&lt;&gt;"",FT!C14,"")</f>
        <v>4.87399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2928</v>
      </c>
      <c r="D15" s="61">
        <f>FH!B15*1</f>
        <v>2928</v>
      </c>
      <c r="E15">
        <f t="shared" si="3"/>
        <v>13</v>
      </c>
      <c r="F15" s="61">
        <f>IF(FT!A15&lt;&gt;"",FT!A15*10,"")</f>
        <v>4.6406499999999999</v>
      </c>
      <c r="G15" s="61">
        <f>IF(FT!B15&lt;&gt;"",FT!B15*100,"")</f>
        <v>31.522200000000002</v>
      </c>
      <c r="H15" s="61">
        <f t="shared" si="1"/>
        <v>1</v>
      </c>
      <c r="I15" t="str">
        <f>IF(FT!B15&lt;&gt;"",FT!E15,"")</f>
        <v>1 [5.284812]</v>
      </c>
      <c r="J15">
        <f>IF(FT!B15&lt;&gt;"",FT!C15,"")</f>
        <v>5.2848100000000002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4.6712199999999999</v>
      </c>
      <c r="G16" s="61">
        <f>IF(FT!B16&lt;&gt;"",FT!B16*100,"")</f>
        <v>31.4345</v>
      </c>
      <c r="H16" s="61">
        <f t="shared" si="1"/>
        <v>1</v>
      </c>
      <c r="I16" t="str">
        <f>IF(FT!B16&lt;&gt;"",FT!E16,"")</f>
        <v>1 [5.690746]</v>
      </c>
      <c r="J16">
        <f>IF(FT!B16&lt;&gt;"",FT!C16,"")</f>
        <v>5.6907500000000004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4.6974499999999999</v>
      </c>
      <c r="G17" s="61">
        <f>IF(FT!B17&lt;&gt;"",FT!B17*100,"")</f>
        <v>31.337300000000003</v>
      </c>
      <c r="H17" s="61">
        <f t="shared" si="1"/>
        <v>1</v>
      </c>
      <c r="I17" t="str">
        <f>IF(FT!B17&lt;&gt;"",FT!E17,"")</f>
        <v>1 [6.091391]</v>
      </c>
      <c r="J17">
        <f>IF(FT!B17&lt;&gt;"",FT!C17,"")</f>
        <v>6.0913899999999996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1805</v>
      </c>
      <c r="D18" s="61">
        <f>FH!B18*1</f>
        <v>1805</v>
      </c>
      <c r="E18">
        <f t="shared" si="3"/>
        <v>16</v>
      </c>
      <c r="F18" s="61">
        <f>IF(FT!A18&lt;&gt;"",FT!A18*10,"")</f>
        <v>4.7194000000000003</v>
      </c>
      <c r="G18" s="61">
        <f>IF(FT!B18&lt;&gt;"",FT!B18*100,"")</f>
        <v>31.264700000000001</v>
      </c>
      <c r="H18" s="61">
        <f t="shared" si="1"/>
        <v>1</v>
      </c>
      <c r="I18" t="str">
        <f>IF(FT!B18&lt;&gt;"",FT!E18,"")</f>
        <v>1 [6.497337]</v>
      </c>
      <c r="J18">
        <f>IF(FT!B18&lt;&gt;"",FT!C18,"")</f>
        <v>6.4973400000000003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4.7398600000000002</v>
      </c>
      <c r="G19" s="61">
        <f>IF(FT!B19&lt;&gt;"",FT!B19*100,"")</f>
        <v>31.2072</v>
      </c>
      <c r="H19" s="61">
        <f t="shared" si="1"/>
        <v>1</v>
      </c>
      <c r="I19" t="str">
        <f>IF(FT!B19&lt;&gt;"",FT!E19,"")</f>
        <v>1 [6.909395]</v>
      </c>
      <c r="J19">
        <f>IF(FT!B19&lt;&gt;"",FT!C19,"")</f>
        <v>6.9093900000000001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4.7580799999999996</v>
      </c>
      <c r="G20" s="61">
        <f>IF(FT!B20&lt;&gt;"",FT!B20*100,"")</f>
        <v>31.1797</v>
      </c>
      <c r="H20" s="61">
        <f t="shared" si="1"/>
        <v>1</v>
      </c>
      <c r="I20" t="str">
        <f>IF(FT!B20&lt;&gt;"",FT!E20,"")</f>
        <v>1 [7.318519]</v>
      </c>
      <c r="J20">
        <f>IF(FT!B20&lt;&gt;"",FT!C20,"")</f>
        <v>7.3185200000000004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2475</v>
      </c>
      <c r="D21" s="61">
        <f>FH!B21*1</f>
        <v>2475</v>
      </c>
      <c r="E21">
        <f t="shared" si="3"/>
        <v>19</v>
      </c>
      <c r="F21" s="61">
        <f>IF(FT!A21&lt;&gt;"",FT!A21*10,"")</f>
        <v>4.7721</v>
      </c>
      <c r="G21" s="61">
        <f>IF(FT!B21&lt;&gt;"",FT!B21*100,"")</f>
        <v>31.168499999999998</v>
      </c>
      <c r="H21" s="61">
        <f t="shared" si="1"/>
        <v>1</v>
      </c>
      <c r="I21" t="str">
        <f>IF(FT!B21&lt;&gt;"",FT!E21,"")</f>
        <v>1 [7.726260]</v>
      </c>
      <c r="J21">
        <f>IF(FT!B21&lt;&gt;"",FT!C21,"")</f>
        <v>7.7262599999999999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4.7829899999999999</v>
      </c>
      <c r="G22" s="61">
        <f>IF(FT!B22&lt;&gt;"",FT!B22*100,"")</f>
        <v>31.192199999999996</v>
      </c>
      <c r="H22" s="61">
        <f t="shared" si="1"/>
        <v>1</v>
      </c>
      <c r="I22" t="str">
        <f>IF(FT!B22&lt;&gt;"",FT!E22,"")</f>
        <v>1 [8.133249]</v>
      </c>
      <c r="J22">
        <f>IF(FT!B22&lt;&gt;"",FT!C22,"")</f>
        <v>8.1332500000000003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3173</v>
      </c>
      <c r="D23" s="61">
        <f>FH!B23*1</f>
        <v>3173</v>
      </c>
      <c r="E23">
        <f t="shared" si="3"/>
        <v>21</v>
      </c>
      <c r="F23" s="61">
        <f>IF(FT!A23&lt;&gt;"",FT!A23*10,"")</f>
        <v>4.7901100000000003</v>
      </c>
      <c r="G23" s="61">
        <f>IF(FT!B23&lt;&gt;"",FT!B23*100,"")</f>
        <v>31.220300000000002</v>
      </c>
      <c r="H23" s="61">
        <f t="shared" si="1"/>
        <v>1</v>
      </c>
      <c r="I23" t="str">
        <f>IF(FT!B23&lt;&gt;"",FT!E23,"")</f>
        <v>1 [8.531085]</v>
      </c>
      <c r="J23">
        <f>IF(FT!B23&lt;&gt;"",FT!C23,"")</f>
        <v>8.5310799999999993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4.7938399999999994</v>
      </c>
      <c r="G24" s="61">
        <f>IF(FT!B24&lt;&gt;"",FT!B24*100,"")</f>
        <v>31.269799999999996</v>
      </c>
      <c r="H24" s="61">
        <f t="shared" si="1"/>
        <v>1</v>
      </c>
      <c r="I24" t="str">
        <f>IF(FT!B24&lt;&gt;"",FT!E24,"")</f>
        <v>1 [8.937141]</v>
      </c>
      <c r="J24">
        <f>IF(FT!B24&lt;&gt;"",FT!C24,"")</f>
        <v>8.9371399999999994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4.7972599999999996</v>
      </c>
      <c r="G25" s="61">
        <f>IF(FT!B25&lt;&gt;"",FT!B25*100,"")</f>
        <v>31.282599999999999</v>
      </c>
      <c r="H25" s="61">
        <f t="shared" si="1"/>
        <v>1</v>
      </c>
      <c r="I25" t="str">
        <f>IF(FT!B25&lt;&gt;"",FT!E25,"")</f>
        <v>1 [9.347982]</v>
      </c>
      <c r="J25">
        <f>IF(FT!B25&lt;&gt;"",FT!C25,"")</f>
        <v>9.3479799999999997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4496</v>
      </c>
      <c r="D26" s="61">
        <f>FH!B26*1</f>
        <v>4496</v>
      </c>
      <c r="E26">
        <f t="shared" si="3"/>
        <v>24</v>
      </c>
      <c r="F26" s="61">
        <f>IF(FT!A26&lt;&gt;"",FT!A26*10,"")</f>
        <v>4.8003099999999996</v>
      </c>
      <c r="G26" s="61">
        <f>IF(FT!B26&lt;&gt;"",FT!B26*100,"")</f>
        <v>31.267699999999998</v>
      </c>
      <c r="H26" s="61">
        <f t="shared" si="1"/>
        <v>1</v>
      </c>
      <c r="I26" t="str">
        <f>IF(FT!B26&lt;&gt;"",FT!E26,"")</f>
        <v>1 [9.749869]</v>
      </c>
      <c r="J26">
        <f>IF(FT!B26&lt;&gt;"",FT!C26,"")</f>
        <v>9.7498699999999996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4.8033700000000001</v>
      </c>
      <c r="G27" s="61">
        <f>IF(FT!B27&lt;&gt;"",FT!B27*100,"")</f>
        <v>31.267400000000002</v>
      </c>
      <c r="H27" s="61">
        <f t="shared" si="1"/>
        <v>1</v>
      </c>
      <c r="I27" t="str">
        <f>IF(FT!B27&lt;&gt;"",FT!E27,"")</f>
        <v>1 [10.161780]</v>
      </c>
      <c r="J27">
        <f>IF(FT!B27&lt;&gt;"",FT!C27,"")</f>
        <v>10.161799999999999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4077</v>
      </c>
      <c r="D28" s="61">
        <f>FH!B28*1</f>
        <v>4077</v>
      </c>
      <c r="E28">
        <f t="shared" si="3"/>
        <v>26</v>
      </c>
      <c r="F28" s="61">
        <f>IF(FT!A28&lt;&gt;"",FT!A28*10,"")</f>
        <v>4.8092499999999996</v>
      </c>
      <c r="G28" s="61">
        <f>IF(FT!B28&lt;&gt;"",FT!B28*100,"")</f>
        <v>31.245200000000001</v>
      </c>
      <c r="H28" s="61">
        <f t="shared" si="1"/>
        <v>1</v>
      </c>
      <c r="I28" t="str">
        <f>IF(FT!B28&lt;&gt;"",FT!E28,"")</f>
        <v>1 [10.568762]</v>
      </c>
      <c r="J28">
        <f>IF(FT!B28&lt;&gt;"",FT!C28,"")</f>
        <v>10.5688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4.8138699999999996</v>
      </c>
      <c r="G29" s="61">
        <f>IF(FT!B29&lt;&gt;"",FT!B29*100,"")</f>
        <v>31.259999999999998</v>
      </c>
      <c r="H29" s="61">
        <f t="shared" si="1"/>
        <v>1</v>
      </c>
      <c r="I29" t="str">
        <f>IF(FT!B29&lt;&gt;"",FT!E29,"")</f>
        <v>1 [10.969366]</v>
      </c>
      <c r="J29">
        <f>IF(FT!B29&lt;&gt;"",FT!C29,"")</f>
        <v>10.9694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4.81745</v>
      </c>
      <c r="G30" s="61">
        <f>IF(FT!B30&lt;&gt;"",FT!B30*100,"")</f>
        <v>31.280200000000001</v>
      </c>
      <c r="H30" s="61">
        <f t="shared" si="1"/>
        <v>1</v>
      </c>
      <c r="I30" t="str">
        <f>IF(FT!B30&lt;&gt;"",FT!E30,"")</f>
        <v>1 [11.376471]</v>
      </c>
      <c r="J30">
        <f>IF(FT!B30&lt;&gt;"",FT!C30,"")</f>
        <v>11.3765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7131</v>
      </c>
      <c r="D31" s="61">
        <f>FH!B31*1</f>
        <v>7131</v>
      </c>
      <c r="E31">
        <f t="shared" si="3"/>
        <v>29</v>
      </c>
      <c r="F31" s="61">
        <f>IF(FT!A31&lt;&gt;"",FT!A31*10,"")</f>
        <v>4.8212599999999997</v>
      </c>
      <c r="G31" s="61">
        <f>IF(FT!B31&lt;&gt;"",FT!B31*100,"")</f>
        <v>31.252000000000002</v>
      </c>
      <c r="H31" s="61">
        <f t="shared" si="1"/>
        <v>1</v>
      </c>
      <c r="I31" t="str">
        <f>IF(FT!B31&lt;&gt;"",FT!E31,"")</f>
        <v>1 [11.785523]</v>
      </c>
      <c r="J31">
        <f>IF(FT!B31&lt;&gt;"",FT!C31,"")</f>
        <v>11.785500000000001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4.8267500000000005</v>
      </c>
      <c r="G32" s="61">
        <f>IF(FT!B32&lt;&gt;"",FT!B32*100,"")</f>
        <v>31.218299999999999</v>
      </c>
      <c r="H32" s="61">
        <f t="shared" si="1"/>
        <v>1</v>
      </c>
      <c r="I32" t="str">
        <f>IF(FT!B32&lt;&gt;"",FT!E32,"")</f>
        <v>1 [12.186529]</v>
      </c>
      <c r="J32">
        <f>IF(FT!B32&lt;&gt;"",FT!C32,"")</f>
        <v>12.186500000000001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10612</v>
      </c>
      <c r="D33" s="61">
        <f>FH!B33*1</f>
        <v>10612</v>
      </c>
      <c r="E33">
        <f t="shared" si="3"/>
        <v>31</v>
      </c>
      <c r="F33" s="61">
        <f>IF(FT!A33&lt;&gt;"",FT!A33*10,"")</f>
        <v>4.8329699999999995</v>
      </c>
      <c r="G33" s="61">
        <f>IF(FT!B33&lt;&gt;"",FT!B33*100,"")</f>
        <v>31.210100000000001</v>
      </c>
      <c r="H33" s="61">
        <f t="shared" si="1"/>
        <v>1</v>
      </c>
      <c r="I33" t="str">
        <f>IF(FT!B33&lt;&gt;"",FT!E33,"")</f>
        <v>1 [12.597221]</v>
      </c>
      <c r="J33">
        <f>IF(FT!B33&lt;&gt;"",FT!C33,"")</f>
        <v>12.597200000000001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4.8377799999999995</v>
      </c>
      <c r="G34" s="61">
        <f>IF(FT!B34&lt;&gt;"",FT!B34*100,"")</f>
        <v>31.219599999999996</v>
      </c>
      <c r="H34" s="61">
        <f t="shared" si="1"/>
        <v>1</v>
      </c>
      <c r="I34" t="str">
        <f>IF(FT!B34&lt;&gt;"",FT!E34,"")</f>
        <v>1 [13.003129]</v>
      </c>
      <c r="J34">
        <f>IF(FT!B34&lt;&gt;"",FT!C34,"")</f>
        <v>13.0031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4.8427300000000004</v>
      </c>
      <c r="G35" s="61">
        <f>IF(FT!B35&lt;&gt;"",FT!B35*100,"")</f>
        <v>31.278299999999998</v>
      </c>
      <c r="H35" s="61">
        <f t="shared" si="1"/>
        <v>1</v>
      </c>
      <c r="I35" t="str">
        <f>IF(FT!B35&lt;&gt;"",FT!E35,"")</f>
        <v>1 [13.407067]</v>
      </c>
      <c r="J35">
        <f>IF(FT!B35&lt;&gt;"",FT!C35,"")</f>
        <v>13.4071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21097</v>
      </c>
      <c r="D36" s="61">
        <f>FH!B36*1</f>
        <v>21097</v>
      </c>
      <c r="E36">
        <f t="shared" si="3"/>
        <v>34</v>
      </c>
      <c r="F36" s="61">
        <f>IF(FT!A36&lt;&gt;"",FT!A36*10,"")</f>
        <v>4.8492800000000003</v>
      </c>
      <c r="G36" s="61">
        <f>IF(FT!B36&lt;&gt;"",FT!B36*100,"")</f>
        <v>31.285899999999998</v>
      </c>
      <c r="H36" s="61">
        <f t="shared" si="1"/>
        <v>1</v>
      </c>
      <c r="I36" t="str">
        <f>IF(FT!B36&lt;&gt;"",FT!E36,"")</f>
        <v>1 [13.811186]</v>
      </c>
      <c r="J36">
        <f>IF(FT!B36&lt;&gt;"",FT!C36,"")</f>
        <v>13.811199999999999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4.85433</v>
      </c>
      <c r="G37" s="61">
        <f>IF(FT!B37&lt;&gt;"",FT!B37*100,"")</f>
        <v>31.270799999999998</v>
      </c>
      <c r="H37" s="61">
        <f t="shared" si="1"/>
        <v>1</v>
      </c>
      <c r="I37" t="str">
        <f>IF(FT!B37&lt;&gt;"",FT!E37,"")</f>
        <v>1 [14.216977]</v>
      </c>
      <c r="J37">
        <f>IF(FT!B37&lt;&gt;"",FT!C37,"")</f>
        <v>14.217000000000001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4.8580499999999995</v>
      </c>
      <c r="G38" s="61">
        <f>IF(FT!B38&lt;&gt;"",FT!B38*100,"")</f>
        <v>31.263300000000001</v>
      </c>
      <c r="H38" s="61">
        <f t="shared" si="1"/>
        <v>1</v>
      </c>
      <c r="I38" t="str">
        <f>IF(FT!B38&lt;&gt;"",FT!E38,"")</f>
        <v>1 [14.627790]</v>
      </c>
      <c r="J38">
        <f>IF(FT!B38&lt;&gt;"",FT!C38,"")</f>
        <v>14.627800000000001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26718</v>
      </c>
      <c r="D39" s="61">
        <f>FH!B39*1</f>
        <v>26718</v>
      </c>
      <c r="E39">
        <f t="shared" si="3"/>
        <v>37</v>
      </c>
      <c r="F39" s="61">
        <f>IF(FT!A39&lt;&gt;"",FT!A39*10,"")</f>
        <v>4.8635900000000003</v>
      </c>
      <c r="G39" s="61">
        <f>IF(FT!B39&lt;&gt;"",FT!B39*100,"")</f>
        <v>31.215900000000001</v>
      </c>
      <c r="H39" s="61">
        <f t="shared" si="1"/>
        <v>1</v>
      </c>
      <c r="I39" t="str">
        <f>IF(FT!B39&lt;&gt;"",FT!E39,"")</f>
        <v>1 [15.034743]</v>
      </c>
      <c r="J39">
        <f>IF(FT!B39&lt;&gt;"",FT!C39,"")</f>
        <v>15.034700000000001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4.8695300000000001</v>
      </c>
      <c r="G40" s="61">
        <f>IF(FT!B40&lt;&gt;"",FT!B40*100,"")</f>
        <v>31.169499999999999</v>
      </c>
      <c r="H40" s="61">
        <f t="shared" si="1"/>
        <v>1</v>
      </c>
      <c r="I40" t="str">
        <f>IF(FT!B40&lt;&gt;"",FT!E40,"")</f>
        <v>1 [15.440658]</v>
      </c>
      <c r="J40">
        <f>IF(FT!B40&lt;&gt;"",FT!C40,"")</f>
        <v>15.4407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36027</v>
      </c>
      <c r="D41" s="61">
        <f>FH!B41*1</f>
        <v>36027</v>
      </c>
      <c r="E41">
        <f t="shared" si="3"/>
        <v>39</v>
      </c>
      <c r="F41" s="61">
        <f>IF(FT!A41&lt;&gt;"",FT!A41*10,"")</f>
        <v>4.8723400000000003</v>
      </c>
      <c r="G41" s="61">
        <f>IF(FT!B41&lt;&gt;"",FT!B41*100,"")</f>
        <v>31.087999999999997</v>
      </c>
      <c r="H41" s="61">
        <f t="shared" si="1"/>
        <v>1</v>
      </c>
      <c r="I41" t="str">
        <f>IF(FT!B41&lt;&gt;"",FT!E41,"")</f>
        <v>1 [15.846527]</v>
      </c>
      <c r="J41">
        <f>IF(FT!B41&lt;&gt;"",FT!C41,"")</f>
        <v>15.846500000000001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4.8741699999999994</v>
      </c>
      <c r="G42" s="61">
        <f>IF(FT!B42&lt;&gt;"",FT!B42*100,"")</f>
        <v>30.995099999999997</v>
      </c>
      <c r="H42" s="61">
        <f t="shared" si="1"/>
        <v>1</v>
      </c>
      <c r="I42" t="str">
        <f>IF(FT!B42&lt;&gt;"",FT!E42,"")</f>
        <v>1 [16.250749]</v>
      </c>
      <c r="J42">
        <f>IF(FT!B42&lt;&gt;"",FT!C42,"")</f>
        <v>16.250699999999998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4.8754200000000001</v>
      </c>
      <c r="G43" s="61">
        <f>IF(FT!B43&lt;&gt;"",FT!B43*100,"")</f>
        <v>30.917299999999997</v>
      </c>
      <c r="H43" s="61">
        <f t="shared" si="1"/>
        <v>1</v>
      </c>
      <c r="I43" t="str">
        <f>IF(FT!B43&lt;&gt;"",FT!E43,"")</f>
        <v>1 [16.654493]</v>
      </c>
      <c r="J43">
        <f>IF(FT!B43&lt;&gt;"",FT!C43,"")</f>
        <v>16.654499999999999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51678</v>
      </c>
      <c r="D44" s="61">
        <f>FH!B44*1</f>
        <v>51678</v>
      </c>
      <c r="E44">
        <f t="shared" si="3"/>
        <v>42</v>
      </c>
      <c r="F44" s="61">
        <f>IF(FT!A44&lt;&gt;"",FT!A44*10,"")</f>
        <v>4.8747100000000003</v>
      </c>
      <c r="G44" s="61">
        <f>IF(FT!B44&lt;&gt;"",FT!B44*100,"")</f>
        <v>30.847200000000001</v>
      </c>
      <c r="H44" s="61">
        <f t="shared" si="1"/>
        <v>1</v>
      </c>
      <c r="I44" t="str">
        <f>IF(FT!B44&lt;&gt;"",FT!E44,"")</f>
        <v>1 [17.061428]</v>
      </c>
      <c r="J44">
        <f>IF(FT!B44&lt;&gt;"",FT!C44,"")</f>
        <v>17.061399999999999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4.8749099999999999</v>
      </c>
      <c r="G45" s="61">
        <f>IF(FT!B45&lt;&gt;"",FT!B45*100,"")</f>
        <v>30.761399999999998</v>
      </c>
      <c r="H45" s="61">
        <f t="shared" si="1"/>
        <v>1</v>
      </c>
      <c r="I45" t="str">
        <f>IF(FT!B45&lt;&gt;"",FT!E45,"")</f>
        <v>1 [17.470182]</v>
      </c>
      <c r="J45">
        <f>IF(FT!B45&lt;&gt;"",FT!C45,"")</f>
        <v>17.470199999999998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67342</v>
      </c>
      <c r="D46" s="61">
        <f>FH!B46*1</f>
        <v>67342</v>
      </c>
      <c r="E46">
        <f t="shared" si="3"/>
        <v>44</v>
      </c>
      <c r="F46" s="61">
        <f>IF(FT!A46&lt;&gt;"",FT!A46*10,"")</f>
        <v>4.8758699999999999</v>
      </c>
      <c r="G46" s="61">
        <f>IF(FT!B46&lt;&gt;"",FT!B46*100,"")</f>
        <v>30.654799999999998</v>
      </c>
      <c r="H46" s="61">
        <f t="shared" si="1"/>
        <v>1</v>
      </c>
      <c r="I46" t="str">
        <f>IF(FT!B46&lt;&gt;"",FT!E46,"")</f>
        <v>1 [17.875106]</v>
      </c>
      <c r="J46">
        <f>IF(FT!B46&lt;&gt;"",FT!C46,"")</f>
        <v>17.8751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4.8767700000000005</v>
      </c>
      <c r="G47" s="61">
        <f>IF(FT!B47&lt;&gt;"",FT!B47*100,"")</f>
        <v>30.532399999999999</v>
      </c>
      <c r="H47" s="61">
        <f t="shared" si="1"/>
        <v>1</v>
      </c>
      <c r="I47" t="str">
        <f>IF(FT!B47&lt;&gt;"",FT!E47,"")</f>
        <v>1 [18.280359]</v>
      </c>
      <c r="J47">
        <f>IF(FT!B47&lt;&gt;"",FT!C47,"")</f>
        <v>18.2804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4.8787000000000003</v>
      </c>
      <c r="G48" s="61">
        <f>IF(FT!B48&lt;&gt;"",FT!B48*100,"")</f>
        <v>30.418600000000001</v>
      </c>
      <c r="H48" s="61">
        <f t="shared" si="1"/>
        <v>1</v>
      </c>
      <c r="I48" t="str">
        <f>IF(FT!B48&lt;&gt;"",FT!E48,"")</f>
        <v>1 [18.690884]</v>
      </c>
      <c r="J48">
        <f>IF(FT!B48&lt;&gt;"",FT!C48,"")</f>
        <v>18.690899999999999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71341</v>
      </c>
      <c r="D49" s="61">
        <f>FH!B49*1</f>
        <v>71341</v>
      </c>
      <c r="E49">
        <f t="shared" si="3"/>
        <v>47</v>
      </c>
      <c r="F49" s="61">
        <f>IF(FT!A49&lt;&gt;"",FT!A49*10,"")</f>
        <v>4.8808100000000003</v>
      </c>
      <c r="G49" s="61">
        <f>IF(FT!B49&lt;&gt;"",FT!B49*100,"")</f>
        <v>30.298599999999997</v>
      </c>
      <c r="H49" s="61">
        <f t="shared" si="1"/>
        <v>1</v>
      </c>
      <c r="I49" t="str">
        <f>IF(FT!B49&lt;&gt;"",FT!E49,"")</f>
        <v>1 [19.096020]</v>
      </c>
      <c r="J49">
        <f>IF(FT!B49&lt;&gt;"",FT!C49,"")</f>
        <v>19.096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4.8788400000000003</v>
      </c>
      <c r="G50" s="61">
        <f>IF(FT!B50&lt;&gt;"",FT!B50*100,"")</f>
        <v>30.182300000000001</v>
      </c>
      <c r="H50" s="61">
        <f t="shared" si="1"/>
        <v>1</v>
      </c>
      <c r="I50" t="str">
        <f>IF(FT!B50&lt;&gt;"",FT!E50,"")</f>
        <v>1 [19.504812]</v>
      </c>
      <c r="J50">
        <f>IF(FT!B50&lt;&gt;"",FT!C50,"")</f>
        <v>19.504799999999999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76621</v>
      </c>
      <c r="D51" s="61">
        <f>FH!B51*1</f>
        <v>76621</v>
      </c>
      <c r="E51">
        <f t="shared" si="3"/>
        <v>49</v>
      </c>
      <c r="F51" s="61">
        <f>IF(FT!A51&lt;&gt;"",FT!A51*10,"")</f>
        <v>4.8757999999999999</v>
      </c>
      <c r="G51" s="61">
        <f>IF(FT!B51&lt;&gt;"",FT!B51*100,"")</f>
        <v>30.071100000000001</v>
      </c>
      <c r="H51" s="61">
        <f t="shared" si="1"/>
        <v>1</v>
      </c>
      <c r="I51" t="str">
        <f>IF(FT!B51&lt;&gt;"",FT!E51,"")</f>
        <v>1 [19.906631]</v>
      </c>
      <c r="J51">
        <f>IF(FT!B51&lt;&gt;"",FT!C51,"")</f>
        <v>19.906600000000001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4.8733300000000002</v>
      </c>
      <c r="G52" s="61">
        <f>IF(FT!B52&lt;&gt;"",FT!B52*100,"")</f>
        <v>29.9937</v>
      </c>
      <c r="H52" s="61">
        <f t="shared" si="1"/>
        <v>1</v>
      </c>
      <c r="I52" t="str">
        <f>IF(FT!B52&lt;&gt;"",FT!E52,"")</f>
        <v>1 [20.312865]</v>
      </c>
      <c r="J52">
        <f>IF(FT!B52&lt;&gt;"",FT!C52,"")</f>
        <v>20.312899999999999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4.8675800000000002</v>
      </c>
      <c r="G53" s="61">
        <f>IF(FT!B53&lt;&gt;"",FT!B53*100,"")</f>
        <v>29.8691</v>
      </c>
      <c r="H53" s="61">
        <f t="shared" si="1"/>
        <v>1</v>
      </c>
      <c r="I53" t="str">
        <f>IF(FT!B53&lt;&gt;"",FT!E53,"")</f>
        <v>1 [20.720490]</v>
      </c>
      <c r="J53">
        <f>IF(FT!B53&lt;&gt;"",FT!C53,"")</f>
        <v>20.720500000000001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89487</v>
      </c>
      <c r="D54" s="61">
        <f>FH!B54*1</f>
        <v>89487</v>
      </c>
      <c r="E54">
        <f t="shared" si="3"/>
        <v>52</v>
      </c>
      <c r="F54" s="61">
        <f>IF(FT!A54&lt;&gt;"",FT!A54*10,"")</f>
        <v>4.8613600000000003</v>
      </c>
      <c r="G54" s="61">
        <f>IF(FT!B54&lt;&gt;"",FT!B54*100,"")</f>
        <v>29.698799999999999</v>
      </c>
      <c r="H54" s="61">
        <f t="shared" si="1"/>
        <v>1</v>
      </c>
      <c r="I54" t="str">
        <f>IF(FT!B54&lt;&gt;"",FT!E54,"")</f>
        <v>1 [21.125464]</v>
      </c>
      <c r="J54">
        <f>IF(FT!B54&lt;&gt;"",FT!C54,"")</f>
        <v>21.125499999999999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4.8525</v>
      </c>
      <c r="G55" s="61">
        <f>IF(FT!B55&lt;&gt;"",FT!B55*100,"")</f>
        <v>29.410299999999999</v>
      </c>
      <c r="H55" s="61">
        <f t="shared" si="1"/>
        <v>1</v>
      </c>
      <c r="I55" t="str">
        <f>IF(FT!B55&lt;&gt;"",FT!E55,"")</f>
        <v>1 [21.534304]</v>
      </c>
      <c r="J55">
        <f>IF(FT!B55&lt;&gt;"",FT!C55,"")</f>
        <v>21.534300000000002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4.8423600000000002</v>
      </c>
      <c r="G56" s="61">
        <f>IF(FT!B56&lt;&gt;"",FT!B56*100,"")</f>
        <v>29.076800000000002</v>
      </c>
      <c r="H56" s="61">
        <f t="shared" si="1"/>
        <v>1</v>
      </c>
      <c r="I56" t="str">
        <f>IF(FT!B56&lt;&gt;"",FT!E56,"")</f>
        <v>1 [21.941185]</v>
      </c>
      <c r="J56">
        <f>IF(FT!B56&lt;&gt;"",FT!C56,"")</f>
        <v>21.941199999999998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96713</v>
      </c>
      <c r="D57" s="61">
        <f>FH!B57*1</f>
        <v>96713</v>
      </c>
      <c r="E57">
        <f t="shared" si="3"/>
        <v>55</v>
      </c>
      <c r="F57" s="61">
        <f>IF(FT!A57&lt;&gt;"",FT!A57*10,"")</f>
        <v>4.8304499999999999</v>
      </c>
      <c r="G57" s="61">
        <f>IF(FT!B57&lt;&gt;"",FT!B57*100,"")</f>
        <v>28.584599999999998</v>
      </c>
      <c r="H57" s="61">
        <f t="shared" si="1"/>
        <v>1</v>
      </c>
      <c r="I57" t="str">
        <f>IF(FT!B57&lt;&gt;"",FT!E57,"")</f>
        <v>1 [22.348321]</v>
      </c>
      <c r="J57">
        <f>IF(FT!B57&lt;&gt;"",FT!C57,"")</f>
        <v>22.348299999999998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4.8259600000000002</v>
      </c>
      <c r="G58" s="61">
        <f>IF(FT!B58&lt;&gt;"",FT!B58*100,"")</f>
        <v>28.348699999999997</v>
      </c>
      <c r="H58" s="61">
        <f t="shared" si="1"/>
        <v>1</v>
      </c>
      <c r="I58" t="str">
        <f>IF(FT!B58&lt;&gt;"",FT!E58,"")</f>
        <v>1 [22.752060]</v>
      </c>
      <c r="J58">
        <f>IF(FT!B58&lt;&gt;"",FT!C58,"")</f>
        <v>22.752099999999999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105379</v>
      </c>
      <c r="D59" s="61">
        <f>FH!B59*1</f>
        <v>105379</v>
      </c>
      <c r="E59">
        <f t="shared" si="3"/>
        <v>57</v>
      </c>
      <c r="F59" s="61">
        <f>IF(FT!A59&lt;&gt;"",FT!A59*10,"")</f>
        <v>4.81792</v>
      </c>
      <c r="G59" s="61">
        <f>IF(FT!B59&lt;&gt;"",FT!B59*100,"")</f>
        <v>27.973500000000001</v>
      </c>
      <c r="H59" s="61">
        <f t="shared" si="1"/>
        <v>1</v>
      </c>
      <c r="I59" t="str">
        <f>IF(FT!B59&lt;&gt;"",FT!E59,"")</f>
        <v>1 [23.158946]</v>
      </c>
      <c r="J59">
        <f>IF(FT!B59&lt;&gt;"",FT!C59,"")</f>
        <v>23.158899999999999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4.8075299999999999</v>
      </c>
      <c r="G60" s="61">
        <f>IF(FT!B60&lt;&gt;"",FT!B60*100,"")</f>
        <v>27.558899999999998</v>
      </c>
      <c r="H60" s="61">
        <f t="shared" si="1"/>
        <v>1</v>
      </c>
      <c r="I60" t="str">
        <f>IF(FT!B60&lt;&gt;"",FT!E60,"")</f>
        <v>1 [23.562265]</v>
      </c>
      <c r="J60">
        <f>IF(FT!B60&lt;&gt;"",FT!C60,"")</f>
        <v>23.5623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4.7941500000000001</v>
      </c>
      <c r="G61" s="61">
        <f>IF(FT!B61&lt;&gt;"",FT!B61*100,"")</f>
        <v>27.201700000000002</v>
      </c>
      <c r="H61" s="61">
        <f t="shared" si="1"/>
        <v>1</v>
      </c>
      <c r="I61" t="str">
        <f>IF(FT!B61&lt;&gt;"",FT!E61,"")</f>
        <v>1 [23.966870]</v>
      </c>
      <c r="J61">
        <f>IF(FT!B61&lt;&gt;"",FT!C61,"")</f>
        <v>23.966899999999999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112987</v>
      </c>
      <c r="D62" s="61">
        <f>FH!B62*1</f>
        <v>112987</v>
      </c>
      <c r="E62">
        <f t="shared" si="3"/>
        <v>60</v>
      </c>
      <c r="F62" s="61">
        <f>IF(FT!A62&lt;&gt;"",FT!A62*10,"")</f>
        <v>4.7745899999999999</v>
      </c>
      <c r="G62" s="61">
        <f>IF(FT!B62&lt;&gt;"",FT!B62*100,"")</f>
        <v>26.798100000000002</v>
      </c>
      <c r="H62" s="61">
        <f t="shared" si="1"/>
        <v>1</v>
      </c>
      <c r="I62" t="str">
        <f>IF(FT!B62&lt;&gt;"",FT!E62,"")</f>
        <v>1 [24.378778]</v>
      </c>
      <c r="J62">
        <f>IF(FT!B62&lt;&gt;"",FT!C62,"")</f>
        <v>24.378799999999998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4.7600499999999997</v>
      </c>
      <c r="G63" s="61">
        <f>IF(FT!B63&lt;&gt;"",FT!B63*100,"")</f>
        <v>26.480900000000002</v>
      </c>
      <c r="H63" s="61">
        <f t="shared" si="1"/>
        <v>1</v>
      </c>
      <c r="I63" t="str">
        <f>IF(FT!B63&lt;&gt;"",FT!E63,"")</f>
        <v>1 [24.780648]</v>
      </c>
      <c r="J63">
        <f>IF(FT!B63&lt;&gt;"",FT!C63,"")</f>
        <v>24.7806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117297</v>
      </c>
      <c r="D64" s="61">
        <f>FH!B64*1</f>
        <v>117297</v>
      </c>
      <c r="E64">
        <f t="shared" si="3"/>
        <v>62</v>
      </c>
      <c r="F64" s="61">
        <f>IF(FT!A64&lt;&gt;"",FT!A64*10,"")</f>
        <v>4.7483399999999998</v>
      </c>
      <c r="G64" s="61">
        <f>IF(FT!B64&lt;&gt;"",FT!B64*100,"")</f>
        <v>26.332100000000004</v>
      </c>
      <c r="H64" s="61">
        <f t="shared" si="1"/>
        <v>1</v>
      </c>
      <c r="I64" t="str">
        <f>IF(FT!B64&lt;&gt;"",FT!E64,"")</f>
        <v>1 [25.185563]</v>
      </c>
      <c r="J64">
        <f>IF(FT!B64&lt;&gt;"",FT!C64,"")</f>
        <v>25.185600000000001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4.7283999999999997</v>
      </c>
      <c r="G65" s="61">
        <f>IF(FT!B65&lt;&gt;"",FT!B65*100,"")</f>
        <v>26.139200000000002</v>
      </c>
      <c r="H65" s="61">
        <f t="shared" si="1"/>
        <v>1</v>
      </c>
      <c r="I65" t="str">
        <f>IF(FT!B65&lt;&gt;"",FT!E65,"")</f>
        <v>1 [25.592697]</v>
      </c>
      <c r="J65">
        <f>IF(FT!B65&lt;&gt;"",FT!C65,"")</f>
        <v>25.592700000000001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4.7051699999999999</v>
      </c>
      <c r="G66" s="61">
        <f>IF(FT!B66&lt;&gt;"",FT!B66*100,"")</f>
        <v>25.9619</v>
      </c>
      <c r="H66" s="61">
        <f t="shared" si="1"/>
        <v>1</v>
      </c>
      <c r="I66" t="str">
        <f>IF(FT!B66&lt;&gt;"",FT!E66,"")</f>
        <v>1 [26.005401]</v>
      </c>
      <c r="J66">
        <f>IF(FT!B66&lt;&gt;"",FT!C66,"")</f>
        <v>26.005400000000002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115158</v>
      </c>
      <c r="D67" s="61">
        <f>FH!B67*1</f>
        <v>115158</v>
      </c>
      <c r="E67">
        <f t="shared" si="3"/>
        <v>65</v>
      </c>
      <c r="F67" s="61">
        <f>IF(FT!A67&lt;&gt;"",FT!A67*10,"")</f>
        <v>4.6875099999999996</v>
      </c>
      <c r="G67" s="61">
        <f>IF(FT!B67&lt;&gt;"",FT!B67*100,"")</f>
        <v>25.8368</v>
      </c>
      <c r="H67" s="61">
        <f t="shared" ref="H67:H130" si="9">(IF(F67&lt;&gt;"",1,""))</f>
        <v>1</v>
      </c>
      <c r="I67" t="str">
        <f>IF(FT!B67&lt;&gt;"",FT!E67,"")</f>
        <v>1 [26.410296]</v>
      </c>
      <c r="J67">
        <f>IF(FT!B67&lt;&gt;"",FT!C67,"")</f>
        <v>26.410299999999999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4.6697300000000004</v>
      </c>
      <c r="G68" s="61">
        <f>IF(FT!B68&lt;&gt;"",FT!B68*100,"")</f>
        <v>25.7</v>
      </c>
      <c r="H68" s="61">
        <f t="shared" si="9"/>
        <v>1</v>
      </c>
      <c r="I68" t="str">
        <f>IF(FT!B68&lt;&gt;"",FT!E68,"")</f>
        <v>1 [26.816168]</v>
      </c>
      <c r="J68">
        <f>IF(FT!B68&lt;&gt;"",FT!C68,"")</f>
        <v>26.816199999999998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116911</v>
      </c>
      <c r="D69" s="61">
        <f>FH!B69*1</f>
        <v>116911</v>
      </c>
      <c r="E69">
        <f t="shared" si="11"/>
        <v>67</v>
      </c>
      <c r="F69" s="61">
        <f>IF(FT!A69&lt;&gt;"",FT!A69*10,"")</f>
        <v>4.6579800000000002</v>
      </c>
      <c r="G69" s="61">
        <f>IF(FT!B69&lt;&gt;"",FT!B69*100,"")</f>
        <v>25.547900000000002</v>
      </c>
      <c r="H69" s="61">
        <f t="shared" si="9"/>
        <v>1</v>
      </c>
      <c r="I69" t="str">
        <f>IF(FT!B69&lt;&gt;"",FT!E69,"")</f>
        <v>1 [27.218172]</v>
      </c>
      <c r="J69">
        <f>IF(FT!B69&lt;&gt;"",FT!C69,"")</f>
        <v>27.2182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4.6421299999999999</v>
      </c>
      <c r="G70" s="61">
        <f>IF(FT!B70&lt;&gt;"",FT!B70*100,"")</f>
        <v>25.436700000000002</v>
      </c>
      <c r="H70" s="61">
        <f t="shared" si="9"/>
        <v>1</v>
      </c>
      <c r="I70" t="str">
        <f>IF(FT!B70&lt;&gt;"",FT!E70,"")</f>
        <v>1 [27.623027]</v>
      </c>
      <c r="J70">
        <f>IF(FT!B70&lt;&gt;"",FT!C70,"")</f>
        <v>27.623000000000001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4.6279300000000001</v>
      </c>
      <c r="G71" s="61">
        <f>IF(FT!B71&lt;&gt;"",FT!B71*100,"")</f>
        <v>25.361099999999997</v>
      </c>
      <c r="H71" s="61">
        <f t="shared" si="9"/>
        <v>1</v>
      </c>
      <c r="I71" t="str">
        <f>IF(FT!B71&lt;&gt;"",FT!E71,"")</f>
        <v>1 [28.030997]</v>
      </c>
      <c r="J71">
        <f>IF(FT!B71&lt;&gt;"",FT!C71,"")</f>
        <v>28.030999999999999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132873</v>
      </c>
      <c r="D72" s="61">
        <f>FH!B72*1</f>
        <v>132873</v>
      </c>
      <c r="E72">
        <f t="shared" si="11"/>
        <v>70</v>
      </c>
      <c r="F72" s="61">
        <f>IF(FT!A72&lt;&gt;"",FT!A72*10,"")</f>
        <v>4.6141199999999998</v>
      </c>
      <c r="G72" s="61">
        <f>IF(FT!B72&lt;&gt;"",FT!B72*100,"")</f>
        <v>25.287700000000001</v>
      </c>
      <c r="H72" s="61">
        <f t="shared" si="9"/>
        <v>1</v>
      </c>
      <c r="I72" t="str">
        <f>IF(FT!B72&lt;&gt;"",FT!E72,"")</f>
        <v>1 [28.436998]</v>
      </c>
      <c r="J72">
        <f>IF(FT!B72&lt;&gt;"",FT!C72,"")</f>
        <v>28.437000000000001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4.5996300000000003</v>
      </c>
      <c r="G73" s="61">
        <f>IF(FT!B73&lt;&gt;"",FT!B73*100,"")</f>
        <v>25.2498</v>
      </c>
      <c r="H73" s="61">
        <f t="shared" si="9"/>
        <v>1</v>
      </c>
      <c r="I73" t="str">
        <f>IF(FT!B73&lt;&gt;"",FT!E73,"")</f>
        <v>1 [28.844915]</v>
      </c>
      <c r="J73">
        <f>IF(FT!B73&lt;&gt;"",FT!C73,"")</f>
        <v>28.844899999999999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4.5855800000000002</v>
      </c>
      <c r="G74" s="61">
        <f>IF(FT!B74&lt;&gt;"",FT!B74*100,"")</f>
        <v>25.216999999999999</v>
      </c>
      <c r="H74" s="61">
        <f t="shared" si="9"/>
        <v>1</v>
      </c>
      <c r="I74" t="str">
        <f>IF(FT!B74&lt;&gt;"",FT!E74,"")</f>
        <v>1 [29.253625]</v>
      </c>
      <c r="J74">
        <f>IF(FT!B74&lt;&gt;"",FT!C74,"")</f>
        <v>29.253599999999999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130161</v>
      </c>
      <c r="D75" s="61">
        <f>FH!B75*1</f>
        <v>130161</v>
      </c>
      <c r="E75">
        <f t="shared" si="11"/>
        <v>73</v>
      </c>
      <c r="F75" s="61">
        <f>IF(FT!A75&lt;&gt;"",FT!A75*10,"")</f>
        <v>4.5701000000000001</v>
      </c>
      <c r="G75" s="61">
        <f>IF(FT!B75&lt;&gt;"",FT!B75*100,"")</f>
        <v>25.228499999999997</v>
      </c>
      <c r="H75" s="61">
        <f t="shared" si="9"/>
        <v>1</v>
      </c>
      <c r="I75" t="str">
        <f>IF(FT!B75&lt;&gt;"",FT!E75,"")</f>
        <v>1 [29.657714]</v>
      </c>
      <c r="J75">
        <f>IF(FT!B75&lt;&gt;"",FT!C75,"")</f>
        <v>29.657699999999998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4.5586199999999995</v>
      </c>
      <c r="G76" s="61">
        <f>IF(FT!B76&lt;&gt;"",FT!B76*100,"")</f>
        <v>25.194299999999998</v>
      </c>
      <c r="H76" s="61">
        <f t="shared" si="9"/>
        <v>1</v>
      </c>
      <c r="I76" t="str">
        <f>IF(FT!B76&lt;&gt;"",FT!E76,"")</f>
        <v>2 [30.060595]</v>
      </c>
      <c r="J76">
        <f>IF(FT!B76&lt;&gt;"",FT!C76,"")</f>
        <v>30.060600000000001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131563</v>
      </c>
      <c r="D77" s="61">
        <f>FH!B77*1</f>
        <v>131563</v>
      </c>
      <c r="E77">
        <f t="shared" si="11"/>
        <v>75</v>
      </c>
      <c r="F77" s="61">
        <f>IF(FT!A77&lt;&gt;"",FT!A77*10,"")</f>
        <v>4.54894</v>
      </c>
      <c r="G77" s="61">
        <f>IF(FT!B77&lt;&gt;"",FT!B77*100,"")</f>
        <v>25.2363</v>
      </c>
      <c r="H77" s="61">
        <f t="shared" si="9"/>
        <v>1</v>
      </c>
      <c r="I77" t="str">
        <f>IF(FT!B77&lt;&gt;"",FT!E77,"")</f>
        <v>2 [30.533293]</v>
      </c>
      <c r="J77">
        <f>IF(FT!B77&lt;&gt;"",FT!C77,"")</f>
        <v>30.533300000000001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4.5416499999999997</v>
      </c>
      <c r="G78" s="61">
        <f>IF(FT!B78&lt;&gt;"",FT!B78*100,"")</f>
        <v>25.212400000000002</v>
      </c>
      <c r="H78" s="61">
        <f t="shared" si="9"/>
        <v>1</v>
      </c>
      <c r="I78" t="str">
        <f>IF(FT!B78&lt;&gt;"",FT!E78,"")</f>
        <v>2 [30.936572]</v>
      </c>
      <c r="J78">
        <f>IF(FT!B78&lt;&gt;"",FT!C78,"")</f>
        <v>30.936599999999999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4.5375700000000005</v>
      </c>
      <c r="G79" s="61">
        <f>IF(FT!B79&lt;&gt;"",FT!B79*100,"")</f>
        <v>25.243700000000004</v>
      </c>
      <c r="H79" s="61">
        <f t="shared" si="9"/>
        <v>1</v>
      </c>
      <c r="I79" t="str">
        <f>IF(FT!B79&lt;&gt;"",FT!E79,"")</f>
        <v>2 [31.349267]</v>
      </c>
      <c r="J79">
        <f>IF(FT!B79&lt;&gt;"",FT!C79,"")</f>
        <v>31.349299999999999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136489</v>
      </c>
      <c r="D80" s="61">
        <f>FH!B80*1</f>
        <v>136489</v>
      </c>
      <c r="E80">
        <f t="shared" si="11"/>
        <v>78</v>
      </c>
      <c r="F80" s="61">
        <f>IF(FT!A80&lt;&gt;"",FT!A80*10,"")</f>
        <v>4.5363199999999999</v>
      </c>
      <c r="G80" s="61">
        <f>IF(FT!B80&lt;&gt;"",FT!B80*100,"")</f>
        <v>25.3583</v>
      </c>
      <c r="H80" s="61">
        <f t="shared" si="9"/>
        <v>1</v>
      </c>
      <c r="I80" t="str">
        <f>IF(FT!B80&lt;&gt;"",FT!E80,"")</f>
        <v>2 [31.734185]</v>
      </c>
      <c r="J80">
        <f>IF(FT!B80&lt;&gt;"",FT!C80,"")</f>
        <v>31.734200000000001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4.5361000000000002</v>
      </c>
      <c r="G81" s="61">
        <f>IF(FT!B81&lt;&gt;"",FT!B81*100,"")</f>
        <v>25.483299999999996</v>
      </c>
      <c r="H81" s="61">
        <f t="shared" si="9"/>
        <v>1</v>
      </c>
      <c r="I81" t="str">
        <f>IF(FT!B81&lt;&gt;"",FT!E81,"")</f>
        <v>2 [32.141942]</v>
      </c>
      <c r="J81">
        <f>IF(FT!B81&lt;&gt;"",FT!C81,"")</f>
        <v>32.1419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149888</v>
      </c>
      <c r="D82" s="61">
        <f>FH!B82*1</f>
        <v>149888</v>
      </c>
      <c r="E82">
        <f t="shared" si="11"/>
        <v>80</v>
      </c>
      <c r="F82" s="61">
        <f>IF(FT!A82&lt;&gt;"",FT!A82*10,"")</f>
        <v>4.5366</v>
      </c>
      <c r="G82" s="61">
        <f>IF(FT!B82&lt;&gt;"",FT!B82*100,"")</f>
        <v>25.646999999999998</v>
      </c>
      <c r="H82" s="61">
        <f t="shared" si="9"/>
        <v>1</v>
      </c>
      <c r="I82" t="str">
        <f>IF(FT!B82&lt;&gt;"",FT!E82,"")</f>
        <v>2 [32.547817]</v>
      </c>
      <c r="J82">
        <f>IF(FT!B82&lt;&gt;"",FT!C82,"")</f>
        <v>32.547800000000002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4.5375100000000002</v>
      </c>
      <c r="G83" s="61">
        <f>IF(FT!B83&lt;&gt;"",FT!B83*100,"")</f>
        <v>25.820700000000002</v>
      </c>
      <c r="H83" s="61">
        <f t="shared" si="9"/>
        <v>1</v>
      </c>
      <c r="I83" t="str">
        <f>IF(FT!B83&lt;&gt;"",FT!E83,"")</f>
        <v>2 [32.957763]</v>
      </c>
      <c r="J83">
        <f>IF(FT!B83&lt;&gt;"",FT!C83,"")</f>
        <v>32.957799999999999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4.5408400000000002</v>
      </c>
      <c r="G84" s="61">
        <f>IF(FT!B84&lt;&gt;"",FT!B84*100,"")</f>
        <v>25.968299999999999</v>
      </c>
      <c r="H84" s="61">
        <f t="shared" si="9"/>
        <v>1</v>
      </c>
      <c r="I84" t="str">
        <f>IF(FT!B84&lt;&gt;"",FT!E84,"")</f>
        <v>2 [33.364782]</v>
      </c>
      <c r="J84">
        <f>IF(FT!B84&lt;&gt;"",FT!C84,"")</f>
        <v>33.364800000000002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176123</v>
      </c>
      <c r="D85" s="61">
        <f>FH!B85*1</f>
        <v>176123</v>
      </c>
      <c r="E85">
        <f t="shared" si="11"/>
        <v>83</v>
      </c>
      <c r="F85" s="61">
        <f>IF(FT!A85&lt;&gt;"",FT!A85*10,"")</f>
        <v>4.5464799999999999</v>
      </c>
      <c r="G85" s="61">
        <f>IF(FT!B85&lt;&gt;"",FT!B85*100,"")</f>
        <v>26.0639</v>
      </c>
      <c r="H85" s="61">
        <f t="shared" si="9"/>
        <v>1</v>
      </c>
      <c r="I85" t="str">
        <f>IF(FT!B85&lt;&gt;"",FT!E85,"")</f>
        <v>2 [33.766289]</v>
      </c>
      <c r="J85">
        <f>IF(FT!B85&lt;&gt;"",FT!C85,"")</f>
        <v>33.766300000000001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4.5501000000000005</v>
      </c>
      <c r="G86" s="61">
        <f>IF(FT!B86&lt;&gt;"",FT!B86*100,"")</f>
        <v>26.120100000000001</v>
      </c>
      <c r="H86" s="61">
        <f t="shared" si="9"/>
        <v>1</v>
      </c>
      <c r="I86" t="str">
        <f>IF(FT!B86&lt;&gt;"",FT!E86,"")</f>
        <v>2 [34.171751]</v>
      </c>
      <c r="J86">
        <f>IF(FT!B86&lt;&gt;"",FT!C86,"")</f>
        <v>34.171799999999998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4.5549499999999998</v>
      </c>
      <c r="G87" s="61">
        <f>IF(FT!B87&lt;&gt;"",FT!B87*100,"")</f>
        <v>26.1309</v>
      </c>
      <c r="H87" s="61">
        <f t="shared" si="9"/>
        <v>1</v>
      </c>
      <c r="I87" t="str">
        <f>IF(FT!B87&lt;&gt;"",FT!E87,"")</f>
        <v>2 [34.583457]</v>
      </c>
      <c r="J87">
        <f>IF(FT!B87&lt;&gt;"",FT!C87,"")</f>
        <v>34.583500000000001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184154</v>
      </c>
      <c r="D88" s="61">
        <f>FH!B88*1</f>
        <v>184154</v>
      </c>
      <c r="E88">
        <f t="shared" si="11"/>
        <v>86</v>
      </c>
      <c r="F88" s="61">
        <f>IF(FT!A88&lt;&gt;"",FT!A88*10,"")</f>
        <v>4.5584299999999995</v>
      </c>
      <c r="G88" s="61">
        <f>IF(FT!B88&lt;&gt;"",FT!B88*100,"")</f>
        <v>26.115100000000002</v>
      </c>
      <c r="H88" s="61">
        <f t="shared" si="9"/>
        <v>1</v>
      </c>
      <c r="I88" t="str">
        <f>IF(FT!B88&lt;&gt;"",FT!E88,"")</f>
        <v>2 [34.988479]</v>
      </c>
      <c r="J88">
        <f>IF(FT!B88&lt;&gt;"",FT!C88,"")</f>
        <v>34.988500000000002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4.5602499999999999</v>
      </c>
      <c r="G89" s="61">
        <f>IF(FT!B89&lt;&gt;"",FT!B89*100,"")</f>
        <v>25.9892</v>
      </c>
      <c r="H89" s="61">
        <f t="shared" si="9"/>
        <v>1</v>
      </c>
      <c r="I89" t="str">
        <f>IF(FT!B89&lt;&gt;"",FT!E89,"")</f>
        <v>2 [35.393276]</v>
      </c>
      <c r="J89">
        <f>IF(FT!B89&lt;&gt;"",FT!C89,"")</f>
        <v>35.393300000000004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198843</v>
      </c>
      <c r="D90" s="61">
        <f>FH!B90*1</f>
        <v>198843</v>
      </c>
      <c r="E90">
        <f t="shared" si="11"/>
        <v>88</v>
      </c>
      <c r="F90" s="61">
        <f>IF(FT!A90&lt;&gt;"",FT!A90*10,"")</f>
        <v>4.5615499999999995</v>
      </c>
      <c r="G90" s="61">
        <f>IF(FT!B90&lt;&gt;"",FT!B90*100,"")</f>
        <v>25.8125</v>
      </c>
      <c r="H90" s="61">
        <f t="shared" si="9"/>
        <v>1</v>
      </c>
      <c r="I90" t="str">
        <f>IF(FT!B90&lt;&gt;"",FT!E90,"")</f>
        <v>2 [35.801305]</v>
      </c>
      <c r="J90">
        <f>IF(FT!B90&lt;&gt;"",FT!C90,"")</f>
        <v>35.801299999999998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4.5615699999999997</v>
      </c>
      <c r="G91" s="61">
        <f>IF(FT!B91&lt;&gt;"",FT!B91*100,"")</f>
        <v>25.597999999999999</v>
      </c>
      <c r="H91" s="61">
        <f t="shared" si="9"/>
        <v>1</v>
      </c>
      <c r="I91" t="str">
        <f>IF(FT!B91&lt;&gt;"",FT!E91,"")</f>
        <v>2 [36.201668]</v>
      </c>
      <c r="J91">
        <f>IF(FT!B91&lt;&gt;"",FT!C91,"")</f>
        <v>36.201700000000002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4.5623300000000002</v>
      </c>
      <c r="G92" s="61">
        <f>IF(FT!B92&lt;&gt;"",FT!B92*100,"")</f>
        <v>25.316400000000002</v>
      </c>
      <c r="H92" s="61">
        <f t="shared" si="9"/>
        <v>1</v>
      </c>
      <c r="I92" t="str">
        <f>IF(FT!B92&lt;&gt;"",FT!E92,"")</f>
        <v>2 [36.615239]</v>
      </c>
      <c r="J92">
        <f>IF(FT!B92&lt;&gt;"",FT!C92,"")</f>
        <v>36.615200000000002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206025</v>
      </c>
      <c r="D93" s="61">
        <f>FH!B93*1</f>
        <v>206025</v>
      </c>
      <c r="E93">
        <f t="shared" si="11"/>
        <v>91</v>
      </c>
      <c r="F93" s="61">
        <f>IF(FT!A93&lt;&gt;"",FT!A93*10,"")</f>
        <v>4.5655800000000006</v>
      </c>
      <c r="G93" s="61">
        <f>IF(FT!B93&lt;&gt;"",FT!B93*100,"")</f>
        <v>25.030400000000004</v>
      </c>
      <c r="H93" s="61">
        <f t="shared" si="9"/>
        <v>1</v>
      </c>
      <c r="I93" t="str">
        <f>IF(FT!B93&lt;&gt;"",FT!E93,"")</f>
        <v>2 [37.016946]</v>
      </c>
      <c r="J93">
        <f>IF(FT!B93&lt;&gt;"",FT!C93,"")</f>
        <v>37.0169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4.5694499999999998</v>
      </c>
      <c r="G94" s="61">
        <f>IF(FT!B94&lt;&gt;"",FT!B94*100,"")</f>
        <v>24.728999999999999</v>
      </c>
      <c r="H94" s="61">
        <f t="shared" si="9"/>
        <v>1</v>
      </c>
      <c r="I94" t="str">
        <f>IF(FT!B94&lt;&gt;"",FT!E94,"")</f>
        <v>2 [37.425885]</v>
      </c>
      <c r="J94">
        <f>IF(FT!B94&lt;&gt;"",FT!C94,"")</f>
        <v>37.425899999999999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206674</v>
      </c>
      <c r="D95" s="61">
        <f>FH!B95*1</f>
        <v>206674</v>
      </c>
      <c r="E95">
        <f t="shared" si="11"/>
        <v>93</v>
      </c>
      <c r="F95" s="61">
        <f>IF(FT!A95&lt;&gt;"",FT!A95*10,"")</f>
        <v>4.5705299999999998</v>
      </c>
      <c r="G95" s="61">
        <f>IF(FT!B95&lt;&gt;"",FT!B95*100,"")</f>
        <v>24.473200000000002</v>
      </c>
      <c r="H95" s="61">
        <f t="shared" si="9"/>
        <v>1</v>
      </c>
      <c r="I95" t="str">
        <f>IF(FT!B95&lt;&gt;"",FT!E95,"")</f>
        <v>2 [37.832373]</v>
      </c>
      <c r="J95">
        <f>IF(FT!B95&lt;&gt;"",FT!C95,"")</f>
        <v>37.8324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4.5700200000000004</v>
      </c>
      <c r="G96" s="61">
        <f>IF(FT!B96&lt;&gt;"",FT!B96*100,"")</f>
        <v>24.268799999999999</v>
      </c>
      <c r="H96" s="61">
        <f t="shared" si="9"/>
        <v>1</v>
      </c>
      <c r="I96" t="str">
        <f>IF(FT!B96&lt;&gt;"",FT!E96,"")</f>
        <v>2 [38.237682]</v>
      </c>
      <c r="J96">
        <f>IF(FT!B96&lt;&gt;"",FT!C96,"")</f>
        <v>38.237699999999997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4.5694800000000004</v>
      </c>
      <c r="G97" s="61">
        <f>IF(FT!B97&lt;&gt;"",FT!B97*100,"")</f>
        <v>24.027799999999999</v>
      </c>
      <c r="H97" s="61">
        <f t="shared" si="9"/>
        <v>1</v>
      </c>
      <c r="I97" t="str">
        <f>IF(FT!B97&lt;&gt;"",FT!E97,"")</f>
        <v>2 [38.642573]</v>
      </c>
      <c r="J97">
        <f>IF(FT!B97&lt;&gt;"",FT!C97,"")</f>
        <v>38.642600000000002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229403</v>
      </c>
      <c r="D98" s="61">
        <f>FH!B98*1</f>
        <v>229403</v>
      </c>
      <c r="E98">
        <f t="shared" si="11"/>
        <v>96</v>
      </c>
      <c r="F98" s="61">
        <f>IF(FT!A98&lt;&gt;"",FT!A98*10,"")</f>
        <v>4.5684699999999996</v>
      </c>
      <c r="G98" s="61">
        <f>IF(FT!B98&lt;&gt;"",FT!B98*100,"")</f>
        <v>23.7438</v>
      </c>
      <c r="H98" s="61">
        <f t="shared" si="9"/>
        <v>1</v>
      </c>
      <c r="I98" t="str">
        <f>IF(FT!B98&lt;&gt;"",FT!E98,"")</f>
        <v>2 [39.047475]</v>
      </c>
      <c r="J98">
        <f>IF(FT!B98&lt;&gt;"",FT!C98,"")</f>
        <v>39.047499999999999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4.5656999999999996</v>
      </c>
      <c r="G99" s="61">
        <f>IF(FT!B99&lt;&gt;"",FT!B99*100,"")</f>
        <v>23.459199999999999</v>
      </c>
      <c r="H99" s="61">
        <f t="shared" si="9"/>
        <v>1</v>
      </c>
      <c r="I99" t="str">
        <f>IF(FT!B99&lt;&gt;"",FT!E99,"")</f>
        <v>2 [39.455454]</v>
      </c>
      <c r="J99">
        <f>IF(FT!B99&lt;&gt;"",FT!C99,"")</f>
        <v>39.455500000000001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243331</v>
      </c>
      <c r="D100" s="61">
        <f>FH!B100*1</f>
        <v>243331</v>
      </c>
      <c r="E100">
        <f t="shared" si="11"/>
        <v>98</v>
      </c>
      <c r="F100" s="61">
        <f>IF(FT!A100&lt;&gt;"",FT!A100*10,"")</f>
        <v>4.5611300000000004</v>
      </c>
      <c r="G100" s="61">
        <f>IF(FT!B100&lt;&gt;"",FT!B100*100,"")</f>
        <v>23.2486</v>
      </c>
      <c r="H100" s="61">
        <f t="shared" si="9"/>
        <v>1</v>
      </c>
      <c r="I100" t="str">
        <f>IF(FT!B100&lt;&gt;"",FT!E100,"")</f>
        <v>2 [39.864370]</v>
      </c>
      <c r="J100">
        <f>IF(FT!B100&lt;&gt;"",FT!C100,"")</f>
        <v>39.864400000000003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4.5530999999999997</v>
      </c>
      <c r="G101" s="61">
        <f>IF(FT!B101&lt;&gt;"",FT!B101*100,"")</f>
        <v>23.063099999999999</v>
      </c>
      <c r="H101" s="61">
        <f t="shared" si="9"/>
        <v>1</v>
      </c>
      <c r="I101" t="str">
        <f>IF(FT!B101&lt;&gt;"",FT!E101,"")</f>
        <v>2 [40.267358]</v>
      </c>
      <c r="J101">
        <f>IF(FT!B101&lt;&gt;"",FT!C101,"")</f>
        <v>40.267400000000002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4.5430599999999997</v>
      </c>
      <c r="G102" s="61">
        <f>IF(FT!B102&lt;&gt;"",FT!B102*100,"")</f>
        <v>22.921900000000001</v>
      </c>
      <c r="H102" s="61">
        <f t="shared" si="9"/>
        <v>1</v>
      </c>
      <c r="I102" t="str">
        <f>IF(FT!B102&lt;&gt;"",FT!E102,"")</f>
        <v>2 [40.676095]</v>
      </c>
      <c r="J102">
        <f>IF(FT!B102&lt;&gt;"",FT!C102,"")</f>
        <v>40.676099999999998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248959</v>
      </c>
      <c r="D103" s="61">
        <f>FH!B103*1</f>
        <v>248959</v>
      </c>
      <c r="E103">
        <f t="shared" si="11"/>
        <v>101</v>
      </c>
      <c r="F103" s="61">
        <f>IF(FT!A103&lt;&gt;"",FT!A103*10,"")</f>
        <v>4.5331599999999996</v>
      </c>
      <c r="G103" s="61">
        <f>IF(FT!B103&lt;&gt;"",FT!B103*100,"")</f>
        <v>22.857700000000001</v>
      </c>
      <c r="H103" s="61">
        <f t="shared" si="9"/>
        <v>1</v>
      </c>
      <c r="I103" t="str">
        <f>IF(FT!B103&lt;&gt;"",FT!E103,"")</f>
        <v>2 [41.079101]</v>
      </c>
      <c r="J103">
        <f>IF(FT!B103&lt;&gt;"",FT!C103,"")</f>
        <v>41.079099999999997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4.5219399999999998</v>
      </c>
      <c r="G104" s="61">
        <f>IF(FT!B104&lt;&gt;"",FT!B104*100,"")</f>
        <v>22.8187</v>
      </c>
      <c r="H104" s="61">
        <f t="shared" si="9"/>
        <v>1</v>
      </c>
      <c r="I104" t="str">
        <f>IF(FT!B104&lt;&gt;"",FT!E104,"")</f>
        <v>2 [41.486027]</v>
      </c>
      <c r="J104">
        <f>IF(FT!B104&lt;&gt;"",FT!C104,"")</f>
        <v>41.485999999999997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4.5123199999999999</v>
      </c>
      <c r="G105" s="61">
        <f>IF(FT!B105&lt;&gt;"",FT!B105*100,"")</f>
        <v>22.818999999999999</v>
      </c>
      <c r="H105" s="61">
        <f t="shared" si="9"/>
        <v>1</v>
      </c>
      <c r="I105" t="str">
        <f>IF(FT!B105&lt;&gt;"",FT!E105,"")</f>
        <v>2 [41.893958]</v>
      </c>
      <c r="J105">
        <f>IF(FT!B105&lt;&gt;"",FT!C105,"")</f>
        <v>41.893999999999998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253636</v>
      </c>
      <c r="D106" s="61">
        <f>FH!B106*1</f>
        <v>253636</v>
      </c>
      <c r="E106">
        <f t="shared" si="11"/>
        <v>104</v>
      </c>
      <c r="F106" s="61">
        <f>IF(FT!A106&lt;&gt;"",FT!A106*10,"")</f>
        <v>4.5006000000000004</v>
      </c>
      <c r="G106" s="61">
        <f>IF(FT!B106&lt;&gt;"",FT!B106*100,"")</f>
        <v>22.8416</v>
      </c>
      <c r="H106" s="61">
        <f t="shared" si="9"/>
        <v>1</v>
      </c>
      <c r="I106" t="str">
        <f>IF(FT!B106&lt;&gt;"",FT!E106,"")</f>
        <v>2 [42.295952]</v>
      </c>
      <c r="J106">
        <f>IF(FT!B106&lt;&gt;"",FT!C106,"")</f>
        <v>42.295999999999999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4.4866099999999998</v>
      </c>
      <c r="G107" s="61">
        <f>IF(FT!B107&lt;&gt;"",FT!B107*100,"")</f>
        <v>22.9162</v>
      </c>
      <c r="H107" s="61">
        <f t="shared" si="9"/>
        <v>1</v>
      </c>
      <c r="I107" t="str">
        <f>IF(FT!B107&lt;&gt;"",FT!E107,"")</f>
        <v>2 [42.703717]</v>
      </c>
      <c r="J107">
        <f>IF(FT!B107&lt;&gt;"",FT!C107,"")</f>
        <v>42.703699999999998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256265</v>
      </c>
      <c r="D108" s="61">
        <f>FH!B108*1</f>
        <v>256265</v>
      </c>
      <c r="E108">
        <f t="shared" si="11"/>
        <v>106</v>
      </c>
      <c r="F108" s="61">
        <f>IF(FT!A108&lt;&gt;"",FT!A108*10,"")</f>
        <v>4.4727899999999998</v>
      </c>
      <c r="G108" s="61">
        <f>IF(FT!B108&lt;&gt;"",FT!B108*100,"")</f>
        <v>23.014000000000003</v>
      </c>
      <c r="H108" s="61">
        <f t="shared" si="9"/>
        <v>1</v>
      </c>
      <c r="I108" t="str">
        <f>IF(FT!B108&lt;&gt;"",FT!E108,"")</f>
        <v>2 [43.108683]</v>
      </c>
      <c r="J108">
        <f>IF(FT!B108&lt;&gt;"",FT!C108,"")</f>
        <v>43.108699999999999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4.4619799999999996</v>
      </c>
      <c r="G109" s="61">
        <f>IF(FT!B109&lt;&gt;"",FT!B109*100,"")</f>
        <v>23.130400000000002</v>
      </c>
      <c r="H109" s="61">
        <f t="shared" si="9"/>
        <v>1</v>
      </c>
      <c r="I109" t="str">
        <f>IF(FT!B109&lt;&gt;"",FT!E109,"")</f>
        <v>2 [43.512560]</v>
      </c>
      <c r="J109">
        <f>IF(FT!B109&lt;&gt;"",FT!C109,"")</f>
        <v>43.512599999999999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4.4521500000000005</v>
      </c>
      <c r="G110" s="61">
        <f>IF(FT!B110&lt;&gt;"",FT!B110*100,"")</f>
        <v>23.295500000000001</v>
      </c>
      <c r="H110" s="61">
        <f t="shared" si="9"/>
        <v>1</v>
      </c>
      <c r="I110" t="str">
        <f>IF(FT!B110&lt;&gt;"",FT!E110,"")</f>
        <v>2 [43.923455]</v>
      </c>
      <c r="J110">
        <f>IF(FT!B110&lt;&gt;"",FT!C110,"")</f>
        <v>43.923499999999997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266292</v>
      </c>
      <c r="D111" s="61">
        <f>FH!B111*1</f>
        <v>266292</v>
      </c>
      <c r="E111">
        <f t="shared" si="11"/>
        <v>109</v>
      </c>
      <c r="F111" s="61">
        <f>IF(FT!A111&lt;&gt;"",FT!A111*10,"")</f>
        <v>4.4449199999999998</v>
      </c>
      <c r="G111" s="61">
        <f>IF(FT!B111&lt;&gt;"",FT!B111*100,"")</f>
        <v>23.479900000000001</v>
      </c>
      <c r="H111" s="61">
        <f t="shared" si="9"/>
        <v>1</v>
      </c>
      <c r="I111" t="str">
        <f>IF(FT!B111&lt;&gt;"",FT!E111,"")</f>
        <v>2 [44.332777]</v>
      </c>
      <c r="J111">
        <f>IF(FT!B111&lt;&gt;"",FT!C111,"")</f>
        <v>44.332799999999999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4.4394600000000004</v>
      </c>
      <c r="G112" s="61">
        <f>IF(FT!B112&lt;&gt;"",FT!B112*100,"")</f>
        <v>23.694399999999998</v>
      </c>
      <c r="H112" s="61">
        <f t="shared" si="9"/>
        <v>1</v>
      </c>
      <c r="I112" t="str">
        <f>IF(FT!B112&lt;&gt;"",FT!E112,"")</f>
        <v>2 [44.733792]</v>
      </c>
      <c r="J112">
        <f>IF(FT!B112&lt;&gt;"",FT!C112,"")</f>
        <v>44.733800000000002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271590</v>
      </c>
      <c r="D113" s="61">
        <f>FH!B113*1</f>
        <v>271590</v>
      </c>
      <c r="E113">
        <f t="shared" si="11"/>
        <v>111</v>
      </c>
      <c r="F113" s="61">
        <f>IF(FT!A113&lt;&gt;"",FT!A113*10,"")</f>
        <v>4.4344599999999996</v>
      </c>
      <c r="G113" s="61">
        <f>IF(FT!B113&lt;&gt;"",FT!B113*100,"")</f>
        <v>23.9008</v>
      </c>
      <c r="H113" s="61">
        <f t="shared" si="9"/>
        <v>1</v>
      </c>
      <c r="I113" t="str">
        <f>IF(FT!B113&lt;&gt;"",FT!E113,"")</f>
        <v>2 [45.140165]</v>
      </c>
      <c r="J113">
        <f>IF(FT!B113&lt;&gt;"",FT!C113,"")</f>
        <v>45.1402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4.4356400000000002</v>
      </c>
      <c r="G114" s="61">
        <f>IF(FT!B114&lt;&gt;"",FT!B114*100,"")</f>
        <v>24.077500000000001</v>
      </c>
      <c r="H114" s="61">
        <f t="shared" si="9"/>
        <v>1</v>
      </c>
      <c r="I114" t="str">
        <f>IF(FT!B114&lt;&gt;"",FT!E114,"")</f>
        <v>2 [45.548520]</v>
      </c>
      <c r="J114">
        <f>IF(FT!B114&lt;&gt;"",FT!C114,"")</f>
        <v>45.548499999999997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4.4416399999999996</v>
      </c>
      <c r="G115" s="61">
        <f>IF(FT!B115&lt;&gt;"",FT!B115*100,"")</f>
        <v>24.265999999999998</v>
      </c>
      <c r="H115" s="61">
        <f t="shared" si="9"/>
        <v>1</v>
      </c>
      <c r="I115" t="str">
        <f>IF(FT!B115&lt;&gt;"",FT!E115,"")</f>
        <v>2 [45.957065]</v>
      </c>
      <c r="J115">
        <f>IF(FT!B115&lt;&gt;"",FT!C115,"")</f>
        <v>45.957099999999997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287948</v>
      </c>
      <c r="D116" s="61">
        <f>FH!B116*1</f>
        <v>287948</v>
      </c>
      <c r="E116">
        <f t="shared" si="11"/>
        <v>114</v>
      </c>
      <c r="F116" s="61">
        <f>IF(FT!A116&lt;&gt;"",FT!A116*10,"")</f>
        <v>4.4501400000000002</v>
      </c>
      <c r="G116" s="61">
        <f>IF(FT!B116&lt;&gt;"",FT!B116*100,"")</f>
        <v>24.439299999999999</v>
      </c>
      <c r="H116" s="61">
        <f t="shared" si="9"/>
        <v>1</v>
      </c>
      <c r="I116" t="str">
        <f>IF(FT!B116&lt;&gt;"",FT!E116,"")</f>
        <v>2 [46.365177]</v>
      </c>
      <c r="J116">
        <f>IF(FT!B116&lt;&gt;"",FT!C116,"")</f>
        <v>46.365200000000002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4.4603199999999994</v>
      </c>
      <c r="G117" s="61">
        <f>IF(FT!B117&lt;&gt;"",FT!B117*100,"")</f>
        <v>24.6539</v>
      </c>
      <c r="H117" s="61">
        <f t="shared" si="9"/>
        <v>1</v>
      </c>
      <c r="I117" t="str">
        <f>IF(FT!B117&lt;&gt;"",FT!E117,"")</f>
        <v>2 [46.766881]</v>
      </c>
      <c r="J117">
        <f>IF(FT!B117&lt;&gt;"",FT!C117,"")</f>
        <v>46.7669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287733</v>
      </c>
      <c r="D118" s="61">
        <f>FH!B118*1</f>
        <v>287733</v>
      </c>
      <c r="E118">
        <f t="shared" si="11"/>
        <v>116</v>
      </c>
      <c r="F118" s="61">
        <f>IF(FT!A118&lt;&gt;"",FT!A118*10,"")</f>
        <v>4.47065</v>
      </c>
      <c r="G118" s="61">
        <f>IF(FT!B118&lt;&gt;"",FT!B118*100,"")</f>
        <v>24.8687</v>
      </c>
      <c r="H118" s="61">
        <f t="shared" si="9"/>
        <v>1</v>
      </c>
      <c r="I118" t="str">
        <f>IF(FT!B118&lt;&gt;"",FT!E118,"")</f>
        <v>2 [47.172799]</v>
      </c>
      <c r="J118">
        <f>IF(FT!B118&lt;&gt;"",FT!C118,"")</f>
        <v>47.172800000000002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4.4789500000000002</v>
      </c>
      <c r="G119" s="61">
        <f>IF(FT!B119&lt;&gt;"",FT!B119*100,"")</f>
        <v>25.080999999999996</v>
      </c>
      <c r="H119" s="61">
        <f t="shared" si="9"/>
        <v>1</v>
      </c>
      <c r="I119" t="str">
        <f>IF(FT!B119&lt;&gt;"",FT!E119,"")</f>
        <v>2 [47.581879]</v>
      </c>
      <c r="J119">
        <f>IF(FT!B119&lt;&gt;"",FT!C119,"")</f>
        <v>47.581899999999997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4.4862900000000003</v>
      </c>
      <c r="G120" s="61">
        <f>IF(FT!B120&lt;&gt;"",FT!B120*100,"")</f>
        <v>25.199300000000001</v>
      </c>
      <c r="H120" s="61">
        <f t="shared" si="9"/>
        <v>1</v>
      </c>
      <c r="I120" t="str">
        <f>IF(FT!B120&lt;&gt;"",FT!E120,"")</f>
        <v>2 [47.985641]</v>
      </c>
      <c r="J120">
        <f>IF(FT!B120&lt;&gt;"",FT!C120,"")</f>
        <v>47.985599999999998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289199</v>
      </c>
      <c r="D121" s="61">
        <f>FH!B121*1</f>
        <v>289199</v>
      </c>
      <c r="E121">
        <f t="shared" si="11"/>
        <v>119</v>
      </c>
      <c r="F121" s="61">
        <f>IF(FT!A121&lt;&gt;"",FT!A121*10,"")</f>
        <v>4.4912200000000002</v>
      </c>
      <c r="G121" s="61">
        <f>IF(FT!B121&lt;&gt;"",FT!B121*100,"")</f>
        <v>25.345499999999998</v>
      </c>
      <c r="H121" s="61">
        <f t="shared" si="9"/>
        <v>1</v>
      </c>
      <c r="I121" t="str">
        <f>IF(FT!B121&lt;&gt;"",FT!E121,"")</f>
        <v>2 [48.394704]</v>
      </c>
      <c r="J121">
        <f>IF(FT!B121&lt;&gt;"",FT!C121,"")</f>
        <v>48.3947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4.4958799999999997</v>
      </c>
      <c r="G122" s="61">
        <f>IF(FT!B122&lt;&gt;"",FT!B122*100,"")</f>
        <v>25.555</v>
      </c>
      <c r="H122" s="61">
        <f t="shared" si="9"/>
        <v>1</v>
      </c>
      <c r="I122" t="str">
        <f>IF(FT!B122&lt;&gt;"",FT!E122,"")</f>
        <v>2 [48.799486]</v>
      </c>
      <c r="J122">
        <f>IF(FT!B122&lt;&gt;"",FT!C122,"")</f>
        <v>48.799500000000002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4.5019799999999996</v>
      </c>
      <c r="G123" s="61">
        <f>IF(FT!B123&lt;&gt;"",FT!B123*100,"")</f>
        <v>25.769799999999996</v>
      </c>
      <c r="H123" s="61">
        <f t="shared" si="9"/>
        <v>1</v>
      </c>
      <c r="I123" t="str">
        <f>IF(FT!B123&lt;&gt;"",FT!E123,"")</f>
        <v>2 [49.206575]</v>
      </c>
      <c r="J123">
        <f>IF(FT!B123&lt;&gt;"",FT!C123,"")</f>
        <v>49.206600000000002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284950</v>
      </c>
      <c r="D124" s="61">
        <f>FH!B124*1</f>
        <v>284950</v>
      </c>
      <c r="E124">
        <f t="shared" si="11"/>
        <v>122</v>
      </c>
      <c r="F124" s="61">
        <f>IF(FT!A124&lt;&gt;"",FT!A124*10,"")</f>
        <v>4.5097800000000001</v>
      </c>
      <c r="G124" s="61">
        <f>IF(FT!B124&lt;&gt;"",FT!B124*100,"")</f>
        <v>26.005499999999998</v>
      </c>
      <c r="H124" s="61">
        <f t="shared" si="9"/>
        <v>1</v>
      </c>
      <c r="I124" t="str">
        <f>IF(FT!B124&lt;&gt;"",FT!E124,"")</f>
        <v>2 [49.611321]</v>
      </c>
      <c r="J124">
        <f>IF(FT!B124&lt;&gt;"",FT!C124,"")</f>
        <v>49.6113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4.5168799999999996</v>
      </c>
      <c r="G125" s="61">
        <f>IF(FT!B125&lt;&gt;"",FT!B125*100,"")</f>
        <v>26.214599999999997</v>
      </c>
      <c r="H125" s="61">
        <f t="shared" si="9"/>
        <v>1</v>
      </c>
      <c r="I125" t="str">
        <f>IF(FT!B125&lt;&gt;"",FT!E125,"")</f>
        <v>2 [50.014180]</v>
      </c>
      <c r="J125">
        <f>IF(FT!B125&lt;&gt;"",FT!C125,"")</f>
        <v>50.014200000000002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291976</v>
      </c>
      <c r="D126" s="61">
        <f>FH!B126*1</f>
        <v>291976</v>
      </c>
      <c r="E126">
        <f t="shared" si="11"/>
        <v>124</v>
      </c>
      <c r="F126" s="61">
        <f>IF(FT!A126&lt;&gt;"",FT!A126*10,"")</f>
        <v>4.5241600000000002</v>
      </c>
      <c r="G126" s="61">
        <f>IF(FT!B126&lt;&gt;"",FT!B126*100,"")</f>
        <v>26.391300000000001</v>
      </c>
      <c r="H126" s="61">
        <f t="shared" si="9"/>
        <v>1</v>
      </c>
      <c r="I126" t="str">
        <f>IF(FT!B126&lt;&gt;"",FT!E126,"")</f>
        <v>2 [50.425151]</v>
      </c>
      <c r="J126">
        <f>IF(FT!B126&lt;&gt;"",FT!C126,"")</f>
        <v>50.425199999999997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4.5327999999999999</v>
      </c>
      <c r="G127" s="61">
        <f>IF(FT!B127&lt;&gt;"",FT!B127*100,"")</f>
        <v>26.528400000000001</v>
      </c>
      <c r="H127" s="61">
        <f t="shared" si="9"/>
        <v>1</v>
      </c>
      <c r="I127" t="str">
        <f>IF(FT!B127&lt;&gt;"",FT!E127,"")</f>
        <v>2 [50.828350]</v>
      </c>
      <c r="J127">
        <f>IF(FT!B127&lt;&gt;"",FT!C127,"")</f>
        <v>50.828400000000002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4.5406000000000004</v>
      </c>
      <c r="G128" s="61">
        <f>IF(FT!B128&lt;&gt;"",FT!B128*100,"")</f>
        <v>26.607799999999997</v>
      </c>
      <c r="H128" s="61">
        <f t="shared" si="9"/>
        <v>1</v>
      </c>
      <c r="I128" t="str">
        <f>IF(FT!B128&lt;&gt;"",FT!E128,"")</f>
        <v>2 [51.234915]</v>
      </c>
      <c r="J128">
        <f>IF(FT!B128&lt;&gt;"",FT!C128,"")</f>
        <v>51.234900000000003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307353</v>
      </c>
      <c r="D129" s="61">
        <f>FH!B129*1</f>
        <v>307353</v>
      </c>
      <c r="E129">
        <f t="shared" si="11"/>
        <v>127</v>
      </c>
      <c r="F129" s="61">
        <f>IF(FT!A129&lt;&gt;"",FT!A129*10,"")</f>
        <v>4.5510099999999998</v>
      </c>
      <c r="G129" s="61">
        <f>IF(FT!B129&lt;&gt;"",FT!B129*100,"")</f>
        <v>26.663500000000003</v>
      </c>
      <c r="H129" s="61">
        <f t="shared" si="9"/>
        <v>1</v>
      </c>
      <c r="I129" t="str">
        <f>IF(FT!B129&lt;&gt;"",FT!E129,"")</f>
        <v>2 [51.643889]</v>
      </c>
      <c r="J129">
        <f>IF(FT!B129&lt;&gt;"",FT!C129,"")</f>
        <v>51.643900000000002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4.56128</v>
      </c>
      <c r="G130" s="61">
        <f>IF(FT!B130&lt;&gt;"",FT!B130*100,"")</f>
        <v>26.6922</v>
      </c>
      <c r="H130" s="61">
        <f t="shared" si="9"/>
        <v>1</v>
      </c>
      <c r="I130" t="str">
        <f>IF(FT!B130&lt;&gt;"",FT!E130,"")</f>
        <v>2 [52.047732]</v>
      </c>
      <c r="J130">
        <f>IF(FT!B130&lt;&gt;"",FT!C130,"")</f>
        <v>52.047699999999999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324084</v>
      </c>
      <c r="D131" s="61">
        <f>FH!B131*1</f>
        <v>324084</v>
      </c>
      <c r="E131">
        <f t="shared" si="11"/>
        <v>129</v>
      </c>
      <c r="F131" s="61">
        <f>IF(FT!A131&lt;&gt;"",FT!A131*10,"")</f>
        <v>4.5732099999999996</v>
      </c>
      <c r="G131" s="61">
        <f>IF(FT!B131&lt;&gt;"",FT!B131*100,"")</f>
        <v>26.711500000000001</v>
      </c>
      <c r="H131" s="61">
        <f t="shared" ref="H131:H194" si="13">(IF(F131&lt;&gt;"",1,""))</f>
        <v>1</v>
      </c>
      <c r="I131" t="str">
        <f>IF(FT!B131&lt;&gt;"",FT!E131,"")</f>
        <v>2 [52.453617]</v>
      </c>
      <c r="J131">
        <f>IF(FT!B131&lt;&gt;"",FT!C131,"")</f>
        <v>52.453600000000002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4.5871599999999999</v>
      </c>
      <c r="G132" s="61">
        <f>IF(FT!B132&lt;&gt;"",FT!B132*100,"")</f>
        <v>26.704000000000001</v>
      </c>
      <c r="H132" s="61">
        <f t="shared" si="13"/>
        <v>1</v>
      </c>
      <c r="I132" t="str">
        <f>IF(FT!B132&lt;&gt;"",FT!E132,"")</f>
        <v>2 [52.859862]</v>
      </c>
      <c r="J132">
        <f>IF(FT!B132&lt;&gt;"",FT!C132,"")</f>
        <v>52.859900000000003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4.6006999999999998</v>
      </c>
      <c r="G133" s="61">
        <f>IF(FT!B133&lt;&gt;"",FT!B133*100,"")</f>
        <v>26.658300000000001</v>
      </c>
      <c r="H133" s="61">
        <f t="shared" si="13"/>
        <v>1</v>
      </c>
      <c r="I133" t="str">
        <f>IF(FT!B133&lt;&gt;"",FT!E133,"")</f>
        <v>2 [53.264320]</v>
      </c>
      <c r="J133">
        <f>IF(FT!B133&lt;&gt;"",FT!C133,"")</f>
        <v>53.264299999999999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314537</v>
      </c>
      <c r="D134" s="61">
        <f>FH!B134*1</f>
        <v>314537</v>
      </c>
      <c r="E134">
        <f t="shared" si="15"/>
        <v>132</v>
      </c>
      <c r="F134" s="61">
        <f>IF(FT!A134&lt;&gt;"",FT!A134*10,"")</f>
        <v>4.6110499999999996</v>
      </c>
      <c r="G134" s="61">
        <f>IF(FT!B134&lt;&gt;"",FT!B134*100,"")</f>
        <v>26.566099999999999</v>
      </c>
      <c r="H134" s="61">
        <f t="shared" si="13"/>
        <v>1</v>
      </c>
      <c r="I134" t="str">
        <f>IF(FT!B134&lt;&gt;"",FT!E134,"")</f>
        <v>2 [53.670470]</v>
      </c>
      <c r="J134">
        <f>IF(FT!B134&lt;&gt;"",FT!C134,"")</f>
        <v>53.670499999999997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4.6207099999999999</v>
      </c>
      <c r="G135" s="61">
        <f>IF(FT!B135&lt;&gt;"",FT!B135*100,"")</f>
        <v>26.4208</v>
      </c>
      <c r="H135" s="61">
        <f t="shared" si="13"/>
        <v>1</v>
      </c>
      <c r="I135" t="str">
        <f>IF(FT!B135&lt;&gt;"",FT!E135,"")</f>
        <v>2 [54.080276]</v>
      </c>
      <c r="J135">
        <f>IF(FT!B135&lt;&gt;"",FT!C135,"")</f>
        <v>54.080300000000001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311143</v>
      </c>
      <c r="D136" s="61">
        <f>FH!B136*1</f>
        <v>311143</v>
      </c>
      <c r="E136">
        <f t="shared" si="15"/>
        <v>134</v>
      </c>
      <c r="F136" s="61">
        <f>IF(FT!A136&lt;&gt;"",FT!A136*10,"")</f>
        <v>4.63232</v>
      </c>
      <c r="G136" s="61">
        <f>IF(FT!B136&lt;&gt;"",FT!B136*100,"")</f>
        <v>26.241399999999999</v>
      </c>
      <c r="H136" s="61">
        <f t="shared" si="13"/>
        <v>1</v>
      </c>
      <c r="I136" t="str">
        <f>IF(FT!B136&lt;&gt;"",FT!E136,"")</f>
        <v>2 [54.487248]</v>
      </c>
      <c r="J136">
        <f>IF(FT!B136&lt;&gt;"",FT!C136,"")</f>
        <v>54.487200000000001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4.6428199999999995</v>
      </c>
      <c r="G137" s="61">
        <f>IF(FT!B137&lt;&gt;"",FT!B137*100,"")</f>
        <v>26.046200000000002</v>
      </c>
      <c r="H137" s="61">
        <f t="shared" si="13"/>
        <v>1</v>
      </c>
      <c r="I137" t="str">
        <f>IF(FT!B137&lt;&gt;"",FT!E137,"")</f>
        <v>2 [54.895205]</v>
      </c>
      <c r="J137">
        <f>IF(FT!B137&lt;&gt;"",FT!C137,"")</f>
        <v>54.895200000000003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4.6583100000000002</v>
      </c>
      <c r="G138" s="61">
        <f>IF(FT!B138&lt;&gt;"",FT!B138*100,"")</f>
        <v>25.908199999999997</v>
      </c>
      <c r="H138" s="61">
        <f t="shared" si="13"/>
        <v>1</v>
      </c>
      <c r="I138" t="str">
        <f>IF(FT!B138&lt;&gt;"",FT!E138,"")</f>
        <v>2 [55.302202]</v>
      </c>
      <c r="J138">
        <f>IF(FT!B138&lt;&gt;"",FT!C138,"")</f>
        <v>55.302199999999999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300352</v>
      </c>
      <c r="D139" s="61">
        <f>FH!B139*1</f>
        <v>300352</v>
      </c>
      <c r="E139">
        <f t="shared" si="15"/>
        <v>137</v>
      </c>
      <c r="F139" s="61">
        <f>IF(FT!A139&lt;&gt;"",FT!A139*10,"")</f>
        <v>4.6693499999999997</v>
      </c>
      <c r="G139" s="61">
        <f>IF(FT!B139&lt;&gt;"",FT!B139*100,"")</f>
        <v>25.828499999999998</v>
      </c>
      <c r="H139" s="61">
        <f t="shared" si="13"/>
        <v>1</v>
      </c>
      <c r="I139" t="str">
        <f>IF(FT!B139&lt;&gt;"",FT!E139,"")</f>
        <v>2 [55.709266]</v>
      </c>
      <c r="J139">
        <f>IF(FT!B139&lt;&gt;"",FT!C139,"")</f>
        <v>55.709299999999999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4.6755599999999999</v>
      </c>
      <c r="G140" s="61">
        <f>IF(FT!B140&lt;&gt;"",FT!B140*100,"")</f>
        <v>25.7486</v>
      </c>
      <c r="H140" s="61">
        <f t="shared" si="13"/>
        <v>1</v>
      </c>
      <c r="I140" t="str">
        <f>IF(FT!B140&lt;&gt;"",FT!E140,"")</f>
        <v>2 [56.113942]</v>
      </c>
      <c r="J140">
        <f>IF(FT!B140&lt;&gt;"",FT!C140,"")</f>
        <v>56.113900000000001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4.6787799999999997</v>
      </c>
      <c r="G141" s="61">
        <f>IF(FT!B141&lt;&gt;"",FT!B141*100,"")</f>
        <v>25.693999999999999</v>
      </c>
      <c r="H141" s="61">
        <f t="shared" si="13"/>
        <v>1</v>
      </c>
      <c r="I141" t="str">
        <f>IF(FT!B141&lt;&gt;"",FT!E141,"")</f>
        <v>2 [56.516964]</v>
      </c>
      <c r="J141">
        <f>IF(FT!B141&lt;&gt;"",FT!C141,"")</f>
        <v>56.517000000000003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292134</v>
      </c>
      <c r="D142" s="61">
        <f>FH!B142*1</f>
        <v>292134</v>
      </c>
      <c r="E142">
        <f t="shared" si="15"/>
        <v>140</v>
      </c>
      <c r="F142" s="61">
        <f>IF(FT!A142&lt;&gt;"",FT!A142*10,"")</f>
        <v>4.6746999999999996</v>
      </c>
      <c r="G142" s="61">
        <f>IF(FT!B142&lt;&gt;"",FT!B142*100,"")</f>
        <v>25.624200000000002</v>
      </c>
      <c r="H142" s="61">
        <f t="shared" si="13"/>
        <v>1</v>
      </c>
      <c r="I142" t="str">
        <f>IF(FT!B142&lt;&gt;"",FT!E142,"")</f>
        <v>2 [56.920838]</v>
      </c>
      <c r="J142">
        <f>IF(FT!B142&lt;&gt;"",FT!C142,"")</f>
        <v>56.9208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4.6639900000000001</v>
      </c>
      <c r="G143" s="61">
        <f>IF(FT!B143&lt;&gt;"",FT!B143*100,"")</f>
        <v>25.542999999999999</v>
      </c>
      <c r="H143" s="61">
        <f t="shared" si="13"/>
        <v>1</v>
      </c>
      <c r="I143" t="str">
        <f>IF(FT!B143&lt;&gt;"",FT!E143,"")</f>
        <v>2 [57.330651]</v>
      </c>
      <c r="J143">
        <f>IF(FT!B143&lt;&gt;"",FT!C143,"")</f>
        <v>57.3307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258270</v>
      </c>
      <c r="D144" s="61">
        <f>FH!B144*1</f>
        <v>258270</v>
      </c>
      <c r="E144">
        <f t="shared" si="15"/>
        <v>142</v>
      </c>
      <c r="F144" s="61">
        <f>IF(FT!A144&lt;&gt;"",FT!A144*10,"")</f>
        <v>4.6512099999999998</v>
      </c>
      <c r="G144" s="61">
        <f>IF(FT!B144&lt;&gt;"",FT!B144*100,"")</f>
        <v>25.571999999999999</v>
      </c>
      <c r="H144" s="61">
        <f t="shared" si="13"/>
        <v>1</v>
      </c>
      <c r="I144" t="str">
        <f>IF(FT!B144&lt;&gt;"",FT!E144,"")</f>
        <v>2 [57.736721]</v>
      </c>
      <c r="J144">
        <f>IF(FT!B144&lt;&gt;"",FT!C144,"")</f>
        <v>57.736699999999999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4.6418999999999997</v>
      </c>
      <c r="G145" s="61">
        <f>IF(FT!B145&lt;&gt;"",FT!B145*100,"")</f>
        <v>25.8612</v>
      </c>
      <c r="H145" s="61">
        <f t="shared" si="13"/>
        <v>1</v>
      </c>
      <c r="I145" t="str">
        <f>IF(FT!B145&lt;&gt;"",FT!E145,"")</f>
        <v>2 [58.139764]</v>
      </c>
      <c r="J145">
        <f>IF(FT!B145&lt;&gt;"",FT!C145,"")</f>
        <v>58.139800000000001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4.6372999999999998</v>
      </c>
      <c r="G146" s="61">
        <f>IF(FT!B146&lt;&gt;"",FT!B146*100,"")</f>
        <v>25.8811</v>
      </c>
      <c r="H146" s="61">
        <f t="shared" si="13"/>
        <v>1</v>
      </c>
      <c r="I146" t="str">
        <f>IF(FT!B146&lt;&gt;"",FT!E146,"")</f>
        <v>2 [58.554310]</v>
      </c>
      <c r="J146">
        <f>IF(FT!B146&lt;&gt;"",FT!C146,"")</f>
        <v>58.554299999999998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232213</v>
      </c>
      <c r="D147" s="61">
        <f>FH!B147*1</f>
        <v>232213</v>
      </c>
      <c r="E147">
        <f t="shared" si="15"/>
        <v>145</v>
      </c>
      <c r="F147" s="61">
        <f>IF(FT!A147&lt;&gt;"",FT!A147*10,"")</f>
        <v>4.6297199999999998</v>
      </c>
      <c r="G147" s="61">
        <f>IF(FT!B147&lt;&gt;"",FT!B147*100,"")</f>
        <v>25.901999999999997</v>
      </c>
      <c r="H147" s="61">
        <f t="shared" si="13"/>
        <v>1</v>
      </c>
      <c r="I147" t="str">
        <f>IF(FT!B147&lt;&gt;"",FT!E147,"")</f>
        <v>2 [58.957293]</v>
      </c>
      <c r="J147">
        <f>IF(FT!B147&lt;&gt;"",FT!C147,"")</f>
        <v>58.957299999999996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4.6177799999999998</v>
      </c>
      <c r="G148" s="61">
        <f>IF(FT!B148&lt;&gt;"",FT!B148*100,"")</f>
        <v>26.011400000000002</v>
      </c>
      <c r="H148" s="61">
        <f t="shared" si="13"/>
        <v>1</v>
      </c>
      <c r="I148" t="str">
        <f>IF(FT!B148&lt;&gt;"",FT!E148,"")</f>
        <v>2 [59.362220]</v>
      </c>
      <c r="J148">
        <f>IF(FT!B148&lt;&gt;"",FT!C148,"")</f>
        <v>59.362200000000001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198443</v>
      </c>
      <c r="D149" s="61">
        <f>FH!B149*1</f>
        <v>198443</v>
      </c>
      <c r="E149">
        <f t="shared" si="15"/>
        <v>147</v>
      </c>
      <c r="F149" s="61">
        <f>IF(FT!A149&lt;&gt;"",FT!A149*10,"")</f>
        <v>4.6014900000000001</v>
      </c>
      <c r="G149" s="61">
        <f>IF(FT!B149&lt;&gt;"",FT!B149*100,"")</f>
        <v>25.7544</v>
      </c>
      <c r="H149" s="61">
        <f t="shared" si="13"/>
        <v>1</v>
      </c>
      <c r="I149" t="str">
        <f>IF(FT!B149&lt;&gt;"",FT!E149,"")</f>
        <v>2 [59.769356]</v>
      </c>
      <c r="J149">
        <f>IF(FT!B149&lt;&gt;"",FT!C149,"")</f>
        <v>59.769399999999997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167492</v>
      </c>
      <c r="D152" s="61">
        <f>FH!B152*1</f>
        <v>167492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152585</v>
      </c>
      <c r="D154" s="61">
        <f>FH!B154*1</f>
        <v>152585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148938</v>
      </c>
      <c r="D157" s="61">
        <f>FH!B157*1</f>
        <v>148938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135451</v>
      </c>
      <c r="D160" s="61">
        <f>FH!B160*1</f>
        <v>135451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117090</v>
      </c>
      <c r="D162" s="61">
        <f>FH!B162*1</f>
        <v>117090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101153</v>
      </c>
      <c r="D165" s="61">
        <f>FH!B165*1</f>
        <v>101153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95874</v>
      </c>
      <c r="D167" s="61">
        <f>FH!B167*1</f>
        <v>95874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76380</v>
      </c>
      <c r="D170" s="61">
        <f>FH!B170*1</f>
        <v>76380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61388</v>
      </c>
      <c r="D173" s="61">
        <f>FH!B173*1</f>
        <v>61388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52823</v>
      </c>
      <c r="D175" s="61">
        <f>FH!B175*1</f>
        <v>52823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49017</v>
      </c>
      <c r="D178" s="61">
        <f>FH!B178*1</f>
        <v>49017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43515</v>
      </c>
      <c r="D180" s="61">
        <f>FH!B180*1</f>
        <v>43515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41640</v>
      </c>
      <c r="D183" s="61">
        <f>FH!B183*1</f>
        <v>41640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34642</v>
      </c>
      <c r="D185" s="61">
        <f>FH!B185*1</f>
        <v>34642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29418</v>
      </c>
      <c r="D188" s="61">
        <f>FH!B188*1</f>
        <v>29418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31513</v>
      </c>
      <c r="D191" s="61">
        <f>FH!B191*1</f>
        <v>31513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33952</v>
      </c>
      <c r="D193" s="61">
        <f>FH!B193*1</f>
        <v>33952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33347</v>
      </c>
      <c r="D196" s="61">
        <f>FH!B196*1</f>
        <v>33347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38988</v>
      </c>
      <c r="D198" s="61">
        <f>FH!B198*1</f>
        <v>38988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40535</v>
      </c>
      <c r="D201" s="61">
        <f>FH!B201*1</f>
        <v>40535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46643</v>
      </c>
      <c r="D203" s="61">
        <f>FH!B203*1</f>
        <v>46643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41551</v>
      </c>
      <c r="D206" s="61">
        <f>FH!B206*1</f>
        <v>41551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45456</v>
      </c>
      <c r="D209" s="61">
        <f>FH!B209*1</f>
        <v>45456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35836</v>
      </c>
      <c r="D211" s="61">
        <f>FH!B211*1</f>
        <v>35836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20091</v>
      </c>
      <c r="D214" s="61">
        <f>FH!B214*1</f>
        <v>20091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16912</v>
      </c>
      <c r="D216" s="61">
        <f>FH!B216*1</f>
        <v>16912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23251</v>
      </c>
      <c r="D219" s="61">
        <f>FH!B219*1</f>
        <v>23251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20546</v>
      </c>
      <c r="D221" s="61">
        <f>FH!B221*1</f>
        <v>20546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8918</v>
      </c>
      <c r="D224" s="61">
        <f>FH!B224*1</f>
        <v>8918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6658</v>
      </c>
      <c r="D227" s="61">
        <f>FH!B227*1</f>
        <v>6658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2730</v>
      </c>
      <c r="D229" s="61">
        <f>FH!B229*1</f>
        <v>2730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517</v>
      </c>
      <c r="D232" s="61">
        <f>FH!B232*1</f>
        <v>517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53.235999999999997</v>
      </c>
      <c r="C5" s="66">
        <v>5.2228500000000002</v>
      </c>
      <c r="D5" s="66">
        <v>9.8107500000000005</v>
      </c>
      <c r="E5" s="66">
        <v>20</v>
      </c>
      <c r="F5" s="66">
        <v>30.689699999999998</v>
      </c>
      <c r="G5" s="66">
        <v>50</v>
      </c>
      <c r="H5" s="66">
        <v>59.675800000000002</v>
      </c>
    </row>
    <row r="6" spans="1:8">
      <c r="A6" s="58" t="s">
        <v>303</v>
      </c>
      <c r="B6" s="66">
        <v>28.5823</v>
      </c>
      <c r="C6" s="66">
        <v>1.1163000000000001</v>
      </c>
      <c r="D6" s="66">
        <v>3.90557</v>
      </c>
      <c r="E6" s="66">
        <v>20</v>
      </c>
      <c r="F6" s="66">
        <v>25.841200000000001</v>
      </c>
      <c r="G6" s="66">
        <v>40</v>
      </c>
      <c r="H6" s="66">
        <v>30.228100000000001</v>
      </c>
    </row>
    <row r="7" spans="1:8">
      <c r="A7" s="58" t="s">
        <v>304</v>
      </c>
      <c r="B7" s="66">
        <v>22.459099999999999</v>
      </c>
      <c r="C7" s="66">
        <v>6.2114700000000003</v>
      </c>
      <c r="D7" s="66">
        <v>27.6568</v>
      </c>
      <c r="E7" s="66">
        <v>15</v>
      </c>
      <c r="F7" s="66">
        <v>8.8666800000000006</v>
      </c>
      <c r="G7" s="66">
        <v>40</v>
      </c>
      <c r="H7" s="66">
        <v>39.715499999999999</v>
      </c>
    </row>
    <row r="8" spans="1:8">
      <c r="A8" s="58" t="s">
        <v>305</v>
      </c>
      <c r="B8" s="66">
        <v>34.757599999999996</v>
      </c>
      <c r="C8" s="66">
        <v>3.15185</v>
      </c>
      <c r="D8" s="66">
        <v>9.0680899999999998</v>
      </c>
      <c r="E8" s="66">
        <v>20</v>
      </c>
      <c r="F8" s="66">
        <v>24.417899999999999</v>
      </c>
      <c r="G8" s="66">
        <v>50</v>
      </c>
      <c r="H8" s="66">
        <v>39.455500000000001</v>
      </c>
    </row>
    <row r="9" spans="1:8">
      <c r="A9" s="58" t="s">
        <v>306</v>
      </c>
      <c r="B9" s="66">
        <v>67.217200000000005</v>
      </c>
      <c r="C9" s="66">
        <v>5.3841799999999997</v>
      </c>
      <c r="D9" s="66">
        <v>8.0101099999999992</v>
      </c>
      <c r="E9" s="66">
        <v>50</v>
      </c>
      <c r="F9" s="66">
        <v>47.572600000000001</v>
      </c>
      <c r="G9" s="66">
        <v>100</v>
      </c>
      <c r="H9" s="66">
        <v>77.438800000000001</v>
      </c>
    </row>
    <row r="10" spans="1:8">
      <c r="A10" s="58" t="s">
        <v>307</v>
      </c>
      <c r="B10" s="66">
        <v>74.688699999999997</v>
      </c>
      <c r="C10" s="66">
        <v>2.0480399999999999</v>
      </c>
      <c r="D10" s="66">
        <v>2.7421099999999998</v>
      </c>
      <c r="E10" s="66">
        <v>40</v>
      </c>
      <c r="F10" s="66">
        <v>70.017799999999994</v>
      </c>
      <c r="G10" s="66">
        <v>100</v>
      </c>
      <c r="H10" s="66">
        <v>81.0749</v>
      </c>
    </row>
    <row r="11" spans="1:8">
      <c r="A11" s="58" t="s">
        <v>308</v>
      </c>
      <c r="B11" s="66">
        <v>31.401299999999999</v>
      </c>
      <c r="C11" s="66">
        <v>3.03</v>
      </c>
      <c r="D11" s="66">
        <v>9.6492599999999999</v>
      </c>
      <c r="E11" s="66">
        <v>10</v>
      </c>
      <c r="F11" s="66">
        <v>21.253699999999998</v>
      </c>
      <c r="G11" s="66">
        <v>50</v>
      </c>
      <c r="H11" s="66">
        <v>35.4621</v>
      </c>
    </row>
    <row r="12" spans="1:8">
      <c r="A12" s="58" t="s">
        <v>309</v>
      </c>
      <c r="B12" s="66">
        <v>70.858699999999999</v>
      </c>
      <c r="C12" s="66">
        <v>2.9540799999999998</v>
      </c>
      <c r="D12" s="66">
        <v>4.1689699999999998</v>
      </c>
      <c r="E12" s="66">
        <v>50</v>
      </c>
      <c r="F12" s="66">
        <v>60.844299999999997</v>
      </c>
      <c r="G12" s="66">
        <v>100</v>
      </c>
      <c r="H12" s="66">
        <v>77.8245</v>
      </c>
    </row>
    <row r="13" spans="1:8">
      <c r="A13" s="58" t="s">
        <v>310</v>
      </c>
      <c r="B13" s="66">
        <v>18.537299999999998</v>
      </c>
      <c r="C13" s="66">
        <v>2.5933899999999999</v>
      </c>
      <c r="D13" s="66">
        <v>13.9901</v>
      </c>
      <c r="E13" s="66">
        <v>10</v>
      </c>
      <c r="F13" s="66">
        <v>14.755100000000001</v>
      </c>
      <c r="G13" s="66">
        <v>25</v>
      </c>
      <c r="H13" s="66">
        <v>26.399100000000001</v>
      </c>
    </row>
    <row r="14" spans="1:8">
      <c r="A14" s="58" t="s">
        <v>311</v>
      </c>
      <c r="B14" s="66">
        <v>25.933900000000001</v>
      </c>
      <c r="C14" s="66">
        <v>8.0367499999999996</v>
      </c>
      <c r="D14" s="66">
        <v>30.9894</v>
      </c>
      <c r="E14" s="66">
        <v>10</v>
      </c>
      <c r="F14" s="66">
        <v>1.8821300000000001</v>
      </c>
      <c r="G14" s="66">
        <v>50</v>
      </c>
      <c r="H14" s="66">
        <v>28.566600000000001</v>
      </c>
    </row>
    <row r="15" spans="1:8">
      <c r="A15" s="58" t="s">
        <v>312</v>
      </c>
      <c r="B15" s="66">
        <v>-0.102031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-0.15772900000000001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11.9991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0.37338900000000003</v>
      </c>
      <c r="C18" s="66">
        <v>9.4369499999999995E-3</v>
      </c>
      <c r="D18" s="66">
        <v>2.5273799999999999E-2</v>
      </c>
      <c r="E18" s="66">
        <v>0</v>
      </c>
      <c r="F18" s="66">
        <v>0.363952</v>
      </c>
      <c r="G18" s="66">
        <v>0</v>
      </c>
      <c r="H18" s="66">
        <v>0.382826</v>
      </c>
    </row>
    <row r="19" spans="1:8">
      <c r="A19" s="58" t="s">
        <v>316</v>
      </c>
      <c r="B19" s="66">
        <v>0.38711099999999998</v>
      </c>
      <c r="C19" s="66">
        <v>1.9464200000000001E-2</v>
      </c>
      <c r="D19" s="66">
        <v>5.0280600000000002E-2</v>
      </c>
      <c r="E19" s="66">
        <v>0</v>
      </c>
      <c r="F19" s="66">
        <v>0.367647</v>
      </c>
      <c r="G19" s="66">
        <v>0</v>
      </c>
      <c r="H19" s="66">
        <v>0.40657500000000002</v>
      </c>
    </row>
    <row r="20" spans="1:8">
      <c r="A20" s="58" t="s">
        <v>317</v>
      </c>
      <c r="B20" s="66">
        <v>3.1519499999999999E-2</v>
      </c>
      <c r="C20" s="66">
        <v>8.63313E-2</v>
      </c>
      <c r="D20" s="66">
        <v>2.7389800000000002</v>
      </c>
      <c r="E20" s="66">
        <v>0</v>
      </c>
      <c r="F20" s="66">
        <v>1.04694E-4</v>
      </c>
      <c r="G20" s="66">
        <v>0</v>
      </c>
      <c r="H20" s="66">
        <v>0.83513300000000001</v>
      </c>
    </row>
    <row r="21" spans="1:8">
      <c r="A21" s="58" t="s">
        <v>318</v>
      </c>
      <c r="B21" s="66">
        <v>0.61966100000000002</v>
      </c>
      <c r="C21" s="66">
        <v>0.66170499999999999</v>
      </c>
      <c r="D21" s="66">
        <v>1.06785</v>
      </c>
      <c r="E21" s="66">
        <v>0</v>
      </c>
      <c r="F21" s="66">
        <v>6.2774500000000004E-3</v>
      </c>
      <c r="G21" s="66">
        <v>0</v>
      </c>
      <c r="H21" s="66">
        <v>4.7131499999999997</v>
      </c>
    </row>
    <row r="22" spans="1:8">
      <c r="A22" s="58" t="s">
        <v>319</v>
      </c>
      <c r="B22" s="66">
        <v>66.900099999999995</v>
      </c>
      <c r="C22" s="66">
        <v>13.462199999999999</v>
      </c>
      <c r="D22" s="66">
        <v>0.20122799999999999</v>
      </c>
      <c r="E22" s="66">
        <v>0</v>
      </c>
      <c r="F22" s="66">
        <v>38.813200000000002</v>
      </c>
      <c r="G22" s="66">
        <v>0</v>
      </c>
      <c r="H22" s="66">
        <v>116.19499999999999</v>
      </c>
    </row>
    <row r="23" spans="1:8">
      <c r="A23" s="58" t="s">
        <v>320</v>
      </c>
      <c r="B23" s="66">
        <v>36.225499999999997</v>
      </c>
      <c r="C23" s="66">
        <v>4.9189999999999996</v>
      </c>
      <c r="D23" s="66">
        <v>0.13578799999999999</v>
      </c>
      <c r="E23" s="66">
        <v>0</v>
      </c>
      <c r="F23" s="66">
        <v>25.901</v>
      </c>
      <c r="G23" s="66">
        <v>0</v>
      </c>
      <c r="H23" s="66">
        <v>46.173900000000003</v>
      </c>
    </row>
    <row r="24" spans="1:8">
      <c r="A24" s="58" t="s">
        <v>321</v>
      </c>
      <c r="B24" s="66">
        <v>4.1667500000000003E-2</v>
      </c>
      <c r="C24" s="66">
        <v>6.9430800000000001E-2</v>
      </c>
      <c r="D24" s="66">
        <v>1.66631</v>
      </c>
      <c r="E24" s="66">
        <v>0</v>
      </c>
      <c r="F24" s="66">
        <v>1.2763799999999999E-3</v>
      </c>
      <c r="G24" s="66">
        <v>0</v>
      </c>
      <c r="H24" s="66">
        <v>0.649953</v>
      </c>
    </row>
    <row r="25" spans="1:8">
      <c r="A25" s="58" t="s">
        <v>322</v>
      </c>
      <c r="B25" s="66">
        <v>0.61275400000000002</v>
      </c>
      <c r="C25" s="66">
        <v>0.41667199999999999</v>
      </c>
      <c r="D25" s="66">
        <v>0.67999900000000002</v>
      </c>
      <c r="E25" s="66">
        <v>0</v>
      </c>
      <c r="F25" s="66">
        <v>0.21272099999999999</v>
      </c>
      <c r="G25" s="66">
        <v>0</v>
      </c>
      <c r="H25" s="66">
        <v>2.1481499999999998</v>
      </c>
    </row>
    <row r="26" spans="1:8">
      <c r="A26" s="58" t="s">
        <v>323</v>
      </c>
      <c r="B26" s="66">
        <v>4.0933599999999999E-3</v>
      </c>
      <c r="C26" s="66">
        <v>7.6313600000000002E-3</v>
      </c>
      <c r="D26" s="66">
        <v>1.86433</v>
      </c>
      <c r="E26" s="66">
        <v>0</v>
      </c>
      <c r="F26" s="198">
        <v>2.2977899999999999E-5</v>
      </c>
      <c r="G26" s="66">
        <v>0</v>
      </c>
      <c r="H26" s="66">
        <v>6.3366599999999995E-2</v>
      </c>
    </row>
    <row r="27" spans="1:8">
      <c r="A27" s="58" t="s">
        <v>324</v>
      </c>
      <c r="B27" s="198">
        <v>-6.2368599999999998E-5</v>
      </c>
      <c r="C27" s="66">
        <v>3.601E-3</v>
      </c>
      <c r="D27" s="66">
        <v>-57.737400000000001</v>
      </c>
      <c r="E27" s="66">
        <v>0</v>
      </c>
      <c r="F27" s="66">
        <v>-2.75112E-2</v>
      </c>
      <c r="G27" s="66">
        <v>0</v>
      </c>
      <c r="H27" s="66">
        <v>2.9772799999999999E-2</v>
      </c>
    </row>
    <row r="28" spans="1:8">
      <c r="A28" s="58" t="s">
        <v>325</v>
      </c>
      <c r="B28" s="66">
        <v>5.1188200000000003E-2</v>
      </c>
      <c r="C28" s="66">
        <v>3.5637500000000003E-2</v>
      </c>
      <c r="D28" s="66">
        <v>0.69620599999999999</v>
      </c>
      <c r="E28" s="66">
        <v>0</v>
      </c>
      <c r="F28" s="66">
        <v>9.6028599999999997E-4</v>
      </c>
      <c r="G28" s="66">
        <v>0</v>
      </c>
      <c r="H28" s="66">
        <v>0.21926100000000001</v>
      </c>
    </row>
    <row r="29" spans="1:8">
      <c r="A29" s="58" t="s">
        <v>326</v>
      </c>
      <c r="B29" s="66">
        <v>81.888900000000007</v>
      </c>
      <c r="C29" s="66">
        <v>8.3710299999999993</v>
      </c>
      <c r="D29" s="66">
        <v>0.102224</v>
      </c>
      <c r="E29" s="66">
        <v>0</v>
      </c>
      <c r="F29" s="66">
        <v>61.325699999999998</v>
      </c>
      <c r="G29" s="66">
        <v>0</v>
      </c>
      <c r="H29" s="66">
        <v>109.669</v>
      </c>
    </row>
    <row r="30" spans="1:8">
      <c r="A30" s="58" t="s">
        <v>327</v>
      </c>
      <c r="B30" s="66">
        <v>40.1419</v>
      </c>
      <c r="C30" s="66">
        <v>4.5702699999999998</v>
      </c>
      <c r="D30" s="66">
        <v>0.113853</v>
      </c>
      <c r="E30" s="66">
        <v>0</v>
      </c>
      <c r="F30" s="66">
        <v>25.638999999999999</v>
      </c>
      <c r="G30" s="66">
        <v>0</v>
      </c>
      <c r="H30" s="66">
        <v>47.229700000000001</v>
      </c>
    </row>
    <row r="31" spans="1:8">
      <c r="A31" s="58" t="s">
        <v>328</v>
      </c>
      <c r="B31" s="66">
        <v>364.40699999999998</v>
      </c>
      <c r="C31" s="66">
        <v>47.188000000000002</v>
      </c>
      <c r="D31" s="66">
        <v>0.129493</v>
      </c>
      <c r="E31" s="66">
        <v>0</v>
      </c>
      <c r="F31" s="66">
        <v>181.63300000000001</v>
      </c>
      <c r="G31" s="66">
        <v>0</v>
      </c>
      <c r="H31" s="66">
        <v>420.71</v>
      </c>
    </row>
    <row r="32" spans="1:8">
      <c r="A32" s="58" t="s">
        <v>329</v>
      </c>
      <c r="B32" s="66">
        <v>0.22459100000000001</v>
      </c>
      <c r="C32" s="66">
        <v>6.2114700000000002E-2</v>
      </c>
      <c r="D32" s="66">
        <v>0.27656799999999998</v>
      </c>
      <c r="E32" s="66">
        <v>0.15</v>
      </c>
      <c r="F32" s="66">
        <v>8.8666800000000004E-2</v>
      </c>
      <c r="G32" s="66">
        <v>0.4</v>
      </c>
      <c r="H32" s="66">
        <v>0.39715499999999998</v>
      </c>
    </row>
    <row r="33" spans="1:8">
      <c r="A33" s="58" t="s">
        <v>330</v>
      </c>
      <c r="B33" s="66">
        <v>0.34550399999999998</v>
      </c>
      <c r="C33" s="66">
        <v>4.2816899999999998E-2</v>
      </c>
      <c r="D33" s="66">
        <v>0.12392599999999999</v>
      </c>
      <c r="E33" s="66">
        <v>0</v>
      </c>
      <c r="F33" s="66">
        <v>0.26066899999999998</v>
      </c>
      <c r="G33" s="66">
        <v>0</v>
      </c>
      <c r="H33" s="66">
        <v>0.43492700000000001</v>
      </c>
    </row>
    <row r="34" spans="1:8">
      <c r="A34" s="58" t="s">
        <v>331</v>
      </c>
      <c r="B34" s="66">
        <v>0.18537300000000001</v>
      </c>
      <c r="C34" s="66">
        <v>2.5933899999999999E-2</v>
      </c>
      <c r="D34" s="66">
        <v>0.139901</v>
      </c>
      <c r="E34" s="66">
        <v>0.1</v>
      </c>
      <c r="F34" s="66">
        <v>0.14755099999999999</v>
      </c>
      <c r="G34" s="66">
        <v>0.25</v>
      </c>
      <c r="H34" s="66">
        <v>0.26399099999999998</v>
      </c>
    </row>
    <row r="35" spans="1:8">
      <c r="A35" s="58" t="s">
        <v>332</v>
      </c>
      <c r="B35" s="66">
        <v>7.2362099999999999E-2</v>
      </c>
      <c r="C35" s="66">
        <v>2.4884400000000001E-2</v>
      </c>
      <c r="D35" s="66">
        <v>0.343887</v>
      </c>
      <c r="E35" s="66">
        <v>0</v>
      </c>
      <c r="F35" s="66">
        <v>3.6530399999999998E-2</v>
      </c>
      <c r="G35" s="66">
        <v>0</v>
      </c>
      <c r="H35" s="66">
        <v>0.15837799999999999</v>
      </c>
    </row>
    <row r="36" spans="1:8">
      <c r="A36" s="58" t="s">
        <v>333</v>
      </c>
      <c r="B36" s="66">
        <v>0.16961499999999999</v>
      </c>
      <c r="C36" s="66">
        <v>8.37479E-2</v>
      </c>
      <c r="D36" s="66">
        <v>0.49375400000000003</v>
      </c>
      <c r="E36" s="66">
        <v>0</v>
      </c>
      <c r="F36" s="66">
        <v>3.5897900000000003E-2</v>
      </c>
      <c r="G36" s="66">
        <v>0</v>
      </c>
      <c r="H36" s="66">
        <v>0.56300300000000003</v>
      </c>
    </row>
    <row r="37" spans="1:8">
      <c r="A37" s="58" t="s">
        <v>334</v>
      </c>
      <c r="B37" s="66">
        <v>0.25933899999999999</v>
      </c>
      <c r="C37" s="66">
        <v>8.0367499999999994E-2</v>
      </c>
      <c r="D37" s="66">
        <v>0.309894</v>
      </c>
      <c r="E37" s="66">
        <v>0.1</v>
      </c>
      <c r="F37" s="66">
        <v>1.8821299999999999E-2</v>
      </c>
      <c r="G37" s="66">
        <v>0.5</v>
      </c>
      <c r="H37" s="66">
        <v>0.28566599999999998</v>
      </c>
    </row>
    <row r="38" spans="1:8">
      <c r="A38" s="58" t="s">
        <v>335</v>
      </c>
      <c r="B38" s="66">
        <v>-56.645099999999999</v>
      </c>
      <c r="C38" s="66">
        <v>52.188800000000001</v>
      </c>
      <c r="D38" s="66">
        <v>-0.92132899999999995</v>
      </c>
      <c r="E38" s="66">
        <v>0</v>
      </c>
      <c r="F38" s="66">
        <v>-203.74299999999999</v>
      </c>
      <c r="G38" s="66">
        <v>0</v>
      </c>
      <c r="H38" s="66">
        <v>189.52699999999999</v>
      </c>
    </row>
    <row r="39" spans="1:8">
      <c r="A39" s="58" t="s">
        <v>336</v>
      </c>
      <c r="B39" s="66">
        <v>-23.270199999999999</v>
      </c>
      <c r="C39" s="66">
        <v>8.0802700000000005</v>
      </c>
      <c r="D39" s="66">
        <v>-0.34723599999999999</v>
      </c>
      <c r="E39" s="66">
        <v>0</v>
      </c>
      <c r="F39" s="66">
        <v>-47.130899999999997</v>
      </c>
      <c r="G39" s="66">
        <v>0</v>
      </c>
      <c r="H39" s="66">
        <v>-2.8326600000000002</v>
      </c>
    </row>
    <row r="40" spans="1:8">
      <c r="A40" s="58" t="s">
        <v>337</v>
      </c>
      <c r="B40" s="66">
        <v>-13.644600000000001</v>
      </c>
      <c r="C40" s="66">
        <v>3.41126</v>
      </c>
      <c r="D40" s="66">
        <v>-0.25000800000000001</v>
      </c>
      <c r="E40" s="66">
        <v>0</v>
      </c>
      <c r="F40" s="66">
        <v>-20.456499999999998</v>
      </c>
      <c r="G40" s="66">
        <v>0</v>
      </c>
      <c r="H40" s="66">
        <v>-7.5074100000000001</v>
      </c>
    </row>
    <row r="41" spans="1:8">
      <c r="A41" s="58" t="s">
        <v>338</v>
      </c>
      <c r="B41" s="66">
        <v>-0.18379599999999999</v>
      </c>
      <c r="C41" s="66">
        <v>0.18337600000000001</v>
      </c>
      <c r="D41" s="66">
        <v>-0.99771500000000002</v>
      </c>
      <c r="E41" s="66">
        <v>0</v>
      </c>
      <c r="F41" s="66">
        <v>-0.93181800000000004</v>
      </c>
      <c r="G41" s="66">
        <v>0</v>
      </c>
      <c r="H41" s="66">
        <v>0.59698700000000005</v>
      </c>
    </row>
    <row r="42" spans="1:8">
      <c r="A42" s="58" t="s">
        <v>339</v>
      </c>
      <c r="B42" s="66">
        <v>-0.157002</v>
      </c>
      <c r="C42" s="66">
        <v>7.8235700000000005E-2</v>
      </c>
      <c r="D42" s="66">
        <v>-0.498309</v>
      </c>
      <c r="E42" s="66">
        <v>0</v>
      </c>
      <c r="F42" s="66">
        <v>-0.33971099999999999</v>
      </c>
      <c r="G42" s="66">
        <v>0</v>
      </c>
      <c r="H42" s="66">
        <v>8.8971999999999996E-2</v>
      </c>
    </row>
    <row r="43" spans="1:8">
      <c r="A43" s="58" t="s">
        <v>340</v>
      </c>
      <c r="B43" s="66">
        <v>-0.10362300000000001</v>
      </c>
      <c r="C43" s="66">
        <v>2.8952700000000001E-2</v>
      </c>
      <c r="D43" s="66">
        <v>-0.27940500000000001</v>
      </c>
      <c r="E43" s="66">
        <v>0</v>
      </c>
      <c r="F43" s="66">
        <v>-0.157471</v>
      </c>
      <c r="G43" s="66">
        <v>0</v>
      </c>
      <c r="H43" s="66">
        <v>-1.08544E-2</v>
      </c>
    </row>
    <row r="44" spans="1:8">
      <c r="A44" s="58" t="s">
        <v>341</v>
      </c>
      <c r="B44" s="66">
        <v>-168.71299999999999</v>
      </c>
      <c r="C44" s="66">
        <v>42.010300000000001</v>
      </c>
      <c r="D44" s="66">
        <v>-0.249005</v>
      </c>
      <c r="E44" s="66">
        <v>0</v>
      </c>
      <c r="F44" s="66">
        <v>-268.33699999999999</v>
      </c>
      <c r="G44" s="66">
        <v>0</v>
      </c>
      <c r="H44" s="66">
        <v>-80.8797</v>
      </c>
    </row>
    <row r="45" spans="1:8">
      <c r="A45" s="58" t="s">
        <v>342</v>
      </c>
      <c r="B45" s="66">
        <v>52.702399999999997</v>
      </c>
      <c r="C45" s="66">
        <v>5.8642799999999999</v>
      </c>
      <c r="D45" s="66">
        <v>0.11127099999999999</v>
      </c>
      <c r="E45" s="66">
        <v>0</v>
      </c>
      <c r="F45" s="66">
        <v>39.666699999999999</v>
      </c>
      <c r="G45" s="66">
        <v>0</v>
      </c>
      <c r="H45" s="66">
        <v>71.501300000000001</v>
      </c>
    </row>
    <row r="46" spans="1:8">
      <c r="A46" s="58" t="s">
        <v>343</v>
      </c>
      <c r="B46" s="66">
        <v>37.982700000000001</v>
      </c>
      <c r="C46" s="66">
        <v>3.5846100000000001</v>
      </c>
      <c r="D46" s="66">
        <v>9.4374700000000006E-2</v>
      </c>
      <c r="E46" s="66">
        <v>0</v>
      </c>
      <c r="F46" s="66">
        <v>21.778500000000001</v>
      </c>
      <c r="G46" s="66">
        <v>0</v>
      </c>
      <c r="H46" s="66">
        <v>41.473199999999999</v>
      </c>
    </row>
    <row r="47" spans="1:8">
      <c r="A47" s="58" t="s">
        <v>344</v>
      </c>
      <c r="B47" s="66">
        <v>1.5984</v>
      </c>
      <c r="C47" s="66">
        <v>0.64767300000000005</v>
      </c>
      <c r="D47" s="66">
        <v>0.40520200000000001</v>
      </c>
      <c r="E47" s="66">
        <v>0</v>
      </c>
      <c r="F47" s="66">
        <v>0.65391100000000002</v>
      </c>
      <c r="G47" s="66">
        <v>0</v>
      </c>
      <c r="H47" s="66">
        <v>4.1612600000000004</v>
      </c>
    </row>
    <row r="48" spans="1:8">
      <c r="A48" s="58" t="s">
        <v>345</v>
      </c>
      <c r="B48" s="66">
        <v>0.93283199999999999</v>
      </c>
      <c r="C48" s="66">
        <v>0.13372999999999999</v>
      </c>
      <c r="D48" s="66">
        <v>0.14335899999999999</v>
      </c>
      <c r="E48" s="66">
        <v>0</v>
      </c>
      <c r="F48" s="66">
        <v>0.72091400000000005</v>
      </c>
      <c r="G48" s="66">
        <v>0</v>
      </c>
      <c r="H48" s="66">
        <v>1.2738799999999999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2.1487999999999943</v>
      </c>
      <c r="C5" s="66">
        <f>'M2'!C5-'M1'!C5</f>
        <v>-3.3235100000000002</v>
      </c>
      <c r="D5" s="66">
        <f>'M2'!D5-'M1'!D5</f>
        <v>-6.56229</v>
      </c>
      <c r="E5" s="66">
        <f>'M2'!E5-'M1'!E5</f>
        <v>0</v>
      </c>
      <c r="F5" s="66">
        <f>'M2'!F5-'M1'!F5</f>
        <v>15.031299999999998</v>
      </c>
      <c r="G5" s="66">
        <f>'M2'!G5-'M1'!G5</f>
        <v>0</v>
      </c>
      <c r="H5" s="66">
        <f>'M2'!H5-'M1'!H5</f>
        <v>0.74750000000000227</v>
      </c>
    </row>
    <row r="6" spans="1:8">
      <c r="A6" s="66" t="s">
        <v>244</v>
      </c>
      <c r="B6" s="66">
        <f>'M2'!B6-'M1'!B6</f>
        <v>-0.7798000000000016</v>
      </c>
      <c r="C6" s="66">
        <f>'M2'!C6-'M1'!C6</f>
        <v>-7.0399999999999352E-3</v>
      </c>
      <c r="D6" s="66">
        <f>'M2'!D6-'M1'!D6</f>
        <v>7.5759999999999827E-2</v>
      </c>
      <c r="E6" s="66">
        <f>'M2'!E6-'M1'!E6</f>
        <v>0</v>
      </c>
      <c r="F6" s="66">
        <f>'M2'!F6-'M1'!F6</f>
        <v>0.35079999999999956</v>
      </c>
      <c r="G6" s="66">
        <f>'M2'!G6-'M1'!G6</f>
        <v>0</v>
      </c>
      <c r="H6" s="66">
        <f>'M2'!H6-'M1'!H6</f>
        <v>-0.23370000000000246</v>
      </c>
    </row>
    <row r="7" spans="1:8">
      <c r="A7" s="66" t="s">
        <v>245</v>
      </c>
      <c r="B7" s="66">
        <f>'M2'!B7-'M1'!B7</f>
        <v>4.9725999999999999</v>
      </c>
      <c r="C7" s="66">
        <f>'M2'!C7-'M1'!C7</f>
        <v>-2.5734399999999997</v>
      </c>
      <c r="D7" s="66">
        <f>'M2'!D7-'M1'!D7</f>
        <v>-16.6708</v>
      </c>
      <c r="E7" s="66">
        <f>'M2'!E7-'M1'!E7</f>
        <v>0</v>
      </c>
      <c r="F7" s="66">
        <f>'M2'!F7-'M1'!F7</f>
        <v>6.0091199999999994</v>
      </c>
      <c r="G7" s="66">
        <f>'M2'!G7-'M1'!G7</f>
        <v>0</v>
      </c>
      <c r="H7" s="66">
        <f>'M2'!H7-'M1'!H7</f>
        <v>-4.083599999999997</v>
      </c>
    </row>
    <row r="8" spans="1:8">
      <c r="A8" s="66" t="s">
        <v>246</v>
      </c>
      <c r="B8" s="66">
        <f>'M2'!B8-'M1'!B8</f>
        <v>2.1570000000000036</v>
      </c>
      <c r="C8" s="66">
        <f>'M2'!C8-'M1'!C8</f>
        <v>-1.8419399999999999</v>
      </c>
      <c r="D8" s="66">
        <f>'M2'!D8-'M1'!D8</f>
        <v>-5.7884200000000003</v>
      </c>
      <c r="E8" s="66">
        <f>'M2'!E8-'M1'!E8</f>
        <v>0</v>
      </c>
      <c r="F8" s="66">
        <f>'M2'!F8-'M1'!F8</f>
        <v>7.9527000000000037</v>
      </c>
      <c r="G8" s="66">
        <f>'M2'!G8-'M1'!G8</f>
        <v>0</v>
      </c>
      <c r="H8" s="66">
        <f>'M2'!H8-'M1'!H8</f>
        <v>-0.63430000000000319</v>
      </c>
    </row>
    <row r="9" spans="1:8">
      <c r="A9" s="66" t="s">
        <v>247</v>
      </c>
      <c r="B9" s="66">
        <f>'M2'!B9-'M1'!B9</f>
        <v>1.4964999999999975</v>
      </c>
      <c r="C9" s="66">
        <f>'M2'!C9-'M1'!C9</f>
        <v>-3.5215000000000001</v>
      </c>
      <c r="D9" s="66">
        <f>'M2'!D9-'M1'!D9</f>
        <v>-5.4515000000000002</v>
      </c>
      <c r="E9" s="66">
        <f>'M2'!E9-'M1'!E9</f>
        <v>0</v>
      </c>
      <c r="F9" s="66">
        <f>'M2'!F9-'M1'!F9</f>
        <v>12.605499999999999</v>
      </c>
      <c r="G9" s="66">
        <f>'M2'!G9-'M1'!G9</f>
        <v>0</v>
      </c>
      <c r="H9" s="66">
        <f>'M2'!H9-'M1'!H9</f>
        <v>0.68099999999999739</v>
      </c>
    </row>
    <row r="10" spans="1:8">
      <c r="A10" s="66" t="s">
        <v>248</v>
      </c>
      <c r="B10" s="66">
        <f>'M2'!B10-'M1'!B10</f>
        <v>0.56340000000000146</v>
      </c>
      <c r="C10" s="66">
        <f>'M2'!C10-'M1'!C10</f>
        <v>0.23314000000000012</v>
      </c>
      <c r="D10" s="66">
        <f>'M2'!D10-'M1'!D10</f>
        <v>0.2909900000000003</v>
      </c>
      <c r="E10" s="66">
        <f>'M2'!E10-'M1'!E10</f>
        <v>0</v>
      </c>
      <c r="F10" s="66">
        <f>'M2'!F10-'M1'!F10</f>
        <v>-2.1830000000000069</v>
      </c>
      <c r="G10" s="66">
        <f>'M2'!G10-'M1'!G10</f>
        <v>0</v>
      </c>
      <c r="H10" s="66">
        <f>'M2'!H10-'M1'!H10</f>
        <v>-2.863900000000001</v>
      </c>
    </row>
    <row r="11" spans="1:8">
      <c r="A11" s="66" t="s">
        <v>249</v>
      </c>
      <c r="B11" s="66">
        <f>'M2'!B11-'M1'!B11</f>
        <v>-3.6552000000000007</v>
      </c>
      <c r="C11" s="66">
        <f>'M2'!C11-'M1'!C11</f>
        <v>-2.5440700000000001</v>
      </c>
      <c r="D11" s="66">
        <f>'M2'!D11-'M1'!D11</f>
        <v>-7.0021199999999997</v>
      </c>
      <c r="E11" s="66">
        <f>'M2'!E11-'M1'!E11</f>
        <v>0</v>
      </c>
      <c r="F11" s="66">
        <f>'M2'!F11-'M1'!F11</f>
        <v>6.5705000000000027</v>
      </c>
      <c r="G11" s="66">
        <f>'M2'!G11-'M1'!G11</f>
        <v>0</v>
      </c>
      <c r="H11" s="66">
        <f>'M2'!H11-'M1'!H11</f>
        <v>-2.0450000000000017</v>
      </c>
    </row>
    <row r="12" spans="1:8">
      <c r="A12" s="66" t="s">
        <v>250</v>
      </c>
      <c r="B12" s="66">
        <f>'M2'!B12-'M1'!B12</f>
        <v>1.292199999999994</v>
      </c>
      <c r="C12" s="66">
        <f>'M2'!C12-'M1'!C12</f>
        <v>-1.6514899999999999</v>
      </c>
      <c r="D12" s="66">
        <f>'M2'!D12-'M1'!D12</f>
        <v>-2.4149900000000004</v>
      </c>
      <c r="E12" s="66">
        <f>'M2'!E12-'M1'!E12</f>
        <v>0</v>
      </c>
      <c r="F12" s="66">
        <f>'M2'!F12-'M1'!F12</f>
        <v>5.6058999999999983</v>
      </c>
      <c r="G12" s="66">
        <f>'M2'!G12-'M1'!G12</f>
        <v>0</v>
      </c>
      <c r="H12" s="66">
        <f>'M2'!H12-'M1'!H12</f>
        <v>-1.3855000000000075</v>
      </c>
    </row>
    <row r="13" spans="1:8">
      <c r="A13" s="66" t="s">
        <v>251</v>
      </c>
      <c r="B13" s="66">
        <f>'M2'!B13-'M1'!B13</f>
        <v>0.33659999999999712</v>
      </c>
      <c r="C13" s="66">
        <f>'M2'!C13-'M1'!C13</f>
        <v>0.57502999999999993</v>
      </c>
      <c r="D13" s="66">
        <f>'M2'!D13-'M1'!D13</f>
        <v>2.8336000000000006</v>
      </c>
      <c r="E13" s="66">
        <f>'M2'!E13-'M1'!E13</f>
        <v>0</v>
      </c>
      <c r="F13" s="66">
        <f>'M2'!F13-'M1'!F13</f>
        <v>-0.72330000000000005</v>
      </c>
      <c r="G13" s="66">
        <f>'M2'!G13-'M1'!G13</f>
        <v>0</v>
      </c>
      <c r="H13" s="66">
        <f>'M2'!H13-'M1'!H13</f>
        <v>0.22170000000000201</v>
      </c>
    </row>
    <row r="14" spans="1:8">
      <c r="A14" s="66" t="s">
        <v>252</v>
      </c>
      <c r="B14" s="66">
        <f>'M2'!B14-'M1'!B14</f>
        <v>5.7502999999999993</v>
      </c>
      <c r="C14" s="66">
        <f>'M2'!C14-'M1'!C14</f>
        <v>1.3170500000000009</v>
      </c>
      <c r="D14" s="66">
        <f>'M2'!D14-'M1'!D14</f>
        <v>-1.7088000000000001</v>
      </c>
      <c r="E14" s="66">
        <f>'M2'!E14-'M1'!E14</f>
        <v>0</v>
      </c>
      <c r="F14" s="66">
        <f>'M2'!F14-'M1'!F14</f>
        <v>-0.75458999999999987</v>
      </c>
      <c r="G14" s="66">
        <f>'M2'!G14-'M1'!G14</f>
        <v>0</v>
      </c>
      <c r="H14" s="66">
        <f>'M2'!H14-'M1'!H14</f>
        <v>3.7557000000000009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5.9353000000000045E-2</v>
      </c>
      <c r="C18" s="66">
        <f>'M2'!C18-'M1'!C18</f>
        <v>9.4369499999999995E-3</v>
      </c>
      <c r="D18" s="66">
        <f>'M2'!D18-'M1'!D18</f>
        <v>2.5273799999999999E-2</v>
      </c>
      <c r="E18" s="66">
        <f>'M2'!E18-'M1'!E18</f>
        <v>0</v>
      </c>
      <c r="F18" s="66">
        <f>'M2'!F18-'M1'!F18</f>
        <v>0.363952</v>
      </c>
      <c r="G18" s="66">
        <f>'M2'!G18-'M1'!G18</f>
        <v>0</v>
      </c>
      <c r="H18" s="66">
        <f>'M2'!H18-'M1'!H18</f>
        <v>0.382826</v>
      </c>
    </row>
    <row r="19" spans="1:8">
      <c r="A19" s="66" t="s">
        <v>256</v>
      </c>
      <c r="B19" s="66">
        <f>'M2'!B19-'M1'!B19</f>
        <v>-4.4272000000000034E-2</v>
      </c>
      <c r="C19" s="66">
        <f>'M2'!C19-'M1'!C19</f>
        <v>1.9464200000000001E-2</v>
      </c>
      <c r="D19" s="66">
        <f>'M2'!D19-'M1'!D19</f>
        <v>5.0280600000000002E-2</v>
      </c>
      <c r="E19" s="66">
        <f>'M2'!E19-'M1'!E19</f>
        <v>0</v>
      </c>
      <c r="F19" s="66">
        <f>'M2'!F19-'M1'!F19</f>
        <v>0.367647</v>
      </c>
      <c r="G19" s="66">
        <f>'M2'!G19-'M1'!G19</f>
        <v>0</v>
      </c>
      <c r="H19" s="66">
        <f>'M2'!H19-'M1'!H19</f>
        <v>0.40657500000000002</v>
      </c>
    </row>
    <row r="20" spans="1:8">
      <c r="A20" s="66" t="s">
        <v>63</v>
      </c>
      <c r="B20" s="66">
        <f>'M2'!B20-'M1'!B20</f>
        <v>-1.2514699999999997E-2</v>
      </c>
      <c r="C20" s="66">
        <f>'M2'!C20-'M1'!C20</f>
        <v>-3.5697099999999996E-2</v>
      </c>
      <c r="D20" s="66">
        <f>'M2'!D20-'M1'!D20</f>
        <v>-9.1449999999999587E-2</v>
      </c>
      <c r="E20" s="66">
        <f>'M2'!E20-'M1'!E20</f>
        <v>0</v>
      </c>
      <c r="F20" s="66">
        <f>'M2'!F20-'M1'!F20</f>
        <v>-1.51166E-4</v>
      </c>
      <c r="G20" s="66">
        <f>'M2'!G20-'M1'!G20</f>
        <v>0</v>
      </c>
      <c r="H20" s="66">
        <f>'M2'!H20-'M1'!H20</f>
        <v>-0.23963800000000002</v>
      </c>
    </row>
    <row r="21" spans="1:8">
      <c r="A21" s="66" t="s">
        <v>64</v>
      </c>
      <c r="B21" s="66">
        <f>'M2'!B21-'M1'!B21</f>
        <v>-0.17218099999999992</v>
      </c>
      <c r="C21" s="66">
        <f>'M2'!C21-'M1'!C21</f>
        <v>-0.14815200000000006</v>
      </c>
      <c r="D21" s="66">
        <f>'M2'!D21-'M1'!D21</f>
        <v>4.4219999999999926E-2</v>
      </c>
      <c r="E21" s="66">
        <f>'M2'!E21-'M1'!E21</f>
        <v>0</v>
      </c>
      <c r="F21" s="66">
        <f>'M2'!F21-'M1'!F21</f>
        <v>-1.9537949999999998E-2</v>
      </c>
      <c r="G21" s="66">
        <f>'M2'!G21-'M1'!G21</f>
        <v>0</v>
      </c>
      <c r="H21" s="66">
        <f>'M2'!H21-'M1'!H21</f>
        <v>-1.7706699999999995</v>
      </c>
    </row>
    <row r="22" spans="1:8">
      <c r="A22" s="66" t="s">
        <v>65</v>
      </c>
      <c r="B22" s="66">
        <f>'M2'!B22-'M1'!B22</f>
        <v>-3.1238999999999919</v>
      </c>
      <c r="C22" s="66">
        <f>'M2'!C22-'M1'!C22</f>
        <v>-4.7387999999999995</v>
      </c>
      <c r="D22" s="66">
        <f>'M2'!D22-'M1'!D22</f>
        <v>-6.1859999999999998E-2</v>
      </c>
      <c r="E22" s="66">
        <f>'M2'!E22-'M1'!E22</f>
        <v>0</v>
      </c>
      <c r="F22" s="66">
        <f>'M2'!F22-'M1'!F22</f>
        <v>-9.5596999999999994</v>
      </c>
      <c r="G22" s="66">
        <f>'M2'!G22-'M1'!G22</f>
        <v>0</v>
      </c>
      <c r="H22" s="66">
        <f>'M2'!H22-'M1'!H22</f>
        <v>-24.493499999999997</v>
      </c>
    </row>
    <row r="23" spans="1:8">
      <c r="A23" s="66" t="s">
        <v>66</v>
      </c>
      <c r="B23" s="66">
        <f>'M2'!B23-'M1'!B23</f>
        <v>-6.456700000000005</v>
      </c>
      <c r="C23" s="66">
        <f>'M2'!C23-'M1'!C23</f>
        <v>-2.8428999999999998</v>
      </c>
      <c r="D23" s="66">
        <f>'M2'!D23-'M1'!D23</f>
        <v>-5.4996199999999995E-2</v>
      </c>
      <c r="E23" s="66">
        <f>'M2'!E23-'M1'!E23</f>
        <v>0</v>
      </c>
      <c r="F23" s="66">
        <f>'M2'!F23-'M1'!F23</f>
        <v>6.0317000000000007</v>
      </c>
      <c r="G23" s="66">
        <f>'M2'!G23-'M1'!G23</f>
        <v>0</v>
      </c>
      <c r="H23" s="66">
        <f>'M2'!H23-'M1'!H23</f>
        <v>-0.4106000000000023</v>
      </c>
    </row>
    <row r="24" spans="1:8">
      <c r="A24" s="66" t="s">
        <v>67</v>
      </c>
      <c r="B24" s="66">
        <f>'M2'!B24-'M1'!B24</f>
        <v>-1.4664899999999995E-2</v>
      </c>
      <c r="C24" s="66">
        <f>'M2'!C24-'M1'!C24</f>
        <v>-4.017069999999999E-2</v>
      </c>
      <c r="D24" s="66">
        <f>'M2'!D24-'M1'!D24</f>
        <v>-0.42959999999999998</v>
      </c>
      <c r="E24" s="66">
        <f>'M2'!E24-'M1'!E24</f>
        <v>0</v>
      </c>
      <c r="F24" s="66">
        <f>'M2'!F24-'M1'!F24</f>
        <v>-2.6990000000000174E-5</v>
      </c>
      <c r="G24" s="66">
        <f>'M2'!G24-'M1'!G24</f>
        <v>0</v>
      </c>
      <c r="H24" s="66">
        <f>'M2'!H24-'M1'!H24</f>
        <v>-0.37657499999999999</v>
      </c>
    </row>
    <row r="25" spans="1:8">
      <c r="A25" s="66" t="s">
        <v>68</v>
      </c>
      <c r="B25" s="66">
        <f>'M2'!B25-'M1'!B25</f>
        <v>-0.30176900000000001</v>
      </c>
      <c r="C25" s="66">
        <f>'M2'!C25-'M1'!C25</f>
        <v>-9.8078999999999972E-2</v>
      </c>
      <c r="D25" s="66">
        <f>'M2'!D25-'M1'!D25</f>
        <v>0.13900100000000004</v>
      </c>
      <c r="E25" s="66">
        <f>'M2'!E25-'M1'!E25</f>
        <v>0</v>
      </c>
      <c r="F25" s="66">
        <f>'M2'!F25-'M1'!F25</f>
        <v>-0.14342900000000003</v>
      </c>
      <c r="G25" s="66">
        <f>'M2'!G25-'M1'!G25</f>
        <v>0</v>
      </c>
      <c r="H25" s="66">
        <f>'M2'!H25-'M1'!H25</f>
        <v>-0.26707999999999976</v>
      </c>
    </row>
    <row r="26" spans="1:8">
      <c r="A26" s="66" t="s">
        <v>69</v>
      </c>
      <c r="B26" s="66">
        <f>'M2'!B26-'M1'!B26</f>
        <v>-1.5674299999999999E-3</v>
      </c>
      <c r="C26" s="66">
        <f>'M2'!C26-'M1'!C26</f>
        <v>-2.1018500000000006E-3</v>
      </c>
      <c r="D26" s="66">
        <f>'M2'!D26-'M1'!D26</f>
        <v>0.17839000000000005</v>
      </c>
      <c r="E26" s="66">
        <f>'M2'!E26-'M1'!E26</f>
        <v>0</v>
      </c>
      <c r="F26" s="66">
        <f>'M2'!F26-'M1'!F26</f>
        <v>-5.5803599999999995E-5</v>
      </c>
      <c r="G26" s="66">
        <f>'M2'!G26-'M1'!G26</f>
        <v>0</v>
      </c>
      <c r="H26" s="66">
        <f>'M2'!H26-'M1'!H26</f>
        <v>-6.8506999999999943E-3</v>
      </c>
    </row>
    <row r="27" spans="1:8">
      <c r="A27" s="66" t="s">
        <v>70</v>
      </c>
      <c r="B27" s="66">
        <f>'M2'!B27-'M1'!B27</f>
        <v>6.5649999999999956E-6</v>
      </c>
      <c r="C27" s="66">
        <f>'M2'!C27-'M1'!C27</f>
        <v>-6.1429999999999905E-5</v>
      </c>
      <c r="D27" s="66">
        <f>'M2'!D27-'M1'!D27</f>
        <v>-5.7492999999999981</v>
      </c>
      <c r="E27" s="66">
        <f>'M2'!E27-'M1'!E27</f>
        <v>0</v>
      </c>
      <c r="F27" s="66">
        <f>'M2'!F27-'M1'!F27</f>
        <v>-9.7557999999999985E-3</v>
      </c>
      <c r="G27" s="66">
        <f>'M2'!G27-'M1'!G27</f>
        <v>0</v>
      </c>
      <c r="H27" s="66">
        <f>'M2'!H27-'M1'!H27</f>
        <v>1.2595099999999998E-2</v>
      </c>
    </row>
    <row r="28" spans="1:8">
      <c r="A28" s="66" t="s">
        <v>71</v>
      </c>
      <c r="B28" s="66">
        <f>'M2'!B28-'M1'!B28</f>
        <v>-1.3478200000000003E-2</v>
      </c>
      <c r="C28" s="66">
        <f>'M2'!C28-'M1'!C28</f>
        <v>-2.6953000000000046E-3</v>
      </c>
      <c r="D28" s="66">
        <f>'M2'!D28-'M1'!D28</f>
        <v>0.12519900000000006</v>
      </c>
      <c r="E28" s="66">
        <f>'M2'!E28-'M1'!E28</f>
        <v>0</v>
      </c>
      <c r="F28" s="66">
        <f>'M2'!F28-'M1'!F28</f>
        <v>-2.7571640000000003E-3</v>
      </c>
      <c r="G28" s="66">
        <f>'M2'!G28-'M1'!G28</f>
        <v>0</v>
      </c>
      <c r="H28" s="66">
        <f>'M2'!H28-'M1'!H28</f>
        <v>-5.2479999999999999E-2</v>
      </c>
    </row>
    <row r="29" spans="1:8">
      <c r="A29" s="66" t="s">
        <v>72</v>
      </c>
      <c r="B29" s="66">
        <f>'M2'!B29-'M1'!B29</f>
        <v>-2.3421000000000021</v>
      </c>
      <c r="C29" s="66">
        <f>'M2'!C29-'M1'!C29</f>
        <v>-1.4094100000000003</v>
      </c>
      <c r="D29" s="66">
        <f>'M2'!D29-'M1'!D29</f>
        <v>-1.4328500000000008E-2</v>
      </c>
      <c r="E29" s="66">
        <f>'M2'!E29-'M1'!E29</f>
        <v>0</v>
      </c>
      <c r="F29" s="66">
        <f>'M2'!F29-'M1'!F29</f>
        <v>7.7300000000001035E-2</v>
      </c>
      <c r="G29" s="66">
        <f>'M2'!G29-'M1'!G29</f>
        <v>0</v>
      </c>
      <c r="H29" s="66">
        <f>'M2'!H29-'M1'!H29</f>
        <v>-14.655999999999992</v>
      </c>
    </row>
    <row r="30" spans="1:8">
      <c r="A30" s="66" t="s">
        <v>73</v>
      </c>
      <c r="B30" s="66">
        <f>'M2'!B30-'M1'!B30</f>
        <v>-2.3270999999999944</v>
      </c>
      <c r="C30" s="66">
        <f>'M2'!C30-'M1'!C30</f>
        <v>-3.5403000000000002</v>
      </c>
      <c r="D30" s="66">
        <f>'M2'!D30-'M1'!D30</f>
        <v>-8.0304699999999979E-2</v>
      </c>
      <c r="E30" s="66">
        <f>'M2'!E30-'M1'!E30</f>
        <v>0</v>
      </c>
      <c r="F30" s="66">
        <f>'M2'!F30-'M1'!F30</f>
        <v>9.1832999999999991</v>
      </c>
      <c r="G30" s="66">
        <f>'M2'!G30-'M1'!G30</f>
        <v>0</v>
      </c>
      <c r="H30" s="66">
        <f>'M2'!H30-'M1'!H30</f>
        <v>-4.590000000000316E-2</v>
      </c>
    </row>
    <row r="31" spans="1:8">
      <c r="A31" s="66" t="s">
        <v>74</v>
      </c>
      <c r="B31" s="66">
        <f>'M2'!B31-'M1'!B31</f>
        <v>34.545000000000016</v>
      </c>
      <c r="C31" s="66">
        <f>'M2'!C31-'M1'!C31</f>
        <v>-30.005300000000002</v>
      </c>
      <c r="D31" s="66">
        <f>'M2'!D31-'M1'!D31</f>
        <v>-9.4108899999999995E-2</v>
      </c>
      <c r="E31" s="66">
        <f>'M2'!E31-'M1'!E31</f>
        <v>0</v>
      </c>
      <c r="F31" s="66">
        <f>'M2'!F31-'M1'!F31</f>
        <v>144.66900000000001</v>
      </c>
      <c r="G31" s="66">
        <f>'M2'!G31-'M1'!G31</f>
        <v>0</v>
      </c>
      <c r="H31" s="66">
        <f>'M2'!H31-'M1'!H31</f>
        <v>15.647999999999968</v>
      </c>
    </row>
    <row r="32" spans="1:8">
      <c r="A32" s="66" t="s">
        <v>75</v>
      </c>
      <c r="B32" s="66">
        <f>'M2'!B32-'M1'!B32</f>
        <v>4.9725999999999992E-2</v>
      </c>
      <c r="C32" s="66">
        <f>'M2'!C32-'M1'!C32</f>
        <v>-2.5734400000000004E-2</v>
      </c>
      <c r="D32" s="66">
        <f>'M2'!D32-'M1'!D32</f>
        <v>-0.16670799999999997</v>
      </c>
      <c r="E32" s="66">
        <f>'M2'!E32-'M1'!E32</f>
        <v>0</v>
      </c>
      <c r="F32" s="66">
        <f>'M2'!F32-'M1'!F32</f>
        <v>6.0091199999999997E-2</v>
      </c>
      <c r="G32" s="66">
        <f>'M2'!G32-'M1'!G32</f>
        <v>0</v>
      </c>
      <c r="H32" s="66">
        <f>'M2'!H32-'M1'!H32</f>
        <v>-4.0835999999999983E-2</v>
      </c>
    </row>
    <row r="33" spans="1:8">
      <c r="A33" s="66" t="s">
        <v>76</v>
      </c>
      <c r="B33" s="66">
        <f>'M2'!B33-'M1'!B33</f>
        <v>5.6872000000000034E-2</v>
      </c>
      <c r="C33" s="66">
        <f>'M2'!C33-'M1'!C33</f>
        <v>2.594599999999999E-3</v>
      </c>
      <c r="D33" s="66">
        <f>'M2'!D33-'M1'!D33</f>
        <v>-7.0216999999999918E-3</v>
      </c>
      <c r="E33" s="66">
        <f>'M2'!E33-'M1'!E33</f>
        <v>0</v>
      </c>
      <c r="F33" s="66">
        <f>'M2'!F33-'M1'!F33</f>
        <v>1.2597000000000025E-2</v>
      </c>
      <c r="G33" s="66">
        <f>'M2'!G33-'M1'!G33</f>
        <v>0</v>
      </c>
      <c r="H33" s="66">
        <f>'M2'!H33-'M1'!H33</f>
        <v>7.3460999999999999E-2</v>
      </c>
    </row>
    <row r="34" spans="1:8">
      <c r="A34" s="66" t="s">
        <v>77</v>
      </c>
      <c r="B34" s="66">
        <f>'M2'!B34-'M1'!B34</f>
        <v>3.3659999999999801E-3</v>
      </c>
      <c r="C34" s="66">
        <f>'M2'!C34-'M1'!C34</f>
        <v>5.7502999999999999E-3</v>
      </c>
      <c r="D34" s="66">
        <f>'M2'!D34-'M1'!D34</f>
        <v>2.8335999999999986E-2</v>
      </c>
      <c r="E34" s="66">
        <f>'M2'!E34-'M1'!E34</f>
        <v>0</v>
      </c>
      <c r="F34" s="66">
        <f>'M2'!F34-'M1'!F34</f>
        <v>-7.2330000000000172E-3</v>
      </c>
      <c r="G34" s="66">
        <f>'M2'!G34-'M1'!G34</f>
        <v>0</v>
      </c>
      <c r="H34" s="66">
        <f>'M2'!H34-'M1'!H34</f>
        <v>2.216999999999969E-3</v>
      </c>
    </row>
    <row r="35" spans="1:8">
      <c r="A35" s="66" t="s">
        <v>78</v>
      </c>
      <c r="B35" s="66">
        <f>'M2'!B35-'M1'!B35</f>
        <v>2.1409000000000011E-3</v>
      </c>
      <c r="C35" s="66">
        <f>'M2'!C35-'M1'!C35</f>
        <v>2.9899999999999996E-3</v>
      </c>
      <c r="D35" s="66">
        <f>'M2'!D35-'M1'!D35</f>
        <v>3.1030999999999975E-2</v>
      </c>
      <c r="E35" s="66">
        <f>'M2'!E35-'M1'!E35</f>
        <v>0</v>
      </c>
      <c r="F35" s="66">
        <f>'M2'!F35-'M1'!F35</f>
        <v>-1.1924000000000032E-3</v>
      </c>
      <c r="G35" s="66">
        <f>'M2'!G35-'M1'!G35</f>
        <v>0</v>
      </c>
      <c r="H35" s="66">
        <f>'M2'!H35-'M1'!H35</f>
        <v>1.7014000000000001E-2</v>
      </c>
    </row>
    <row r="36" spans="1:8">
      <c r="A36" s="66" t="s">
        <v>79</v>
      </c>
      <c r="B36" s="66">
        <f>'M2'!B36-'M1'!B36</f>
        <v>-3.5879999999999801E-3</v>
      </c>
      <c r="C36" s="66">
        <f>'M2'!C36-'M1'!C36</f>
        <v>4.0715999999999947E-3</v>
      </c>
      <c r="D36" s="66">
        <f>'M2'!D36-'M1'!D36</f>
        <v>3.4709999999999963E-2</v>
      </c>
      <c r="E36" s="66">
        <f>'M2'!E36-'M1'!E36</f>
        <v>0</v>
      </c>
      <c r="F36" s="66">
        <f>'M2'!F36-'M1'!F36</f>
        <v>1.7637299999999995E-2</v>
      </c>
      <c r="G36" s="66">
        <f>'M2'!G36-'M1'!G36</f>
        <v>0</v>
      </c>
      <c r="H36" s="66">
        <f>'M2'!H36-'M1'!H36</f>
        <v>7.3987000000000025E-2</v>
      </c>
    </row>
    <row r="37" spans="1:8">
      <c r="A37" s="66" t="s">
        <v>80</v>
      </c>
      <c r="B37" s="66">
        <f>'M2'!B37-'M1'!B37</f>
        <v>5.7502999999999999E-2</v>
      </c>
      <c r="C37" s="66">
        <f>'M2'!C37-'M1'!C37</f>
        <v>1.3170500000000002E-2</v>
      </c>
      <c r="D37" s="66">
        <f>'M2'!D37-'M1'!D37</f>
        <v>-1.7088000000000048E-2</v>
      </c>
      <c r="E37" s="66">
        <f>'M2'!E37-'M1'!E37</f>
        <v>0</v>
      </c>
      <c r="F37" s="66">
        <f>'M2'!F37-'M1'!F37</f>
        <v>-7.5459000000000012E-3</v>
      </c>
      <c r="G37" s="66">
        <f>'M2'!G37-'M1'!G37</f>
        <v>0</v>
      </c>
      <c r="H37" s="66">
        <f>'M2'!H37-'M1'!H37</f>
        <v>3.7556999999999979E-2</v>
      </c>
    </row>
    <row r="38" spans="1:8">
      <c r="A38" s="66" t="s">
        <v>81</v>
      </c>
      <c r="B38" s="66">
        <f>'M2'!B38-'M1'!B38</f>
        <v>18.061399999999999</v>
      </c>
      <c r="C38" s="66">
        <f>'M2'!C38-'M1'!C38</f>
        <v>-6.473399999999998</v>
      </c>
      <c r="D38" s="66">
        <f>'M2'!D38-'M1'!D38</f>
        <v>-0.20626100000000003</v>
      </c>
      <c r="E38" s="66">
        <f>'M2'!E38-'M1'!E38</f>
        <v>0</v>
      </c>
      <c r="F38" s="66">
        <f>'M2'!F38-'M1'!F38</f>
        <v>42.945999999999998</v>
      </c>
      <c r="G38" s="66">
        <f>'M2'!G38-'M1'!G38</f>
        <v>0</v>
      </c>
      <c r="H38" s="66">
        <f>'M2'!H38-'M1'!H38</f>
        <v>43.748999999999995</v>
      </c>
    </row>
    <row r="39" spans="1:8">
      <c r="A39" s="66" t="s">
        <v>82</v>
      </c>
      <c r="B39" s="66">
        <f>'M2'!B39-'M1'!B39</f>
        <v>8.8359000000000023</v>
      </c>
      <c r="C39" s="66">
        <f>'M2'!C39-'M1'!C39</f>
        <v>-1.0054600000000002</v>
      </c>
      <c r="D39" s="66">
        <f>'M2'!D39-'M1'!D39</f>
        <v>-6.6442999999999974E-2</v>
      </c>
      <c r="E39" s="66">
        <f>'M2'!E39-'M1'!E39</f>
        <v>0</v>
      </c>
      <c r="F39" s="66">
        <f>'M2'!F39-'M1'!F39</f>
        <v>14.745999999999995</v>
      </c>
      <c r="G39" s="66">
        <f>'M2'!G39-'M1'!G39</f>
        <v>0</v>
      </c>
      <c r="H39" s="66">
        <f>'M2'!H39-'M1'!H39</f>
        <v>11.505839999999999</v>
      </c>
    </row>
    <row r="40" spans="1:8">
      <c r="A40" s="66" t="s">
        <v>83</v>
      </c>
      <c r="B40" s="66">
        <f>'M2'!B40-'M1'!B40</f>
        <v>3.6631999999999998</v>
      </c>
      <c r="C40" s="66">
        <f>'M2'!C40-'M1'!C40</f>
        <v>-1.64296</v>
      </c>
      <c r="D40" s="66">
        <f>'M2'!D40-'M1'!D40</f>
        <v>5.9454000000000007E-2</v>
      </c>
      <c r="E40" s="66">
        <f>'M2'!E40-'M1'!E40</f>
        <v>0</v>
      </c>
      <c r="F40" s="66">
        <f>'M2'!F40-'M1'!F40</f>
        <v>0.37190000000000012</v>
      </c>
      <c r="G40" s="66">
        <f>'M2'!G40-'M1'!G40</f>
        <v>0</v>
      </c>
      <c r="H40" s="66">
        <f>'M2'!H40-'M1'!H40</f>
        <v>-2.5294899999999991</v>
      </c>
    </row>
    <row r="41" spans="1:8">
      <c r="A41" s="66" t="s">
        <v>84</v>
      </c>
      <c r="B41" s="66">
        <f>'M2'!B41-'M1'!B41</f>
        <v>3.8706999999999991E-2</v>
      </c>
      <c r="C41" s="66">
        <f>'M2'!C41-'M1'!C41</f>
        <v>8.883000000000002E-3</v>
      </c>
      <c r="D41" s="66">
        <f>'M2'!D41-'M1'!D41</f>
        <v>-0.25579700000000005</v>
      </c>
      <c r="E41" s="66">
        <f>'M2'!E41-'M1'!E41</f>
        <v>0</v>
      </c>
      <c r="F41" s="66">
        <f>'M2'!F41-'M1'!F41</f>
        <v>-0.31253799999999998</v>
      </c>
      <c r="G41" s="66">
        <f>'M2'!G41-'M1'!G41</f>
        <v>0</v>
      </c>
      <c r="H41" s="66">
        <f>'M2'!H41-'M1'!H41</f>
        <v>0.10010700000000006</v>
      </c>
    </row>
    <row r="42" spans="1:8">
      <c r="A42" s="66" t="s">
        <v>85</v>
      </c>
      <c r="B42" s="66">
        <f>'M2'!B42-'M1'!B42</f>
        <v>6.1922000000000005E-2</v>
      </c>
      <c r="C42" s="66">
        <f>'M2'!C42-'M1'!C42</f>
        <v>2.11632E-2</v>
      </c>
      <c r="D42" s="66">
        <f>'M2'!D42-'M1'!D42</f>
        <v>-0.32089300000000004</v>
      </c>
      <c r="E42" s="66">
        <f>'M2'!E42-'M1'!E42</f>
        <v>0</v>
      </c>
      <c r="F42" s="66">
        <f>'M2'!F42-'M1'!F42</f>
        <v>-2.7617999999999976E-2</v>
      </c>
      <c r="G42" s="66">
        <f>'M2'!G42-'M1'!G42</f>
        <v>0</v>
      </c>
      <c r="H42" s="66">
        <f>'M2'!H42-'M1'!H42</f>
        <v>0.1432967</v>
      </c>
    </row>
    <row r="43" spans="1:8">
      <c r="A43" s="66" t="s">
        <v>86</v>
      </c>
      <c r="B43" s="66">
        <f>'M2'!B43-'M1'!B43</f>
        <v>7.2080000000000061E-3</v>
      </c>
      <c r="C43" s="66">
        <f>'M2'!C43-'M1'!C43</f>
        <v>1.0336300000000003E-2</v>
      </c>
      <c r="D43" s="66">
        <f>'M2'!D43-'M1'!D43</f>
        <v>-0.11970599999999998</v>
      </c>
      <c r="E43" s="66">
        <f>'M2'!E43-'M1'!E43</f>
        <v>0</v>
      </c>
      <c r="F43" s="66">
        <f>'M2'!F43-'M1'!F43</f>
        <v>-8.7959999999999983E-3</v>
      </c>
      <c r="G43" s="66">
        <f>'M2'!G43-'M1'!G43</f>
        <v>0</v>
      </c>
      <c r="H43" s="66">
        <f>'M2'!H43-'M1'!H43</f>
        <v>5.68047E-2</v>
      </c>
    </row>
    <row r="44" spans="1:8">
      <c r="A44" s="66" t="s">
        <v>87</v>
      </c>
      <c r="B44" s="66">
        <f>'M2'!B44-'M1'!B44</f>
        <v>-36.408999999999992</v>
      </c>
      <c r="C44" s="66">
        <f>'M2'!C44-'M1'!C44</f>
        <v>14.881600000000002</v>
      </c>
      <c r="D44" s="66">
        <f>'M2'!D44-'M1'!D44</f>
        <v>-4.2971999999999982E-2</v>
      </c>
      <c r="E44" s="66">
        <f>'M2'!E44-'M1'!E44</f>
        <v>0</v>
      </c>
      <c r="F44" s="66">
        <f>'M2'!F44-'M1'!F44</f>
        <v>-58.475999999999999</v>
      </c>
      <c r="G44" s="66">
        <f>'M2'!G44-'M1'!G44</f>
        <v>0</v>
      </c>
      <c r="H44" s="66">
        <f>'M2'!H44-'M1'!H44</f>
        <v>-31.666300000000007</v>
      </c>
    </row>
    <row r="45" spans="1:8">
      <c r="A45" s="66" t="s">
        <v>88</v>
      </c>
      <c r="B45" s="66">
        <f>'M2'!B45-'M1'!B45</f>
        <v>4.5379999999999967</v>
      </c>
      <c r="C45" s="66">
        <f>'M2'!C45-'M1'!C45</f>
        <v>0.84116000000000035</v>
      </c>
      <c r="D45" s="66">
        <f>'M2'!D45-'M1'!D45</f>
        <v>7.4429000000000023E-3</v>
      </c>
      <c r="E45" s="66">
        <f>'M2'!E45-'M1'!E45</f>
        <v>0</v>
      </c>
      <c r="F45" s="66">
        <f>'M2'!F45-'M1'!F45</f>
        <v>4.6154000000000011</v>
      </c>
      <c r="G45" s="66">
        <f>'M2'!G45-'M1'!G45</f>
        <v>0</v>
      </c>
      <c r="H45" s="66">
        <f>'M2'!H45-'M1'!H45</f>
        <v>8.9442000000000021</v>
      </c>
    </row>
    <row r="46" spans="1:8">
      <c r="A46" s="66" t="s">
        <v>89</v>
      </c>
      <c r="B46" s="66">
        <f>'M2'!B46-'M1'!B46</f>
        <v>1.1609000000000052</v>
      </c>
      <c r="C46" s="66">
        <f>'M2'!C46-'M1'!C46</f>
        <v>-3.0239400000000005</v>
      </c>
      <c r="D46" s="66">
        <f>'M2'!D46-'M1'!D46</f>
        <v>-8.3079500000000001E-2</v>
      </c>
      <c r="E46" s="66">
        <f>'M2'!E46-'M1'!E46</f>
        <v>0</v>
      </c>
      <c r="F46" s="66">
        <f>'M2'!F46-'M1'!F46</f>
        <v>13.6738</v>
      </c>
      <c r="G46" s="66">
        <f>'M2'!G46-'M1'!G46</f>
        <v>0</v>
      </c>
      <c r="H46" s="66">
        <f>'M2'!H46-'M1'!H46</f>
        <v>1.0659999999999954</v>
      </c>
    </row>
    <row r="47" spans="1:8">
      <c r="A47" s="66" t="s">
        <v>90</v>
      </c>
      <c r="B47" s="66">
        <f>'M2'!B47-'M1'!B47</f>
        <v>-0.37623000000000006</v>
      </c>
      <c r="C47" s="66">
        <f>'M2'!C47-'M1'!C47</f>
        <v>-0.27723199999999998</v>
      </c>
      <c r="D47" s="66">
        <f>'M2'!D47-'M1'!D47</f>
        <v>-8.9452999999999949E-2</v>
      </c>
      <c r="E47" s="66">
        <f>'M2'!E47-'M1'!E47</f>
        <v>0</v>
      </c>
      <c r="F47" s="66">
        <f>'M2'!F47-'M1'!F47</f>
        <v>-0.24109199999999997</v>
      </c>
      <c r="G47" s="66">
        <f>'M2'!G47-'M1'!G47</f>
        <v>0</v>
      </c>
      <c r="H47" s="66">
        <f>'M2'!H47-'M1'!H47</f>
        <v>-1.5612400000000002</v>
      </c>
    </row>
    <row r="48" spans="1:8">
      <c r="A48" s="66" t="s">
        <v>91</v>
      </c>
      <c r="B48" s="66">
        <f>'M2'!B48-'M1'!B48</f>
        <v>-0.23312499999999992</v>
      </c>
      <c r="C48" s="66">
        <f>'M2'!C48-'M1'!C48</f>
        <v>-1.1488600000000002E-2</v>
      </c>
      <c r="D48" s="66">
        <f>'M2'!D48-'M1'!D48</f>
        <v>6.0662999999999967E-3</v>
      </c>
      <c r="E48" s="66">
        <f>'M2'!E48-'M1'!E48</f>
        <v>0</v>
      </c>
      <c r="F48" s="66">
        <f>'M2'!F48-'M1'!F48</f>
        <v>-0.20768799999999998</v>
      </c>
      <c r="G48" s="66">
        <f>'M2'!G48-'M1'!G48</f>
        <v>0</v>
      </c>
      <c r="H48" s="66">
        <f>'M2'!H48-'M1'!H48</f>
        <v>-0.32932099999999986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52.320300000000003</v>
      </c>
      <c r="C5" s="66">
        <v>6.1097700000000001</v>
      </c>
      <c r="D5" s="66">
        <v>11.6776</v>
      </c>
      <c r="E5" s="66">
        <v>20</v>
      </c>
      <c r="F5" s="66">
        <v>30.689699999999998</v>
      </c>
      <c r="G5" s="66">
        <v>50</v>
      </c>
      <c r="H5" s="66">
        <v>58.9283</v>
      </c>
    </row>
    <row r="6" spans="1:8">
      <c r="A6" s="66" t="s">
        <v>303</v>
      </c>
      <c r="B6" s="66">
        <v>29.005400000000002</v>
      </c>
      <c r="C6" s="66">
        <v>1.0572699999999999</v>
      </c>
      <c r="D6" s="66">
        <v>3.6450800000000001</v>
      </c>
      <c r="E6" s="66">
        <v>20</v>
      </c>
      <c r="F6" s="66">
        <v>25.841200000000001</v>
      </c>
      <c r="G6" s="66">
        <v>40</v>
      </c>
      <c r="H6" s="66">
        <v>30.228100000000001</v>
      </c>
    </row>
    <row r="7" spans="1:8">
      <c r="A7" s="66" t="s">
        <v>304</v>
      </c>
      <c r="B7" s="66">
        <v>20.793399999999998</v>
      </c>
      <c r="C7" s="66">
        <v>7.2004099999999998</v>
      </c>
      <c r="D7" s="66">
        <v>34.628399999999999</v>
      </c>
      <c r="E7" s="66">
        <v>15</v>
      </c>
      <c r="F7" s="66">
        <v>8.8666800000000006</v>
      </c>
      <c r="G7" s="66">
        <v>40</v>
      </c>
      <c r="H7" s="66">
        <v>39.715499999999999</v>
      </c>
    </row>
    <row r="8" spans="1:8">
      <c r="A8" s="66" t="s">
        <v>305</v>
      </c>
      <c r="B8" s="66">
        <v>33.748699999999999</v>
      </c>
      <c r="C8" s="66">
        <v>3.6988699999999999</v>
      </c>
      <c r="D8" s="66">
        <v>10.960100000000001</v>
      </c>
      <c r="E8" s="66">
        <v>20</v>
      </c>
      <c r="F8" s="66">
        <v>24.417899999999999</v>
      </c>
      <c r="G8" s="66">
        <v>50</v>
      </c>
      <c r="H8" s="66">
        <v>39.455500000000001</v>
      </c>
    </row>
    <row r="9" spans="1:8">
      <c r="A9" s="66" t="s">
        <v>306</v>
      </c>
      <c r="B9" s="66">
        <v>65.897999999999996</v>
      </c>
      <c r="C9" s="66">
        <v>6.7153900000000002</v>
      </c>
      <c r="D9" s="66">
        <v>10.1906</v>
      </c>
      <c r="E9" s="66">
        <v>50</v>
      </c>
      <c r="F9" s="66">
        <v>47.572600000000001</v>
      </c>
      <c r="G9" s="66">
        <v>100</v>
      </c>
      <c r="H9" s="66">
        <v>76.757800000000003</v>
      </c>
    </row>
    <row r="10" spans="1:8">
      <c r="A10" s="66" t="s">
        <v>307</v>
      </c>
      <c r="B10" s="66">
        <v>74.557400000000001</v>
      </c>
      <c r="C10" s="66">
        <v>1.9250799999999999</v>
      </c>
      <c r="D10" s="66">
        <v>2.5820099999999999</v>
      </c>
      <c r="E10" s="66">
        <v>40</v>
      </c>
      <c r="F10" s="66">
        <v>72.200800000000001</v>
      </c>
      <c r="G10" s="66">
        <v>100</v>
      </c>
      <c r="H10" s="66">
        <v>81.0749</v>
      </c>
    </row>
    <row r="11" spans="1:8">
      <c r="A11" s="66" t="s">
        <v>308</v>
      </c>
      <c r="B11" s="66">
        <v>34.083100000000002</v>
      </c>
      <c r="C11" s="66">
        <v>3.8554200000000001</v>
      </c>
      <c r="D11" s="66">
        <v>11.3118</v>
      </c>
      <c r="E11" s="66">
        <v>10</v>
      </c>
      <c r="F11" s="66">
        <v>21.253699999999998</v>
      </c>
      <c r="G11" s="66">
        <v>50</v>
      </c>
      <c r="H11" s="66">
        <v>35.4621</v>
      </c>
    </row>
    <row r="12" spans="1:8">
      <c r="A12" s="66" t="s">
        <v>309</v>
      </c>
      <c r="B12" s="66">
        <v>69.860600000000005</v>
      </c>
      <c r="C12" s="66">
        <v>3.61368</v>
      </c>
      <c r="D12" s="66">
        <v>5.1727100000000004</v>
      </c>
      <c r="E12" s="66">
        <v>50</v>
      </c>
      <c r="F12" s="66">
        <v>60.844299999999997</v>
      </c>
      <c r="G12" s="66">
        <v>100</v>
      </c>
      <c r="H12" s="66">
        <v>77.8245</v>
      </c>
    </row>
    <row r="13" spans="1:8">
      <c r="A13" s="66" t="s">
        <v>310</v>
      </c>
      <c r="B13" s="66">
        <v>18.487300000000001</v>
      </c>
      <c r="C13" s="66">
        <v>2.2875800000000002</v>
      </c>
      <c r="D13" s="66">
        <v>12.373799999999999</v>
      </c>
      <c r="E13" s="66">
        <v>10</v>
      </c>
      <c r="F13" s="66">
        <v>15.478400000000001</v>
      </c>
      <c r="G13" s="66">
        <v>25</v>
      </c>
      <c r="H13" s="66">
        <v>26.177399999999999</v>
      </c>
    </row>
    <row r="14" spans="1:8">
      <c r="A14" s="66" t="s">
        <v>311</v>
      </c>
      <c r="B14" s="66">
        <v>22.875800000000002</v>
      </c>
      <c r="C14" s="66">
        <v>7.1855099999999998</v>
      </c>
      <c r="D14" s="66">
        <v>31.410900000000002</v>
      </c>
      <c r="E14" s="66">
        <v>10</v>
      </c>
      <c r="F14" s="66">
        <v>2.63672</v>
      </c>
      <c r="G14" s="66">
        <v>50</v>
      </c>
      <c r="H14" s="66">
        <v>24.8109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0.31403599999999998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0.43138300000000002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3.8039299999999998E-2</v>
      </c>
      <c r="C20" s="66">
        <v>0.101409</v>
      </c>
      <c r="D20" s="66">
        <v>2.6659099999999998</v>
      </c>
      <c r="E20" s="66">
        <v>0</v>
      </c>
      <c r="F20" s="66">
        <v>2.5586000000000001E-4</v>
      </c>
      <c r="G20" s="66">
        <v>0</v>
      </c>
      <c r="H20" s="66">
        <v>0.83513300000000001</v>
      </c>
    </row>
    <row r="21" spans="1:8">
      <c r="A21" s="66" t="s">
        <v>346</v>
      </c>
      <c r="B21" s="66">
        <v>0.72004999999999997</v>
      </c>
      <c r="C21" s="66">
        <v>0.72087500000000004</v>
      </c>
      <c r="D21" s="66">
        <v>1.00115</v>
      </c>
      <c r="E21" s="66">
        <v>0</v>
      </c>
      <c r="F21" s="66">
        <v>2.5815399999999999E-2</v>
      </c>
      <c r="G21" s="66">
        <v>0</v>
      </c>
      <c r="H21" s="66">
        <v>4.7131499999999997</v>
      </c>
    </row>
    <row r="22" spans="1:8">
      <c r="A22" s="66" t="s">
        <v>347</v>
      </c>
      <c r="B22" s="66">
        <v>68.586699999999993</v>
      </c>
      <c r="C22" s="66">
        <v>15.1356</v>
      </c>
      <c r="D22" s="66">
        <v>0.22067899999999999</v>
      </c>
      <c r="E22" s="66">
        <v>0</v>
      </c>
      <c r="F22" s="66">
        <v>48.372900000000001</v>
      </c>
      <c r="G22" s="66">
        <v>0</v>
      </c>
      <c r="H22" s="66">
        <v>116.19499999999999</v>
      </c>
    </row>
    <row r="23" spans="1:8">
      <c r="A23" s="66" t="s">
        <v>320</v>
      </c>
      <c r="B23" s="66">
        <v>41.823300000000003</v>
      </c>
      <c r="C23" s="66">
        <v>5.8160299999999996</v>
      </c>
      <c r="D23" s="66">
        <v>0.13906199999999999</v>
      </c>
      <c r="E23" s="66">
        <v>0</v>
      </c>
      <c r="F23" s="66">
        <v>25.901</v>
      </c>
      <c r="G23" s="66">
        <v>0</v>
      </c>
      <c r="H23" s="66">
        <v>46.173900000000003</v>
      </c>
    </row>
    <row r="24" spans="1:8">
      <c r="A24" s="66" t="s">
        <v>321</v>
      </c>
      <c r="B24" s="66">
        <v>5.0150599999999997E-2</v>
      </c>
      <c r="C24" s="66">
        <v>8.5242299999999993E-2</v>
      </c>
      <c r="D24" s="66">
        <v>1.69973</v>
      </c>
      <c r="E24" s="66">
        <v>0</v>
      </c>
      <c r="F24" s="66">
        <v>1.3033700000000001E-3</v>
      </c>
      <c r="G24" s="66">
        <v>0</v>
      </c>
      <c r="H24" s="66">
        <v>0.649953</v>
      </c>
    </row>
    <row r="25" spans="1:8">
      <c r="A25" s="66" t="s">
        <v>322</v>
      </c>
      <c r="B25" s="66">
        <v>0.788717</v>
      </c>
      <c r="C25" s="66">
        <v>0.433253</v>
      </c>
      <c r="D25" s="66">
        <v>0.54931399999999997</v>
      </c>
      <c r="E25" s="66">
        <v>0</v>
      </c>
      <c r="F25" s="66">
        <v>0.35615000000000002</v>
      </c>
      <c r="G25" s="66">
        <v>0</v>
      </c>
      <c r="H25" s="66">
        <v>2.1481499999999998</v>
      </c>
    </row>
    <row r="26" spans="1:8">
      <c r="A26" s="66" t="s">
        <v>323</v>
      </c>
      <c r="B26" s="66">
        <v>4.9418999999999999E-3</v>
      </c>
      <c r="C26" s="66">
        <v>8.5248600000000004E-3</v>
      </c>
      <c r="D26" s="66">
        <v>1.72502</v>
      </c>
      <c r="E26" s="66">
        <v>0</v>
      </c>
      <c r="F26" s="198">
        <v>7.8781499999999998E-5</v>
      </c>
      <c r="G26" s="66">
        <v>0</v>
      </c>
      <c r="H26" s="66">
        <v>6.3366599999999995E-2</v>
      </c>
    </row>
    <row r="27" spans="1:8">
      <c r="A27" s="66" t="s">
        <v>324</v>
      </c>
      <c r="B27" s="198">
        <v>-6.2368599999999998E-5</v>
      </c>
      <c r="C27" s="66">
        <v>3.6314400000000001E-3</v>
      </c>
      <c r="D27" s="66">
        <v>-58.2254</v>
      </c>
      <c r="E27" s="66">
        <v>0</v>
      </c>
      <c r="F27" s="66">
        <v>-1.7755400000000001E-2</v>
      </c>
      <c r="G27" s="66">
        <v>0</v>
      </c>
      <c r="H27" s="66">
        <v>1.7177700000000001E-2</v>
      </c>
    </row>
    <row r="28" spans="1:8">
      <c r="A28" s="66" t="s">
        <v>325</v>
      </c>
      <c r="B28" s="66">
        <v>5.8579100000000002E-2</v>
      </c>
      <c r="C28" s="66">
        <v>3.6255500000000003E-2</v>
      </c>
      <c r="D28" s="66">
        <v>0.61891399999999996</v>
      </c>
      <c r="E28" s="66">
        <v>0</v>
      </c>
      <c r="F28" s="66">
        <v>3.7174500000000002E-3</v>
      </c>
      <c r="G28" s="66">
        <v>0</v>
      </c>
      <c r="H28" s="66">
        <v>0.21926100000000001</v>
      </c>
    </row>
    <row r="29" spans="1:8">
      <c r="A29" s="66" t="s">
        <v>326</v>
      </c>
      <c r="B29" s="66">
        <v>83.233500000000006</v>
      </c>
      <c r="C29" s="66">
        <v>8.89846</v>
      </c>
      <c r="D29" s="66">
        <v>0.10691000000000001</v>
      </c>
      <c r="E29" s="66">
        <v>0</v>
      </c>
      <c r="F29" s="66">
        <v>61.325699999999998</v>
      </c>
      <c r="G29" s="66">
        <v>0</v>
      </c>
      <c r="H29" s="66">
        <v>109.669</v>
      </c>
    </row>
    <row r="30" spans="1:8">
      <c r="A30" s="66" t="s">
        <v>327</v>
      </c>
      <c r="B30" s="66">
        <v>42.319699999999997</v>
      </c>
      <c r="C30" s="66">
        <v>5.9776600000000002</v>
      </c>
      <c r="D30" s="66">
        <v>0.14124999999999999</v>
      </c>
      <c r="E30" s="66">
        <v>0</v>
      </c>
      <c r="F30" s="66">
        <v>25.638999999999999</v>
      </c>
      <c r="G30" s="66">
        <v>0</v>
      </c>
      <c r="H30" s="66">
        <v>47.229700000000001</v>
      </c>
    </row>
    <row r="31" spans="1:8">
      <c r="A31" s="66" t="s">
        <v>328</v>
      </c>
      <c r="B31" s="66">
        <v>343.41899999999998</v>
      </c>
      <c r="C31" s="66">
        <v>55.315300000000001</v>
      </c>
      <c r="D31" s="66">
        <v>0.16107299999999999</v>
      </c>
      <c r="E31" s="66">
        <v>0</v>
      </c>
      <c r="F31" s="66">
        <v>181.63300000000001</v>
      </c>
      <c r="G31" s="66">
        <v>0</v>
      </c>
      <c r="H31" s="66">
        <v>405.06200000000001</v>
      </c>
    </row>
    <row r="32" spans="1:8">
      <c r="A32" s="66" t="s">
        <v>329</v>
      </c>
      <c r="B32" s="66">
        <v>0.20793400000000001</v>
      </c>
      <c r="C32" s="66">
        <v>7.2004100000000001E-2</v>
      </c>
      <c r="D32" s="66">
        <v>0.34628399999999998</v>
      </c>
      <c r="E32" s="66">
        <v>0.15</v>
      </c>
      <c r="F32" s="66">
        <v>8.8666800000000004E-2</v>
      </c>
      <c r="G32" s="66">
        <v>0.4</v>
      </c>
      <c r="H32" s="66">
        <v>0.39715499999999998</v>
      </c>
    </row>
    <row r="33" spans="1:8">
      <c r="A33" s="66" t="s">
        <v>330</v>
      </c>
      <c r="B33" s="66">
        <v>0.31346299999999999</v>
      </c>
      <c r="C33" s="66">
        <v>2.8632600000000001E-2</v>
      </c>
      <c r="D33" s="66">
        <v>9.1342999999999994E-2</v>
      </c>
      <c r="E33" s="66">
        <v>0</v>
      </c>
      <c r="F33" s="66">
        <v>0.26066899999999998</v>
      </c>
      <c r="G33" s="66">
        <v>0</v>
      </c>
      <c r="H33" s="66">
        <v>0.36146600000000001</v>
      </c>
    </row>
    <row r="34" spans="1:8">
      <c r="A34" s="66" t="s">
        <v>331</v>
      </c>
      <c r="B34" s="66">
        <v>0.18487300000000001</v>
      </c>
      <c r="C34" s="66">
        <v>2.2875800000000002E-2</v>
      </c>
      <c r="D34" s="66">
        <v>0.123738</v>
      </c>
      <c r="E34" s="66">
        <v>0.1</v>
      </c>
      <c r="F34" s="66">
        <v>0.154784</v>
      </c>
      <c r="G34" s="66">
        <v>0.25</v>
      </c>
      <c r="H34" s="66">
        <v>0.26177400000000001</v>
      </c>
    </row>
    <row r="35" spans="1:8">
      <c r="A35" s="66" t="s">
        <v>332</v>
      </c>
      <c r="B35" s="66">
        <v>7.1811200000000006E-2</v>
      </c>
      <c r="C35" s="66">
        <v>2.3317899999999999E-2</v>
      </c>
      <c r="D35" s="66">
        <v>0.32471100000000003</v>
      </c>
      <c r="E35" s="66">
        <v>0</v>
      </c>
      <c r="F35" s="66">
        <v>3.7722800000000001E-2</v>
      </c>
      <c r="G35" s="66">
        <v>0</v>
      </c>
      <c r="H35" s="66">
        <v>0.14136399999999999</v>
      </c>
    </row>
    <row r="36" spans="1:8">
      <c r="A36" s="66" t="s">
        <v>333</v>
      </c>
      <c r="B36" s="66">
        <v>0.17041799999999999</v>
      </c>
      <c r="C36" s="66">
        <v>8.1653600000000007E-2</v>
      </c>
      <c r="D36" s="66">
        <v>0.47913800000000001</v>
      </c>
      <c r="E36" s="66">
        <v>0</v>
      </c>
      <c r="F36" s="66">
        <v>3.5897900000000003E-2</v>
      </c>
      <c r="G36" s="66">
        <v>0</v>
      </c>
      <c r="H36" s="66">
        <v>0.48901600000000001</v>
      </c>
    </row>
    <row r="37" spans="1:8">
      <c r="A37" s="66" t="s">
        <v>334</v>
      </c>
      <c r="B37" s="66">
        <v>0.22875799999999999</v>
      </c>
      <c r="C37" s="66">
        <v>7.1855100000000005E-2</v>
      </c>
      <c r="D37" s="66">
        <v>0.31410900000000003</v>
      </c>
      <c r="E37" s="66">
        <v>0.1</v>
      </c>
      <c r="F37" s="66">
        <v>2.63672E-2</v>
      </c>
      <c r="G37" s="66">
        <v>0.5</v>
      </c>
      <c r="H37" s="66">
        <v>0.248109</v>
      </c>
    </row>
    <row r="38" spans="1:8">
      <c r="A38" s="66" t="s">
        <v>335</v>
      </c>
      <c r="B38" s="66">
        <v>-62.842700000000001</v>
      </c>
      <c r="C38" s="66">
        <v>54.662399999999998</v>
      </c>
      <c r="D38" s="66">
        <v>-0.86982899999999996</v>
      </c>
      <c r="E38" s="66">
        <v>0</v>
      </c>
      <c r="F38" s="66">
        <v>-203.74299999999999</v>
      </c>
      <c r="G38" s="66">
        <v>0</v>
      </c>
      <c r="H38" s="66">
        <v>145.77799999999999</v>
      </c>
    </row>
    <row r="39" spans="1:8">
      <c r="A39" s="66" t="s">
        <v>336</v>
      </c>
      <c r="B39" s="66">
        <v>-27.900600000000001</v>
      </c>
      <c r="C39" s="66">
        <v>7.17476</v>
      </c>
      <c r="D39" s="66">
        <v>-0.25715500000000002</v>
      </c>
      <c r="E39" s="66">
        <v>0</v>
      </c>
      <c r="F39" s="66">
        <v>-47.130899999999997</v>
      </c>
      <c r="G39" s="66">
        <v>0</v>
      </c>
      <c r="H39" s="66">
        <v>-14.3385</v>
      </c>
    </row>
    <row r="40" spans="1:8">
      <c r="A40" s="66" t="s">
        <v>337</v>
      </c>
      <c r="B40" s="66">
        <v>-16.3855</v>
      </c>
      <c r="C40" s="66">
        <v>3.9656099999999999</v>
      </c>
      <c r="D40" s="66">
        <v>-0.24201900000000001</v>
      </c>
      <c r="E40" s="66">
        <v>0</v>
      </c>
      <c r="F40" s="66">
        <v>-20.456499999999998</v>
      </c>
      <c r="G40" s="66">
        <v>0</v>
      </c>
      <c r="H40" s="66">
        <v>-7.5074100000000001</v>
      </c>
    </row>
    <row r="41" spans="1:8">
      <c r="A41" s="66" t="s">
        <v>338</v>
      </c>
      <c r="B41" s="66">
        <v>-0.205067</v>
      </c>
      <c r="C41" s="66">
        <v>0.17838599999999999</v>
      </c>
      <c r="D41" s="66">
        <v>-0.86989300000000003</v>
      </c>
      <c r="E41" s="66">
        <v>0</v>
      </c>
      <c r="F41" s="66">
        <v>-0.61928000000000005</v>
      </c>
      <c r="G41" s="66">
        <v>0</v>
      </c>
      <c r="H41" s="66">
        <v>0.49687999999999999</v>
      </c>
    </row>
    <row r="42" spans="1:8">
      <c r="A42" s="66" t="s">
        <v>339</v>
      </c>
      <c r="B42" s="66">
        <v>-0.18842800000000001</v>
      </c>
      <c r="C42" s="66">
        <v>5.9129800000000003E-2</v>
      </c>
      <c r="D42" s="66">
        <v>-0.31380599999999997</v>
      </c>
      <c r="E42" s="66">
        <v>0</v>
      </c>
      <c r="F42" s="66">
        <v>-0.31209300000000001</v>
      </c>
      <c r="G42" s="66">
        <v>0</v>
      </c>
      <c r="H42" s="66">
        <v>-5.4324699999999997E-2</v>
      </c>
    </row>
    <row r="43" spans="1:8">
      <c r="A43" s="66" t="s">
        <v>340</v>
      </c>
      <c r="B43" s="66">
        <v>-0.106507</v>
      </c>
      <c r="C43" s="66">
        <v>2.2909599999999999E-2</v>
      </c>
      <c r="D43" s="66">
        <v>-0.21510000000000001</v>
      </c>
      <c r="E43" s="66">
        <v>0</v>
      </c>
      <c r="F43" s="66">
        <v>-0.148675</v>
      </c>
      <c r="G43" s="66">
        <v>0</v>
      </c>
      <c r="H43" s="66">
        <v>-6.76591E-2</v>
      </c>
    </row>
    <row r="44" spans="1:8">
      <c r="A44" s="66" t="s">
        <v>341</v>
      </c>
      <c r="B44" s="66">
        <v>-163.49</v>
      </c>
      <c r="C44" s="66">
        <v>28.2514</v>
      </c>
      <c r="D44" s="66">
        <v>-0.17280200000000001</v>
      </c>
      <c r="E44" s="66">
        <v>0</v>
      </c>
      <c r="F44" s="66">
        <v>-209.86099999999999</v>
      </c>
      <c r="G44" s="66">
        <v>0</v>
      </c>
      <c r="H44" s="66">
        <v>-80.8797</v>
      </c>
    </row>
    <row r="45" spans="1:8">
      <c r="A45" s="66" t="s">
        <v>342</v>
      </c>
      <c r="B45" s="66">
        <v>50.5441</v>
      </c>
      <c r="C45" s="66">
        <v>4.8026</v>
      </c>
      <c r="D45" s="66">
        <v>9.5018099999999994E-2</v>
      </c>
      <c r="E45" s="66">
        <v>0</v>
      </c>
      <c r="F45" s="66">
        <v>39.666699999999999</v>
      </c>
      <c r="G45" s="66">
        <v>0</v>
      </c>
      <c r="H45" s="66">
        <v>62.557099999999998</v>
      </c>
    </row>
    <row r="46" spans="1:8">
      <c r="A46" s="66" t="s">
        <v>343</v>
      </c>
      <c r="B46" s="66">
        <v>36.951999999999998</v>
      </c>
      <c r="C46" s="66">
        <v>4.5346000000000002</v>
      </c>
      <c r="D46" s="66">
        <v>0.12271600000000001</v>
      </c>
      <c r="E46" s="66">
        <v>0</v>
      </c>
      <c r="F46" s="66">
        <v>21.778500000000001</v>
      </c>
      <c r="G46" s="66">
        <v>0</v>
      </c>
      <c r="H46" s="66">
        <v>40.407200000000003</v>
      </c>
    </row>
    <row r="47" spans="1:8">
      <c r="A47" s="66" t="s">
        <v>344</v>
      </c>
      <c r="B47" s="66">
        <v>1.76139</v>
      </c>
      <c r="C47" s="66">
        <v>0.71781799999999996</v>
      </c>
      <c r="D47" s="66">
        <v>0.40752899999999997</v>
      </c>
      <c r="E47" s="66">
        <v>0</v>
      </c>
      <c r="F47" s="66">
        <v>0.89500299999999999</v>
      </c>
      <c r="G47" s="66">
        <v>0</v>
      </c>
      <c r="H47" s="66">
        <v>4.1612600000000004</v>
      </c>
    </row>
    <row r="48" spans="1:8">
      <c r="A48" s="66" t="s">
        <v>345</v>
      </c>
      <c r="B48" s="66">
        <v>1.0376799999999999</v>
      </c>
      <c r="C48" s="66">
        <v>7.2863200000000003E-2</v>
      </c>
      <c r="D48" s="66">
        <v>7.0217500000000002E-2</v>
      </c>
      <c r="E48" s="66">
        <v>0</v>
      </c>
      <c r="F48" s="66">
        <v>0.92860200000000004</v>
      </c>
      <c r="G48" s="66">
        <v>0</v>
      </c>
      <c r="H48" s="66">
        <v>1.2738799999999999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54.469099999999997</v>
      </c>
      <c r="C5" s="66">
        <v>2.78626</v>
      </c>
      <c r="D5" s="66">
        <v>5.11531</v>
      </c>
      <c r="E5" s="66">
        <v>20</v>
      </c>
      <c r="F5" s="66">
        <v>45.720999999999997</v>
      </c>
      <c r="G5" s="66">
        <v>50</v>
      </c>
      <c r="H5" s="66">
        <v>59.675800000000002</v>
      </c>
    </row>
    <row r="6" spans="1:8">
      <c r="A6" s="66" t="s">
        <v>303</v>
      </c>
      <c r="B6" s="66">
        <v>28.2256</v>
      </c>
      <c r="C6" s="66">
        <v>1.05023</v>
      </c>
      <c r="D6" s="66">
        <v>3.7208399999999999</v>
      </c>
      <c r="E6" s="66">
        <v>20</v>
      </c>
      <c r="F6" s="66">
        <v>26.192</v>
      </c>
      <c r="G6" s="66">
        <v>40</v>
      </c>
      <c r="H6" s="66">
        <v>29.994399999999999</v>
      </c>
    </row>
    <row r="7" spans="1:8">
      <c r="A7" s="66" t="s">
        <v>304</v>
      </c>
      <c r="B7" s="66">
        <v>25.765999999999998</v>
      </c>
      <c r="C7" s="66">
        <v>4.62697</v>
      </c>
      <c r="D7" s="66">
        <v>17.957599999999999</v>
      </c>
      <c r="E7" s="66">
        <v>15</v>
      </c>
      <c r="F7" s="66">
        <v>14.8758</v>
      </c>
      <c r="G7" s="66">
        <v>40</v>
      </c>
      <c r="H7" s="66">
        <v>35.631900000000002</v>
      </c>
    </row>
    <row r="8" spans="1:8">
      <c r="A8" s="66" t="s">
        <v>305</v>
      </c>
      <c r="B8" s="66">
        <v>35.905700000000003</v>
      </c>
      <c r="C8" s="66">
        <v>1.85693</v>
      </c>
      <c r="D8" s="66">
        <v>5.1716800000000003</v>
      </c>
      <c r="E8" s="66">
        <v>20</v>
      </c>
      <c r="F8" s="66">
        <v>32.370600000000003</v>
      </c>
      <c r="G8" s="66">
        <v>50</v>
      </c>
      <c r="H8" s="66">
        <v>38.821199999999997</v>
      </c>
    </row>
    <row r="9" spans="1:8">
      <c r="A9" s="66" t="s">
        <v>306</v>
      </c>
      <c r="B9" s="66">
        <v>67.394499999999994</v>
      </c>
      <c r="C9" s="66">
        <v>3.1938900000000001</v>
      </c>
      <c r="D9" s="66">
        <v>4.7390999999999996</v>
      </c>
      <c r="E9" s="66">
        <v>50</v>
      </c>
      <c r="F9" s="66">
        <v>60.178100000000001</v>
      </c>
      <c r="G9" s="66">
        <v>100</v>
      </c>
      <c r="H9" s="66">
        <v>77.438800000000001</v>
      </c>
    </row>
    <row r="10" spans="1:8">
      <c r="A10" s="66" t="s">
        <v>307</v>
      </c>
      <c r="B10" s="66">
        <v>75.120800000000003</v>
      </c>
      <c r="C10" s="66">
        <v>2.15822</v>
      </c>
      <c r="D10" s="66">
        <v>2.8730000000000002</v>
      </c>
      <c r="E10" s="66">
        <v>40</v>
      </c>
      <c r="F10" s="66">
        <v>70.017799999999994</v>
      </c>
      <c r="G10" s="66">
        <v>100</v>
      </c>
      <c r="H10" s="66">
        <v>78.210999999999999</v>
      </c>
    </row>
    <row r="11" spans="1:8">
      <c r="A11" s="66" t="s">
        <v>308</v>
      </c>
      <c r="B11" s="66">
        <v>30.427900000000001</v>
      </c>
      <c r="C11" s="66">
        <v>1.31135</v>
      </c>
      <c r="D11" s="66">
        <v>4.3096800000000002</v>
      </c>
      <c r="E11" s="66">
        <v>10</v>
      </c>
      <c r="F11" s="66">
        <v>27.824200000000001</v>
      </c>
      <c r="G11" s="66">
        <v>50</v>
      </c>
      <c r="H11" s="66">
        <v>33.417099999999998</v>
      </c>
    </row>
    <row r="12" spans="1:8">
      <c r="A12" s="66" t="s">
        <v>309</v>
      </c>
      <c r="B12" s="66">
        <v>71.152799999999999</v>
      </c>
      <c r="C12" s="66">
        <v>1.9621900000000001</v>
      </c>
      <c r="D12" s="66">
        <v>2.7577199999999999</v>
      </c>
      <c r="E12" s="66">
        <v>50</v>
      </c>
      <c r="F12" s="66">
        <v>66.450199999999995</v>
      </c>
      <c r="G12" s="66">
        <v>100</v>
      </c>
      <c r="H12" s="66">
        <v>76.438999999999993</v>
      </c>
    </row>
    <row r="13" spans="1:8">
      <c r="A13" s="66" t="s">
        <v>310</v>
      </c>
      <c r="B13" s="66">
        <v>18.823899999999998</v>
      </c>
      <c r="C13" s="66">
        <v>2.8626100000000001</v>
      </c>
      <c r="D13" s="66">
        <v>15.2074</v>
      </c>
      <c r="E13" s="66">
        <v>10</v>
      </c>
      <c r="F13" s="66">
        <v>14.755100000000001</v>
      </c>
      <c r="G13" s="66">
        <v>25</v>
      </c>
      <c r="H13" s="66">
        <v>26.399100000000001</v>
      </c>
    </row>
    <row r="14" spans="1:8">
      <c r="A14" s="66" t="s">
        <v>311</v>
      </c>
      <c r="B14" s="66">
        <v>28.626100000000001</v>
      </c>
      <c r="C14" s="66">
        <v>8.5025600000000008</v>
      </c>
      <c r="D14" s="66">
        <v>29.702100000000002</v>
      </c>
      <c r="E14" s="66">
        <v>10</v>
      </c>
      <c r="F14" s="66">
        <v>1.8821300000000001</v>
      </c>
      <c r="G14" s="66">
        <v>50</v>
      </c>
      <c r="H14" s="66">
        <v>28.566600000000001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0.37338900000000003</v>
      </c>
      <c r="C18" s="66">
        <v>9.4369499999999995E-3</v>
      </c>
      <c r="D18" s="66">
        <v>2.5273799999999999E-2</v>
      </c>
      <c r="E18" s="66">
        <v>0</v>
      </c>
      <c r="F18" s="66">
        <v>0.363952</v>
      </c>
      <c r="G18" s="66">
        <v>0</v>
      </c>
      <c r="H18" s="66">
        <v>0.382826</v>
      </c>
    </row>
    <row r="19" spans="1:8">
      <c r="A19" s="66" t="s">
        <v>316</v>
      </c>
      <c r="B19" s="66">
        <v>0.38711099999999998</v>
      </c>
      <c r="C19" s="66">
        <v>1.9464200000000001E-2</v>
      </c>
      <c r="D19" s="66">
        <v>5.0280600000000002E-2</v>
      </c>
      <c r="E19" s="66">
        <v>0</v>
      </c>
      <c r="F19" s="66">
        <v>0.367647</v>
      </c>
      <c r="G19" s="66">
        <v>0</v>
      </c>
      <c r="H19" s="66">
        <v>0.40657500000000002</v>
      </c>
    </row>
    <row r="20" spans="1:8">
      <c r="A20" s="66" t="s">
        <v>317</v>
      </c>
      <c r="B20" s="66">
        <v>2.5524600000000001E-2</v>
      </c>
      <c r="C20" s="66">
        <v>6.5711900000000004E-2</v>
      </c>
      <c r="D20" s="66">
        <v>2.5744600000000002</v>
      </c>
      <c r="E20" s="66">
        <v>0</v>
      </c>
      <c r="F20" s="66">
        <v>1.04694E-4</v>
      </c>
      <c r="G20" s="66">
        <v>0</v>
      </c>
      <c r="H20" s="66">
        <v>0.595495</v>
      </c>
    </row>
    <row r="21" spans="1:8">
      <c r="A21" s="66" t="s">
        <v>318</v>
      </c>
      <c r="B21" s="66">
        <v>0.54786900000000005</v>
      </c>
      <c r="C21" s="66">
        <v>0.57272299999999998</v>
      </c>
      <c r="D21" s="66">
        <v>1.0453699999999999</v>
      </c>
      <c r="E21" s="66">
        <v>0</v>
      </c>
      <c r="F21" s="66">
        <v>6.2774500000000004E-3</v>
      </c>
      <c r="G21" s="66">
        <v>0</v>
      </c>
      <c r="H21" s="66">
        <v>2.9424800000000002</v>
      </c>
    </row>
    <row r="22" spans="1:8">
      <c r="A22" s="66" t="s">
        <v>347</v>
      </c>
      <c r="B22" s="66">
        <v>65.462800000000001</v>
      </c>
      <c r="C22" s="66">
        <v>10.396800000000001</v>
      </c>
      <c r="D22" s="66">
        <v>0.15881899999999999</v>
      </c>
      <c r="E22" s="66">
        <v>0</v>
      </c>
      <c r="F22" s="66">
        <v>38.813200000000002</v>
      </c>
      <c r="G22" s="66">
        <v>0</v>
      </c>
      <c r="H22" s="66">
        <v>91.701499999999996</v>
      </c>
    </row>
    <row r="23" spans="1:8">
      <c r="A23" s="66" t="s">
        <v>320</v>
      </c>
      <c r="B23" s="66">
        <v>35.366599999999998</v>
      </c>
      <c r="C23" s="66">
        <v>2.9731299999999998</v>
      </c>
      <c r="D23" s="66">
        <v>8.4065799999999996E-2</v>
      </c>
      <c r="E23" s="66">
        <v>0</v>
      </c>
      <c r="F23" s="66">
        <v>31.932700000000001</v>
      </c>
      <c r="G23" s="66">
        <v>0</v>
      </c>
      <c r="H23" s="66">
        <v>45.763300000000001</v>
      </c>
    </row>
    <row r="24" spans="1:8">
      <c r="A24" s="66" t="s">
        <v>321</v>
      </c>
      <c r="B24" s="66">
        <v>3.5485700000000002E-2</v>
      </c>
      <c r="C24" s="66">
        <v>4.5071600000000003E-2</v>
      </c>
      <c r="D24" s="66">
        <v>1.27013</v>
      </c>
      <c r="E24" s="66">
        <v>0</v>
      </c>
      <c r="F24" s="66">
        <v>1.2763799999999999E-3</v>
      </c>
      <c r="G24" s="66">
        <v>0</v>
      </c>
      <c r="H24" s="66">
        <v>0.27337800000000001</v>
      </c>
    </row>
    <row r="25" spans="1:8">
      <c r="A25" s="66" t="s">
        <v>322</v>
      </c>
      <c r="B25" s="66">
        <v>0.48694799999999999</v>
      </c>
      <c r="C25" s="66">
        <v>0.33517400000000003</v>
      </c>
      <c r="D25" s="66">
        <v>0.68831500000000001</v>
      </c>
      <c r="E25" s="66">
        <v>0</v>
      </c>
      <c r="F25" s="66">
        <v>0.21272099999999999</v>
      </c>
      <c r="G25" s="66">
        <v>0</v>
      </c>
      <c r="H25" s="66">
        <v>1.88107</v>
      </c>
    </row>
    <row r="26" spans="1:8">
      <c r="A26" s="66" t="s">
        <v>323</v>
      </c>
      <c r="B26" s="66">
        <v>3.3744700000000001E-3</v>
      </c>
      <c r="C26" s="66">
        <v>6.4230099999999998E-3</v>
      </c>
      <c r="D26" s="66">
        <v>1.90341</v>
      </c>
      <c r="E26" s="66">
        <v>0</v>
      </c>
      <c r="F26" s="198">
        <v>2.2977899999999999E-5</v>
      </c>
      <c r="G26" s="66">
        <v>0</v>
      </c>
      <c r="H26" s="66">
        <v>5.6515900000000001E-2</v>
      </c>
    </row>
    <row r="27" spans="1:8">
      <c r="A27" s="66" t="s">
        <v>324</v>
      </c>
      <c r="B27" s="198">
        <v>-5.5803600000000002E-5</v>
      </c>
      <c r="C27" s="66">
        <v>3.5700100000000002E-3</v>
      </c>
      <c r="D27" s="66">
        <v>-63.974699999999999</v>
      </c>
      <c r="E27" s="66">
        <v>0</v>
      </c>
      <c r="F27" s="66">
        <v>-2.75112E-2</v>
      </c>
      <c r="G27" s="66">
        <v>0</v>
      </c>
      <c r="H27" s="66">
        <v>2.9772799999999999E-2</v>
      </c>
    </row>
    <row r="28" spans="1:8">
      <c r="A28" s="66" t="s">
        <v>325</v>
      </c>
      <c r="B28" s="66">
        <v>4.5100899999999999E-2</v>
      </c>
      <c r="C28" s="66">
        <v>3.3560199999999998E-2</v>
      </c>
      <c r="D28" s="66">
        <v>0.74411300000000002</v>
      </c>
      <c r="E28" s="66">
        <v>0</v>
      </c>
      <c r="F28" s="66">
        <v>9.6028599999999997E-4</v>
      </c>
      <c r="G28" s="66">
        <v>0</v>
      </c>
      <c r="H28" s="66">
        <v>0.16678100000000001</v>
      </c>
    </row>
    <row r="29" spans="1:8">
      <c r="A29" s="66" t="s">
        <v>326</v>
      </c>
      <c r="B29" s="66">
        <v>80.891400000000004</v>
      </c>
      <c r="C29" s="66">
        <v>7.4890499999999998</v>
      </c>
      <c r="D29" s="66">
        <v>9.2581499999999997E-2</v>
      </c>
      <c r="E29" s="66">
        <v>0</v>
      </c>
      <c r="F29" s="66">
        <v>61.402999999999999</v>
      </c>
      <c r="G29" s="66">
        <v>0</v>
      </c>
      <c r="H29" s="66">
        <v>95.013000000000005</v>
      </c>
    </row>
    <row r="30" spans="1:8">
      <c r="A30" s="66" t="s">
        <v>327</v>
      </c>
      <c r="B30" s="66">
        <v>39.992600000000003</v>
      </c>
      <c r="C30" s="66">
        <v>2.43736</v>
      </c>
      <c r="D30" s="66">
        <v>6.0945300000000001E-2</v>
      </c>
      <c r="E30" s="66">
        <v>0</v>
      </c>
      <c r="F30" s="66">
        <v>34.822299999999998</v>
      </c>
      <c r="G30" s="66">
        <v>0</v>
      </c>
      <c r="H30" s="66">
        <v>47.183799999999998</v>
      </c>
    </row>
    <row r="31" spans="1:8">
      <c r="A31" s="66" t="s">
        <v>328</v>
      </c>
      <c r="B31" s="66">
        <v>377.964</v>
      </c>
      <c r="C31" s="66">
        <v>25.31</v>
      </c>
      <c r="D31" s="66">
        <v>6.6964099999999999E-2</v>
      </c>
      <c r="E31" s="66">
        <v>0</v>
      </c>
      <c r="F31" s="66">
        <v>326.30200000000002</v>
      </c>
      <c r="G31" s="66">
        <v>0</v>
      </c>
      <c r="H31" s="66">
        <v>420.71</v>
      </c>
    </row>
    <row r="32" spans="1:8">
      <c r="A32" s="66" t="s">
        <v>329</v>
      </c>
      <c r="B32" s="66">
        <v>0.25766</v>
      </c>
      <c r="C32" s="66">
        <v>4.6269699999999997E-2</v>
      </c>
      <c r="D32" s="66">
        <v>0.17957600000000001</v>
      </c>
      <c r="E32" s="66">
        <v>0.15</v>
      </c>
      <c r="F32" s="66">
        <v>0.148758</v>
      </c>
      <c r="G32" s="66">
        <v>0.4</v>
      </c>
      <c r="H32" s="66">
        <v>0.356319</v>
      </c>
    </row>
    <row r="33" spans="1:8">
      <c r="A33" s="66" t="s">
        <v>330</v>
      </c>
      <c r="B33" s="66">
        <v>0.37033500000000003</v>
      </c>
      <c r="C33" s="66">
        <v>3.12272E-2</v>
      </c>
      <c r="D33" s="66">
        <v>8.4321300000000002E-2</v>
      </c>
      <c r="E33" s="66">
        <v>0</v>
      </c>
      <c r="F33" s="66">
        <v>0.27326600000000001</v>
      </c>
      <c r="G33" s="66">
        <v>0</v>
      </c>
      <c r="H33" s="66">
        <v>0.43492700000000001</v>
      </c>
    </row>
    <row r="34" spans="1:8">
      <c r="A34" s="66" t="s">
        <v>331</v>
      </c>
      <c r="B34" s="66">
        <v>0.18823899999999999</v>
      </c>
      <c r="C34" s="66">
        <v>2.8626100000000002E-2</v>
      </c>
      <c r="D34" s="66">
        <v>0.15207399999999999</v>
      </c>
      <c r="E34" s="66">
        <v>0.1</v>
      </c>
      <c r="F34" s="66">
        <v>0.14755099999999999</v>
      </c>
      <c r="G34" s="66">
        <v>0.25</v>
      </c>
      <c r="H34" s="66">
        <v>0.26399099999999998</v>
      </c>
    </row>
    <row r="35" spans="1:8">
      <c r="A35" s="66" t="s">
        <v>332</v>
      </c>
      <c r="B35" s="66">
        <v>7.3952100000000007E-2</v>
      </c>
      <c r="C35" s="66">
        <v>2.6307899999999999E-2</v>
      </c>
      <c r="D35" s="66">
        <v>0.355742</v>
      </c>
      <c r="E35" s="66">
        <v>0</v>
      </c>
      <c r="F35" s="66">
        <v>3.6530399999999998E-2</v>
      </c>
      <c r="G35" s="66">
        <v>0</v>
      </c>
      <c r="H35" s="66">
        <v>0.15837799999999999</v>
      </c>
    </row>
    <row r="36" spans="1:8">
      <c r="A36" s="66" t="s">
        <v>333</v>
      </c>
      <c r="B36" s="66">
        <v>0.16683000000000001</v>
      </c>
      <c r="C36" s="66">
        <v>8.5725200000000001E-2</v>
      </c>
      <c r="D36" s="66">
        <v>0.51384799999999997</v>
      </c>
      <c r="E36" s="66">
        <v>0</v>
      </c>
      <c r="F36" s="66">
        <v>5.3535199999999998E-2</v>
      </c>
      <c r="G36" s="66">
        <v>0</v>
      </c>
      <c r="H36" s="66">
        <v>0.56300300000000003</v>
      </c>
    </row>
    <row r="37" spans="1:8">
      <c r="A37" s="66" t="s">
        <v>334</v>
      </c>
      <c r="B37" s="66">
        <v>0.28626099999999999</v>
      </c>
      <c r="C37" s="66">
        <v>8.5025600000000007E-2</v>
      </c>
      <c r="D37" s="66">
        <v>0.29702099999999998</v>
      </c>
      <c r="E37" s="66">
        <v>0.1</v>
      </c>
      <c r="F37" s="66">
        <v>1.8821299999999999E-2</v>
      </c>
      <c r="G37" s="66">
        <v>0.5</v>
      </c>
      <c r="H37" s="66">
        <v>0.28566599999999998</v>
      </c>
    </row>
    <row r="38" spans="1:8">
      <c r="A38" s="66" t="s">
        <v>335</v>
      </c>
      <c r="B38" s="66">
        <v>-44.781300000000002</v>
      </c>
      <c r="C38" s="66">
        <v>48.189</v>
      </c>
      <c r="D38" s="66">
        <v>-1.07609</v>
      </c>
      <c r="E38" s="66">
        <v>0</v>
      </c>
      <c r="F38" s="66">
        <v>-160.797</v>
      </c>
      <c r="G38" s="66">
        <v>0</v>
      </c>
      <c r="H38" s="66">
        <v>189.52699999999999</v>
      </c>
    </row>
    <row r="39" spans="1:8">
      <c r="A39" s="66" t="s">
        <v>336</v>
      </c>
      <c r="B39" s="66">
        <v>-19.064699999999998</v>
      </c>
      <c r="C39" s="66">
        <v>6.1692999999999998</v>
      </c>
      <c r="D39" s="66">
        <v>-0.323598</v>
      </c>
      <c r="E39" s="66">
        <v>0</v>
      </c>
      <c r="F39" s="66">
        <v>-32.384900000000002</v>
      </c>
      <c r="G39" s="66">
        <v>0</v>
      </c>
      <c r="H39" s="66">
        <v>-2.8326600000000002</v>
      </c>
    </row>
    <row r="40" spans="1:8">
      <c r="A40" s="66" t="s">
        <v>337</v>
      </c>
      <c r="B40" s="66">
        <v>-12.722300000000001</v>
      </c>
      <c r="C40" s="66">
        <v>2.3226499999999999</v>
      </c>
      <c r="D40" s="66">
        <v>-0.18256500000000001</v>
      </c>
      <c r="E40" s="66">
        <v>0</v>
      </c>
      <c r="F40" s="66">
        <v>-20.084599999999998</v>
      </c>
      <c r="G40" s="66">
        <v>0</v>
      </c>
      <c r="H40" s="66">
        <v>-10.036899999999999</v>
      </c>
    </row>
    <row r="41" spans="1:8">
      <c r="A41" s="66" t="s">
        <v>338</v>
      </c>
      <c r="B41" s="66">
        <v>-0.16636000000000001</v>
      </c>
      <c r="C41" s="66">
        <v>0.18726899999999999</v>
      </c>
      <c r="D41" s="66">
        <v>-1.1256900000000001</v>
      </c>
      <c r="E41" s="66">
        <v>0</v>
      </c>
      <c r="F41" s="66">
        <v>-0.93181800000000004</v>
      </c>
      <c r="G41" s="66">
        <v>0</v>
      </c>
      <c r="H41" s="66">
        <v>0.59698700000000005</v>
      </c>
    </row>
    <row r="42" spans="1:8">
      <c r="A42" s="66" t="s">
        <v>339</v>
      </c>
      <c r="B42" s="66">
        <v>-0.12650600000000001</v>
      </c>
      <c r="C42" s="66">
        <v>8.0293000000000003E-2</v>
      </c>
      <c r="D42" s="66">
        <v>-0.63469900000000001</v>
      </c>
      <c r="E42" s="66">
        <v>0</v>
      </c>
      <c r="F42" s="66">
        <v>-0.33971099999999999</v>
      </c>
      <c r="G42" s="66">
        <v>0</v>
      </c>
      <c r="H42" s="66">
        <v>8.8971999999999996E-2</v>
      </c>
    </row>
    <row r="43" spans="1:8">
      <c r="A43" s="66" t="s">
        <v>340</v>
      </c>
      <c r="B43" s="66">
        <v>-9.9298999999999998E-2</v>
      </c>
      <c r="C43" s="66">
        <v>3.3245900000000002E-2</v>
      </c>
      <c r="D43" s="66">
        <v>-0.33480599999999999</v>
      </c>
      <c r="E43" s="66">
        <v>0</v>
      </c>
      <c r="F43" s="66">
        <v>-0.157471</v>
      </c>
      <c r="G43" s="66">
        <v>0</v>
      </c>
      <c r="H43" s="66">
        <v>-1.08544E-2</v>
      </c>
    </row>
    <row r="44" spans="1:8">
      <c r="A44" s="66" t="s">
        <v>341</v>
      </c>
      <c r="B44" s="66">
        <v>-199.899</v>
      </c>
      <c r="C44" s="66">
        <v>43.133000000000003</v>
      </c>
      <c r="D44" s="66">
        <v>-0.21577399999999999</v>
      </c>
      <c r="E44" s="66">
        <v>0</v>
      </c>
      <c r="F44" s="66">
        <v>-268.33699999999999</v>
      </c>
      <c r="G44" s="66">
        <v>0</v>
      </c>
      <c r="H44" s="66">
        <v>-112.54600000000001</v>
      </c>
    </row>
    <row r="45" spans="1:8">
      <c r="A45" s="66" t="s">
        <v>342</v>
      </c>
      <c r="B45" s="66">
        <v>55.082099999999997</v>
      </c>
      <c r="C45" s="66">
        <v>5.6437600000000003</v>
      </c>
      <c r="D45" s="66">
        <v>0.102461</v>
      </c>
      <c r="E45" s="66">
        <v>0</v>
      </c>
      <c r="F45" s="66">
        <v>44.2821</v>
      </c>
      <c r="G45" s="66">
        <v>0</v>
      </c>
      <c r="H45" s="66">
        <v>71.501300000000001</v>
      </c>
    </row>
    <row r="46" spans="1:8">
      <c r="A46" s="66" t="s">
        <v>343</v>
      </c>
      <c r="B46" s="66">
        <v>38.112900000000003</v>
      </c>
      <c r="C46" s="66">
        <v>1.5106599999999999</v>
      </c>
      <c r="D46" s="66">
        <v>3.9636499999999998E-2</v>
      </c>
      <c r="E46" s="66">
        <v>0</v>
      </c>
      <c r="F46" s="66">
        <v>35.452300000000001</v>
      </c>
      <c r="G46" s="66">
        <v>0</v>
      </c>
      <c r="H46" s="66">
        <v>41.473199999999999</v>
      </c>
    </row>
    <row r="47" spans="1:8">
      <c r="A47" s="66" t="s">
        <v>344</v>
      </c>
      <c r="B47" s="66">
        <v>1.3851599999999999</v>
      </c>
      <c r="C47" s="66">
        <v>0.44058599999999998</v>
      </c>
      <c r="D47" s="66">
        <v>0.31807600000000003</v>
      </c>
      <c r="E47" s="66">
        <v>0</v>
      </c>
      <c r="F47" s="66">
        <v>0.65391100000000002</v>
      </c>
      <c r="G47" s="66">
        <v>0</v>
      </c>
      <c r="H47" s="66">
        <v>2.6000200000000002</v>
      </c>
    </row>
    <row r="48" spans="1:8">
      <c r="A48" s="66" t="s">
        <v>345</v>
      </c>
      <c r="B48" s="66">
        <v>0.80455500000000002</v>
      </c>
      <c r="C48" s="66">
        <v>6.1374600000000001E-2</v>
      </c>
      <c r="D48" s="66">
        <v>7.6283799999999999E-2</v>
      </c>
      <c r="E48" s="66">
        <v>0</v>
      </c>
      <c r="F48" s="66">
        <v>0.72091400000000005</v>
      </c>
      <c r="G48" s="66">
        <v>0</v>
      </c>
      <c r="H48" s="66">
        <v>0.94455900000000004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116.7502593194112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2.2529228864243649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0.71869072664222167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1170</v>
      </c>
      <c r="B8" s="66">
        <v>1170</v>
      </c>
      <c r="D8">
        <f t="shared" si="0"/>
        <v>3.6101751397785761E-3</v>
      </c>
      <c r="E8">
        <f t="shared" si="0"/>
        <v>3.6101751397785761E-3</v>
      </c>
      <c r="G8">
        <f t="shared" ca="1" si="1"/>
        <v>6</v>
      </c>
      <c r="H8">
        <f t="shared" ca="1" si="2"/>
        <v>2.1661050838671456E-2</v>
      </c>
      <c r="I8">
        <f t="shared" ca="1" si="3"/>
        <v>44.28103617889402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1042</v>
      </c>
      <c r="B10" s="66">
        <v>1042</v>
      </c>
      <c r="D10">
        <f t="shared" si="0"/>
        <v>3.2152158082472447E-3</v>
      </c>
      <c r="E10">
        <f t="shared" si="0"/>
        <v>3.2152158082472447E-3</v>
      </c>
      <c r="G10">
        <f t="shared" ca="1" si="1"/>
        <v>8</v>
      </c>
      <c r="H10">
        <f t="shared" ca="1" si="2"/>
        <v>2.5721726465977958E-2</v>
      </c>
      <c r="I10">
        <f t="shared" ca="1" si="3"/>
        <v>38.025132051952056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1812</v>
      </c>
      <c r="B13" s="66">
        <v>1812</v>
      </c>
      <c r="D13">
        <f t="shared" si="0"/>
        <v>5.5911430369904097E-3</v>
      </c>
      <c r="E13">
        <f t="shared" si="0"/>
        <v>5.5911430369904097E-3</v>
      </c>
      <c r="G13">
        <f t="shared" ca="1" si="1"/>
        <v>11</v>
      </c>
      <c r="H13">
        <f t="shared" ca="1" si="2"/>
        <v>6.1502573406894509E-2</v>
      </c>
      <c r="I13">
        <f t="shared" ca="1" si="3"/>
        <v>62.526408681620687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2928</v>
      </c>
      <c r="B15" s="66">
        <v>2928</v>
      </c>
      <c r="D15">
        <f t="shared" si="0"/>
        <v>9.0346947087792048E-3</v>
      </c>
      <c r="E15">
        <f t="shared" si="0"/>
        <v>9.0346947087792048E-3</v>
      </c>
      <c r="G15">
        <f t="shared" ca="1" si="1"/>
        <v>13</v>
      </c>
      <c r="H15">
        <f t="shared" ca="1" si="2"/>
        <v>0.11745103121412967</v>
      </c>
      <c r="I15">
        <f t="shared" ca="1" si="3"/>
        <v>97.250504660206502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1805</v>
      </c>
      <c r="B18" s="66">
        <v>1805</v>
      </c>
      <c r="D18">
        <f t="shared" si="0"/>
        <v>5.56954369854729E-3</v>
      </c>
      <c r="E18">
        <f t="shared" si="0"/>
        <v>5.56954369854729E-3</v>
      </c>
      <c r="G18">
        <f t="shared" ca="1" si="1"/>
        <v>16</v>
      </c>
      <c r="H18">
        <f t="shared" ca="1" si="2"/>
        <v>8.9112699176756641E-2</v>
      </c>
      <c r="I18">
        <f t="shared" ca="1" si="3"/>
        <v>56.534292433554654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2475</v>
      </c>
      <c r="B21" s="66">
        <v>2475</v>
      </c>
      <c r="D21">
        <f t="shared" si="0"/>
        <v>7.6369089495316031E-3</v>
      </c>
      <c r="E21">
        <f t="shared" si="0"/>
        <v>7.6369089495316031E-3</v>
      </c>
      <c r="G21">
        <f t="shared" ca="1" si="1"/>
        <v>19</v>
      </c>
      <c r="H21">
        <f t="shared" ca="1" si="2"/>
        <v>0.14510127004110046</v>
      </c>
      <c r="I21">
        <f t="shared" ca="1" si="3"/>
        <v>72.971529488049512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3173</v>
      </c>
      <c r="B23" s="66">
        <v>3173</v>
      </c>
      <c r="D23">
        <f t="shared" si="0"/>
        <v>9.7906715542883938E-3</v>
      </c>
      <c r="E23">
        <f t="shared" si="0"/>
        <v>9.7906715542883938E-3</v>
      </c>
      <c r="G23">
        <f t="shared" ca="1" si="1"/>
        <v>21</v>
      </c>
      <c r="H23">
        <f t="shared" ca="1" si="2"/>
        <v>0.20560410264005627</v>
      </c>
      <c r="I23">
        <f t="shared" ca="1" si="3"/>
        <v>89.761974928838015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4496</v>
      </c>
      <c r="B26" s="66">
        <v>4496</v>
      </c>
      <c r="D26">
        <f t="shared" si="0"/>
        <v>1.3872946520038015E-2</v>
      </c>
      <c r="E26">
        <f t="shared" si="0"/>
        <v>1.3872946520038015E-2</v>
      </c>
      <c r="G26">
        <f t="shared" ca="1" si="1"/>
        <v>24</v>
      </c>
      <c r="H26">
        <f t="shared" ca="1" si="2"/>
        <v>0.33295071648091235</v>
      </c>
      <c r="I26">
        <f t="shared" ca="1" si="3"/>
        <v>119.34355683947939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4077</v>
      </c>
      <c r="B28" s="66">
        <v>4077</v>
      </c>
      <c r="D28">
        <f t="shared" si="0"/>
        <v>1.2580071833228422E-2</v>
      </c>
      <c r="E28">
        <f t="shared" si="0"/>
        <v>1.2580071833228422E-2</v>
      </c>
      <c r="G28">
        <f t="shared" ca="1" si="1"/>
        <v>26</v>
      </c>
      <c r="H28">
        <f t="shared" ca="1" si="2"/>
        <v>0.32708186766393899</v>
      </c>
      <c r="I28">
        <f t="shared" ca="1" si="3"/>
        <v>103.60455993750115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7131</v>
      </c>
      <c r="B31" s="66">
        <v>7131</v>
      </c>
      <c r="D31">
        <f t="shared" si="0"/>
        <v>2.2003554633983784E-2</v>
      </c>
      <c r="E31">
        <f t="shared" si="0"/>
        <v>2.2003554633983784E-2</v>
      </c>
      <c r="G31">
        <f t="shared" ca="1" si="1"/>
        <v>29</v>
      </c>
      <c r="H31">
        <f t="shared" ca="1" si="2"/>
        <v>0.63810308438552976</v>
      </c>
      <c r="I31">
        <f t="shared" ca="1" si="3"/>
        <v>169.42974729933945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10612</v>
      </c>
      <c r="B33" s="66">
        <v>10612</v>
      </c>
      <c r="D33">
        <f t="shared" si="0"/>
        <v>3.2744597079769441E-2</v>
      </c>
      <c r="E33">
        <f t="shared" si="0"/>
        <v>3.2744597079769441E-2</v>
      </c>
      <c r="G33">
        <f t="shared" ca="1" si="1"/>
        <v>31</v>
      </c>
      <c r="H33">
        <f t="shared" ca="1" si="2"/>
        <v>1.0150825094728526</v>
      </c>
      <c r="I33">
        <f t="shared" ca="1" si="3"/>
        <v>240.7745251266665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21097</v>
      </c>
      <c r="B36" s="66">
        <v>21097</v>
      </c>
      <c r="D36">
        <f t="shared" si="0"/>
        <v>6.5097320447785142E-2</v>
      </c>
      <c r="E36">
        <f t="shared" si="0"/>
        <v>6.5097320447785142E-2</v>
      </c>
      <c r="G36">
        <f t="shared" ca="1" si="1"/>
        <v>34</v>
      </c>
      <c r="H36">
        <f t="shared" ca="1" si="2"/>
        <v>2.2133088952246949</v>
      </c>
      <c r="I36">
        <f t="shared" ca="1" si="3"/>
        <v>445.7607641584172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26718</v>
      </c>
      <c r="B39" s="66">
        <v>26718</v>
      </c>
      <c r="D39">
        <f t="shared" si="0"/>
        <v>8.2441589217610245E-2</v>
      </c>
      <c r="E39">
        <f t="shared" si="0"/>
        <v>8.2441589217610245E-2</v>
      </c>
      <c r="G39">
        <f t="shared" ca="1" si="1"/>
        <v>37</v>
      </c>
      <c r="H39">
        <f t="shared" ca="1" si="2"/>
        <v>3.0503388010515788</v>
      </c>
      <c r="I39">
        <f t="shared" ca="1" si="3"/>
        <v>524.33706993221892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36027</v>
      </c>
      <c r="B41" s="66">
        <v>36027</v>
      </c>
      <c r="D41">
        <f t="shared" si="0"/>
        <v>0.11116562372718185</v>
      </c>
      <c r="E41">
        <f t="shared" si="0"/>
        <v>0.11116562372718185</v>
      </c>
      <c r="G41">
        <f t="shared" ca="1" si="1"/>
        <v>39</v>
      </c>
      <c r="H41">
        <f t="shared" ca="1" si="2"/>
        <v>4.3354593253600919</v>
      </c>
      <c r="I41">
        <f t="shared" ca="1" si="3"/>
        <v>672.00762595110882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51678</v>
      </c>
      <c r="B44" s="66">
        <v>51678</v>
      </c>
      <c r="D44">
        <f t="shared" si="0"/>
        <v>0.15945865886621988</v>
      </c>
      <c r="E44">
        <f t="shared" si="0"/>
        <v>0.15945865886621988</v>
      </c>
      <c r="G44">
        <f t="shared" ca="1" si="1"/>
        <v>42</v>
      </c>
      <c r="H44">
        <f t="shared" ca="1" si="2"/>
        <v>6.6972636723812347</v>
      </c>
      <c r="I44">
        <f t="shared" ca="1" si="3"/>
        <v>890.99140452537222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67342</v>
      </c>
      <c r="B46" s="66">
        <v>67342</v>
      </c>
      <c r="D46">
        <f t="shared" si="0"/>
        <v>0.20779180706236655</v>
      </c>
      <c r="E46">
        <f t="shared" si="0"/>
        <v>0.20779180706236655</v>
      </c>
      <c r="G46">
        <f t="shared" ca="1" si="1"/>
        <v>44</v>
      </c>
      <c r="H46">
        <f t="shared" ca="1" si="2"/>
        <v>9.1428395107441283</v>
      </c>
      <c r="I46">
        <f t="shared" ca="1" si="3"/>
        <v>1099.7589660668277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71341</v>
      </c>
      <c r="B49" s="66">
        <v>71341</v>
      </c>
      <c r="D49">
        <f t="shared" si="0"/>
        <v>0.22013120055294305</v>
      </c>
      <c r="E49">
        <f t="shared" si="0"/>
        <v>0.22013120055294305</v>
      </c>
      <c r="G49">
        <f t="shared" ca="1" si="1"/>
        <v>47</v>
      </c>
      <c r="H49">
        <f t="shared" ca="1" si="2"/>
        <v>10.346166425988324</v>
      </c>
      <c r="I49">
        <f t="shared" ca="1" si="3"/>
        <v>1070.9600121638227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76621</v>
      </c>
      <c r="B51" s="66">
        <v>76621</v>
      </c>
      <c r="D51">
        <f t="shared" si="0"/>
        <v>0.23642327297861049</v>
      </c>
      <c r="E51">
        <f t="shared" si="0"/>
        <v>0.23642327297861049</v>
      </c>
      <c r="G51">
        <f t="shared" ca="1" si="1"/>
        <v>49</v>
      </c>
      <c r="H51">
        <f t="shared" ca="1" si="2"/>
        <v>11.584740375951913</v>
      </c>
      <c r="I51">
        <f t="shared" ca="1" si="3"/>
        <v>1085.2059068312863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89487</v>
      </c>
      <c r="B54" s="66">
        <v>89487</v>
      </c>
      <c r="D54">
        <f t="shared" si="0"/>
        <v>0.27612285703706446</v>
      </c>
      <c r="E54">
        <f t="shared" si="0"/>
        <v>0.27612285703706446</v>
      </c>
      <c r="G54">
        <f t="shared" ca="1" si="1"/>
        <v>52</v>
      </c>
      <c r="H54">
        <f t="shared" ca="1" si="2"/>
        <v>14.358388565927353</v>
      </c>
      <c r="I54">
        <f t="shared" ca="1" si="3"/>
        <v>1157.6716085451892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96713</v>
      </c>
      <c r="B57" s="66">
        <v>96713</v>
      </c>
      <c r="D57">
        <f t="shared" si="0"/>
        <v>0.29841954554991917</v>
      </c>
      <c r="E57">
        <f t="shared" si="0"/>
        <v>0.29841954554991917</v>
      </c>
      <c r="G57">
        <f t="shared" ca="1" si="1"/>
        <v>55</v>
      </c>
      <c r="H57">
        <f t="shared" ca="1" si="2"/>
        <v>16.413075005245556</v>
      </c>
      <c r="I57">
        <f t="shared" ca="1" si="3"/>
        <v>1137.9019355921403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105379</v>
      </c>
      <c r="B59" s="66">
        <v>105379</v>
      </c>
      <c r="D59">
        <f t="shared" si="0"/>
        <v>0.32515952654250135</v>
      </c>
      <c r="E59">
        <f t="shared" si="0"/>
        <v>0.32515952654250135</v>
      </c>
      <c r="G59">
        <f t="shared" ca="1" si="1"/>
        <v>57</v>
      </c>
      <c r="H59">
        <f t="shared" ca="1" si="2"/>
        <v>18.534093012922575</v>
      </c>
      <c r="I59">
        <f t="shared" ca="1" si="3"/>
        <v>1160.8499085101523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112987</v>
      </c>
      <c r="B62" s="66">
        <v>112987</v>
      </c>
      <c r="D62">
        <f t="shared" si="0"/>
        <v>0.34863492181039485</v>
      </c>
      <c r="E62">
        <f t="shared" si="0"/>
        <v>0.34863492181039485</v>
      </c>
      <c r="G62">
        <f t="shared" ca="1" si="1"/>
        <v>60</v>
      </c>
      <c r="H62">
        <f t="shared" ca="1" si="2"/>
        <v>20.918095308623691</v>
      </c>
      <c r="I62">
        <f t="shared" ca="1" si="3"/>
        <v>1122.8108166820348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117297</v>
      </c>
      <c r="B64" s="66">
        <v>117297</v>
      </c>
      <c r="D64">
        <f t="shared" si="0"/>
        <v>0.36193394305180138</v>
      </c>
      <c r="E64">
        <f t="shared" si="0"/>
        <v>0.36193394305180138</v>
      </c>
      <c r="G64">
        <f t="shared" ca="1" si="1"/>
        <v>62</v>
      </c>
      <c r="H64">
        <f t="shared" ca="1" si="2"/>
        <v>22.439904469211687</v>
      </c>
      <c r="I64">
        <f t="shared" ca="1" si="3"/>
        <v>1084.9298924799764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115158</v>
      </c>
      <c r="B67" s="66">
        <v>115158</v>
      </c>
      <c r="D67">
        <f t="shared" ref="D67:E130" si="4">IFERROR( A67/MAX(A$2:A$257), 0 )</f>
        <v>0.35533380234753953</v>
      </c>
      <c r="E67">
        <f t="shared" si="4"/>
        <v>0.35533380234753953</v>
      </c>
      <c r="G67">
        <f t="shared" ref="G67:G130" ca="1" si="5">CELL("row",D67)-2</f>
        <v>65</v>
      </c>
      <c r="H67">
        <f t="shared" ref="H67:H130" ca="1" si="6">D67*G67</f>
        <v>23.096697152590071</v>
      </c>
      <c r="I67">
        <f t="shared" ref="I67:I130" ca="1" si="7">D67*((G67-$L$1)^2)</f>
        <v>951.61566807582642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116911</v>
      </c>
      <c r="B69" s="66">
        <v>116911</v>
      </c>
      <c r="D69">
        <f t="shared" si="4"/>
        <v>0.36074289381765223</v>
      </c>
      <c r="E69">
        <f t="shared" si="4"/>
        <v>0.36074289381765223</v>
      </c>
      <c r="G69">
        <f t="shared" ca="1" si="5"/>
        <v>67</v>
      </c>
      <c r="H69">
        <f t="shared" ca="1" si="6"/>
        <v>24.1697738857827</v>
      </c>
      <c r="I69">
        <f t="shared" ca="1" si="7"/>
        <v>892.87051664347609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132873</v>
      </c>
      <c r="B72" s="66">
        <v>132873</v>
      </c>
      <c r="D72">
        <f t="shared" si="4"/>
        <v>0.40999555670752025</v>
      </c>
      <c r="E72">
        <f t="shared" si="4"/>
        <v>0.40999555670752025</v>
      </c>
      <c r="G72">
        <f t="shared" ca="1" si="5"/>
        <v>70</v>
      </c>
      <c r="H72">
        <f t="shared" ca="1" si="6"/>
        <v>28.699688969526417</v>
      </c>
      <c r="I72">
        <f t="shared" ca="1" si="7"/>
        <v>896.08085483604509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130161</v>
      </c>
      <c r="B75" s="66">
        <v>130161</v>
      </c>
      <c r="D75">
        <f t="shared" si="4"/>
        <v>0.4016273558707002</v>
      </c>
      <c r="E75">
        <f t="shared" si="4"/>
        <v>0.4016273558707002</v>
      </c>
      <c r="G75">
        <f t="shared" ca="1" si="5"/>
        <v>73</v>
      </c>
      <c r="H75">
        <f t="shared" ca="1" si="6"/>
        <v>29.318796978561114</v>
      </c>
      <c r="I75">
        <f t="shared" ca="1" si="7"/>
        <v>768.74897397809661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131563</v>
      </c>
      <c r="B77" s="66">
        <v>131563</v>
      </c>
      <c r="D77">
        <f t="shared" si="4"/>
        <v>0.40595339479887932</v>
      </c>
      <c r="E77">
        <f t="shared" si="4"/>
        <v>0.40595339479887932</v>
      </c>
      <c r="G77">
        <f t="shared" ca="1" si="5"/>
        <v>75</v>
      </c>
      <c r="H77">
        <f t="shared" ca="1" si="6"/>
        <v>30.446504609915948</v>
      </c>
      <c r="I77">
        <f t="shared" ca="1" si="7"/>
        <v>707.61092942712924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136489</v>
      </c>
      <c r="B80" s="66">
        <v>136489</v>
      </c>
      <c r="D80">
        <f t="shared" si="4"/>
        <v>0.42115315782328039</v>
      </c>
      <c r="E80">
        <f t="shared" si="4"/>
        <v>0.42115315782328039</v>
      </c>
      <c r="G80">
        <f t="shared" ca="1" si="5"/>
        <v>78</v>
      </c>
      <c r="H80">
        <f t="shared" ca="1" si="6"/>
        <v>32.84994631021587</v>
      </c>
      <c r="I80">
        <f t="shared" ca="1" si="7"/>
        <v>632.39625259448121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149888</v>
      </c>
      <c r="B82" s="66">
        <v>149888</v>
      </c>
      <c r="D82">
        <f t="shared" si="4"/>
        <v>0.46249737722318907</v>
      </c>
      <c r="E82">
        <f t="shared" si="4"/>
        <v>0.46249737722318907</v>
      </c>
      <c r="G82">
        <f t="shared" ca="1" si="5"/>
        <v>80</v>
      </c>
      <c r="H82">
        <f t="shared" ca="1" si="6"/>
        <v>36.999790177855125</v>
      </c>
      <c r="I82">
        <f t="shared" ca="1" si="7"/>
        <v>624.64042924633907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176123</v>
      </c>
      <c r="B85" s="66">
        <v>176123</v>
      </c>
      <c r="D85">
        <f t="shared" si="4"/>
        <v>0.54344861208822404</v>
      </c>
      <c r="E85">
        <f t="shared" si="4"/>
        <v>0.54344861208822404</v>
      </c>
      <c r="G85">
        <f t="shared" ca="1" si="5"/>
        <v>83</v>
      </c>
      <c r="H85">
        <f t="shared" ca="1" si="6"/>
        <v>45.106234803322593</v>
      </c>
      <c r="I85">
        <f t="shared" ca="1" si="7"/>
        <v>619.03144730053975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184154</v>
      </c>
      <c r="B88" s="66">
        <v>184154</v>
      </c>
      <c r="D88">
        <f t="shared" si="4"/>
        <v>0.5682292245220375</v>
      </c>
      <c r="E88">
        <f t="shared" si="4"/>
        <v>0.5682292245220375</v>
      </c>
      <c r="G88">
        <f t="shared" ca="1" si="5"/>
        <v>86</v>
      </c>
      <c r="H88">
        <f t="shared" ca="1" si="6"/>
        <v>48.867713308895226</v>
      </c>
      <c r="I88">
        <f t="shared" ca="1" si="7"/>
        <v>537.30530835170828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198843</v>
      </c>
      <c r="B90" s="66">
        <v>198843</v>
      </c>
      <c r="D90">
        <f t="shared" si="4"/>
        <v>0.61355389343503541</v>
      </c>
      <c r="E90">
        <f t="shared" si="4"/>
        <v>0.61355389343503541</v>
      </c>
      <c r="G90">
        <f t="shared" ca="1" si="5"/>
        <v>88</v>
      </c>
      <c r="H90">
        <f t="shared" ca="1" si="6"/>
        <v>53.992742622283117</v>
      </c>
      <c r="I90">
        <f t="shared" ca="1" si="7"/>
        <v>507.14978870363296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206025</v>
      </c>
      <c r="B93" s="66">
        <v>206025</v>
      </c>
      <c r="D93">
        <f t="shared" si="4"/>
        <v>0.63571481467767621</v>
      </c>
      <c r="E93">
        <f t="shared" si="4"/>
        <v>0.63571481467767621</v>
      </c>
      <c r="G93">
        <f t="shared" ca="1" si="5"/>
        <v>91</v>
      </c>
      <c r="H93">
        <f t="shared" ca="1" si="6"/>
        <v>57.850048135668537</v>
      </c>
      <c r="I93">
        <f t="shared" ca="1" si="7"/>
        <v>421.52714428932512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206674</v>
      </c>
      <c r="B95" s="66">
        <v>206674</v>
      </c>
      <c r="D95">
        <f t="shared" si="4"/>
        <v>0.63771738191333116</v>
      </c>
      <c r="E95">
        <f t="shared" si="4"/>
        <v>0.63771738191333116</v>
      </c>
      <c r="G95">
        <f t="shared" ca="1" si="5"/>
        <v>93</v>
      </c>
      <c r="H95">
        <f t="shared" ca="1" si="6"/>
        <v>59.307716517939795</v>
      </c>
      <c r="I95">
        <f t="shared" ca="1" si="7"/>
        <v>359.72031597193211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229403</v>
      </c>
      <c r="B98" s="66">
        <v>229403</v>
      </c>
      <c r="D98">
        <f t="shared" si="4"/>
        <v>0.70785043383814072</v>
      </c>
      <c r="E98">
        <f t="shared" si="4"/>
        <v>0.70785043383814072</v>
      </c>
      <c r="G98">
        <f t="shared" ca="1" si="5"/>
        <v>96</v>
      </c>
      <c r="H98">
        <f t="shared" ca="1" si="6"/>
        <v>67.953641648461513</v>
      </c>
      <c r="I98">
        <f t="shared" ca="1" si="7"/>
        <v>304.78147018038038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243331</v>
      </c>
      <c r="B100" s="66">
        <v>243331</v>
      </c>
      <c r="D100">
        <f t="shared" si="4"/>
        <v>0.75082694610039369</v>
      </c>
      <c r="E100">
        <f t="shared" si="4"/>
        <v>0.75082694610039369</v>
      </c>
      <c r="G100">
        <f t="shared" ca="1" si="5"/>
        <v>98</v>
      </c>
      <c r="H100">
        <f t="shared" ca="1" si="6"/>
        <v>73.581040717838576</v>
      </c>
      <c r="I100">
        <f t="shared" ca="1" si="7"/>
        <v>263.96989968896924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248959</v>
      </c>
      <c r="B103" s="66">
        <v>248959</v>
      </c>
      <c r="D103">
        <f t="shared" si="4"/>
        <v>0.76819281420866192</v>
      </c>
      <c r="E103">
        <f t="shared" si="4"/>
        <v>0.76819281420866192</v>
      </c>
      <c r="G103">
        <f t="shared" ca="1" si="5"/>
        <v>101</v>
      </c>
      <c r="H103">
        <f t="shared" ca="1" si="6"/>
        <v>77.587474235074851</v>
      </c>
      <c r="I103">
        <f t="shared" ca="1" si="7"/>
        <v>190.56610505650497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253636</v>
      </c>
      <c r="B106" s="66">
        <v>253636</v>
      </c>
      <c r="D106">
        <f t="shared" si="4"/>
        <v>0.78262425790844348</v>
      </c>
      <c r="E106">
        <f t="shared" si="4"/>
        <v>0.78262425790844348</v>
      </c>
      <c r="G106">
        <f t="shared" ca="1" si="5"/>
        <v>104</v>
      </c>
      <c r="H106">
        <f t="shared" ca="1" si="6"/>
        <v>81.392922822478127</v>
      </c>
      <c r="I106">
        <f t="shared" ca="1" si="7"/>
        <v>127.23053119524478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256265</v>
      </c>
      <c r="B108" s="66">
        <v>256265</v>
      </c>
      <c r="D108">
        <f t="shared" si="4"/>
        <v>0.79073635230372374</v>
      </c>
      <c r="E108">
        <f t="shared" si="4"/>
        <v>0.79073635230372374</v>
      </c>
      <c r="G108">
        <f t="shared" ca="1" si="5"/>
        <v>106</v>
      </c>
      <c r="H108">
        <f t="shared" ca="1" si="6"/>
        <v>83.818053344194723</v>
      </c>
      <c r="I108">
        <f t="shared" ca="1" si="7"/>
        <v>91.383878411907176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266292</v>
      </c>
      <c r="B111" s="66">
        <v>266292</v>
      </c>
      <c r="D111">
        <f t="shared" si="4"/>
        <v>0.82167586181360386</v>
      </c>
      <c r="E111">
        <f t="shared" si="4"/>
        <v>0.82167586181360386</v>
      </c>
      <c r="G111">
        <f t="shared" ca="1" si="5"/>
        <v>109</v>
      </c>
      <c r="H111">
        <f t="shared" ca="1" si="6"/>
        <v>89.562668937682815</v>
      </c>
      <c r="I111">
        <f t="shared" ca="1" si="7"/>
        <v>49.355209191195037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271590</v>
      </c>
      <c r="B113" s="66">
        <v>271590</v>
      </c>
      <c r="D113">
        <f t="shared" si="4"/>
        <v>0.83802347539526789</v>
      </c>
      <c r="E113">
        <f t="shared" si="4"/>
        <v>0.83802347539526789</v>
      </c>
      <c r="G113">
        <f t="shared" ca="1" si="5"/>
        <v>111</v>
      </c>
      <c r="H113">
        <f t="shared" ca="1" si="6"/>
        <v>93.020605768874731</v>
      </c>
      <c r="I113">
        <f t="shared" ca="1" si="7"/>
        <v>27.709650342783664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287948</v>
      </c>
      <c r="B116" s="66">
        <v>287948</v>
      </c>
      <c r="D116">
        <f t="shared" si="4"/>
        <v>0.88849804371706098</v>
      </c>
      <c r="E116">
        <f t="shared" si="4"/>
        <v>0.88849804371706098</v>
      </c>
      <c r="G116">
        <f t="shared" ca="1" si="5"/>
        <v>114</v>
      </c>
      <c r="H116">
        <f t="shared" ca="1" si="6"/>
        <v>101.28877698374495</v>
      </c>
      <c r="I116">
        <f t="shared" ca="1" si="7"/>
        <v>6.7205337417012254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287733</v>
      </c>
      <c r="B118" s="66">
        <v>287733</v>
      </c>
      <c r="D118">
        <f t="shared" si="4"/>
        <v>0.88783463546487951</v>
      </c>
      <c r="E118">
        <f t="shared" si="4"/>
        <v>0.88783463546487951</v>
      </c>
      <c r="G118">
        <f t="shared" ca="1" si="5"/>
        <v>116</v>
      </c>
      <c r="H118">
        <f t="shared" ca="1" si="6"/>
        <v>102.98881771392603</v>
      </c>
      <c r="I118">
        <f t="shared" ca="1" si="7"/>
        <v>0.49975239128518406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289199</v>
      </c>
      <c r="B121" s="66">
        <v>289199</v>
      </c>
      <c r="D121">
        <f t="shared" si="4"/>
        <v>0.89235815405882424</v>
      </c>
      <c r="E121">
        <f t="shared" si="4"/>
        <v>0.89235815405882424</v>
      </c>
      <c r="G121">
        <f t="shared" ca="1" si="5"/>
        <v>119</v>
      </c>
      <c r="H121">
        <f t="shared" ca="1" si="6"/>
        <v>106.19062033300008</v>
      </c>
      <c r="I121">
        <f t="shared" ca="1" si="7"/>
        <v>4.5165218888709076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284950</v>
      </c>
      <c r="B124" s="66">
        <v>284950</v>
      </c>
      <c r="D124">
        <f t="shared" si="4"/>
        <v>0.87924735562385059</v>
      </c>
      <c r="E124">
        <f t="shared" si="4"/>
        <v>0.87924735562385059</v>
      </c>
      <c r="G124">
        <f t="shared" ca="1" si="5"/>
        <v>122</v>
      </c>
      <c r="H124">
        <f t="shared" ca="1" si="6"/>
        <v>107.26817738610977</v>
      </c>
      <c r="I124">
        <f t="shared" ca="1" si="7"/>
        <v>24.23186123648987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291976</v>
      </c>
      <c r="B126" s="66">
        <v>291976</v>
      </c>
      <c r="D126">
        <f t="shared" si="4"/>
        <v>0.90092692018118758</v>
      </c>
      <c r="E126">
        <f t="shared" si="4"/>
        <v>0.90092692018118758</v>
      </c>
      <c r="G126">
        <f t="shared" ca="1" si="5"/>
        <v>124</v>
      </c>
      <c r="H126">
        <f t="shared" ca="1" si="6"/>
        <v>111.71493810246726</v>
      </c>
      <c r="I126">
        <f t="shared" ca="1" si="7"/>
        <v>47.351583698950016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307353</v>
      </c>
      <c r="B129" s="66">
        <v>307353</v>
      </c>
      <c r="D129">
        <f t="shared" si="4"/>
        <v>0.94837449550116637</v>
      </c>
      <c r="E129">
        <f t="shared" si="4"/>
        <v>0.94837449550116637</v>
      </c>
      <c r="G129">
        <f t="shared" ca="1" si="5"/>
        <v>127</v>
      </c>
      <c r="H129">
        <f t="shared" ca="1" si="6"/>
        <v>120.44356092864813</v>
      </c>
      <c r="I129">
        <f t="shared" ca="1" si="7"/>
        <v>99.633553893092923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324084</v>
      </c>
      <c r="B131" s="66">
        <v>324084</v>
      </c>
      <c r="D131">
        <f t="shared" ref="D131:E194" si="8">IFERROR( A131/MAX(A$2:A$257), 0 )</f>
        <v>1</v>
      </c>
      <c r="E131">
        <f t="shared" si="8"/>
        <v>1</v>
      </c>
      <c r="G131">
        <f t="shared" ref="G131:G194" ca="1" si="9">CELL("row",D131)-2</f>
        <v>129</v>
      </c>
      <c r="H131">
        <f t="shared" ref="H131:H194" ca="1" si="10">D131*G131</f>
        <v>129</v>
      </c>
      <c r="I131">
        <f t="shared" ref="I131:I194" ca="1" si="11">D131*((G131-$L$1)^2)</f>
        <v>150.05614674167217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314537</v>
      </c>
      <c r="B134" s="66">
        <v>314537</v>
      </c>
      <c r="D134">
        <f t="shared" si="8"/>
        <v>0.97054158798336232</v>
      </c>
      <c r="E134">
        <f t="shared" si="8"/>
        <v>0.97054158798336232</v>
      </c>
      <c r="G134">
        <f t="shared" ca="1" si="9"/>
        <v>132</v>
      </c>
      <c r="H134">
        <f t="shared" ca="1" si="10"/>
        <v>128.11148961380383</v>
      </c>
      <c r="I134">
        <f t="shared" ca="1" si="11"/>
        <v>225.7039018723155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311143</v>
      </c>
      <c r="B136" s="66">
        <v>311143</v>
      </c>
      <c r="D136">
        <f t="shared" si="8"/>
        <v>0.96006899445822691</v>
      </c>
      <c r="E136">
        <f t="shared" si="8"/>
        <v>0.96006899445822691</v>
      </c>
      <c r="G136">
        <f t="shared" ca="1" si="9"/>
        <v>134</v>
      </c>
      <c r="H136">
        <f t="shared" ca="1" si="10"/>
        <v>128.64924525740241</v>
      </c>
      <c r="I136">
        <f t="shared" ca="1" si="11"/>
        <v>285.67194095187824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300352</v>
      </c>
      <c r="B139" s="66">
        <v>300352</v>
      </c>
      <c r="D139">
        <f t="shared" si="8"/>
        <v>0.92677207143826912</v>
      </c>
      <c r="E139">
        <f t="shared" si="8"/>
        <v>0.92677207143826912</v>
      </c>
      <c r="G139">
        <f t="shared" ca="1" si="9"/>
        <v>137</v>
      </c>
      <c r="H139">
        <f t="shared" ca="1" si="10"/>
        <v>126.96777378704287</v>
      </c>
      <c r="I139">
        <f t="shared" ca="1" si="11"/>
        <v>380.02473924196829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292134</v>
      </c>
      <c r="B142" s="66">
        <v>292134</v>
      </c>
      <c r="D142">
        <f t="shared" si="8"/>
        <v>0.90141444810604654</v>
      </c>
      <c r="E142">
        <f t="shared" si="8"/>
        <v>0.90141444810604654</v>
      </c>
      <c r="G142">
        <f t="shared" ca="1" si="9"/>
        <v>140</v>
      </c>
      <c r="H142">
        <f t="shared" ca="1" si="10"/>
        <v>126.19802273484652</v>
      </c>
      <c r="I142">
        <f t="shared" ca="1" si="11"/>
        <v>487.2599780916691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258270</v>
      </c>
      <c r="B144" s="66">
        <v>258270</v>
      </c>
      <c r="D144">
        <f t="shared" si="8"/>
        <v>0.79692301995778869</v>
      </c>
      <c r="E144">
        <f t="shared" si="8"/>
        <v>0.79692301995778869</v>
      </c>
      <c r="G144">
        <f t="shared" ca="1" si="9"/>
        <v>142</v>
      </c>
      <c r="H144">
        <f t="shared" ca="1" si="10"/>
        <v>113.163068834006</v>
      </c>
      <c r="I144">
        <f t="shared" ca="1" si="11"/>
        <v>508.07779675620856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232213</v>
      </c>
      <c r="B147" s="66">
        <v>232213</v>
      </c>
      <c r="D147">
        <f t="shared" si="8"/>
        <v>0.71652102541316454</v>
      </c>
      <c r="E147">
        <f t="shared" si="8"/>
        <v>0.71652102541316454</v>
      </c>
      <c r="G147">
        <f t="shared" ca="1" si="9"/>
        <v>145</v>
      </c>
      <c r="H147">
        <f t="shared" ca="1" si="10"/>
        <v>103.89554868490886</v>
      </c>
      <c r="I147">
        <f t="shared" ca="1" si="11"/>
        <v>571.81806275068834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198443</v>
      </c>
      <c r="B149" s="66">
        <v>198443</v>
      </c>
      <c r="D149">
        <f t="shared" si="8"/>
        <v>0.61231964552399998</v>
      </c>
      <c r="E149">
        <f t="shared" si="8"/>
        <v>0.61231964552399998</v>
      </c>
      <c r="G149">
        <f t="shared" ca="1" si="9"/>
        <v>147</v>
      </c>
      <c r="H149">
        <f t="shared" ca="1" si="10"/>
        <v>90.010987892027998</v>
      </c>
      <c r="I149">
        <f t="shared" ca="1" si="11"/>
        <v>560.30113909810007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167492</v>
      </c>
      <c r="B152" s="66">
        <v>167492</v>
      </c>
      <c r="D152">
        <f t="shared" si="8"/>
        <v>0.51681662778785742</v>
      </c>
      <c r="E152">
        <f t="shared" si="8"/>
        <v>0.51681662778785742</v>
      </c>
      <c r="G152">
        <f t="shared" ca="1" si="9"/>
        <v>150</v>
      </c>
      <c r="H152">
        <f t="shared" ca="1" si="10"/>
        <v>77.522494168178611</v>
      </c>
      <c r="I152">
        <f t="shared" ca="1" si="11"/>
        <v>571.36417072465679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152585</v>
      </c>
      <c r="B154" s="66">
        <v>152585</v>
      </c>
      <c r="D154">
        <f t="shared" si="8"/>
        <v>0.4708192937633453</v>
      </c>
      <c r="E154">
        <f t="shared" si="8"/>
        <v>0.4708192937633453</v>
      </c>
      <c r="G154">
        <f t="shared" ca="1" si="9"/>
        <v>152</v>
      </c>
      <c r="H154">
        <f t="shared" ca="1" si="10"/>
        <v>71.56453265202849</v>
      </c>
      <c r="I154">
        <f t="shared" ca="1" si="11"/>
        <v>585.01379121144396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148938</v>
      </c>
      <c r="B157" s="66">
        <v>148938</v>
      </c>
      <c r="D157">
        <f t="shared" si="8"/>
        <v>0.45956603843447996</v>
      </c>
      <c r="E157">
        <f t="shared" si="8"/>
        <v>0.45956603843447996</v>
      </c>
      <c r="G157">
        <f t="shared" ca="1" si="9"/>
        <v>155</v>
      </c>
      <c r="H157">
        <f t="shared" ca="1" si="10"/>
        <v>71.232735957344389</v>
      </c>
      <c r="I157">
        <f t="shared" ca="1" si="11"/>
        <v>672.36472029677168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135451</v>
      </c>
      <c r="B160" s="66">
        <v>135451</v>
      </c>
      <c r="D160">
        <f t="shared" si="8"/>
        <v>0.41795028449414351</v>
      </c>
      <c r="E160">
        <f t="shared" si="8"/>
        <v>0.41795028449414351</v>
      </c>
      <c r="G160">
        <f t="shared" ca="1" si="9"/>
        <v>158</v>
      </c>
      <c r="H160">
        <f t="shared" ca="1" si="10"/>
        <v>66.036144950074672</v>
      </c>
      <c r="I160">
        <f t="shared" ca="1" si="11"/>
        <v>711.15958942138263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117090</v>
      </c>
      <c r="B162" s="66">
        <v>117090</v>
      </c>
      <c r="D162">
        <f t="shared" si="8"/>
        <v>0.36129521975784057</v>
      </c>
      <c r="E162">
        <f t="shared" si="8"/>
        <v>0.36129521975784057</v>
      </c>
      <c r="G162">
        <f t="shared" ca="1" si="9"/>
        <v>160</v>
      </c>
      <c r="H162">
        <f t="shared" ca="1" si="10"/>
        <v>57.807235161254489</v>
      </c>
      <c r="I162">
        <f t="shared" ca="1" si="11"/>
        <v>675.81718527286523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101153</v>
      </c>
      <c r="B165" s="66">
        <v>101153</v>
      </c>
      <c r="D165">
        <f t="shared" si="8"/>
        <v>0.31211969736241224</v>
      </c>
      <c r="E165">
        <f t="shared" si="8"/>
        <v>0.31211969736241224</v>
      </c>
      <c r="G165">
        <f t="shared" ca="1" si="9"/>
        <v>163</v>
      </c>
      <c r="H165">
        <f t="shared" ca="1" si="10"/>
        <v>50.875510670073197</v>
      </c>
      <c r="I165">
        <f t="shared" ca="1" si="11"/>
        <v>667.6360533308806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95874</v>
      </c>
      <c r="B167" s="66">
        <v>95874</v>
      </c>
      <c r="D167">
        <f t="shared" si="8"/>
        <v>0.29583071055652238</v>
      </c>
      <c r="E167">
        <f t="shared" si="8"/>
        <v>0.29583071055652238</v>
      </c>
      <c r="G167">
        <f t="shared" ca="1" si="9"/>
        <v>165</v>
      </c>
      <c r="H167">
        <f t="shared" ca="1" si="10"/>
        <v>48.812067241826192</v>
      </c>
      <c r="I167">
        <f t="shared" ca="1" si="11"/>
        <v>688.70498065157972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76380</v>
      </c>
      <c r="B170" s="66">
        <v>76380</v>
      </c>
      <c r="D170">
        <f t="shared" si="8"/>
        <v>0.23567963861221164</v>
      </c>
      <c r="E170">
        <f t="shared" si="8"/>
        <v>0.23567963861221164</v>
      </c>
      <c r="G170">
        <f t="shared" ca="1" si="9"/>
        <v>168</v>
      </c>
      <c r="H170">
        <f t="shared" ca="1" si="10"/>
        <v>39.594179286851556</v>
      </c>
      <c r="I170">
        <f t="shared" ca="1" si="11"/>
        <v>619.02103638696133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61388</v>
      </c>
      <c r="B173" s="66">
        <v>61388</v>
      </c>
      <c r="D173">
        <f t="shared" si="8"/>
        <v>0.18942002690660445</v>
      </c>
      <c r="E173">
        <f t="shared" si="8"/>
        <v>0.18942002690660445</v>
      </c>
      <c r="G173">
        <f t="shared" ca="1" si="9"/>
        <v>171</v>
      </c>
      <c r="H173">
        <f t="shared" ca="1" si="10"/>
        <v>32.390824601029358</v>
      </c>
      <c r="I173">
        <f t="shared" ca="1" si="11"/>
        <v>557.469648399108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52823</v>
      </c>
      <c r="B175" s="66">
        <v>52823</v>
      </c>
      <c r="D175">
        <f t="shared" si="8"/>
        <v>0.16299169351155873</v>
      </c>
      <c r="E175">
        <f t="shared" si="8"/>
        <v>0.16299169351155873</v>
      </c>
      <c r="G175">
        <f t="shared" ca="1" si="9"/>
        <v>173</v>
      </c>
      <c r="H175">
        <f t="shared" ca="1" si="10"/>
        <v>28.197562977499661</v>
      </c>
      <c r="I175">
        <f t="shared" ca="1" si="11"/>
        <v>515.71115023500283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49017</v>
      </c>
      <c r="B178" s="66">
        <v>49017</v>
      </c>
      <c r="D178">
        <f t="shared" si="8"/>
        <v>0.1512478246380568</v>
      </c>
      <c r="E178">
        <f t="shared" si="8"/>
        <v>0.1512478246380568</v>
      </c>
      <c r="G178">
        <f t="shared" ca="1" si="9"/>
        <v>176</v>
      </c>
      <c r="H178">
        <f t="shared" ca="1" si="10"/>
        <v>26.619617136297997</v>
      </c>
      <c r="I178">
        <f t="shared" ca="1" si="11"/>
        <v>530.96029364373476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43515</v>
      </c>
      <c r="B180" s="66">
        <v>43515</v>
      </c>
      <c r="D180">
        <f t="shared" si="8"/>
        <v>0.13427074462176472</v>
      </c>
      <c r="E180">
        <f t="shared" si="8"/>
        <v>0.13427074462176472</v>
      </c>
      <c r="G180">
        <f t="shared" ca="1" si="9"/>
        <v>178</v>
      </c>
      <c r="H180">
        <f t="shared" ca="1" si="10"/>
        <v>23.90019254267412</v>
      </c>
      <c r="I180">
        <f t="shared" ca="1" si="11"/>
        <v>503.72082505033995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41640</v>
      </c>
      <c r="B183" s="66">
        <v>41640</v>
      </c>
      <c r="D183">
        <f t="shared" si="8"/>
        <v>0.12848520753878623</v>
      </c>
      <c r="E183">
        <f t="shared" si="8"/>
        <v>0.12848520753878623</v>
      </c>
      <c r="G183">
        <f t="shared" ca="1" si="9"/>
        <v>181</v>
      </c>
      <c r="H183">
        <f t="shared" ca="1" si="10"/>
        <v>23.255822564520308</v>
      </c>
      <c r="I183">
        <f t="shared" ca="1" si="11"/>
        <v>530.39068560019575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34642</v>
      </c>
      <c r="B185" s="66">
        <v>34642</v>
      </c>
      <c r="D185">
        <f t="shared" si="8"/>
        <v>0.10689204033522173</v>
      </c>
      <c r="E185">
        <f t="shared" si="8"/>
        <v>0.10689204033522173</v>
      </c>
      <c r="G185">
        <f t="shared" ca="1" si="9"/>
        <v>183</v>
      </c>
      <c r="H185">
        <f t="shared" ca="1" si="10"/>
        <v>19.561243381345577</v>
      </c>
      <c r="I185">
        <f t="shared" ca="1" si="11"/>
        <v>469.15217299951985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29418</v>
      </c>
      <c r="B188" s="66">
        <v>29418</v>
      </c>
      <c r="D188">
        <f t="shared" si="8"/>
        <v>9.0772762617099267E-2</v>
      </c>
      <c r="E188">
        <f t="shared" si="8"/>
        <v>9.0772762617099267E-2</v>
      </c>
      <c r="G188">
        <f t="shared" ca="1" si="9"/>
        <v>186</v>
      </c>
      <c r="H188">
        <f t="shared" ca="1" si="10"/>
        <v>16.883733846780462</v>
      </c>
      <c r="I188">
        <f t="shared" ca="1" si="11"/>
        <v>435.30319626326661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31513</v>
      </c>
      <c r="B191" s="66">
        <v>31513</v>
      </c>
      <c r="D191">
        <f t="shared" si="8"/>
        <v>9.7237136051147227E-2</v>
      </c>
      <c r="E191">
        <f t="shared" si="8"/>
        <v>9.7237136051147227E-2</v>
      </c>
      <c r="G191">
        <f t="shared" ca="1" si="9"/>
        <v>189</v>
      </c>
      <c r="H191">
        <f t="shared" ca="1" si="10"/>
        <v>18.377818713666827</v>
      </c>
      <c r="I191">
        <f t="shared" ca="1" si="11"/>
        <v>507.58028387812328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33952</v>
      </c>
      <c r="B193" s="66">
        <v>33952</v>
      </c>
      <c r="D193">
        <f t="shared" si="8"/>
        <v>0.10476296268868565</v>
      </c>
      <c r="E193">
        <f t="shared" si="8"/>
        <v>0.10476296268868565</v>
      </c>
      <c r="G193">
        <f t="shared" ca="1" si="9"/>
        <v>191</v>
      </c>
      <c r="H193">
        <f t="shared" ca="1" si="10"/>
        <v>20.009725873538958</v>
      </c>
      <c r="I193">
        <f t="shared" ca="1" si="11"/>
        <v>577.5607266850717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33347</v>
      </c>
      <c r="B196" s="66">
        <v>33347</v>
      </c>
      <c r="D196">
        <f t="shared" si="12"/>
        <v>0.10289616272324459</v>
      </c>
      <c r="E196">
        <f t="shared" si="12"/>
        <v>0.10289616272324459</v>
      </c>
      <c r="G196">
        <f t="shared" ca="1" si="13"/>
        <v>194</v>
      </c>
      <c r="H196">
        <f t="shared" ca="1" si="14"/>
        <v>19.961855568309449</v>
      </c>
      <c r="I196">
        <f t="shared" ca="1" si="15"/>
        <v>614.0351595488263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38988</v>
      </c>
      <c r="B198" s="66">
        <v>38988</v>
      </c>
      <c r="D198">
        <f t="shared" si="12"/>
        <v>0.12030214388862147</v>
      </c>
      <c r="E198">
        <f t="shared" si="12"/>
        <v>0.12030214388862147</v>
      </c>
      <c r="G198">
        <f t="shared" ca="1" si="13"/>
        <v>196</v>
      </c>
      <c r="H198">
        <f t="shared" ca="1" si="14"/>
        <v>23.579220202169807</v>
      </c>
      <c r="I198">
        <f t="shared" ca="1" si="15"/>
        <v>755.56018891061274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40535</v>
      </c>
      <c r="B201" s="66">
        <v>40535</v>
      </c>
      <c r="D201">
        <f t="shared" si="12"/>
        <v>0.12507559768455093</v>
      </c>
      <c r="E201">
        <f t="shared" si="12"/>
        <v>0.12507559768455093</v>
      </c>
      <c r="G201">
        <f t="shared" ca="1" si="13"/>
        <v>199</v>
      </c>
      <c r="H201">
        <f t="shared" ca="1" si="14"/>
        <v>24.890043939225635</v>
      </c>
      <c r="I201">
        <f t="shared" ca="1" si="15"/>
        <v>846.13890008901114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46643</v>
      </c>
      <c r="B203" s="66">
        <v>46643</v>
      </c>
      <c r="D203">
        <f t="shared" si="12"/>
        <v>0.14392256328606165</v>
      </c>
      <c r="E203">
        <f t="shared" si="12"/>
        <v>0.14392256328606165</v>
      </c>
      <c r="G203">
        <f t="shared" ca="1" si="13"/>
        <v>201</v>
      </c>
      <c r="H203">
        <f t="shared" ca="1" si="14"/>
        <v>28.928435220498393</v>
      </c>
      <c r="I203">
        <f t="shared" ca="1" si="15"/>
        <v>1021.565060631778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41551</v>
      </c>
      <c r="B206" s="66">
        <v>41551</v>
      </c>
      <c r="D206">
        <f t="shared" si="12"/>
        <v>0.12821058737858085</v>
      </c>
      <c r="E206">
        <f t="shared" si="12"/>
        <v>0.12821058737858085</v>
      </c>
      <c r="G206">
        <f t="shared" ca="1" si="13"/>
        <v>204</v>
      </c>
      <c r="H206">
        <f t="shared" ca="1" si="14"/>
        <v>26.154959825230492</v>
      </c>
      <c r="I206">
        <f t="shared" ca="1" si="15"/>
        <v>976.00530790207165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45456</v>
      </c>
      <c r="B209" s="66">
        <v>45456</v>
      </c>
      <c r="D209">
        <f t="shared" si="12"/>
        <v>0.14025993261006406</v>
      </c>
      <c r="E209">
        <f t="shared" si="12"/>
        <v>0.14025993261006406</v>
      </c>
      <c r="G209">
        <f t="shared" ca="1" si="13"/>
        <v>207</v>
      </c>
      <c r="H209">
        <f t="shared" ca="1" si="14"/>
        <v>29.03380605028326</v>
      </c>
      <c r="I209">
        <f t="shared" ca="1" si="15"/>
        <v>1142.4193521959651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35836</v>
      </c>
      <c r="B211" s="66">
        <v>35836</v>
      </c>
      <c r="D211">
        <f t="shared" si="12"/>
        <v>0.11057627034966243</v>
      </c>
      <c r="E211">
        <f t="shared" si="12"/>
        <v>0.11057627034966243</v>
      </c>
      <c r="G211">
        <f t="shared" ca="1" si="13"/>
        <v>209</v>
      </c>
      <c r="H211">
        <f t="shared" ca="1" si="14"/>
        <v>23.110440503079449</v>
      </c>
      <c r="I211">
        <f t="shared" ca="1" si="15"/>
        <v>941.0056812411824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20091</v>
      </c>
      <c r="B214" s="66">
        <v>20091</v>
      </c>
      <c r="D214">
        <f t="shared" si="12"/>
        <v>6.1993186951531082E-2</v>
      </c>
      <c r="E214">
        <f t="shared" si="12"/>
        <v>6.1993186951531082E-2</v>
      </c>
      <c r="G214">
        <f t="shared" ca="1" si="13"/>
        <v>212</v>
      </c>
      <c r="H214">
        <f t="shared" ca="1" si="14"/>
        <v>13.142555633724589</v>
      </c>
      <c r="I214">
        <f t="shared" ca="1" si="15"/>
        <v>562.43400071112035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16912</v>
      </c>
      <c r="B216" s="66">
        <v>16912</v>
      </c>
      <c r="D216">
        <f t="shared" si="12"/>
        <v>5.218400167857716E-2</v>
      </c>
      <c r="E216">
        <f t="shared" si="12"/>
        <v>5.218400167857716E-2</v>
      </c>
      <c r="G216">
        <f t="shared" ca="1" si="13"/>
        <v>214</v>
      </c>
      <c r="H216">
        <f t="shared" ca="1" si="14"/>
        <v>11.167376359215512</v>
      </c>
      <c r="I216">
        <f t="shared" ca="1" si="15"/>
        <v>493.53082534162502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23251</v>
      </c>
      <c r="B219" s="66">
        <v>23251</v>
      </c>
      <c r="D219">
        <f t="shared" si="12"/>
        <v>7.174374544871083E-2</v>
      </c>
      <c r="E219">
        <f t="shared" si="12"/>
        <v>7.174374544871083E-2</v>
      </c>
      <c r="G219">
        <f t="shared" ca="1" si="13"/>
        <v>217</v>
      </c>
      <c r="H219">
        <f t="shared" ca="1" si="14"/>
        <v>15.56839276237025</v>
      </c>
      <c r="I219">
        <f t="shared" ca="1" si="15"/>
        <v>721.02539553702059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20546</v>
      </c>
      <c r="B221" s="66">
        <v>20546</v>
      </c>
      <c r="D221">
        <f t="shared" si="12"/>
        <v>6.339714395033387E-2</v>
      </c>
      <c r="E221">
        <f t="shared" si="12"/>
        <v>6.339714395033387E-2</v>
      </c>
      <c r="G221">
        <f t="shared" ca="1" si="13"/>
        <v>219</v>
      </c>
      <c r="H221">
        <f t="shared" ca="1" si="14"/>
        <v>13.883974525123117</v>
      </c>
      <c r="I221">
        <f t="shared" ca="1" si="15"/>
        <v>662.81774032399733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8918</v>
      </c>
      <c r="B224" s="66">
        <v>8918</v>
      </c>
      <c r="D224">
        <f t="shared" si="12"/>
        <v>2.751755717653448E-2</v>
      </c>
      <c r="E224">
        <f t="shared" si="12"/>
        <v>2.751755717653448E-2</v>
      </c>
      <c r="G224">
        <f t="shared" ca="1" si="13"/>
        <v>222</v>
      </c>
      <c r="H224">
        <f t="shared" ca="1" si="14"/>
        <v>6.108897693190654</v>
      </c>
      <c r="I224">
        <f t="shared" ca="1" si="15"/>
        <v>304.82595737860413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6658</v>
      </c>
      <c r="B227" s="66">
        <v>6658</v>
      </c>
      <c r="D227">
        <f t="shared" si="12"/>
        <v>2.0544056479184409E-2</v>
      </c>
      <c r="E227">
        <f t="shared" si="12"/>
        <v>2.0544056479184409E-2</v>
      </c>
      <c r="G227">
        <f t="shared" ca="1" si="13"/>
        <v>225</v>
      </c>
      <c r="H227">
        <f t="shared" ca="1" si="14"/>
        <v>4.6224127078164923</v>
      </c>
      <c r="I227">
        <f t="shared" ca="1" si="15"/>
        <v>240.73538443017003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2730</v>
      </c>
      <c r="B229" s="66">
        <v>2730</v>
      </c>
      <c r="D229">
        <f t="shared" si="12"/>
        <v>8.4237419928166763E-3</v>
      </c>
      <c r="E229">
        <f t="shared" si="12"/>
        <v>8.4237419928166763E-3</v>
      </c>
      <c r="G229">
        <f t="shared" ca="1" si="13"/>
        <v>227</v>
      </c>
      <c r="H229">
        <f t="shared" ca="1" si="14"/>
        <v>1.9121894323693855</v>
      </c>
      <c r="I229">
        <f t="shared" ca="1" si="15"/>
        <v>102.39062873814881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517</v>
      </c>
      <c r="B232" s="66">
        <v>517</v>
      </c>
      <c r="D232">
        <f t="shared" si="12"/>
        <v>1.5952654250132681E-3</v>
      </c>
      <c r="E232">
        <f t="shared" si="12"/>
        <v>1.5952654250132681E-3</v>
      </c>
      <c r="G232">
        <f t="shared" ca="1" si="13"/>
        <v>230</v>
      </c>
      <c r="H232">
        <f t="shared" ca="1" si="14"/>
        <v>0.36691104775305167</v>
      </c>
      <c r="I232">
        <f t="shared" ca="1" si="15"/>
        <v>20.460082713438659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117.57472879433621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2.2688326253837885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0.69753794226618926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244</v>
      </c>
      <c r="B8" s="66">
        <v>244</v>
      </c>
      <c r="D8">
        <f t="shared" si="0"/>
        <v>0.14021940889473775</v>
      </c>
      <c r="E8">
        <f t="shared" si="1"/>
        <v>0.14021940889473775</v>
      </c>
      <c r="G8">
        <f t="shared" ca="1" si="2"/>
        <v>6</v>
      </c>
      <c r="H8">
        <f t="shared" ca="1" si="3"/>
        <v>0.84131645336842653</v>
      </c>
      <c r="I8">
        <f t="shared" ca="1" si="4"/>
        <v>1745.5802185751877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348</v>
      </c>
      <c r="B10" s="66">
        <v>348</v>
      </c>
      <c r="D10">
        <f t="shared" si="0"/>
        <v>0.19998505858757679</v>
      </c>
      <c r="E10">
        <f t="shared" si="1"/>
        <v>0.19998505858757679</v>
      </c>
      <c r="G10">
        <f t="shared" ca="1" si="2"/>
        <v>8</v>
      </c>
      <c r="H10">
        <f t="shared" ca="1" si="3"/>
        <v>1.5998804687006143</v>
      </c>
      <c r="I10">
        <f t="shared" ca="1" si="4"/>
        <v>2401.144842191452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684</v>
      </c>
      <c r="B13" s="66">
        <v>684</v>
      </c>
      <c r="D13">
        <f t="shared" si="0"/>
        <v>0.39307408067213367</v>
      </c>
      <c r="E13">
        <f t="shared" si="1"/>
        <v>0.39307408067213367</v>
      </c>
      <c r="G13">
        <f t="shared" ca="1" si="2"/>
        <v>11</v>
      </c>
      <c r="H13">
        <f t="shared" ca="1" si="3"/>
        <v>4.3238148873934703</v>
      </c>
      <c r="I13">
        <f t="shared" ca="1" si="4"/>
        <v>4464.6033383879594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1171</v>
      </c>
      <c r="B15" s="66">
        <v>1171</v>
      </c>
      <c r="D15">
        <f t="shared" si="0"/>
        <v>0.67293822875302423</v>
      </c>
      <c r="E15">
        <f t="shared" si="1"/>
        <v>0.67293822875302423</v>
      </c>
      <c r="G15">
        <f t="shared" ca="1" si="2"/>
        <v>13</v>
      </c>
      <c r="H15">
        <f t="shared" ca="1" si="3"/>
        <v>8.7481969737893142</v>
      </c>
      <c r="I15">
        <f t="shared" ca="1" si="4"/>
        <v>7359.1676137535151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781</v>
      </c>
      <c r="B18" s="66">
        <v>781</v>
      </c>
      <c r="D18">
        <f t="shared" si="0"/>
        <v>0.4488170424048778</v>
      </c>
      <c r="E18">
        <f t="shared" si="1"/>
        <v>0.4488170424048778</v>
      </c>
      <c r="G18">
        <f t="shared" ca="1" si="2"/>
        <v>16</v>
      </c>
      <c r="H18">
        <f t="shared" ca="1" si="3"/>
        <v>7.1810726784780448</v>
      </c>
      <c r="I18">
        <f t="shared" ca="1" si="4"/>
        <v>4630.6364114469297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842</v>
      </c>
      <c r="B21" s="66">
        <v>842</v>
      </c>
      <c r="D21">
        <f t="shared" si="0"/>
        <v>0.48387189462856223</v>
      </c>
      <c r="E21">
        <f t="shared" si="1"/>
        <v>0.48387189462856223</v>
      </c>
      <c r="G21">
        <f t="shared" ca="1" si="2"/>
        <v>19</v>
      </c>
      <c r="H21">
        <f t="shared" ca="1" si="3"/>
        <v>9.1935659979426827</v>
      </c>
      <c r="I21">
        <f t="shared" ca="1" si="4"/>
        <v>4701.7721469605031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1305</v>
      </c>
      <c r="B23" s="66">
        <v>1305</v>
      </c>
      <c r="D23">
        <f t="shared" si="0"/>
        <v>0.74994396970341293</v>
      </c>
      <c r="E23">
        <f t="shared" si="1"/>
        <v>0.74994396970341293</v>
      </c>
      <c r="G23">
        <f t="shared" ca="1" si="2"/>
        <v>21</v>
      </c>
      <c r="H23">
        <f t="shared" ca="1" si="3"/>
        <v>15.748823363771672</v>
      </c>
      <c r="I23">
        <f t="shared" ca="1" si="4"/>
        <v>6994.4861047266395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1861</v>
      </c>
      <c r="B26" s="66">
        <v>1861</v>
      </c>
      <c r="D26">
        <f t="shared" si="0"/>
        <v>1.0694603276766679</v>
      </c>
      <c r="E26">
        <f t="shared" si="1"/>
        <v>1.0694603276766679</v>
      </c>
      <c r="G26">
        <f t="shared" ca="1" si="2"/>
        <v>24</v>
      </c>
      <c r="H26">
        <f t="shared" ca="1" si="3"/>
        <v>25.667047864240029</v>
      </c>
      <c r="I26">
        <f t="shared" ca="1" si="4"/>
        <v>9364.4404648419277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1425</v>
      </c>
      <c r="B28" s="66">
        <v>1425</v>
      </c>
      <c r="D28">
        <f t="shared" si="0"/>
        <v>0.8189043347336119</v>
      </c>
      <c r="E28">
        <f t="shared" si="1"/>
        <v>0.8189043347336119</v>
      </c>
      <c r="G28">
        <f t="shared" ca="1" si="2"/>
        <v>26</v>
      </c>
      <c r="H28">
        <f t="shared" ca="1" si="3"/>
        <v>21.291512703073909</v>
      </c>
      <c r="I28">
        <f t="shared" ca="1" si="4"/>
        <v>6867.2752088077486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3248</v>
      </c>
      <c r="B31" s="66">
        <v>3248</v>
      </c>
      <c r="D31">
        <f t="shared" si="0"/>
        <v>1.86652721348405</v>
      </c>
      <c r="E31">
        <f t="shared" si="1"/>
        <v>1.86652721348405</v>
      </c>
      <c r="G31">
        <f t="shared" ca="1" si="2"/>
        <v>29</v>
      </c>
      <c r="H31">
        <f t="shared" ca="1" si="3"/>
        <v>54.129289191037451</v>
      </c>
      <c r="I31">
        <f t="shared" ca="1" si="4"/>
        <v>14643.806740333313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4655</v>
      </c>
      <c r="B33" s="66">
        <v>4655</v>
      </c>
      <c r="D33">
        <f t="shared" si="0"/>
        <v>2.6750874934631321</v>
      </c>
      <c r="E33">
        <f t="shared" si="1"/>
        <v>2.6750874934631321</v>
      </c>
      <c r="G33">
        <f t="shared" ca="1" si="2"/>
        <v>31</v>
      </c>
      <c r="H33">
        <f t="shared" ca="1" si="3"/>
        <v>82.92771229735709</v>
      </c>
      <c r="I33">
        <f t="shared" ca="1" si="4"/>
        <v>20050.272085625151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10420</v>
      </c>
      <c r="B36" s="66">
        <v>10420</v>
      </c>
      <c r="D36">
        <f t="shared" si="0"/>
        <v>5.9880583634556039</v>
      </c>
      <c r="E36">
        <f t="shared" si="1"/>
        <v>5.9880583634556039</v>
      </c>
      <c r="G36">
        <f t="shared" ca="1" si="2"/>
        <v>34</v>
      </c>
      <c r="H36">
        <f t="shared" ca="1" si="3"/>
        <v>203.59398435749054</v>
      </c>
      <c r="I36">
        <f t="shared" ca="1" si="4"/>
        <v>41825.002588052717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13481</v>
      </c>
      <c r="B39" s="66">
        <v>13481</v>
      </c>
      <c r="D39">
        <f t="shared" si="0"/>
        <v>7.7471223414342605</v>
      </c>
      <c r="E39">
        <f t="shared" si="1"/>
        <v>7.7471223414342605</v>
      </c>
      <c r="G39">
        <f t="shared" ca="1" si="2"/>
        <v>37</v>
      </c>
      <c r="H39">
        <f t="shared" ca="1" si="3"/>
        <v>286.64352663306767</v>
      </c>
      <c r="I39">
        <f t="shared" ca="1" si="4"/>
        <v>50296.541047109065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18037</v>
      </c>
      <c r="B41" s="66">
        <v>18037</v>
      </c>
      <c r="D41">
        <f t="shared" si="0"/>
        <v>10.365317533747479</v>
      </c>
      <c r="E41">
        <f t="shared" si="1"/>
        <v>10.365317533747479</v>
      </c>
      <c r="G41">
        <f t="shared" ca="1" si="2"/>
        <v>39</v>
      </c>
      <c r="H41">
        <f t="shared" ca="1" si="3"/>
        <v>404.24738381615168</v>
      </c>
      <c r="I41">
        <f t="shared" ca="1" si="4"/>
        <v>63995.346122445808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26550</v>
      </c>
      <c r="B44" s="66">
        <v>26550</v>
      </c>
      <c r="D44">
        <f t="shared" si="0"/>
        <v>15.257480762931506</v>
      </c>
      <c r="E44">
        <f t="shared" si="1"/>
        <v>15.257480762931506</v>
      </c>
      <c r="G44">
        <f t="shared" ca="1" si="2"/>
        <v>42</v>
      </c>
      <c r="H44">
        <f t="shared" ca="1" si="3"/>
        <v>640.81419204312328</v>
      </c>
      <c r="I44">
        <f t="shared" ca="1" si="4"/>
        <v>87143.706067109844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36115</v>
      </c>
      <c r="B46" s="66">
        <v>36115</v>
      </c>
      <c r="D46">
        <f t="shared" si="0"/>
        <v>20.754196525546941</v>
      </c>
      <c r="E46">
        <f t="shared" si="1"/>
        <v>20.754196525546941</v>
      </c>
      <c r="G46">
        <f t="shared" ca="1" si="2"/>
        <v>44</v>
      </c>
      <c r="H46">
        <f t="shared" ca="1" si="3"/>
        <v>913.18464712406546</v>
      </c>
      <c r="I46">
        <f t="shared" ca="1" si="4"/>
        <v>112347.4616840339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34107</v>
      </c>
      <c r="B49" s="66">
        <v>34107</v>
      </c>
      <c r="D49">
        <f t="shared" si="0"/>
        <v>19.600259750708279</v>
      </c>
      <c r="E49">
        <f t="shared" si="1"/>
        <v>19.600259750708279</v>
      </c>
      <c r="G49">
        <f t="shared" ca="1" si="2"/>
        <v>47</v>
      </c>
      <c r="H49">
        <f t="shared" ca="1" si="3"/>
        <v>921.2122082832891</v>
      </c>
      <c r="I49">
        <f t="shared" ca="1" si="4"/>
        <v>97624.823714463768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35465</v>
      </c>
      <c r="B51" s="66">
        <v>35465</v>
      </c>
      <c r="D51">
        <f t="shared" si="0"/>
        <v>20.380661214966697</v>
      </c>
      <c r="E51">
        <f t="shared" si="1"/>
        <v>20.380661214966697</v>
      </c>
      <c r="G51">
        <f t="shared" ca="1" si="2"/>
        <v>49</v>
      </c>
      <c r="H51">
        <f t="shared" ca="1" si="3"/>
        <v>998.65239953336811</v>
      </c>
      <c r="I51">
        <f t="shared" ca="1" si="4"/>
        <v>95839.925446473833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41546</v>
      </c>
      <c r="B54" s="66">
        <v>41546</v>
      </c>
      <c r="D54">
        <f t="shared" si="0"/>
        <v>23.875227712872025</v>
      </c>
      <c r="E54">
        <f t="shared" si="1"/>
        <v>23.875227712872025</v>
      </c>
      <c r="G54">
        <f t="shared" ca="1" si="2"/>
        <v>52</v>
      </c>
      <c r="H54">
        <f t="shared" ca="1" si="3"/>
        <v>1241.5118410693453</v>
      </c>
      <c r="I54">
        <f t="shared" ca="1" si="4"/>
        <v>102664.55489837121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44110</v>
      </c>
      <c r="B57" s="66">
        <v>44110</v>
      </c>
      <c r="D57">
        <f t="shared" si="0"/>
        <v>25.348680845683944</v>
      </c>
      <c r="E57">
        <f t="shared" si="1"/>
        <v>25.348680845683944</v>
      </c>
      <c r="G57">
        <f t="shared" ca="1" si="2"/>
        <v>55</v>
      </c>
      <c r="H57">
        <f t="shared" ca="1" si="3"/>
        <v>1394.1774465126168</v>
      </c>
      <c r="I57">
        <f t="shared" ca="1" si="4"/>
        <v>99255.21065514267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47833</v>
      </c>
      <c r="B59" s="66">
        <v>47833</v>
      </c>
      <c r="D59">
        <f t="shared" si="0"/>
        <v>27.488176170745863</v>
      </c>
      <c r="E59">
        <f t="shared" si="1"/>
        <v>27.488176170745863</v>
      </c>
      <c r="G59">
        <f t="shared" ca="1" si="2"/>
        <v>57</v>
      </c>
      <c r="H59">
        <f t="shared" ca="1" si="3"/>
        <v>1566.8260417325141</v>
      </c>
      <c r="I59">
        <f t="shared" ca="1" si="4"/>
        <v>100862.30348365565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52151</v>
      </c>
      <c r="B62" s="66">
        <v>52151</v>
      </c>
      <c r="D62">
        <f t="shared" si="0"/>
        <v>29.969599972415853</v>
      </c>
      <c r="E62">
        <f t="shared" si="1"/>
        <v>29.969599972415853</v>
      </c>
      <c r="G62">
        <f t="shared" ca="1" si="2"/>
        <v>60</v>
      </c>
      <c r="H62">
        <f t="shared" ca="1" si="3"/>
        <v>1798.1759983449513</v>
      </c>
      <c r="I62">
        <f t="shared" ca="1" si="4"/>
        <v>99344.710359173187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57921</v>
      </c>
      <c r="B64" s="66">
        <v>57921</v>
      </c>
      <c r="D64">
        <f t="shared" si="0"/>
        <v>33.285444190951253</v>
      </c>
      <c r="E64">
        <f t="shared" si="1"/>
        <v>33.285444190951253</v>
      </c>
      <c r="G64">
        <f t="shared" ca="1" si="2"/>
        <v>62</v>
      </c>
      <c r="H64">
        <f t="shared" ca="1" si="3"/>
        <v>2063.6975398389777</v>
      </c>
      <c r="I64">
        <f t="shared" ca="1" si="4"/>
        <v>102803.77465174944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57219</v>
      </c>
      <c r="B67" s="66">
        <v>57219</v>
      </c>
      <c r="D67">
        <f t="shared" ref="D67:D130" si="5">IFERROR( 100*A67/MAX(A$2:A$257), 0 )</f>
        <v>32.882026055524584</v>
      </c>
      <c r="E67">
        <f t="shared" ref="E67:E130" si="6">IFERROR( 100*B67/MAX(B$2:B$257), 0 )</f>
        <v>32.882026055524584</v>
      </c>
      <c r="G67">
        <f t="shared" ref="G67:G130" ca="1" si="7">CELL("row",D67)-2</f>
        <v>65</v>
      </c>
      <c r="H67">
        <f t="shared" ref="H67:H130" ca="1" si="8">D67*G67</f>
        <v>2137.3316936090978</v>
      </c>
      <c r="I67">
        <f t="shared" ref="I67:I130" ca="1" si="9">D67*((G67-$L$1)^2)</f>
        <v>90889.277528744424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52499</v>
      </c>
      <c r="B69" s="66">
        <v>52499</v>
      </c>
      <c r="D69">
        <f t="shared" si="5"/>
        <v>30.169585031003432</v>
      </c>
      <c r="E69">
        <f t="shared" si="6"/>
        <v>30.169585031003432</v>
      </c>
      <c r="G69">
        <f t="shared" ca="1" si="7"/>
        <v>67</v>
      </c>
      <c r="H69">
        <f t="shared" ca="1" si="8"/>
        <v>2021.3621970772299</v>
      </c>
      <c r="I69">
        <f t="shared" ca="1" si="9"/>
        <v>77167.860912341057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64387</v>
      </c>
      <c r="B72" s="66">
        <v>64387</v>
      </c>
      <c r="D72">
        <f t="shared" si="5"/>
        <v>37.0012585266618</v>
      </c>
      <c r="E72">
        <f t="shared" si="6"/>
        <v>37.0012585266618</v>
      </c>
      <c r="G72">
        <f t="shared" ca="1" si="7"/>
        <v>70</v>
      </c>
      <c r="H72">
        <f t="shared" ca="1" si="8"/>
        <v>2590.0880968663259</v>
      </c>
      <c r="I72">
        <f t="shared" ca="1" si="9"/>
        <v>83746.976827007689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61555</v>
      </c>
      <c r="B75" s="66">
        <v>61555</v>
      </c>
      <c r="D75">
        <f t="shared" si="5"/>
        <v>35.373793911949107</v>
      </c>
      <c r="E75">
        <f t="shared" si="6"/>
        <v>35.373793911949107</v>
      </c>
      <c r="G75">
        <f t="shared" ca="1" si="7"/>
        <v>73</v>
      </c>
      <c r="H75">
        <f t="shared" ca="1" si="8"/>
        <v>2582.286955572285</v>
      </c>
      <c r="I75">
        <f t="shared" ca="1" si="9"/>
        <v>70284.419181636054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58917</v>
      </c>
      <c r="B77" s="66">
        <v>58917</v>
      </c>
      <c r="D77">
        <f t="shared" si="5"/>
        <v>33.857815220701902</v>
      </c>
      <c r="E77">
        <f t="shared" si="6"/>
        <v>33.857815220701902</v>
      </c>
      <c r="G77">
        <f t="shared" ca="1" si="7"/>
        <v>75</v>
      </c>
      <c r="H77">
        <f t="shared" ca="1" si="8"/>
        <v>2539.3361415526424</v>
      </c>
      <c r="I77">
        <f t="shared" ca="1" si="9"/>
        <v>61370.930883104673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59966</v>
      </c>
      <c r="B80" s="66">
        <v>59966</v>
      </c>
      <c r="D80">
        <f t="shared" si="5"/>
        <v>34.460643745007559</v>
      </c>
      <c r="E80">
        <f t="shared" si="6"/>
        <v>34.460643745007559</v>
      </c>
      <c r="G80">
        <f t="shared" ca="1" si="7"/>
        <v>78</v>
      </c>
      <c r="H80">
        <f t="shared" ca="1" si="8"/>
        <v>2687.9302121105898</v>
      </c>
      <c r="I80">
        <f t="shared" ca="1" si="9"/>
        <v>53970.85283128552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71915</v>
      </c>
      <c r="B82" s="66">
        <v>71915</v>
      </c>
      <c r="D82">
        <f t="shared" si="5"/>
        <v>41.327372092889611</v>
      </c>
      <c r="E82">
        <f t="shared" si="6"/>
        <v>41.327372092889611</v>
      </c>
      <c r="G82">
        <f t="shared" ca="1" si="7"/>
        <v>80</v>
      </c>
      <c r="H82">
        <f t="shared" ca="1" si="8"/>
        <v>3306.189767431169</v>
      </c>
      <c r="I82">
        <f t="shared" ca="1" si="9"/>
        <v>58348.473645620077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85697</v>
      </c>
      <c r="B85" s="66">
        <v>85697</v>
      </c>
      <c r="D85">
        <f t="shared" si="5"/>
        <v>49.247470016607956</v>
      </c>
      <c r="E85">
        <f t="shared" si="6"/>
        <v>49.247470016607956</v>
      </c>
      <c r="G85">
        <f t="shared" ca="1" si="7"/>
        <v>83</v>
      </c>
      <c r="H85">
        <f t="shared" ca="1" si="8"/>
        <v>4087.5400113784603</v>
      </c>
      <c r="I85">
        <f t="shared" ca="1" si="9"/>
        <v>58871.010284512857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95877</v>
      </c>
      <c r="B88" s="66">
        <v>95877</v>
      </c>
      <c r="D88">
        <f t="shared" si="5"/>
        <v>55.097607650003162</v>
      </c>
      <c r="E88">
        <f t="shared" si="6"/>
        <v>55.097607650003162</v>
      </c>
      <c r="G88">
        <f t="shared" ca="1" si="7"/>
        <v>86</v>
      </c>
      <c r="H88">
        <f t="shared" ca="1" si="8"/>
        <v>4738.3942579002724</v>
      </c>
      <c r="I88">
        <f t="shared" ca="1" si="9"/>
        <v>54930.30367819489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101389</v>
      </c>
      <c r="B90" s="66">
        <v>101389</v>
      </c>
      <c r="D90">
        <f t="shared" si="5"/>
        <v>58.265187083723632</v>
      </c>
      <c r="E90">
        <f t="shared" si="6"/>
        <v>58.265187083723632</v>
      </c>
      <c r="G90">
        <f t="shared" ca="1" si="7"/>
        <v>88</v>
      </c>
      <c r="H90">
        <f t="shared" ca="1" si="8"/>
        <v>5127.3364633676792</v>
      </c>
      <c r="I90">
        <f t="shared" ca="1" si="9"/>
        <v>50962.495579065959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105363</v>
      </c>
      <c r="B93" s="66">
        <v>105363</v>
      </c>
      <c r="D93">
        <f t="shared" si="5"/>
        <v>60.548924505640386</v>
      </c>
      <c r="E93">
        <f t="shared" si="6"/>
        <v>60.548924505640386</v>
      </c>
      <c r="G93">
        <f t="shared" ca="1" si="7"/>
        <v>91</v>
      </c>
      <c r="H93">
        <f t="shared" ca="1" si="8"/>
        <v>5509.9521300132756</v>
      </c>
      <c r="I93">
        <f t="shared" ca="1" si="9"/>
        <v>42760.632013771152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103060</v>
      </c>
      <c r="B95" s="66">
        <v>103060</v>
      </c>
      <c r="D95">
        <f t="shared" si="5"/>
        <v>59.225460166769146</v>
      </c>
      <c r="E95">
        <f t="shared" si="6"/>
        <v>59.225460166769146</v>
      </c>
      <c r="G95">
        <f t="shared" ca="1" si="7"/>
        <v>93</v>
      </c>
      <c r="H95">
        <f t="shared" ca="1" si="8"/>
        <v>5507.9677955095303</v>
      </c>
      <c r="I95">
        <f t="shared" ca="1" si="9"/>
        <v>35767.279717711986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115963</v>
      </c>
      <c r="B98" s="66">
        <v>115963</v>
      </c>
      <c r="D98">
        <f t="shared" si="5"/>
        <v>66.640423416641283</v>
      </c>
      <c r="E98">
        <f t="shared" si="6"/>
        <v>66.640423416641283</v>
      </c>
      <c r="G98">
        <f t="shared" ca="1" si="7"/>
        <v>96</v>
      </c>
      <c r="H98">
        <f t="shared" ca="1" si="8"/>
        <v>6397.4806479975632</v>
      </c>
      <c r="I98">
        <f t="shared" ca="1" si="9"/>
        <v>31019.04608596383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117470</v>
      </c>
      <c r="B100" s="66">
        <v>117470</v>
      </c>
      <c r="D100">
        <f t="shared" si="5"/>
        <v>67.506450667478873</v>
      </c>
      <c r="E100">
        <f t="shared" si="6"/>
        <v>67.506450667478873</v>
      </c>
      <c r="G100">
        <f t="shared" ca="1" si="7"/>
        <v>98</v>
      </c>
      <c r="H100">
        <f t="shared" ca="1" si="8"/>
        <v>6615.6321654129297</v>
      </c>
      <c r="I100">
        <f t="shared" ca="1" si="9"/>
        <v>25866.447199902956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124904</v>
      </c>
      <c r="B103" s="66">
        <v>124904</v>
      </c>
      <c r="D103">
        <f t="shared" si="5"/>
        <v>71.778545281099682</v>
      </c>
      <c r="E103">
        <f t="shared" si="6"/>
        <v>71.778545281099682</v>
      </c>
      <c r="G103">
        <f t="shared" ca="1" si="7"/>
        <v>101</v>
      </c>
      <c r="H103">
        <f t="shared" ca="1" si="8"/>
        <v>7249.6330733910681</v>
      </c>
      <c r="I103">
        <f t="shared" ca="1" si="9"/>
        <v>19719.119289249986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126125</v>
      </c>
      <c r="B106" s="66">
        <v>126125</v>
      </c>
      <c r="D106">
        <f t="shared" si="5"/>
        <v>72.480216995281964</v>
      </c>
      <c r="E106">
        <f t="shared" si="6"/>
        <v>72.480216995281964</v>
      </c>
      <c r="G106">
        <f t="shared" ca="1" si="7"/>
        <v>104</v>
      </c>
      <c r="H106">
        <f t="shared" ca="1" si="8"/>
        <v>7537.9425675093244</v>
      </c>
      <c r="I106">
        <f t="shared" ca="1" si="9"/>
        <v>13356.166004575711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124369</v>
      </c>
      <c r="B108" s="66">
        <v>124369</v>
      </c>
      <c r="D108">
        <f t="shared" si="5"/>
        <v>71.471096987006717</v>
      </c>
      <c r="E108">
        <f t="shared" si="6"/>
        <v>71.471096987006717</v>
      </c>
      <c r="G108">
        <f t="shared" ca="1" si="7"/>
        <v>106</v>
      </c>
      <c r="H108">
        <f t="shared" ca="1" si="8"/>
        <v>7575.9362806227118</v>
      </c>
      <c r="I108">
        <f t="shared" ca="1" si="9"/>
        <v>9575.2935240818078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135165</v>
      </c>
      <c r="B111" s="66">
        <v>135165</v>
      </c>
      <c r="D111">
        <f t="shared" si="5"/>
        <v>77.675231160890277</v>
      </c>
      <c r="E111">
        <f t="shared" si="6"/>
        <v>77.675231160890277</v>
      </c>
      <c r="G111">
        <f t="shared" ca="1" si="7"/>
        <v>109</v>
      </c>
      <c r="H111">
        <f t="shared" ca="1" si="8"/>
        <v>8466.6001965370397</v>
      </c>
      <c r="I111">
        <f t="shared" ca="1" si="9"/>
        <v>5711.1470187338919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137242</v>
      </c>
      <c r="B113" s="66">
        <v>137242</v>
      </c>
      <c r="D113">
        <f t="shared" si="5"/>
        <v>78.868820145621299</v>
      </c>
      <c r="E113">
        <f t="shared" si="6"/>
        <v>78.868820145621299</v>
      </c>
      <c r="G113">
        <f t="shared" ca="1" si="7"/>
        <v>111</v>
      </c>
      <c r="H113">
        <f t="shared" ca="1" si="8"/>
        <v>8754.4390361639635</v>
      </c>
      <c r="I113">
        <f t="shared" ca="1" si="9"/>
        <v>3409.267119538832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150593</v>
      </c>
      <c r="B116" s="66">
        <v>150593</v>
      </c>
      <c r="D116">
        <f t="shared" si="5"/>
        <v>86.541235424939515</v>
      </c>
      <c r="E116">
        <f t="shared" si="6"/>
        <v>86.541235424939515</v>
      </c>
      <c r="G116">
        <f t="shared" ca="1" si="7"/>
        <v>114</v>
      </c>
      <c r="H116">
        <f t="shared" ca="1" si="8"/>
        <v>9865.7008384431047</v>
      </c>
      <c r="I116">
        <f t="shared" ca="1" si="9"/>
        <v>1105.8832694848224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148809</v>
      </c>
      <c r="B118" s="66">
        <v>148809</v>
      </c>
      <c r="D118">
        <f t="shared" si="5"/>
        <v>85.516024664823888</v>
      </c>
      <c r="E118">
        <f t="shared" si="6"/>
        <v>85.516024664823888</v>
      </c>
      <c r="G118">
        <f t="shared" ca="1" si="7"/>
        <v>116</v>
      </c>
      <c r="H118">
        <f t="shared" ca="1" si="8"/>
        <v>9919.8588611195719</v>
      </c>
      <c r="I118">
        <f t="shared" ca="1" si="9"/>
        <v>212.06013881886028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156367</v>
      </c>
      <c r="B121" s="66">
        <v>156367</v>
      </c>
      <c r="D121">
        <f t="shared" si="5"/>
        <v>89.859378322309254</v>
      </c>
      <c r="E121">
        <f t="shared" si="6"/>
        <v>89.859378322309254</v>
      </c>
      <c r="G121">
        <f t="shared" ca="1" si="7"/>
        <v>119</v>
      </c>
      <c r="H121">
        <f t="shared" ca="1" si="8"/>
        <v>10693.266020354802</v>
      </c>
      <c r="I121">
        <f t="shared" ca="1" si="9"/>
        <v>182.54016227630746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150401</v>
      </c>
      <c r="B124" s="66">
        <v>150401</v>
      </c>
      <c r="D124">
        <f t="shared" si="5"/>
        <v>86.430898840891203</v>
      </c>
      <c r="E124">
        <f t="shared" si="6"/>
        <v>86.430898840891203</v>
      </c>
      <c r="G124">
        <f t="shared" ca="1" si="7"/>
        <v>122</v>
      </c>
      <c r="H124">
        <f t="shared" ca="1" si="8"/>
        <v>10544.569658588727</v>
      </c>
      <c r="I124">
        <f t="shared" ca="1" si="9"/>
        <v>1692.5784738348705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157865</v>
      </c>
      <c r="B126" s="66">
        <v>157865</v>
      </c>
      <c r="D126">
        <f t="shared" si="5"/>
        <v>90.720233545769574</v>
      </c>
      <c r="E126">
        <f t="shared" si="6"/>
        <v>90.720233545769574</v>
      </c>
      <c r="G126">
        <f t="shared" ca="1" si="7"/>
        <v>124</v>
      </c>
      <c r="H126">
        <f t="shared" ca="1" si="8"/>
        <v>11249.308959675427</v>
      </c>
      <c r="I126">
        <f t="shared" ca="1" si="9"/>
        <v>3745.3041069469155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162709</v>
      </c>
      <c r="B129" s="66">
        <v>162709</v>
      </c>
      <c r="D129">
        <f t="shared" si="5"/>
        <v>93.503933614155258</v>
      </c>
      <c r="E129">
        <f t="shared" si="6"/>
        <v>93.503933614155258</v>
      </c>
      <c r="G129">
        <f t="shared" ca="1" si="7"/>
        <v>127</v>
      </c>
      <c r="H129">
        <f t="shared" ca="1" si="8"/>
        <v>11874.999568997719</v>
      </c>
      <c r="I129">
        <f t="shared" ca="1" si="9"/>
        <v>8306.4908830931854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174013</v>
      </c>
      <c r="B131" s="66">
        <v>174013</v>
      </c>
      <c r="D131">
        <f t="shared" ref="D131:D194" si="10">IFERROR( 100*A131/MAX(A$2:A$257), 0 )</f>
        <v>100</v>
      </c>
      <c r="E131">
        <f t="shared" ref="E131:E194" si="11">IFERROR( 100*B131/MAX(B$2:B$257), 0 )</f>
        <v>100</v>
      </c>
      <c r="G131">
        <f t="shared" ref="G131:G194" ca="1" si="12">CELL("row",D131)-2</f>
        <v>129</v>
      </c>
      <c r="H131">
        <f t="shared" ref="H131:H194" ca="1" si="13">D131*G131</f>
        <v>12900</v>
      </c>
      <c r="I131">
        <f t="shared" ref="I131:I194" ca="1" si="14">D131*((G131-$L$1)^2)</f>
        <v>13053.682212297013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171237</v>
      </c>
      <c r="B134" s="66">
        <v>171237</v>
      </c>
      <c r="D134">
        <f t="shared" si="10"/>
        <v>98.404716888968068</v>
      </c>
      <c r="E134">
        <f t="shared" si="11"/>
        <v>98.404716888968068</v>
      </c>
      <c r="G134">
        <f t="shared" ca="1" si="12"/>
        <v>132</v>
      </c>
      <c r="H134">
        <f t="shared" ca="1" si="13"/>
        <v>12989.422629343784</v>
      </c>
      <c r="I134">
        <f t="shared" ca="1" si="14"/>
        <v>20476.884946835318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166623</v>
      </c>
      <c r="B136" s="66">
        <v>166623</v>
      </c>
      <c r="D136">
        <f t="shared" si="10"/>
        <v>95.753190853556916</v>
      </c>
      <c r="E136">
        <f t="shared" si="11"/>
        <v>95.753190853556916</v>
      </c>
      <c r="G136">
        <f t="shared" ca="1" si="12"/>
        <v>134</v>
      </c>
      <c r="H136">
        <f t="shared" ca="1" si="13"/>
        <v>12830.927574376627</v>
      </c>
      <c r="I136">
        <f t="shared" ca="1" si="14"/>
        <v>25833.208756592227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158349</v>
      </c>
      <c r="B139" s="66">
        <v>158349</v>
      </c>
      <c r="D139">
        <f t="shared" si="10"/>
        <v>90.998373684724712</v>
      </c>
      <c r="E139">
        <f t="shared" si="11"/>
        <v>90.998373684724712</v>
      </c>
      <c r="G139">
        <f t="shared" ca="1" si="12"/>
        <v>137</v>
      </c>
      <c r="H139">
        <f t="shared" ca="1" si="13"/>
        <v>12466.777194807286</v>
      </c>
      <c r="I139">
        <f t="shared" ca="1" si="14"/>
        <v>34337.432012941958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154046</v>
      </c>
      <c r="B142" s="66">
        <v>154046</v>
      </c>
      <c r="D142">
        <f t="shared" si="10"/>
        <v>88.525569928683495</v>
      </c>
      <c r="E142">
        <f t="shared" si="11"/>
        <v>88.525569928683495</v>
      </c>
      <c r="G142">
        <f t="shared" ca="1" si="12"/>
        <v>140</v>
      </c>
      <c r="H142">
        <f t="shared" ca="1" si="13"/>
        <v>12393.579790015689</v>
      </c>
      <c r="I142">
        <f t="shared" ca="1" si="14"/>
        <v>44518.870728051421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139675</v>
      </c>
      <c r="B144" s="66">
        <v>139675</v>
      </c>
      <c r="D144">
        <f t="shared" si="10"/>
        <v>80.26699154660858</v>
      </c>
      <c r="E144">
        <f t="shared" si="11"/>
        <v>80.26699154660858</v>
      </c>
      <c r="G144">
        <f t="shared" ca="1" si="12"/>
        <v>142</v>
      </c>
      <c r="H144">
        <f t="shared" ca="1" si="13"/>
        <v>11397.912799618418</v>
      </c>
      <c r="I144">
        <f t="shared" ca="1" si="14"/>
        <v>47886.795398593313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127540</v>
      </c>
      <c r="B147" s="66">
        <v>127540</v>
      </c>
      <c r="D147">
        <f t="shared" si="10"/>
        <v>73.293374632929726</v>
      </c>
      <c r="E147">
        <f t="shared" si="11"/>
        <v>73.293374632929726</v>
      </c>
      <c r="G147">
        <f t="shared" ca="1" si="12"/>
        <v>145</v>
      </c>
      <c r="H147">
        <f t="shared" ca="1" si="13"/>
        <v>10627.53932177481</v>
      </c>
      <c r="I147">
        <f t="shared" ca="1" si="14"/>
        <v>55127.281961586275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105494</v>
      </c>
      <c r="B149" s="66">
        <v>105494</v>
      </c>
      <c r="D149">
        <f t="shared" si="10"/>
        <v>60.624206237465017</v>
      </c>
      <c r="E149">
        <f t="shared" si="11"/>
        <v>60.624206237465017</v>
      </c>
      <c r="G149">
        <f t="shared" ca="1" si="12"/>
        <v>147</v>
      </c>
      <c r="H149">
        <f t="shared" ca="1" si="13"/>
        <v>8911.7583169073569</v>
      </c>
      <c r="I149">
        <f t="shared" ca="1" si="14"/>
        <v>52491.261970985652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84859</v>
      </c>
      <c r="B152" s="66">
        <v>84859</v>
      </c>
      <c r="D152">
        <f t="shared" si="10"/>
        <v>48.765896800813735</v>
      </c>
      <c r="E152">
        <f t="shared" si="11"/>
        <v>48.765896800813735</v>
      </c>
      <c r="G152">
        <f t="shared" ca="1" si="12"/>
        <v>150</v>
      </c>
      <c r="H152">
        <f t="shared" ca="1" si="13"/>
        <v>7314.8845201220602</v>
      </c>
      <c r="I152">
        <f t="shared" ca="1" si="14"/>
        <v>51272.376740055573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79392</v>
      </c>
      <c r="B154" s="66">
        <v>79392</v>
      </c>
      <c r="D154">
        <f t="shared" si="10"/>
        <v>45.624177503979588</v>
      </c>
      <c r="E154">
        <f t="shared" si="11"/>
        <v>45.624177503979588</v>
      </c>
      <c r="G154">
        <f t="shared" ca="1" si="12"/>
        <v>152</v>
      </c>
      <c r="H154">
        <f t="shared" ca="1" si="13"/>
        <v>6934.8749806048972</v>
      </c>
      <c r="I154">
        <f t="shared" ca="1" si="14"/>
        <v>54069.180712791334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82821</v>
      </c>
      <c r="B157" s="66">
        <v>82821</v>
      </c>
      <c r="D157">
        <f t="shared" si="10"/>
        <v>47.594719934717524</v>
      </c>
      <c r="E157">
        <f t="shared" si="11"/>
        <v>47.594719934717524</v>
      </c>
      <c r="G157">
        <f t="shared" ca="1" si="12"/>
        <v>155</v>
      </c>
      <c r="H157">
        <f t="shared" ca="1" si="13"/>
        <v>7377.1815898812165</v>
      </c>
      <c r="I157">
        <f t="shared" ca="1" si="14"/>
        <v>66663.588492991403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74620</v>
      </c>
      <c r="B160" s="66">
        <v>74620</v>
      </c>
      <c r="D160">
        <f t="shared" si="10"/>
        <v>42.881853654612009</v>
      </c>
      <c r="E160">
        <f t="shared" si="11"/>
        <v>42.881853654612009</v>
      </c>
      <c r="G160">
        <f t="shared" ca="1" si="12"/>
        <v>158</v>
      </c>
      <c r="H160">
        <f t="shared" ca="1" si="13"/>
        <v>6775.3328774286974</v>
      </c>
      <c r="I160">
        <f t="shared" ca="1" si="14"/>
        <v>70077.634679064591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60497</v>
      </c>
      <c r="B162" s="66">
        <v>60497</v>
      </c>
      <c r="D162">
        <f t="shared" si="10"/>
        <v>34.765793360266187</v>
      </c>
      <c r="E162">
        <f t="shared" si="11"/>
        <v>34.765793360266187</v>
      </c>
      <c r="G162">
        <f t="shared" ca="1" si="12"/>
        <v>160</v>
      </c>
      <c r="H162">
        <f t="shared" ca="1" si="13"/>
        <v>5562.5269376425895</v>
      </c>
      <c r="I162">
        <f t="shared" ca="1" si="14"/>
        <v>62575.07790795742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54706</v>
      </c>
      <c r="B165" s="66">
        <v>54706</v>
      </c>
      <c r="D165">
        <f t="shared" si="10"/>
        <v>31.437881077850506</v>
      </c>
      <c r="E165">
        <f t="shared" si="11"/>
        <v>31.437881077850506</v>
      </c>
      <c r="G165">
        <f t="shared" ca="1" si="12"/>
        <v>163</v>
      </c>
      <c r="H165">
        <f t="shared" ca="1" si="13"/>
        <v>5124.3746156896323</v>
      </c>
      <c r="I165">
        <f t="shared" ca="1" si="14"/>
        <v>64870.661202495299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51453</v>
      </c>
      <c r="B167" s="66">
        <v>51453</v>
      </c>
      <c r="D167">
        <f t="shared" si="10"/>
        <v>29.568480515823531</v>
      </c>
      <c r="E167">
        <f t="shared" si="11"/>
        <v>29.568480515823531</v>
      </c>
      <c r="G167">
        <f t="shared" ca="1" si="12"/>
        <v>165</v>
      </c>
      <c r="H167">
        <f t="shared" ca="1" si="13"/>
        <v>4878.7992851108829</v>
      </c>
      <c r="I167">
        <f t="shared" ca="1" si="14"/>
        <v>66504.135680400068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43312</v>
      </c>
      <c r="B170" s="66">
        <v>43312</v>
      </c>
      <c r="D170">
        <f t="shared" si="10"/>
        <v>24.890094418233119</v>
      </c>
      <c r="E170">
        <f t="shared" si="11"/>
        <v>24.890094418233119</v>
      </c>
      <c r="G170">
        <f t="shared" ca="1" si="12"/>
        <v>168</v>
      </c>
      <c r="H170">
        <f t="shared" ca="1" si="13"/>
        <v>4181.5358622631638</v>
      </c>
      <c r="I170">
        <f t="shared" ca="1" si="14"/>
        <v>63288.241604734962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33411</v>
      </c>
      <c r="B173" s="66">
        <v>33411</v>
      </c>
      <c r="D173">
        <f t="shared" si="10"/>
        <v>19.200289633533128</v>
      </c>
      <c r="E173">
        <f t="shared" si="11"/>
        <v>19.200289633533128</v>
      </c>
      <c r="G173">
        <f t="shared" ca="1" si="12"/>
        <v>171</v>
      </c>
      <c r="H173">
        <f t="shared" ca="1" si="13"/>
        <v>3283.2495273341647</v>
      </c>
      <c r="I173">
        <f t="shared" ca="1" si="14"/>
        <v>54802.611074548979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32344</v>
      </c>
      <c r="B175" s="66">
        <v>32344</v>
      </c>
      <c r="D175">
        <f t="shared" si="10"/>
        <v>18.587117054472941</v>
      </c>
      <c r="E175">
        <f t="shared" si="11"/>
        <v>18.587117054472941</v>
      </c>
      <c r="G175">
        <f t="shared" ca="1" si="12"/>
        <v>173</v>
      </c>
      <c r="H175">
        <f t="shared" ca="1" si="13"/>
        <v>3215.5712504238186</v>
      </c>
      <c r="I175">
        <f t="shared" ca="1" si="14"/>
        <v>57098.892898710117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30041</v>
      </c>
      <c r="B178" s="66">
        <v>30041</v>
      </c>
      <c r="D178">
        <f t="shared" si="10"/>
        <v>17.263652715601708</v>
      </c>
      <c r="E178">
        <f t="shared" si="11"/>
        <v>17.263652715601708</v>
      </c>
      <c r="G178">
        <f t="shared" ca="1" si="12"/>
        <v>176</v>
      </c>
      <c r="H178">
        <f t="shared" ca="1" si="13"/>
        <v>3038.4028779459004</v>
      </c>
      <c r="I178">
        <f t="shared" ca="1" si="14"/>
        <v>58929.691154450906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27495</v>
      </c>
      <c r="B180" s="66">
        <v>27495</v>
      </c>
      <c r="D180">
        <f t="shared" si="10"/>
        <v>15.800543637544321</v>
      </c>
      <c r="E180">
        <f t="shared" si="11"/>
        <v>15.800543637544321</v>
      </c>
      <c r="G180">
        <f t="shared" ca="1" si="12"/>
        <v>178</v>
      </c>
      <c r="H180">
        <f t="shared" ca="1" si="13"/>
        <v>2812.496767482889</v>
      </c>
      <c r="I180">
        <f t="shared" ca="1" si="14"/>
        <v>57691.156661079462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19597</v>
      </c>
      <c r="B183" s="66">
        <v>19597</v>
      </c>
      <c r="D183">
        <f t="shared" si="10"/>
        <v>11.261802279140063</v>
      </c>
      <c r="E183">
        <f t="shared" si="11"/>
        <v>11.261802279140063</v>
      </c>
      <c r="G183">
        <f t="shared" ca="1" si="12"/>
        <v>181</v>
      </c>
      <c r="H183">
        <f t="shared" ca="1" si="13"/>
        <v>2038.3862125243515</v>
      </c>
      <c r="I183">
        <f t="shared" ca="1" si="14"/>
        <v>45303.584355279629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18425</v>
      </c>
      <c r="B185" s="66">
        <v>18425</v>
      </c>
      <c r="D185">
        <f t="shared" si="10"/>
        <v>10.588289380678455</v>
      </c>
      <c r="E185">
        <f t="shared" si="11"/>
        <v>10.588289380678455</v>
      </c>
      <c r="G185">
        <f t="shared" ca="1" si="12"/>
        <v>183</v>
      </c>
      <c r="H185">
        <f t="shared" ca="1" si="13"/>
        <v>1937.6569566641574</v>
      </c>
      <c r="I185">
        <f t="shared" ca="1" si="14"/>
        <v>45322.81388158707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16074</v>
      </c>
      <c r="B188" s="66">
        <v>16074</v>
      </c>
      <c r="D188">
        <f t="shared" si="10"/>
        <v>9.2372408957951411</v>
      </c>
      <c r="E188">
        <f t="shared" si="11"/>
        <v>9.2372408957951411</v>
      </c>
      <c r="G188">
        <f t="shared" ca="1" si="12"/>
        <v>186</v>
      </c>
      <c r="H188">
        <f t="shared" ca="1" si="13"/>
        <v>1718.1268066178961</v>
      </c>
      <c r="I188">
        <f t="shared" ca="1" si="14"/>
        <v>43248.925738781785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16180</v>
      </c>
      <c r="B191" s="66">
        <v>16180</v>
      </c>
      <c r="D191">
        <f t="shared" si="10"/>
        <v>9.2981558849051513</v>
      </c>
      <c r="E191">
        <f t="shared" si="11"/>
        <v>9.2981558849051513</v>
      </c>
      <c r="G191">
        <f t="shared" ca="1" si="12"/>
        <v>189</v>
      </c>
      <c r="H191">
        <f t="shared" ca="1" si="13"/>
        <v>1757.3514622470736</v>
      </c>
      <c r="I191">
        <f t="shared" ca="1" si="14"/>
        <v>47435.187230187679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15810</v>
      </c>
      <c r="B193" s="66">
        <v>15810</v>
      </c>
      <c r="D193">
        <f t="shared" si="10"/>
        <v>9.0855280927287048</v>
      </c>
      <c r="E193">
        <f t="shared" si="11"/>
        <v>9.0855280927287048</v>
      </c>
      <c r="G193">
        <f t="shared" ca="1" si="12"/>
        <v>191</v>
      </c>
      <c r="H193">
        <f t="shared" ca="1" si="13"/>
        <v>1735.3358657111826</v>
      </c>
      <c r="I193">
        <f t="shared" ca="1" si="14"/>
        <v>48982.539143739654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14663</v>
      </c>
      <c r="B196" s="66">
        <v>14663</v>
      </c>
      <c r="D196">
        <f t="shared" si="15"/>
        <v>8.4263819369817199</v>
      </c>
      <c r="E196">
        <f t="shared" si="16"/>
        <v>8.4263819369817199</v>
      </c>
      <c r="G196">
        <f t="shared" ca="1" si="17"/>
        <v>194</v>
      </c>
      <c r="H196">
        <f t="shared" ca="1" si="18"/>
        <v>1634.7180957744536</v>
      </c>
      <c r="I196">
        <f t="shared" ca="1" si="19"/>
        <v>49216.99766242371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14715</v>
      </c>
      <c r="B198" s="66">
        <v>14715</v>
      </c>
      <c r="D198">
        <f t="shared" si="15"/>
        <v>8.4562647618281392</v>
      </c>
      <c r="E198">
        <f t="shared" si="16"/>
        <v>8.4562647618281392</v>
      </c>
      <c r="G198">
        <f t="shared" ca="1" si="17"/>
        <v>196</v>
      </c>
      <c r="H198">
        <f t="shared" ca="1" si="18"/>
        <v>1657.4278933183152</v>
      </c>
      <c r="I198">
        <f t="shared" ca="1" si="19"/>
        <v>52010.45229585113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17478</v>
      </c>
      <c r="B201" s="66">
        <v>17478</v>
      </c>
      <c r="D201">
        <f t="shared" si="15"/>
        <v>10.044077166648469</v>
      </c>
      <c r="E201">
        <f t="shared" si="16"/>
        <v>10.044077166648469</v>
      </c>
      <c r="G201">
        <f t="shared" ca="1" si="17"/>
        <v>199</v>
      </c>
      <c r="H201">
        <f t="shared" ca="1" si="18"/>
        <v>1998.7713561630453</v>
      </c>
      <c r="I201">
        <f t="shared" ca="1" si="19"/>
        <v>66592.982820610021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25833</v>
      </c>
      <c r="B203" s="66">
        <v>25833</v>
      </c>
      <c r="D203">
        <f t="shared" si="15"/>
        <v>14.845442581876068</v>
      </c>
      <c r="E203">
        <f t="shared" si="16"/>
        <v>14.845442581876068</v>
      </c>
      <c r="G203">
        <f t="shared" ca="1" si="17"/>
        <v>201</v>
      </c>
      <c r="H203">
        <f t="shared" ca="1" si="18"/>
        <v>2983.9339589570895</v>
      </c>
      <c r="I203">
        <f t="shared" ca="1" si="19"/>
        <v>103320.95314600297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19552</v>
      </c>
      <c r="B206" s="66">
        <v>19552</v>
      </c>
      <c r="D206">
        <f t="shared" si="15"/>
        <v>11.235942142253739</v>
      </c>
      <c r="E206">
        <f t="shared" si="16"/>
        <v>11.235942142253739</v>
      </c>
      <c r="G206">
        <f t="shared" ca="1" si="17"/>
        <v>204</v>
      </c>
      <c r="H206">
        <f t="shared" ca="1" si="18"/>
        <v>2292.1321970197628</v>
      </c>
      <c r="I206">
        <f t="shared" ca="1" si="19"/>
        <v>83924.93166494403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24963</v>
      </c>
      <c r="B209" s="66">
        <v>24963</v>
      </c>
      <c r="D209">
        <f t="shared" si="15"/>
        <v>14.345479935407125</v>
      </c>
      <c r="E209">
        <f t="shared" si="16"/>
        <v>14.345479935407125</v>
      </c>
      <c r="G209">
        <f t="shared" ca="1" si="17"/>
        <v>207</v>
      </c>
      <c r="H209">
        <f t="shared" ca="1" si="18"/>
        <v>2969.5143466292748</v>
      </c>
      <c r="I209">
        <f t="shared" ca="1" si="19"/>
        <v>114719.06910825364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19250</v>
      </c>
      <c r="B211" s="66">
        <v>19250</v>
      </c>
      <c r="D211">
        <f t="shared" si="15"/>
        <v>11.062391890261072</v>
      </c>
      <c r="E211">
        <f t="shared" si="16"/>
        <v>11.062391890261072</v>
      </c>
      <c r="G211">
        <f t="shared" ca="1" si="17"/>
        <v>209</v>
      </c>
      <c r="H211">
        <f t="shared" ca="1" si="18"/>
        <v>2312.0399050645642</v>
      </c>
      <c r="I211">
        <f t="shared" ca="1" si="19"/>
        <v>92465.889984835405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7941</v>
      </c>
      <c r="B214" s="66">
        <v>7941</v>
      </c>
      <c r="D214">
        <f t="shared" si="15"/>
        <v>4.5634521558734118</v>
      </c>
      <c r="E214">
        <f t="shared" si="16"/>
        <v>4.5634521558734118</v>
      </c>
      <c r="G214">
        <f t="shared" ca="1" si="17"/>
        <v>212</v>
      </c>
      <c r="H214">
        <f t="shared" ca="1" si="18"/>
        <v>967.45185704516325</v>
      </c>
      <c r="I214">
        <f t="shared" ca="1" si="19"/>
        <v>40688.341077627389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7348</v>
      </c>
      <c r="B216" s="66">
        <v>7348</v>
      </c>
      <c r="D216">
        <f t="shared" si="15"/>
        <v>4.2226730186825119</v>
      </c>
      <c r="E216">
        <f t="shared" si="16"/>
        <v>4.2226730186825119</v>
      </c>
      <c r="G216">
        <f t="shared" ca="1" si="17"/>
        <v>214</v>
      </c>
      <c r="H216">
        <f t="shared" ca="1" si="18"/>
        <v>903.65202599805752</v>
      </c>
      <c r="I216">
        <f t="shared" ca="1" si="19"/>
        <v>39261.708233423109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5604</v>
      </c>
      <c r="B219" s="66">
        <v>5604</v>
      </c>
      <c r="D219">
        <f t="shared" si="15"/>
        <v>3.2204490469102884</v>
      </c>
      <c r="E219">
        <f t="shared" si="16"/>
        <v>3.2204490469102884</v>
      </c>
      <c r="G219">
        <f t="shared" ca="1" si="17"/>
        <v>217</v>
      </c>
      <c r="H219">
        <f t="shared" ca="1" si="18"/>
        <v>698.83744317953256</v>
      </c>
      <c r="I219">
        <f t="shared" ca="1" si="19"/>
        <v>31835.377266300875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3657</v>
      </c>
      <c r="B221" s="66">
        <v>3657</v>
      </c>
      <c r="D221">
        <f t="shared" si="15"/>
        <v>2.1015671242953111</v>
      </c>
      <c r="E221">
        <f t="shared" si="16"/>
        <v>2.1015671242953111</v>
      </c>
      <c r="G221">
        <f t="shared" ca="1" si="17"/>
        <v>219</v>
      </c>
      <c r="H221">
        <f t="shared" ca="1" si="18"/>
        <v>460.24320022067315</v>
      </c>
      <c r="I221">
        <f t="shared" ca="1" si="19"/>
        <v>21619.000984032198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241</v>
      </c>
      <c r="B224" s="66">
        <v>241</v>
      </c>
      <c r="D224">
        <f t="shared" si="15"/>
        <v>0.13849539976898279</v>
      </c>
      <c r="E224">
        <f t="shared" si="16"/>
        <v>0.13849539976898279</v>
      </c>
      <c r="G224">
        <f t="shared" ca="1" si="17"/>
        <v>222</v>
      </c>
      <c r="H224">
        <f t="shared" ca="1" si="18"/>
        <v>30.74597874871418</v>
      </c>
      <c r="I224">
        <f t="shared" ca="1" si="19"/>
        <v>1510.2420975425521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116.00014961623533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2.2384480636062807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0.73950623974882457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926</v>
      </c>
      <c r="B8" s="66">
        <v>926</v>
      </c>
      <c r="D8">
        <f t="shared" si="0"/>
        <v>0.60809435312813975</v>
      </c>
      <c r="E8">
        <f t="shared" si="1"/>
        <v>0.60809435312813975</v>
      </c>
      <c r="G8">
        <f t="shared" ca="1" si="2"/>
        <v>6</v>
      </c>
      <c r="H8">
        <f t="shared" ca="1" si="3"/>
        <v>3.6485661187688385</v>
      </c>
      <c r="I8">
        <f t="shared" ca="1" si="4"/>
        <v>7357.9616886374288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718</v>
      </c>
      <c r="B10" s="66">
        <v>718</v>
      </c>
      <c r="D10">
        <f t="shared" si="0"/>
        <v>0.4715029649524885</v>
      </c>
      <c r="E10">
        <f t="shared" si="1"/>
        <v>0.4715029649524885</v>
      </c>
      <c r="G10">
        <f t="shared" ca="1" si="2"/>
        <v>8</v>
      </c>
      <c r="H10">
        <f t="shared" ca="1" si="3"/>
        <v>3.772023719619908</v>
      </c>
      <c r="I10">
        <f t="shared" ca="1" si="4"/>
        <v>5499.6258208280706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1128</v>
      </c>
      <c r="B13" s="66">
        <v>1128</v>
      </c>
      <c r="D13">
        <f t="shared" si="0"/>
        <v>0.74074560510641652</v>
      </c>
      <c r="E13">
        <f t="shared" si="1"/>
        <v>0.74074560510641652</v>
      </c>
      <c r="G13">
        <f t="shared" ca="1" si="2"/>
        <v>11</v>
      </c>
      <c r="H13">
        <f t="shared" ca="1" si="3"/>
        <v>8.1482016561705812</v>
      </c>
      <c r="I13">
        <f t="shared" ca="1" si="4"/>
        <v>8166.7435701042668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1809</v>
      </c>
      <c r="B15" s="66">
        <v>1809</v>
      </c>
      <c r="D15">
        <f t="shared" si="0"/>
        <v>1.1879510635084287</v>
      </c>
      <c r="E15">
        <f t="shared" si="1"/>
        <v>1.1879510635084287</v>
      </c>
      <c r="G15">
        <f t="shared" ca="1" si="2"/>
        <v>13</v>
      </c>
      <c r="H15">
        <f t="shared" ca="1" si="3"/>
        <v>15.443363825609573</v>
      </c>
      <c r="I15">
        <f t="shared" ca="1" si="4"/>
        <v>12603.009446561284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1024</v>
      </c>
      <c r="B18" s="66">
        <v>1024</v>
      </c>
      <c r="D18">
        <f t="shared" si="0"/>
        <v>0.67244991101859086</v>
      </c>
      <c r="E18">
        <f t="shared" si="1"/>
        <v>0.67244991101859086</v>
      </c>
      <c r="G18">
        <f t="shared" ca="1" si="2"/>
        <v>16</v>
      </c>
      <c r="H18">
        <f t="shared" ca="1" si="3"/>
        <v>10.759198576297454</v>
      </c>
      <c r="I18">
        <f t="shared" ca="1" si="4"/>
        <v>6724.5192320857896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1651</v>
      </c>
      <c r="B21" s="66">
        <v>1651</v>
      </c>
      <c r="D21">
        <f t="shared" si="0"/>
        <v>1.0841941436442319</v>
      </c>
      <c r="E21">
        <f t="shared" si="1"/>
        <v>1.0841941436442319</v>
      </c>
      <c r="G21">
        <f t="shared" ca="1" si="2"/>
        <v>19</v>
      </c>
      <c r="H21">
        <f t="shared" ca="1" si="3"/>
        <v>20.599688729240405</v>
      </c>
      <c r="I21">
        <f t="shared" ca="1" si="4"/>
        <v>10201.214166903799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1868</v>
      </c>
      <c r="B23" s="66">
        <v>1868</v>
      </c>
      <c r="D23">
        <f t="shared" si="0"/>
        <v>1.2266957361159452</v>
      </c>
      <c r="E23">
        <f t="shared" si="1"/>
        <v>1.2266957361159452</v>
      </c>
      <c r="G23">
        <f t="shared" ca="1" si="2"/>
        <v>21</v>
      </c>
      <c r="H23">
        <f t="shared" ca="1" si="3"/>
        <v>25.760610458434847</v>
      </c>
      <c r="I23">
        <f t="shared" ca="1" si="4"/>
        <v>11070.963889857472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2655</v>
      </c>
      <c r="B26" s="66">
        <v>2655</v>
      </c>
      <c r="D26">
        <f t="shared" si="0"/>
        <v>1.743510267338241</v>
      </c>
      <c r="E26">
        <f t="shared" si="1"/>
        <v>1.743510267338241</v>
      </c>
      <c r="G26">
        <f t="shared" ca="1" si="2"/>
        <v>24</v>
      </c>
      <c r="H26">
        <f t="shared" ca="1" si="3"/>
        <v>41.844246416117784</v>
      </c>
      <c r="I26">
        <f t="shared" ca="1" si="4"/>
        <v>14757.118900559313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2674</v>
      </c>
      <c r="B28" s="66">
        <v>2674</v>
      </c>
      <c r="D28">
        <f t="shared" si="0"/>
        <v>1.7559873652965938</v>
      </c>
      <c r="E28">
        <f t="shared" si="1"/>
        <v>1.7559873652965938</v>
      </c>
      <c r="G28">
        <f t="shared" ca="1" si="2"/>
        <v>26</v>
      </c>
      <c r="H28">
        <f t="shared" ca="1" si="3"/>
        <v>45.655671497711438</v>
      </c>
      <c r="I28">
        <f t="shared" ca="1" si="4"/>
        <v>14223.544949301118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3911</v>
      </c>
      <c r="B31" s="66">
        <v>3911</v>
      </c>
      <c r="D31">
        <f t="shared" si="0"/>
        <v>2.5683121113219816</v>
      </c>
      <c r="E31">
        <f t="shared" si="1"/>
        <v>2.5683121113219816</v>
      </c>
      <c r="G31">
        <f t="shared" ca="1" si="2"/>
        <v>29</v>
      </c>
      <c r="H31">
        <f t="shared" ca="1" si="3"/>
        <v>74.481051228337463</v>
      </c>
      <c r="I31">
        <f t="shared" ca="1" si="4"/>
        <v>19439.6212321005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5957</v>
      </c>
      <c r="B33" s="66">
        <v>5957</v>
      </c>
      <c r="D33">
        <f t="shared" si="0"/>
        <v>3.9118985546267049</v>
      </c>
      <c r="E33">
        <f t="shared" si="1"/>
        <v>3.9118985546267049</v>
      </c>
      <c r="G33">
        <f t="shared" ca="1" si="2"/>
        <v>31</v>
      </c>
      <c r="H33">
        <f t="shared" ca="1" si="3"/>
        <v>121.26885519342785</v>
      </c>
      <c r="I33">
        <f t="shared" ca="1" si="4"/>
        <v>28263.566555466419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10677</v>
      </c>
      <c r="B36" s="66">
        <v>10677</v>
      </c>
      <c r="D36">
        <f t="shared" si="0"/>
        <v>7.0114723632280223</v>
      </c>
      <c r="E36">
        <f t="shared" si="1"/>
        <v>7.0114723632280223</v>
      </c>
      <c r="G36">
        <f t="shared" ca="1" si="2"/>
        <v>34</v>
      </c>
      <c r="H36">
        <f t="shared" ca="1" si="3"/>
        <v>238.39006034975276</v>
      </c>
      <c r="I36">
        <f t="shared" ca="1" si="4"/>
        <v>47145.312211438431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13237</v>
      </c>
      <c r="B39" s="66">
        <v>13237</v>
      </c>
      <c r="D39">
        <f t="shared" si="0"/>
        <v>8.6925971407744989</v>
      </c>
      <c r="E39">
        <f t="shared" si="1"/>
        <v>8.6925971407744989</v>
      </c>
      <c r="G39">
        <f t="shared" ca="1" si="2"/>
        <v>37</v>
      </c>
      <c r="H39">
        <f t="shared" ca="1" si="3"/>
        <v>321.62609420865647</v>
      </c>
      <c r="I39">
        <f t="shared" ca="1" si="4"/>
        <v>54250.70424324643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18070</v>
      </c>
      <c r="B41" s="66">
        <v>18070</v>
      </c>
      <c r="D41">
        <f t="shared" si="0"/>
        <v>11.866376847759705</v>
      </c>
      <c r="E41">
        <f t="shared" si="1"/>
        <v>11.866376847759705</v>
      </c>
      <c r="G41">
        <f t="shared" ca="1" si="2"/>
        <v>39</v>
      </c>
      <c r="H41">
        <f t="shared" ca="1" si="3"/>
        <v>462.7886970626285</v>
      </c>
      <c r="I41">
        <f t="shared" ca="1" si="4"/>
        <v>70356.021742638084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25202</v>
      </c>
      <c r="B44" s="66">
        <v>25202</v>
      </c>
      <c r="D44">
        <f t="shared" si="0"/>
        <v>16.549885407705592</v>
      </c>
      <c r="E44">
        <f t="shared" si="1"/>
        <v>16.549885407705592</v>
      </c>
      <c r="G44">
        <f t="shared" ca="1" si="2"/>
        <v>42</v>
      </c>
      <c r="H44">
        <f t="shared" ca="1" si="3"/>
        <v>695.0951871236349</v>
      </c>
      <c r="I44">
        <f t="shared" ca="1" si="4"/>
        <v>90627.538960435675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31301</v>
      </c>
      <c r="B46" s="66">
        <v>31301</v>
      </c>
      <c r="D46">
        <f t="shared" si="0"/>
        <v>20.55503385233683</v>
      </c>
      <c r="E46">
        <f t="shared" si="1"/>
        <v>20.55503385233683</v>
      </c>
      <c r="G46">
        <f t="shared" ca="1" si="2"/>
        <v>44</v>
      </c>
      <c r="H46">
        <f t="shared" ca="1" si="3"/>
        <v>904.42148950282058</v>
      </c>
      <c r="I46">
        <f t="shared" ca="1" si="4"/>
        <v>106557.73834379089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37474</v>
      </c>
      <c r="B49" s="66">
        <v>37474</v>
      </c>
      <c r="D49">
        <f t="shared" si="0"/>
        <v>24.608777310069019</v>
      </c>
      <c r="E49">
        <f t="shared" si="1"/>
        <v>24.608777310069019</v>
      </c>
      <c r="G49">
        <f t="shared" ca="1" si="2"/>
        <v>47</v>
      </c>
      <c r="H49">
        <f t="shared" ca="1" si="3"/>
        <v>1156.6125335732438</v>
      </c>
      <c r="I49">
        <f t="shared" ca="1" si="4"/>
        <v>117162.89687221065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41335</v>
      </c>
      <c r="B51" s="66">
        <v>41335</v>
      </c>
      <c r="D51">
        <f t="shared" si="0"/>
        <v>27.144254953079546</v>
      </c>
      <c r="E51">
        <f t="shared" si="1"/>
        <v>27.144254953079546</v>
      </c>
      <c r="G51">
        <f t="shared" ca="1" si="2"/>
        <v>49</v>
      </c>
      <c r="H51">
        <f t="shared" ca="1" si="3"/>
        <v>1330.0684927008977</v>
      </c>
      <c r="I51">
        <f t="shared" ca="1" si="4"/>
        <v>121851.10468862746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48307</v>
      </c>
      <c r="B54" s="66">
        <v>48307</v>
      </c>
      <c r="D54">
        <f t="shared" si="0"/>
        <v>31.72269321442878</v>
      </c>
      <c r="E54">
        <f t="shared" si="1"/>
        <v>31.72269321442878</v>
      </c>
      <c r="G54">
        <f t="shared" ca="1" si="2"/>
        <v>52</v>
      </c>
      <c r="H54">
        <f t="shared" ca="1" si="3"/>
        <v>1649.5800471502967</v>
      </c>
      <c r="I54">
        <f t="shared" ca="1" si="4"/>
        <v>129936.75892444188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52892</v>
      </c>
      <c r="B57" s="66">
        <v>52892</v>
      </c>
      <c r="D57">
        <f t="shared" si="0"/>
        <v>34.733613958589167</v>
      </c>
      <c r="E57">
        <f t="shared" si="1"/>
        <v>34.733613958589167</v>
      </c>
      <c r="G57">
        <f t="shared" ca="1" si="2"/>
        <v>55</v>
      </c>
      <c r="H57">
        <f t="shared" ca="1" si="3"/>
        <v>1910.3487677224041</v>
      </c>
      <c r="I57">
        <f t="shared" ca="1" si="4"/>
        <v>129244.41153962012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57938</v>
      </c>
      <c r="B59" s="66">
        <v>57938</v>
      </c>
      <c r="D59">
        <f t="shared" si="0"/>
        <v>38.047268500581168</v>
      </c>
      <c r="E59">
        <f t="shared" si="1"/>
        <v>38.047268500581168</v>
      </c>
      <c r="G59">
        <f t="shared" ca="1" si="2"/>
        <v>57</v>
      </c>
      <c r="H59">
        <f t="shared" ca="1" si="3"/>
        <v>2168.6943045331268</v>
      </c>
      <c r="I59">
        <f t="shared" ca="1" si="4"/>
        <v>132443.21336508592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61617</v>
      </c>
      <c r="B62" s="66">
        <v>61617</v>
      </c>
      <c r="D62">
        <f t="shared" si="0"/>
        <v>40.463228678938002</v>
      </c>
      <c r="E62">
        <f t="shared" si="1"/>
        <v>40.463228678938002</v>
      </c>
      <c r="G62">
        <f t="shared" ca="1" si="2"/>
        <v>60</v>
      </c>
      <c r="H62">
        <f t="shared" ca="1" si="3"/>
        <v>2427.7937207362802</v>
      </c>
      <c r="I62">
        <f t="shared" ca="1" si="4"/>
        <v>126893.36318112112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60009</v>
      </c>
      <c r="B64" s="66">
        <v>60009</v>
      </c>
      <c r="D64">
        <f t="shared" si="0"/>
        <v>39.407272178041623</v>
      </c>
      <c r="E64">
        <f t="shared" si="1"/>
        <v>39.407272178041623</v>
      </c>
      <c r="G64">
        <f t="shared" ca="1" si="2"/>
        <v>62</v>
      </c>
      <c r="H64">
        <f t="shared" ca="1" si="3"/>
        <v>2443.2508750385805</v>
      </c>
      <c r="I64">
        <f t="shared" ca="1" si="4"/>
        <v>114912.24243656397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58629</v>
      </c>
      <c r="B67" s="66">
        <v>58629</v>
      </c>
      <c r="D67">
        <f t="shared" ref="D67:D130" si="5">IFERROR(100*A67/MAX(A$2:A$257), 0 )</f>
        <v>38.501040852645474</v>
      </c>
      <c r="E67">
        <f t="shared" ref="E67:E130" si="6">IFERROR(100*B67/MAX(B$2:B$257), 0 )</f>
        <v>38.501040852645474</v>
      </c>
      <c r="G67">
        <f t="shared" ref="G67:G130" ca="1" si="7">CELL("row",D67)-2</f>
        <v>65</v>
      </c>
      <c r="H67">
        <f t="shared" ref="H67:H130" ca="1" si="8">D67*G67</f>
        <v>2502.5676554219558</v>
      </c>
      <c r="I67">
        <f t="shared" ref="I67:I130" ca="1" si="9">D67*((G67-$L$1)^2)</f>
        <v>100141.79481743318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64986</v>
      </c>
      <c r="B69" s="66">
        <v>64986</v>
      </c>
      <c r="D69">
        <f t="shared" si="5"/>
        <v>42.675615153763815</v>
      </c>
      <c r="E69">
        <f t="shared" si="6"/>
        <v>42.675615153763815</v>
      </c>
      <c r="G69">
        <f t="shared" ca="1" si="7"/>
        <v>67</v>
      </c>
      <c r="H69">
        <f t="shared" ca="1" si="8"/>
        <v>2859.2662153021756</v>
      </c>
      <c r="I69">
        <f t="shared" ca="1" si="9"/>
        <v>102464.77771170044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69930</v>
      </c>
      <c r="B72" s="66">
        <v>69930</v>
      </c>
      <c r="D72">
        <f t="shared" si="5"/>
        <v>45.922287380400448</v>
      </c>
      <c r="E72">
        <f t="shared" si="6"/>
        <v>45.922287380400448</v>
      </c>
      <c r="G72">
        <f t="shared" ca="1" si="7"/>
        <v>70</v>
      </c>
      <c r="H72">
        <f t="shared" ca="1" si="8"/>
        <v>3214.5601166280312</v>
      </c>
      <c r="I72">
        <f t="shared" ca="1" si="9"/>
        <v>97172.192204172854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69970</v>
      </c>
      <c r="B75" s="66">
        <v>69970</v>
      </c>
      <c r="D75">
        <f t="shared" si="5"/>
        <v>45.948554955049616</v>
      </c>
      <c r="E75">
        <f t="shared" si="6"/>
        <v>45.948554955049616</v>
      </c>
      <c r="G75">
        <f t="shared" ca="1" si="7"/>
        <v>73</v>
      </c>
      <c r="H75">
        <f t="shared" ca="1" si="8"/>
        <v>3354.2445117186221</v>
      </c>
      <c r="I75">
        <f t="shared" ca="1" si="9"/>
        <v>84959.469332799083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74116</v>
      </c>
      <c r="B77" s="66">
        <v>74116</v>
      </c>
      <c r="D77">
        <f t="shared" si="5"/>
        <v>48.671189067435428</v>
      </c>
      <c r="E77">
        <f t="shared" si="6"/>
        <v>48.671189067435428</v>
      </c>
      <c r="G77">
        <f t="shared" ca="1" si="7"/>
        <v>75</v>
      </c>
      <c r="H77">
        <f t="shared" ca="1" si="8"/>
        <v>3650.3391800576569</v>
      </c>
      <c r="I77">
        <f t="shared" ca="1" si="9"/>
        <v>81816.865947454819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77881</v>
      </c>
      <c r="B80" s="66">
        <v>77881</v>
      </c>
      <c r="D80">
        <f t="shared" si="5"/>
        <v>51.143624531287962</v>
      </c>
      <c r="E80">
        <f t="shared" si="6"/>
        <v>51.143624531287962</v>
      </c>
      <c r="G80">
        <f t="shared" ca="1" si="7"/>
        <v>78</v>
      </c>
      <c r="H80">
        <f t="shared" ca="1" si="8"/>
        <v>3989.2027134404611</v>
      </c>
      <c r="I80">
        <f t="shared" ca="1" si="9"/>
        <v>73851.975369983513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79617</v>
      </c>
      <c r="B82" s="66">
        <v>79617</v>
      </c>
      <c r="D82">
        <f t="shared" si="5"/>
        <v>52.283637271061671</v>
      </c>
      <c r="E82">
        <f t="shared" si="6"/>
        <v>52.283637271061671</v>
      </c>
      <c r="G82">
        <f t="shared" ca="1" si="7"/>
        <v>80</v>
      </c>
      <c r="H82">
        <f t="shared" ca="1" si="8"/>
        <v>4182.6909816849338</v>
      </c>
      <c r="I82">
        <f t="shared" ca="1" si="9"/>
        <v>67760.157123096709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91612</v>
      </c>
      <c r="B85" s="66">
        <v>91612</v>
      </c>
      <c r="D85">
        <f t="shared" si="5"/>
        <v>60.160626218979637</v>
      </c>
      <c r="E85">
        <f t="shared" si="6"/>
        <v>60.160626218979637</v>
      </c>
      <c r="G85">
        <f t="shared" ca="1" si="7"/>
        <v>83</v>
      </c>
      <c r="H85">
        <f t="shared" ca="1" si="8"/>
        <v>4993.33197617531</v>
      </c>
      <c r="I85">
        <f t="shared" ca="1" si="9"/>
        <v>65515.516020238596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89193</v>
      </c>
      <c r="B88" s="66">
        <v>89193</v>
      </c>
      <c r="D88">
        <f t="shared" si="5"/>
        <v>58.572094642071463</v>
      </c>
      <c r="E88">
        <f t="shared" si="6"/>
        <v>58.572094642071463</v>
      </c>
      <c r="G88">
        <f t="shared" ca="1" si="7"/>
        <v>86</v>
      </c>
      <c r="H88">
        <f t="shared" ca="1" si="8"/>
        <v>5037.2001392181455</v>
      </c>
      <c r="I88">
        <f t="shared" ca="1" si="9"/>
        <v>52715.410979353212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98613</v>
      </c>
      <c r="B90" s="66">
        <v>98613</v>
      </c>
      <c r="D90">
        <f t="shared" si="5"/>
        <v>64.758108471949512</v>
      </c>
      <c r="E90">
        <f t="shared" si="6"/>
        <v>64.758108471949512</v>
      </c>
      <c r="G90">
        <f t="shared" ca="1" si="7"/>
        <v>88</v>
      </c>
      <c r="H90">
        <f t="shared" ca="1" si="8"/>
        <v>5698.7135455315574</v>
      </c>
      <c r="I90">
        <f t="shared" ca="1" si="9"/>
        <v>50770.899619864256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101901</v>
      </c>
      <c r="B93" s="66">
        <v>101901</v>
      </c>
      <c r="D93">
        <f t="shared" si="5"/>
        <v>66.917303108110772</v>
      </c>
      <c r="E93">
        <f t="shared" si="6"/>
        <v>66.917303108110772</v>
      </c>
      <c r="G93">
        <f t="shared" ca="1" si="7"/>
        <v>91</v>
      </c>
      <c r="H93">
        <f t="shared" ca="1" si="8"/>
        <v>6089.4745828380801</v>
      </c>
      <c r="I93">
        <f t="shared" ca="1" si="9"/>
        <v>41823.815039815665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105249</v>
      </c>
      <c r="B95" s="66">
        <v>105249</v>
      </c>
      <c r="D95">
        <f t="shared" si="5"/>
        <v>69.115899106245777</v>
      </c>
      <c r="E95">
        <f t="shared" si="6"/>
        <v>69.115899106245777</v>
      </c>
      <c r="G95">
        <f t="shared" ca="1" si="7"/>
        <v>93</v>
      </c>
      <c r="H95">
        <f t="shared" ca="1" si="8"/>
        <v>6427.778616880857</v>
      </c>
      <c r="I95">
        <f t="shared" ca="1" si="9"/>
        <v>36562.786308339964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115570</v>
      </c>
      <c r="B98" s="66">
        <v>115570</v>
      </c>
      <c r="D98">
        <f t="shared" si="5"/>
        <v>75.89359005509624</v>
      </c>
      <c r="E98">
        <f t="shared" si="6"/>
        <v>75.89359005509624</v>
      </c>
      <c r="G98">
        <f t="shared" ca="1" si="7"/>
        <v>96</v>
      </c>
      <c r="H98">
        <f t="shared" ca="1" si="8"/>
        <v>7285.7846452892391</v>
      </c>
      <c r="I98">
        <f t="shared" ca="1" si="9"/>
        <v>30357.890220266574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128237</v>
      </c>
      <c r="B100" s="66">
        <v>128237</v>
      </c>
      <c r="D100">
        <f t="shared" si="5"/>
        <v>84.211874257120158</v>
      </c>
      <c r="E100">
        <f t="shared" si="6"/>
        <v>84.211874257120158</v>
      </c>
      <c r="G100">
        <f t="shared" ca="1" si="7"/>
        <v>98</v>
      </c>
      <c r="H100">
        <f t="shared" ca="1" si="8"/>
        <v>8252.7636771977759</v>
      </c>
      <c r="I100">
        <f t="shared" ca="1" si="9"/>
        <v>27285.100841881496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126370</v>
      </c>
      <c r="B103" s="66">
        <v>126370</v>
      </c>
      <c r="D103">
        <f t="shared" si="5"/>
        <v>82.985835210370439</v>
      </c>
      <c r="E103">
        <f t="shared" si="6"/>
        <v>82.985835210370439</v>
      </c>
      <c r="G103">
        <f t="shared" ca="1" si="7"/>
        <v>101</v>
      </c>
      <c r="H103">
        <f t="shared" ca="1" si="8"/>
        <v>8381.5693562474135</v>
      </c>
      <c r="I103">
        <f t="shared" ca="1" si="9"/>
        <v>18672.185405038494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130625</v>
      </c>
      <c r="B106" s="66">
        <v>130625</v>
      </c>
      <c r="D106">
        <f t="shared" si="5"/>
        <v>85.780048463675229</v>
      </c>
      <c r="E106">
        <f t="shared" si="6"/>
        <v>85.780048463675229</v>
      </c>
      <c r="G106">
        <f t="shared" ca="1" si="7"/>
        <v>104</v>
      </c>
      <c r="H106">
        <f t="shared" ca="1" si="8"/>
        <v>8921.1250402222231</v>
      </c>
      <c r="I106">
        <f t="shared" ca="1" si="9"/>
        <v>12352.634998799449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134343</v>
      </c>
      <c r="B108" s="66">
        <v>134343</v>
      </c>
      <c r="D108">
        <f t="shared" si="5"/>
        <v>88.221619527314999</v>
      </c>
      <c r="E108">
        <f t="shared" si="6"/>
        <v>88.221619527314999</v>
      </c>
      <c r="G108">
        <f t="shared" ca="1" si="7"/>
        <v>106</v>
      </c>
      <c r="H108">
        <f t="shared" ca="1" si="8"/>
        <v>9351.4916698953894</v>
      </c>
      <c r="I108">
        <f t="shared" ca="1" si="9"/>
        <v>8822.4259424381162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133132</v>
      </c>
      <c r="B111" s="66">
        <v>133132</v>
      </c>
      <c r="D111">
        <f t="shared" si="5"/>
        <v>87.426368704811566</v>
      </c>
      <c r="E111">
        <f t="shared" si="6"/>
        <v>87.426368704811566</v>
      </c>
      <c r="G111">
        <f t="shared" ca="1" si="7"/>
        <v>109</v>
      </c>
      <c r="H111">
        <f t="shared" ca="1" si="8"/>
        <v>9529.4741888244607</v>
      </c>
      <c r="I111">
        <f t="shared" ca="1" si="9"/>
        <v>4284.0751941509698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136346</v>
      </c>
      <c r="B113" s="66">
        <v>136346</v>
      </c>
      <c r="D113">
        <f t="shared" si="5"/>
        <v>89.536968327871861</v>
      </c>
      <c r="E113">
        <f t="shared" si="6"/>
        <v>89.536968327871861</v>
      </c>
      <c r="G113">
        <f t="shared" ca="1" si="7"/>
        <v>111</v>
      </c>
      <c r="H113">
        <f t="shared" ca="1" si="8"/>
        <v>9938.6034843937759</v>
      </c>
      <c r="I113">
        <f t="shared" ca="1" si="9"/>
        <v>2238.558172042327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139084</v>
      </c>
      <c r="B116" s="66">
        <v>139084</v>
      </c>
      <c r="D116">
        <f t="shared" si="5"/>
        <v>91.334983812607121</v>
      </c>
      <c r="E116">
        <f t="shared" si="6"/>
        <v>91.334983812607121</v>
      </c>
      <c r="G116">
        <f t="shared" ca="1" si="7"/>
        <v>114</v>
      </c>
      <c r="H116">
        <f t="shared" ca="1" si="8"/>
        <v>10412.188154637211</v>
      </c>
      <c r="I116">
        <f t="shared" ca="1" si="9"/>
        <v>365.3945980806929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141519</v>
      </c>
      <c r="B118" s="66">
        <v>141519</v>
      </c>
      <c r="D118">
        <f t="shared" si="5"/>
        <v>92.934022419374969</v>
      </c>
      <c r="E118">
        <f t="shared" si="6"/>
        <v>92.934022419374969</v>
      </c>
      <c r="G118">
        <f t="shared" ca="1" si="7"/>
        <v>116</v>
      </c>
      <c r="H118">
        <f t="shared" ca="1" si="8"/>
        <v>10780.346600647496</v>
      </c>
      <c r="I118">
        <f t="shared" ca="1" si="9"/>
        <v>2.0803297530844213E-6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135598</v>
      </c>
      <c r="B121" s="66">
        <v>135598</v>
      </c>
      <c r="D121">
        <f t="shared" si="5"/>
        <v>89.045764681932511</v>
      </c>
      <c r="E121">
        <f t="shared" si="6"/>
        <v>89.045764681932511</v>
      </c>
      <c r="G121">
        <f t="shared" ca="1" si="7"/>
        <v>119</v>
      </c>
      <c r="H121">
        <f t="shared" ca="1" si="8"/>
        <v>10596.445997149969</v>
      </c>
      <c r="I121">
        <f t="shared" ca="1" si="9"/>
        <v>801.33194797817907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136304</v>
      </c>
      <c r="B124" s="66">
        <v>136304</v>
      </c>
      <c r="D124">
        <f t="shared" si="5"/>
        <v>89.509387374490245</v>
      </c>
      <c r="E124">
        <f t="shared" si="6"/>
        <v>89.509387374490245</v>
      </c>
      <c r="G124">
        <f t="shared" ca="1" si="7"/>
        <v>122</v>
      </c>
      <c r="H124">
        <f t="shared" ca="1" si="8"/>
        <v>10920.14525968781</v>
      </c>
      <c r="I124">
        <f t="shared" ca="1" si="9"/>
        <v>3222.1772427945261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136230</v>
      </c>
      <c r="B126" s="66">
        <v>136230</v>
      </c>
      <c r="D126">
        <f t="shared" si="5"/>
        <v>89.460792361389295</v>
      </c>
      <c r="E126">
        <f t="shared" si="6"/>
        <v>89.460792361389295</v>
      </c>
      <c r="G126">
        <f t="shared" ca="1" si="7"/>
        <v>124</v>
      </c>
      <c r="H126">
        <f t="shared" ca="1" si="8"/>
        <v>11093.138252812272</v>
      </c>
      <c r="I126">
        <f t="shared" ca="1" si="9"/>
        <v>5725.2765565400878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146933</v>
      </c>
      <c r="B129" s="66">
        <v>146933</v>
      </c>
      <c r="D129">
        <f t="shared" si="5"/>
        <v>96.489338648139267</v>
      </c>
      <c r="E129">
        <f t="shared" si="6"/>
        <v>96.489338648139267</v>
      </c>
      <c r="G129">
        <f t="shared" ca="1" si="7"/>
        <v>127</v>
      </c>
      <c r="H129">
        <f t="shared" ca="1" si="8"/>
        <v>12254.146008313686</v>
      </c>
      <c r="I129">
        <f t="shared" ca="1" si="9"/>
        <v>11674.892378409604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152279</v>
      </c>
      <c r="B131" s="66">
        <v>152279</v>
      </c>
      <c r="D131">
        <f t="shared" ref="D131:D194" si="10">IFERROR(100*A131/MAX(A$2:A$257), 0 )</f>
        <v>100</v>
      </c>
      <c r="E131">
        <f t="shared" ref="E131:E194" si="11">IFERROR(100*B131/MAX(B$2:B$257), 0 )</f>
        <v>100</v>
      </c>
      <c r="G131">
        <f t="shared" ref="G131:G194" ca="1" si="12">CELL("row",D131)-2</f>
        <v>129</v>
      </c>
      <c r="H131">
        <f t="shared" ref="H131:H194" ca="1" si="13">D131*G131</f>
        <v>12900</v>
      </c>
      <c r="I131">
        <f t="shared" ref="I131:I194" ca="1" si="14">D131*((G131-$L$1)^2)</f>
        <v>16899.611000026634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145722</v>
      </c>
      <c r="B134" s="66">
        <v>145722</v>
      </c>
      <c r="D134">
        <f t="shared" si="10"/>
        <v>95.694087825635833</v>
      </c>
      <c r="E134">
        <f t="shared" si="11"/>
        <v>95.694087825635833</v>
      </c>
      <c r="G134">
        <f t="shared" ca="1" si="12"/>
        <v>132</v>
      </c>
      <c r="H134">
        <f t="shared" ca="1" si="13"/>
        <v>12631.61959298393</v>
      </c>
      <c r="I134">
        <f t="shared" ca="1" si="14"/>
        <v>24497.228329051635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146224</v>
      </c>
      <c r="B136" s="66">
        <v>146224</v>
      </c>
      <c r="D136">
        <f t="shared" si="10"/>
        <v>96.023745887482846</v>
      </c>
      <c r="E136">
        <f t="shared" si="11"/>
        <v>96.023745887482846</v>
      </c>
      <c r="G136">
        <f t="shared" ca="1" si="12"/>
        <v>134</v>
      </c>
      <c r="H136">
        <f t="shared" ca="1" si="13"/>
        <v>12867.181948922702</v>
      </c>
      <c r="I136">
        <f t="shared" ca="1" si="14"/>
        <v>31111.17646808489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144543</v>
      </c>
      <c r="B139" s="66">
        <v>144543</v>
      </c>
      <c r="D139">
        <f t="shared" si="10"/>
        <v>94.919851062851734</v>
      </c>
      <c r="E139">
        <f t="shared" si="11"/>
        <v>94.919851062851734</v>
      </c>
      <c r="G139">
        <f t="shared" ca="1" si="12"/>
        <v>137</v>
      </c>
      <c r="H139">
        <f t="shared" ca="1" si="13"/>
        <v>13004.019595610687</v>
      </c>
      <c r="I139">
        <f t="shared" ca="1" si="14"/>
        <v>41859.057855709871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140762</v>
      </c>
      <c r="B142" s="66">
        <v>140762</v>
      </c>
      <c r="D142">
        <f t="shared" si="10"/>
        <v>92.436908569139547</v>
      </c>
      <c r="E142">
        <f t="shared" si="11"/>
        <v>92.436908569139547</v>
      </c>
      <c r="G142">
        <f t="shared" ca="1" si="12"/>
        <v>140</v>
      </c>
      <c r="H142">
        <f t="shared" ca="1" si="13"/>
        <v>12941.167199679536</v>
      </c>
      <c r="I142">
        <f t="shared" ca="1" si="14"/>
        <v>53242.995494904819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120553</v>
      </c>
      <c r="B144" s="66">
        <v>120553</v>
      </c>
      <c r="D144">
        <f t="shared" si="10"/>
        <v>79.165873167015803</v>
      </c>
      <c r="E144">
        <f t="shared" si="11"/>
        <v>79.165873167015803</v>
      </c>
      <c r="G144">
        <f t="shared" ca="1" si="12"/>
        <v>142</v>
      </c>
      <c r="H144">
        <f t="shared" ca="1" si="13"/>
        <v>11241.553989716243</v>
      </c>
      <c r="I144">
        <f t="shared" ca="1" si="14"/>
        <v>53515.514348679484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107004</v>
      </c>
      <c r="B147" s="66">
        <v>107004</v>
      </c>
      <c r="D147">
        <f t="shared" si="10"/>
        <v>70.268388943977826</v>
      </c>
      <c r="E147">
        <f t="shared" si="11"/>
        <v>70.268388943977826</v>
      </c>
      <c r="G147">
        <f t="shared" ca="1" si="12"/>
        <v>145</v>
      </c>
      <c r="H147">
        <f t="shared" ca="1" si="13"/>
        <v>10188.916396876784</v>
      </c>
      <c r="I147">
        <f t="shared" ca="1" si="14"/>
        <v>59095.105332532934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94994</v>
      </c>
      <c r="B149" s="66">
        <v>94994</v>
      </c>
      <c r="D149">
        <f t="shared" si="10"/>
        <v>62.381549655566424</v>
      </c>
      <c r="E149">
        <f t="shared" si="11"/>
        <v>62.381549655566424</v>
      </c>
      <c r="G149">
        <f t="shared" ca="1" si="12"/>
        <v>147</v>
      </c>
      <c r="H149">
        <f t="shared" ca="1" si="13"/>
        <v>9170.0877993682643</v>
      </c>
      <c r="I149">
        <f t="shared" ca="1" si="14"/>
        <v>59948.090556253694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84542</v>
      </c>
      <c r="B152" s="66">
        <v>84542</v>
      </c>
      <c r="D152">
        <f t="shared" si="10"/>
        <v>55.517832399739952</v>
      </c>
      <c r="E152">
        <f t="shared" si="11"/>
        <v>55.517832399739952</v>
      </c>
      <c r="G152">
        <f t="shared" ca="1" si="12"/>
        <v>150</v>
      </c>
      <c r="H152">
        <f t="shared" ca="1" si="13"/>
        <v>8327.6748599609928</v>
      </c>
      <c r="I152">
        <f t="shared" ca="1" si="14"/>
        <v>64178.049422244876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74753</v>
      </c>
      <c r="B154" s="66">
        <v>74753</v>
      </c>
      <c r="D154">
        <f t="shared" si="10"/>
        <v>49.08950019372336</v>
      </c>
      <c r="E154">
        <f t="shared" si="11"/>
        <v>49.08950019372336</v>
      </c>
      <c r="G154">
        <f t="shared" ca="1" si="12"/>
        <v>152</v>
      </c>
      <c r="H154">
        <f t="shared" ca="1" si="13"/>
        <v>7461.6040294459508</v>
      </c>
      <c r="I154">
        <f t="shared" ca="1" si="14"/>
        <v>63619.463441956985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68139</v>
      </c>
      <c r="B157" s="66">
        <v>68139</v>
      </c>
      <c r="D157">
        <f t="shared" si="10"/>
        <v>44.746156725484141</v>
      </c>
      <c r="E157">
        <f t="shared" si="11"/>
        <v>44.746156725484141</v>
      </c>
      <c r="G157">
        <f t="shared" ca="1" si="12"/>
        <v>155</v>
      </c>
      <c r="H157">
        <f t="shared" ca="1" si="13"/>
        <v>6935.6542924500418</v>
      </c>
      <c r="I157">
        <f t="shared" ca="1" si="14"/>
        <v>68058.382189844866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61943</v>
      </c>
      <c r="B160" s="66">
        <v>61943</v>
      </c>
      <c r="D160">
        <f t="shared" si="10"/>
        <v>40.67730941232869</v>
      </c>
      <c r="E160">
        <f t="shared" si="11"/>
        <v>40.67730941232869</v>
      </c>
      <c r="G160">
        <f t="shared" ca="1" si="12"/>
        <v>158</v>
      </c>
      <c r="H160">
        <f t="shared" ca="1" si="13"/>
        <v>6427.0148871479332</v>
      </c>
      <c r="I160">
        <f t="shared" ca="1" si="14"/>
        <v>71754.262581442963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57126</v>
      </c>
      <c r="B162" s="66">
        <v>57126</v>
      </c>
      <c r="D162">
        <f t="shared" si="10"/>
        <v>37.514036735203149</v>
      </c>
      <c r="E162">
        <f t="shared" si="11"/>
        <v>37.514036735203149</v>
      </c>
      <c r="G162">
        <f t="shared" ca="1" si="12"/>
        <v>160</v>
      </c>
      <c r="H162">
        <f t="shared" ca="1" si="13"/>
        <v>6002.2458776325038</v>
      </c>
      <c r="I162">
        <f t="shared" ca="1" si="14"/>
        <v>72626.681201805579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47266</v>
      </c>
      <c r="B165" s="66">
        <v>47266</v>
      </c>
      <c r="D165">
        <f t="shared" si="10"/>
        <v>31.039079584184293</v>
      </c>
      <c r="E165">
        <f t="shared" si="11"/>
        <v>31.039079584184293</v>
      </c>
      <c r="G165">
        <f t="shared" ca="1" si="12"/>
        <v>163</v>
      </c>
      <c r="H165">
        <f t="shared" ca="1" si="13"/>
        <v>5059.3699722220399</v>
      </c>
      <c r="I165">
        <f t="shared" ca="1" si="14"/>
        <v>68564.890270835764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45103</v>
      </c>
      <c r="B167" s="66">
        <v>45103</v>
      </c>
      <c r="D167">
        <f t="shared" si="10"/>
        <v>29.618660485030766</v>
      </c>
      <c r="E167">
        <f t="shared" si="11"/>
        <v>29.618660485030766</v>
      </c>
      <c r="G167">
        <f t="shared" ca="1" si="12"/>
        <v>165</v>
      </c>
      <c r="H167">
        <f t="shared" ca="1" si="13"/>
        <v>4887.0789800300763</v>
      </c>
      <c r="I167">
        <f t="shared" ca="1" si="14"/>
        <v>71113.969544839099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34080</v>
      </c>
      <c r="B170" s="66">
        <v>34080</v>
      </c>
      <c r="D170">
        <f t="shared" si="10"/>
        <v>22.379973601087478</v>
      </c>
      <c r="E170">
        <f t="shared" si="11"/>
        <v>22.379973601087478</v>
      </c>
      <c r="G170">
        <f t="shared" ca="1" si="12"/>
        <v>168</v>
      </c>
      <c r="H170">
        <f t="shared" ca="1" si="13"/>
        <v>3759.8355649826963</v>
      </c>
      <c r="I170">
        <f t="shared" ca="1" si="14"/>
        <v>60515.100383472221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28056</v>
      </c>
      <c r="B173" s="66">
        <v>28056</v>
      </c>
      <c r="D173">
        <f t="shared" si="10"/>
        <v>18.424076858923424</v>
      </c>
      <c r="E173">
        <f t="shared" si="11"/>
        <v>18.424076858923424</v>
      </c>
      <c r="G173">
        <f t="shared" ca="1" si="12"/>
        <v>171</v>
      </c>
      <c r="H173">
        <f t="shared" ca="1" si="13"/>
        <v>3150.5171428759054</v>
      </c>
      <c r="I173">
        <f t="shared" ca="1" si="14"/>
        <v>55732.529279143673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20928</v>
      </c>
      <c r="B175" s="66">
        <v>20928</v>
      </c>
      <c r="D175">
        <f t="shared" si="10"/>
        <v>13.743195056442451</v>
      </c>
      <c r="E175">
        <f t="shared" si="11"/>
        <v>13.743195056442451</v>
      </c>
      <c r="G175">
        <f t="shared" ca="1" si="12"/>
        <v>173</v>
      </c>
      <c r="H175">
        <f t="shared" ca="1" si="13"/>
        <v>2377.572744764544</v>
      </c>
      <c r="I175">
        <f t="shared" ca="1" si="14"/>
        <v>44651.406331307102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19873</v>
      </c>
      <c r="B178" s="66">
        <v>19873</v>
      </c>
      <c r="D178">
        <f t="shared" si="10"/>
        <v>13.050387775070758</v>
      </c>
      <c r="E178">
        <f t="shared" si="11"/>
        <v>13.050387775070758</v>
      </c>
      <c r="G178">
        <f t="shared" ca="1" si="12"/>
        <v>176</v>
      </c>
      <c r="H178">
        <f t="shared" ca="1" si="13"/>
        <v>2296.8682484124533</v>
      </c>
      <c r="I178">
        <f t="shared" ca="1" si="14"/>
        <v>46981.161684560233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16464</v>
      </c>
      <c r="B180" s="66">
        <v>16464</v>
      </c>
      <c r="D180">
        <f t="shared" si="10"/>
        <v>10.811733725595781</v>
      </c>
      <c r="E180">
        <f t="shared" si="11"/>
        <v>10.811733725595781</v>
      </c>
      <c r="G180">
        <f t="shared" ca="1" si="12"/>
        <v>178</v>
      </c>
      <c r="H180">
        <f t="shared" ca="1" si="13"/>
        <v>1924.4886031560491</v>
      </c>
      <c r="I180">
        <f t="shared" ca="1" si="14"/>
        <v>41560.103857680922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22105</v>
      </c>
      <c r="B183" s="66">
        <v>22105</v>
      </c>
      <c r="D183">
        <f t="shared" si="10"/>
        <v>14.516118440494093</v>
      </c>
      <c r="E183">
        <f t="shared" si="11"/>
        <v>14.516118440494093</v>
      </c>
      <c r="G183">
        <f t="shared" ca="1" si="12"/>
        <v>181</v>
      </c>
      <c r="H183">
        <f t="shared" ca="1" si="13"/>
        <v>2627.4174377294307</v>
      </c>
      <c r="I183">
        <f t="shared" ca="1" si="14"/>
        <v>61330.318071303438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16429</v>
      </c>
      <c r="B185" s="66">
        <v>16429</v>
      </c>
      <c r="D185">
        <f t="shared" si="10"/>
        <v>10.788749597777763</v>
      </c>
      <c r="E185">
        <f t="shared" si="11"/>
        <v>10.788749597777763</v>
      </c>
      <c r="G185">
        <f t="shared" ca="1" si="12"/>
        <v>183</v>
      </c>
      <c r="H185">
        <f t="shared" ca="1" si="13"/>
        <v>1974.3411763933304</v>
      </c>
      <c r="I185">
        <f t="shared" ca="1" si="14"/>
        <v>48430.48064560465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13456</v>
      </c>
      <c r="B188" s="66">
        <v>13456</v>
      </c>
      <c r="D188">
        <f t="shared" si="10"/>
        <v>8.8364121119786709</v>
      </c>
      <c r="E188">
        <f t="shared" si="11"/>
        <v>8.8364121119786709</v>
      </c>
      <c r="G188">
        <f t="shared" ca="1" si="12"/>
        <v>186</v>
      </c>
      <c r="H188">
        <f t="shared" ca="1" si="13"/>
        <v>1643.5726528280327</v>
      </c>
      <c r="I188">
        <f t="shared" ca="1" si="14"/>
        <v>43298.234258993325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15669</v>
      </c>
      <c r="B191" s="66">
        <v>15669</v>
      </c>
      <c r="D191">
        <f t="shared" si="10"/>
        <v>10.289665679443653</v>
      </c>
      <c r="E191">
        <f t="shared" si="11"/>
        <v>10.289665679443653</v>
      </c>
      <c r="G191">
        <f t="shared" ca="1" si="12"/>
        <v>189</v>
      </c>
      <c r="H191">
        <f t="shared" ca="1" si="13"/>
        <v>1944.7468134148503</v>
      </c>
      <c r="I191">
        <f t="shared" ca="1" si="14"/>
        <v>54833.40363883345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18368</v>
      </c>
      <c r="B193" s="66">
        <v>18368</v>
      </c>
      <c r="D193">
        <f t="shared" si="10"/>
        <v>12.062070278895973</v>
      </c>
      <c r="E193">
        <f t="shared" si="11"/>
        <v>12.062070278895973</v>
      </c>
      <c r="G193">
        <f t="shared" ca="1" si="12"/>
        <v>191</v>
      </c>
      <c r="H193">
        <f t="shared" ca="1" si="13"/>
        <v>2303.8554232691308</v>
      </c>
      <c r="I193">
        <f t="shared" ca="1" si="14"/>
        <v>67848.874616828049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19120</v>
      </c>
      <c r="B196" s="66">
        <v>19120</v>
      </c>
      <c r="D196">
        <f t="shared" si="15"/>
        <v>12.555900682300251</v>
      </c>
      <c r="E196">
        <f t="shared" si="16"/>
        <v>12.555900682300251</v>
      </c>
      <c r="G196">
        <f t="shared" ca="1" si="17"/>
        <v>194</v>
      </c>
      <c r="H196">
        <f t="shared" ca="1" si="18"/>
        <v>2435.8447323662485</v>
      </c>
      <c r="I196">
        <f t="shared" ca="1" si="19"/>
        <v>76389.806695007544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24273</v>
      </c>
      <c r="B198" s="66">
        <v>24273</v>
      </c>
      <c r="D198">
        <f t="shared" si="15"/>
        <v>15.939820986478766</v>
      </c>
      <c r="E198">
        <f t="shared" si="16"/>
        <v>15.939820986478766</v>
      </c>
      <c r="G198">
        <f t="shared" ca="1" si="17"/>
        <v>196</v>
      </c>
      <c r="H198">
        <f t="shared" ca="1" si="18"/>
        <v>3124.2049133498381</v>
      </c>
      <c r="I198">
        <f t="shared" ca="1" si="19"/>
        <v>102014.47273685965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23401</v>
      </c>
      <c r="B201" s="66">
        <v>23401</v>
      </c>
      <c r="D201">
        <f t="shared" si="15"/>
        <v>15.367187859126997</v>
      </c>
      <c r="E201">
        <f t="shared" si="16"/>
        <v>15.367187859126997</v>
      </c>
      <c r="G201">
        <f t="shared" ca="1" si="17"/>
        <v>199</v>
      </c>
      <c r="H201">
        <f t="shared" ca="1" si="18"/>
        <v>3058.0703839662724</v>
      </c>
      <c r="I201">
        <f t="shared" ca="1" si="19"/>
        <v>105864.17549785787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21217</v>
      </c>
      <c r="B203" s="66">
        <v>21217</v>
      </c>
      <c r="D203">
        <f t="shared" si="15"/>
        <v>13.932978283282658</v>
      </c>
      <c r="E203">
        <f t="shared" si="16"/>
        <v>13.932978283282658</v>
      </c>
      <c r="G203">
        <f t="shared" ca="1" si="17"/>
        <v>201</v>
      </c>
      <c r="H203">
        <f t="shared" ca="1" si="18"/>
        <v>2800.5286349398143</v>
      </c>
      <c r="I203">
        <f t="shared" ca="1" si="19"/>
        <v>100665.41371507029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22225</v>
      </c>
      <c r="B206" s="66">
        <v>22225</v>
      </c>
      <c r="D206">
        <f t="shared" si="15"/>
        <v>14.594921164441585</v>
      </c>
      <c r="E206">
        <f t="shared" si="16"/>
        <v>14.594921164441585</v>
      </c>
      <c r="G206">
        <f t="shared" ca="1" si="17"/>
        <v>204</v>
      </c>
      <c r="H206">
        <f t="shared" ca="1" si="18"/>
        <v>2977.3639175460835</v>
      </c>
      <c r="I206">
        <f t="shared" ca="1" si="19"/>
        <v>113022.68517762225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21457</v>
      </c>
      <c r="B209" s="66">
        <v>21457</v>
      </c>
      <c r="D209">
        <f t="shared" si="15"/>
        <v>14.090583731177642</v>
      </c>
      <c r="E209">
        <f t="shared" si="16"/>
        <v>14.090583731177642</v>
      </c>
      <c r="G209">
        <f t="shared" ca="1" si="17"/>
        <v>207</v>
      </c>
      <c r="H209">
        <f t="shared" ca="1" si="18"/>
        <v>2916.7508323537718</v>
      </c>
      <c r="I209">
        <f t="shared" ca="1" si="19"/>
        <v>116683.74018942082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17196</v>
      </c>
      <c r="B211" s="66">
        <v>17196</v>
      </c>
      <c r="D211">
        <f t="shared" si="15"/>
        <v>11.292430341675477</v>
      </c>
      <c r="E211">
        <f t="shared" si="16"/>
        <v>11.292430341675477</v>
      </c>
      <c r="G211">
        <f t="shared" ca="1" si="17"/>
        <v>209</v>
      </c>
      <c r="H211">
        <f t="shared" ca="1" si="18"/>
        <v>2360.1179414101748</v>
      </c>
      <c r="I211">
        <f t="shared" ca="1" si="19"/>
        <v>97667.915772653694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12658</v>
      </c>
      <c r="B214" s="66">
        <v>12658</v>
      </c>
      <c r="D214">
        <f t="shared" si="15"/>
        <v>8.312373997727855</v>
      </c>
      <c r="E214">
        <f t="shared" si="16"/>
        <v>8.312373997727855</v>
      </c>
      <c r="G214">
        <f t="shared" ca="1" si="17"/>
        <v>212</v>
      </c>
      <c r="H214">
        <f t="shared" ca="1" si="18"/>
        <v>1762.2232875183054</v>
      </c>
      <c r="I214">
        <f t="shared" ca="1" si="19"/>
        <v>76606.599979353981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9564</v>
      </c>
      <c r="B216" s="66">
        <v>9564</v>
      </c>
      <c r="D216">
        <f t="shared" si="15"/>
        <v>6.2805770986150424</v>
      </c>
      <c r="E216">
        <f t="shared" si="16"/>
        <v>6.2805770986150424</v>
      </c>
      <c r="G216">
        <f t="shared" ca="1" si="17"/>
        <v>214</v>
      </c>
      <c r="H216">
        <f t="shared" ca="1" si="18"/>
        <v>1344.0434991036191</v>
      </c>
      <c r="I216">
        <f t="shared" ca="1" si="19"/>
        <v>60318.478278684423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18142</v>
      </c>
      <c r="B219" s="66">
        <v>18142</v>
      </c>
      <c r="D219">
        <f t="shared" si="15"/>
        <v>11.913658482128199</v>
      </c>
      <c r="E219">
        <f t="shared" si="16"/>
        <v>11.913658482128199</v>
      </c>
      <c r="G219">
        <f t="shared" ca="1" si="17"/>
        <v>217</v>
      </c>
      <c r="H219">
        <f t="shared" ca="1" si="18"/>
        <v>2585.263890621819</v>
      </c>
      <c r="I219">
        <f t="shared" ca="1" si="19"/>
        <v>121530.87011615676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17753</v>
      </c>
      <c r="B221" s="66">
        <v>17753</v>
      </c>
      <c r="D221">
        <f t="shared" si="15"/>
        <v>11.658206318665082</v>
      </c>
      <c r="E221">
        <f t="shared" si="16"/>
        <v>11.658206318665082</v>
      </c>
      <c r="G221">
        <f t="shared" ca="1" si="17"/>
        <v>219</v>
      </c>
      <c r="H221">
        <f t="shared" ca="1" si="18"/>
        <v>2553.1471837876529</v>
      </c>
      <c r="I221">
        <f t="shared" ca="1" si="19"/>
        <v>123681.55151804916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8789</v>
      </c>
      <c r="B224" s="66">
        <v>8789</v>
      </c>
      <c r="D224">
        <f t="shared" si="15"/>
        <v>5.7716428397874955</v>
      </c>
      <c r="E224">
        <f t="shared" si="16"/>
        <v>5.7716428397874955</v>
      </c>
      <c r="G224">
        <f t="shared" ca="1" si="17"/>
        <v>222</v>
      </c>
      <c r="H224">
        <f t="shared" ca="1" si="18"/>
        <v>1281.3047104328241</v>
      </c>
      <c r="I224">
        <f t="shared" ca="1" si="19"/>
        <v>64849.995879309135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6658</v>
      </c>
      <c r="B227" s="66">
        <v>6658</v>
      </c>
      <c r="D227">
        <f t="shared" si="15"/>
        <v>4.3722378003532985</v>
      </c>
      <c r="E227">
        <f t="shared" si="16"/>
        <v>4.3722378003532985</v>
      </c>
      <c r="G227">
        <f t="shared" ca="1" si="17"/>
        <v>225</v>
      </c>
      <c r="H227">
        <f t="shared" ca="1" si="18"/>
        <v>983.75350507949213</v>
      </c>
      <c r="I227">
        <f t="shared" ca="1" si="19"/>
        <v>51946.414699703804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2730</v>
      </c>
      <c r="B229" s="66">
        <v>2730</v>
      </c>
      <c r="D229">
        <f t="shared" si="15"/>
        <v>1.7927619698054229</v>
      </c>
      <c r="E229">
        <f t="shared" si="16"/>
        <v>1.7927619698054229</v>
      </c>
      <c r="G229">
        <f t="shared" ca="1" si="17"/>
        <v>227</v>
      </c>
      <c r="H229">
        <f t="shared" ca="1" si="18"/>
        <v>406.95696714583102</v>
      </c>
      <c r="I229">
        <f t="shared" ca="1" si="19"/>
        <v>22088.560683774864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517</v>
      </c>
      <c r="B232" s="66">
        <v>517</v>
      </c>
      <c r="D232">
        <f t="shared" si="15"/>
        <v>0.33950840234044088</v>
      </c>
      <c r="E232">
        <f t="shared" si="16"/>
        <v>0.33950840234044088</v>
      </c>
      <c r="G232">
        <f t="shared" ca="1" si="17"/>
        <v>230</v>
      </c>
      <c r="H232">
        <f t="shared" ca="1" si="18"/>
        <v>78.086932538301397</v>
      </c>
      <c r="I232">
        <f t="shared" ca="1" si="19"/>
        <v>4412.2396153430327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0.40106900000000001</v>
      </c>
      <c r="B2" s="68">
        <v>0.34280500000000003</v>
      </c>
      <c r="C2" s="68">
        <v>0</v>
      </c>
      <c r="D2" s="68">
        <v>1</v>
      </c>
      <c r="E2" s="68" t="s">
        <v>355</v>
      </c>
    </row>
    <row r="3" spans="1:5">
      <c r="A3" s="68">
        <v>0.40803499999999998</v>
      </c>
      <c r="B3" s="68">
        <v>0.33710299999999999</v>
      </c>
      <c r="C3" s="68">
        <v>0.40809699999999999</v>
      </c>
      <c r="D3" s="89">
        <v>1</v>
      </c>
      <c r="E3" s="68" t="s">
        <v>356</v>
      </c>
    </row>
    <row r="4" spans="1:5">
      <c r="A4" s="68">
        <v>0.41453499999999999</v>
      </c>
      <c r="B4" s="68">
        <v>0.33258399999999999</v>
      </c>
      <c r="C4" s="68">
        <v>0.81670299999999996</v>
      </c>
      <c r="D4" s="89">
        <v>1</v>
      </c>
      <c r="E4" s="68" t="s">
        <v>357</v>
      </c>
    </row>
    <row r="5" spans="1:5">
      <c r="A5" s="89">
        <v>0.42072900000000002</v>
      </c>
      <c r="B5" s="89">
        <v>0.328656</v>
      </c>
      <c r="C5" s="89">
        <v>1.2225699999999999</v>
      </c>
      <c r="D5" s="89">
        <v>1</v>
      </c>
      <c r="E5" s="68" t="s">
        <v>358</v>
      </c>
    </row>
    <row r="6" spans="1:5">
      <c r="A6" s="68">
        <v>0.426539</v>
      </c>
      <c r="B6" s="68">
        <v>0.32600600000000002</v>
      </c>
      <c r="C6" s="68">
        <v>1.62751</v>
      </c>
      <c r="D6" s="68">
        <v>1</v>
      </c>
      <c r="E6" s="68" t="s">
        <v>359</v>
      </c>
    </row>
    <row r="7" spans="1:5">
      <c r="A7" s="68">
        <v>0.431755</v>
      </c>
      <c r="B7" s="68">
        <v>0.32420599999999999</v>
      </c>
      <c r="C7" s="68">
        <v>2.0304700000000002</v>
      </c>
      <c r="D7" s="68">
        <v>1</v>
      </c>
      <c r="E7" s="68" t="s">
        <v>360</v>
      </c>
    </row>
    <row r="8" spans="1:5">
      <c r="A8" s="68">
        <v>0.436558</v>
      </c>
      <c r="B8" s="68">
        <v>0.32247199999999998</v>
      </c>
      <c r="C8" s="68">
        <v>2.4384800000000002</v>
      </c>
      <c r="D8" s="68">
        <v>1</v>
      </c>
      <c r="E8" s="68" t="s">
        <v>361</v>
      </c>
    </row>
    <row r="9" spans="1:5">
      <c r="A9" s="68">
        <v>0.44109999999999999</v>
      </c>
      <c r="B9" s="68">
        <v>0.320795</v>
      </c>
      <c r="C9" s="68">
        <v>2.8473099999999998</v>
      </c>
      <c r="D9" s="68">
        <v>1</v>
      </c>
      <c r="E9" s="68" t="s">
        <v>362</v>
      </c>
    </row>
    <row r="10" spans="1:5">
      <c r="A10" s="68">
        <v>0.44530900000000001</v>
      </c>
      <c r="B10" s="68">
        <v>0.31935599999999997</v>
      </c>
      <c r="C10" s="68">
        <v>3.2522000000000002</v>
      </c>
      <c r="D10" s="68">
        <v>1</v>
      </c>
      <c r="E10" s="68" t="s">
        <v>363</v>
      </c>
    </row>
    <row r="11" spans="1:5">
      <c r="A11" s="68">
        <v>0.44937500000000002</v>
      </c>
      <c r="B11" s="68">
        <v>0.31843399999999999</v>
      </c>
      <c r="C11" s="68">
        <v>3.6581899999999998</v>
      </c>
      <c r="D11" s="68">
        <v>1</v>
      </c>
      <c r="E11" s="68" t="s">
        <v>364</v>
      </c>
    </row>
    <row r="12" spans="1:5">
      <c r="A12" s="68">
        <v>0.45352300000000001</v>
      </c>
      <c r="B12" s="68">
        <v>0.31792199999999998</v>
      </c>
      <c r="C12" s="68">
        <v>4.0670900000000003</v>
      </c>
      <c r="D12" s="68">
        <v>1</v>
      </c>
      <c r="E12" s="68" t="s">
        <v>365</v>
      </c>
    </row>
    <row r="13" spans="1:5">
      <c r="A13" s="68">
        <v>0.45732099999999998</v>
      </c>
      <c r="B13" s="68">
        <v>0.31716800000000001</v>
      </c>
      <c r="C13" s="68">
        <v>4.4699099999999996</v>
      </c>
      <c r="D13" s="68">
        <v>1</v>
      </c>
      <c r="E13" s="68" t="s">
        <v>366</v>
      </c>
    </row>
    <row r="14" spans="1:5">
      <c r="A14" s="68">
        <v>0.460808</v>
      </c>
      <c r="B14" s="68">
        <v>0.31620599999999999</v>
      </c>
      <c r="C14" s="68">
        <v>4.87399</v>
      </c>
      <c r="D14" s="68">
        <v>1</v>
      </c>
      <c r="E14" s="68" t="s">
        <v>367</v>
      </c>
    </row>
    <row r="15" spans="1:5">
      <c r="A15" s="68">
        <v>0.46406500000000001</v>
      </c>
      <c r="B15" s="68">
        <v>0.315222</v>
      </c>
      <c r="C15" s="68">
        <v>5.2848100000000002</v>
      </c>
      <c r="D15" s="68">
        <v>1</v>
      </c>
      <c r="E15" s="68" t="s">
        <v>368</v>
      </c>
    </row>
    <row r="16" spans="1:5">
      <c r="A16" s="68">
        <v>0.46712199999999998</v>
      </c>
      <c r="B16" s="68">
        <v>0.31434499999999999</v>
      </c>
      <c r="C16" s="68">
        <v>5.6907500000000004</v>
      </c>
      <c r="D16" s="68">
        <v>1</v>
      </c>
      <c r="E16" s="68" t="s">
        <v>369</v>
      </c>
    </row>
    <row r="17" spans="1:5">
      <c r="A17" s="68">
        <v>0.46974500000000002</v>
      </c>
      <c r="B17" s="68">
        <v>0.31337300000000001</v>
      </c>
      <c r="C17" s="68">
        <v>6.0913899999999996</v>
      </c>
      <c r="D17" s="68">
        <v>1</v>
      </c>
      <c r="E17" s="68" t="s">
        <v>370</v>
      </c>
    </row>
    <row r="18" spans="1:5">
      <c r="A18" s="68">
        <v>0.47194000000000003</v>
      </c>
      <c r="B18" s="68">
        <v>0.31264700000000001</v>
      </c>
      <c r="C18" s="68">
        <v>6.4973400000000003</v>
      </c>
      <c r="D18" s="68">
        <v>1</v>
      </c>
      <c r="E18" s="68" t="s">
        <v>371</v>
      </c>
    </row>
    <row r="19" spans="1:5">
      <c r="A19" s="68">
        <v>0.47398600000000002</v>
      </c>
      <c r="B19" s="68">
        <v>0.31207200000000002</v>
      </c>
      <c r="C19" s="68">
        <v>6.9093900000000001</v>
      </c>
      <c r="D19" s="68">
        <v>1</v>
      </c>
      <c r="E19" s="68" t="s">
        <v>372</v>
      </c>
    </row>
    <row r="20" spans="1:5">
      <c r="A20" s="68">
        <v>0.47580800000000001</v>
      </c>
      <c r="B20" s="68">
        <v>0.31179699999999999</v>
      </c>
      <c r="C20" s="68">
        <v>7.3185200000000004</v>
      </c>
      <c r="D20" s="68">
        <v>1</v>
      </c>
      <c r="E20" s="68" t="s">
        <v>373</v>
      </c>
    </row>
    <row r="21" spans="1:5">
      <c r="A21" s="68">
        <v>0.47721000000000002</v>
      </c>
      <c r="B21" s="68">
        <v>0.31168499999999999</v>
      </c>
      <c r="C21" s="68">
        <v>7.7262599999999999</v>
      </c>
      <c r="D21" s="68">
        <v>1</v>
      </c>
      <c r="E21" s="68" t="s">
        <v>374</v>
      </c>
    </row>
    <row r="22" spans="1:5">
      <c r="A22" s="68">
        <v>0.47829899999999997</v>
      </c>
      <c r="B22" s="68">
        <v>0.31192199999999998</v>
      </c>
      <c r="C22" s="68">
        <v>8.1332500000000003</v>
      </c>
      <c r="D22" s="68">
        <v>1</v>
      </c>
      <c r="E22" s="68" t="s">
        <v>375</v>
      </c>
    </row>
    <row r="23" spans="1:5">
      <c r="A23" s="68">
        <v>0.47901100000000002</v>
      </c>
      <c r="B23" s="68">
        <v>0.31220300000000001</v>
      </c>
      <c r="C23" s="68">
        <v>8.5310799999999993</v>
      </c>
      <c r="D23" s="68">
        <v>1</v>
      </c>
      <c r="E23" s="68" t="s">
        <v>376</v>
      </c>
    </row>
    <row r="24" spans="1:5">
      <c r="A24" s="68">
        <v>0.47938399999999998</v>
      </c>
      <c r="B24" s="68">
        <v>0.31269799999999998</v>
      </c>
      <c r="C24" s="68">
        <v>8.9371399999999994</v>
      </c>
      <c r="D24" s="68">
        <v>1</v>
      </c>
      <c r="E24" s="68" t="s">
        <v>377</v>
      </c>
    </row>
    <row r="25" spans="1:5">
      <c r="A25" s="68">
        <v>0.47972599999999999</v>
      </c>
      <c r="B25" s="68">
        <v>0.31282599999999999</v>
      </c>
      <c r="C25" s="68">
        <v>9.3479799999999997</v>
      </c>
      <c r="D25" s="68">
        <v>1</v>
      </c>
      <c r="E25" s="68" t="s">
        <v>378</v>
      </c>
    </row>
    <row r="26" spans="1:5">
      <c r="A26" s="68">
        <v>0.48003099999999999</v>
      </c>
      <c r="B26" s="68">
        <v>0.31267699999999998</v>
      </c>
      <c r="C26" s="68">
        <v>9.7498699999999996</v>
      </c>
      <c r="D26" s="68">
        <v>1</v>
      </c>
      <c r="E26" s="68" t="s">
        <v>379</v>
      </c>
    </row>
    <row r="27" spans="1:5">
      <c r="A27" s="68">
        <v>0.48033700000000001</v>
      </c>
      <c r="B27" s="68">
        <v>0.31267400000000001</v>
      </c>
      <c r="C27" s="68">
        <v>10.161799999999999</v>
      </c>
      <c r="D27" s="68">
        <v>1</v>
      </c>
      <c r="E27" s="68" t="s">
        <v>380</v>
      </c>
    </row>
    <row r="28" spans="1:5">
      <c r="A28" s="68">
        <v>0.48092499999999999</v>
      </c>
      <c r="B28" s="68">
        <v>0.31245200000000001</v>
      </c>
      <c r="C28" s="68">
        <v>10.5688</v>
      </c>
      <c r="D28" s="68">
        <v>1</v>
      </c>
      <c r="E28" s="68" t="s">
        <v>381</v>
      </c>
    </row>
    <row r="29" spans="1:5">
      <c r="A29" s="68">
        <v>0.48138700000000001</v>
      </c>
      <c r="B29" s="68">
        <v>0.31259999999999999</v>
      </c>
      <c r="C29" s="68">
        <v>10.9694</v>
      </c>
      <c r="D29" s="68">
        <v>1</v>
      </c>
      <c r="E29" s="68" t="s">
        <v>382</v>
      </c>
    </row>
    <row r="30" spans="1:5">
      <c r="A30" s="68">
        <v>0.48174499999999998</v>
      </c>
      <c r="B30" s="68">
        <v>0.31280200000000002</v>
      </c>
      <c r="C30" s="68">
        <v>11.3765</v>
      </c>
      <c r="D30" s="68">
        <v>1</v>
      </c>
      <c r="E30" s="68" t="s">
        <v>383</v>
      </c>
    </row>
    <row r="31" spans="1:5">
      <c r="A31" s="68">
        <v>0.482126</v>
      </c>
      <c r="B31" s="68">
        <v>0.31252000000000002</v>
      </c>
      <c r="C31" s="68">
        <v>11.785500000000001</v>
      </c>
      <c r="D31" s="68">
        <v>1</v>
      </c>
      <c r="E31" s="68" t="s">
        <v>384</v>
      </c>
    </row>
    <row r="32" spans="1:5">
      <c r="A32" s="68">
        <v>0.48267500000000002</v>
      </c>
      <c r="B32" s="68">
        <v>0.31218299999999999</v>
      </c>
      <c r="C32" s="68">
        <v>12.186500000000001</v>
      </c>
      <c r="D32" s="68">
        <v>1</v>
      </c>
      <c r="E32" s="68" t="s">
        <v>385</v>
      </c>
    </row>
    <row r="33" spans="1:5">
      <c r="A33" s="68">
        <v>0.48329699999999998</v>
      </c>
      <c r="B33" s="68">
        <v>0.31210100000000002</v>
      </c>
      <c r="C33" s="68">
        <v>12.597200000000001</v>
      </c>
      <c r="D33" s="68">
        <v>1</v>
      </c>
      <c r="E33" s="68" t="s">
        <v>386</v>
      </c>
    </row>
    <row r="34" spans="1:5">
      <c r="A34" s="68">
        <v>0.48377799999999999</v>
      </c>
      <c r="B34" s="68">
        <v>0.31219599999999997</v>
      </c>
      <c r="C34" s="68">
        <v>13.0031</v>
      </c>
      <c r="D34" s="68">
        <v>1</v>
      </c>
      <c r="E34" s="68" t="s">
        <v>387</v>
      </c>
    </row>
    <row r="35" spans="1:5">
      <c r="A35" s="68">
        <v>0.48427300000000001</v>
      </c>
      <c r="B35" s="68">
        <v>0.31278299999999998</v>
      </c>
      <c r="C35" s="68">
        <v>13.4071</v>
      </c>
      <c r="D35" s="68">
        <v>1</v>
      </c>
      <c r="E35" s="68" t="s">
        <v>388</v>
      </c>
    </row>
    <row r="36" spans="1:5">
      <c r="A36" s="68">
        <v>0.48492800000000003</v>
      </c>
      <c r="B36" s="68">
        <v>0.312859</v>
      </c>
      <c r="C36" s="68">
        <v>13.811199999999999</v>
      </c>
      <c r="D36" s="68">
        <v>1</v>
      </c>
      <c r="E36" s="68" t="s">
        <v>389</v>
      </c>
    </row>
    <row r="37" spans="1:5">
      <c r="A37" s="68">
        <v>0.485433</v>
      </c>
      <c r="B37" s="68">
        <v>0.31270799999999999</v>
      </c>
      <c r="C37" s="68">
        <v>14.217000000000001</v>
      </c>
      <c r="D37" s="68">
        <v>1</v>
      </c>
      <c r="E37" s="68" t="s">
        <v>390</v>
      </c>
    </row>
    <row r="38" spans="1:5">
      <c r="A38" s="68">
        <v>0.48580499999999999</v>
      </c>
      <c r="B38" s="68">
        <v>0.31263299999999999</v>
      </c>
      <c r="C38" s="68">
        <v>14.627800000000001</v>
      </c>
      <c r="D38" s="68">
        <v>1</v>
      </c>
      <c r="E38" s="68" t="s">
        <v>391</v>
      </c>
    </row>
    <row r="39" spans="1:5">
      <c r="A39" s="68">
        <v>0.48635899999999999</v>
      </c>
      <c r="B39" s="68">
        <v>0.31215900000000002</v>
      </c>
      <c r="C39" s="68">
        <v>15.034700000000001</v>
      </c>
      <c r="D39" s="68">
        <v>1</v>
      </c>
      <c r="E39" s="68" t="s">
        <v>392</v>
      </c>
    </row>
    <row r="40" spans="1:5">
      <c r="A40" s="68">
        <v>0.48695300000000002</v>
      </c>
      <c r="B40" s="68">
        <v>0.311695</v>
      </c>
      <c r="C40" s="68">
        <v>15.4407</v>
      </c>
      <c r="D40" s="68">
        <v>1</v>
      </c>
      <c r="E40" s="68" t="s">
        <v>393</v>
      </c>
    </row>
    <row r="41" spans="1:5">
      <c r="A41" s="68">
        <v>0.487234</v>
      </c>
      <c r="B41" s="68">
        <v>0.31087999999999999</v>
      </c>
      <c r="C41" s="68">
        <v>15.846500000000001</v>
      </c>
      <c r="D41" s="68">
        <v>1</v>
      </c>
      <c r="E41" s="68" t="s">
        <v>394</v>
      </c>
    </row>
    <row r="42" spans="1:5">
      <c r="A42" s="68">
        <v>0.48741699999999999</v>
      </c>
      <c r="B42" s="68">
        <v>0.30995099999999998</v>
      </c>
      <c r="C42" s="68">
        <v>16.250699999999998</v>
      </c>
      <c r="D42" s="68">
        <v>1</v>
      </c>
      <c r="E42" s="68" t="s">
        <v>395</v>
      </c>
    </row>
    <row r="43" spans="1:5">
      <c r="A43" s="68">
        <v>0.48754199999999998</v>
      </c>
      <c r="B43" s="68">
        <v>0.30917299999999998</v>
      </c>
      <c r="C43" s="68">
        <v>16.654499999999999</v>
      </c>
      <c r="D43" s="68">
        <v>1</v>
      </c>
      <c r="E43" s="68" t="s">
        <v>396</v>
      </c>
    </row>
    <row r="44" spans="1:5">
      <c r="A44" s="68">
        <v>0.48747099999999999</v>
      </c>
      <c r="B44" s="68">
        <v>0.30847200000000002</v>
      </c>
      <c r="C44" s="68">
        <v>17.061399999999999</v>
      </c>
      <c r="D44" s="68">
        <v>1</v>
      </c>
      <c r="E44" s="68" t="s">
        <v>397</v>
      </c>
    </row>
    <row r="45" spans="1:5">
      <c r="A45" s="68">
        <v>0.48749100000000001</v>
      </c>
      <c r="B45" s="68">
        <v>0.307614</v>
      </c>
      <c r="C45" s="68">
        <v>17.470199999999998</v>
      </c>
      <c r="D45" s="68">
        <v>1</v>
      </c>
      <c r="E45" s="68" t="s">
        <v>398</v>
      </c>
    </row>
    <row r="46" spans="1:5">
      <c r="A46" s="68">
        <v>0.48758699999999999</v>
      </c>
      <c r="B46" s="68">
        <v>0.30654799999999999</v>
      </c>
      <c r="C46" s="68">
        <v>17.8751</v>
      </c>
      <c r="D46" s="68">
        <v>1</v>
      </c>
      <c r="E46" s="68" t="s">
        <v>399</v>
      </c>
    </row>
    <row r="47" spans="1:5">
      <c r="A47" s="68">
        <v>0.48767700000000003</v>
      </c>
      <c r="B47" s="68">
        <v>0.30532399999999998</v>
      </c>
      <c r="C47" s="68">
        <v>18.2804</v>
      </c>
      <c r="D47" s="68">
        <v>1</v>
      </c>
      <c r="E47" s="68" t="s">
        <v>400</v>
      </c>
    </row>
    <row r="48" spans="1:5">
      <c r="A48" s="68">
        <v>0.48787000000000003</v>
      </c>
      <c r="B48" s="68">
        <v>0.30418600000000001</v>
      </c>
      <c r="C48" s="68">
        <v>18.690899999999999</v>
      </c>
      <c r="D48" s="68">
        <v>1</v>
      </c>
      <c r="E48" s="68" t="s">
        <v>401</v>
      </c>
    </row>
    <row r="49" spans="1:5">
      <c r="A49" s="68">
        <v>0.48808099999999999</v>
      </c>
      <c r="B49" s="68">
        <v>0.30298599999999998</v>
      </c>
      <c r="C49" s="68">
        <v>19.096</v>
      </c>
      <c r="D49" s="68">
        <v>1</v>
      </c>
      <c r="E49" s="68" t="s">
        <v>402</v>
      </c>
    </row>
    <row r="50" spans="1:5">
      <c r="A50" s="68">
        <v>0.48788399999999998</v>
      </c>
      <c r="B50" s="68">
        <v>0.30182300000000001</v>
      </c>
      <c r="C50" s="68">
        <v>19.504799999999999</v>
      </c>
      <c r="D50" s="68">
        <v>1</v>
      </c>
      <c r="E50" s="68" t="s">
        <v>403</v>
      </c>
    </row>
    <row r="51" spans="1:5">
      <c r="A51" s="68">
        <v>0.48758000000000001</v>
      </c>
      <c r="B51" s="68">
        <v>0.30071100000000001</v>
      </c>
      <c r="C51" s="68">
        <v>19.906600000000001</v>
      </c>
      <c r="D51" s="68">
        <v>1</v>
      </c>
      <c r="E51" s="68" t="s">
        <v>404</v>
      </c>
    </row>
    <row r="52" spans="1:5">
      <c r="A52" s="68">
        <v>0.48733300000000002</v>
      </c>
      <c r="B52" s="68">
        <v>0.29993700000000001</v>
      </c>
      <c r="C52" s="68">
        <v>20.312899999999999</v>
      </c>
      <c r="D52" s="68">
        <v>1</v>
      </c>
      <c r="E52" s="68" t="s">
        <v>405</v>
      </c>
    </row>
    <row r="53" spans="1:5">
      <c r="A53" s="68">
        <v>0.48675800000000002</v>
      </c>
      <c r="B53" s="68">
        <v>0.29869099999999998</v>
      </c>
      <c r="C53" s="68">
        <v>20.720500000000001</v>
      </c>
      <c r="D53" s="68">
        <v>1</v>
      </c>
      <c r="E53" s="68" t="s">
        <v>406</v>
      </c>
    </row>
    <row r="54" spans="1:5">
      <c r="A54" s="68">
        <v>0.48613600000000001</v>
      </c>
      <c r="B54" s="68">
        <v>0.29698799999999997</v>
      </c>
      <c r="C54" s="68">
        <v>21.125499999999999</v>
      </c>
      <c r="D54" s="68">
        <v>1</v>
      </c>
      <c r="E54" s="68" t="s">
        <v>407</v>
      </c>
    </row>
    <row r="55" spans="1:5">
      <c r="A55" s="68">
        <v>0.48525000000000001</v>
      </c>
      <c r="B55" s="68">
        <v>0.294103</v>
      </c>
      <c r="C55" s="68">
        <v>21.534300000000002</v>
      </c>
      <c r="D55" s="68">
        <v>1</v>
      </c>
      <c r="E55" s="68" t="s">
        <v>408</v>
      </c>
    </row>
    <row r="56" spans="1:5">
      <c r="A56" s="68">
        <v>0.484236</v>
      </c>
      <c r="B56" s="68">
        <v>0.29076800000000003</v>
      </c>
      <c r="C56" s="68">
        <v>21.941199999999998</v>
      </c>
      <c r="D56" s="68">
        <v>1</v>
      </c>
      <c r="E56" s="68" t="s">
        <v>409</v>
      </c>
    </row>
    <row r="57" spans="1:5">
      <c r="A57" s="68">
        <v>0.483045</v>
      </c>
      <c r="B57" s="68">
        <v>0.28584599999999999</v>
      </c>
      <c r="C57" s="68">
        <v>22.348299999999998</v>
      </c>
      <c r="D57" s="68">
        <v>1</v>
      </c>
      <c r="E57" s="68" t="s">
        <v>410</v>
      </c>
    </row>
    <row r="58" spans="1:5">
      <c r="A58" s="68">
        <v>0.48259600000000002</v>
      </c>
      <c r="B58" s="68">
        <v>0.28348699999999999</v>
      </c>
      <c r="C58" s="68">
        <v>22.752099999999999</v>
      </c>
      <c r="D58" s="68">
        <v>1</v>
      </c>
      <c r="E58" s="68" t="s">
        <v>411</v>
      </c>
    </row>
    <row r="59" spans="1:5">
      <c r="A59" s="68">
        <v>0.481792</v>
      </c>
      <c r="B59" s="68">
        <v>0.27973500000000001</v>
      </c>
      <c r="C59" s="68">
        <v>23.158899999999999</v>
      </c>
      <c r="D59" s="68">
        <v>1</v>
      </c>
      <c r="E59" s="68" t="s">
        <v>412</v>
      </c>
    </row>
    <row r="60" spans="1:5">
      <c r="A60" s="68">
        <v>0.48075299999999999</v>
      </c>
      <c r="B60" s="68">
        <v>0.27558899999999997</v>
      </c>
      <c r="C60" s="68">
        <v>23.5623</v>
      </c>
      <c r="D60" s="68">
        <v>1</v>
      </c>
      <c r="E60" s="68" t="s">
        <v>413</v>
      </c>
    </row>
    <row r="61" spans="1:5">
      <c r="A61" s="68">
        <v>0.47941499999999998</v>
      </c>
      <c r="B61" s="68">
        <v>0.27201700000000001</v>
      </c>
      <c r="C61" s="68">
        <v>23.966899999999999</v>
      </c>
      <c r="D61" s="68">
        <v>1</v>
      </c>
      <c r="E61" s="68" t="s">
        <v>414</v>
      </c>
    </row>
    <row r="62" spans="1:5">
      <c r="A62" s="68">
        <v>0.47745900000000002</v>
      </c>
      <c r="B62" s="68">
        <v>0.26798100000000002</v>
      </c>
      <c r="C62" s="68">
        <v>24.378799999999998</v>
      </c>
      <c r="D62" s="68">
        <v>1</v>
      </c>
      <c r="E62" s="68" t="s">
        <v>415</v>
      </c>
    </row>
    <row r="63" spans="1:5">
      <c r="A63" s="68">
        <v>0.47600500000000001</v>
      </c>
      <c r="B63" s="68">
        <v>0.26480900000000002</v>
      </c>
      <c r="C63" s="68">
        <v>24.7806</v>
      </c>
      <c r="D63" s="68">
        <v>1</v>
      </c>
      <c r="E63" s="68" t="s">
        <v>416</v>
      </c>
    </row>
    <row r="64" spans="1:5">
      <c r="A64" s="68">
        <v>0.47483399999999998</v>
      </c>
      <c r="B64" s="68">
        <v>0.26332100000000003</v>
      </c>
      <c r="C64" s="68">
        <v>25.185600000000001</v>
      </c>
      <c r="D64" s="68">
        <v>1</v>
      </c>
      <c r="E64" s="68" t="s">
        <v>417</v>
      </c>
    </row>
    <row r="65" spans="1:5">
      <c r="A65" s="68">
        <v>0.47283999999999998</v>
      </c>
      <c r="B65" s="68">
        <v>0.26139200000000001</v>
      </c>
      <c r="C65" s="68">
        <v>25.592700000000001</v>
      </c>
      <c r="D65" s="68">
        <v>1</v>
      </c>
      <c r="E65" s="68" t="s">
        <v>418</v>
      </c>
    </row>
    <row r="66" spans="1:5">
      <c r="A66" s="68">
        <v>0.47051700000000002</v>
      </c>
      <c r="B66" s="68">
        <v>0.25961899999999999</v>
      </c>
      <c r="C66" s="68">
        <v>26.005400000000002</v>
      </c>
      <c r="D66" s="68">
        <v>1</v>
      </c>
      <c r="E66" s="68" t="s">
        <v>419</v>
      </c>
    </row>
    <row r="67" spans="1:5">
      <c r="A67" s="68">
        <v>0.46875099999999997</v>
      </c>
      <c r="B67" s="68">
        <v>0.25836799999999999</v>
      </c>
      <c r="C67" s="68">
        <v>26.410299999999999</v>
      </c>
      <c r="D67" s="68">
        <v>1</v>
      </c>
      <c r="E67" s="68" t="s">
        <v>420</v>
      </c>
    </row>
    <row r="68" spans="1:5">
      <c r="A68" s="68">
        <v>0.46697300000000003</v>
      </c>
      <c r="B68" s="68">
        <v>0.25700000000000001</v>
      </c>
      <c r="C68" s="68">
        <v>26.816199999999998</v>
      </c>
      <c r="D68" s="68">
        <v>1</v>
      </c>
      <c r="E68" s="68" t="s">
        <v>421</v>
      </c>
    </row>
    <row r="69" spans="1:5">
      <c r="A69" s="68">
        <v>0.46579799999999999</v>
      </c>
      <c r="B69" s="68">
        <v>0.25547900000000001</v>
      </c>
      <c r="C69" s="68">
        <v>27.2182</v>
      </c>
      <c r="D69" s="68">
        <v>1</v>
      </c>
      <c r="E69" s="68" t="s">
        <v>422</v>
      </c>
    </row>
    <row r="70" spans="1:5">
      <c r="A70" s="68">
        <v>0.46421299999999999</v>
      </c>
      <c r="B70" s="68">
        <v>0.25436700000000001</v>
      </c>
      <c r="C70" s="68">
        <v>27.623000000000001</v>
      </c>
      <c r="D70" s="68">
        <v>1</v>
      </c>
      <c r="E70" s="68" t="s">
        <v>423</v>
      </c>
    </row>
    <row r="71" spans="1:5">
      <c r="A71" s="68">
        <v>0.46279300000000001</v>
      </c>
      <c r="B71" s="68">
        <v>0.25361099999999998</v>
      </c>
      <c r="C71" s="68">
        <v>28.030999999999999</v>
      </c>
      <c r="D71" s="68">
        <v>1</v>
      </c>
      <c r="E71" s="68" t="s">
        <v>424</v>
      </c>
    </row>
    <row r="72" spans="1:5">
      <c r="A72" s="68">
        <v>0.46141199999999999</v>
      </c>
      <c r="B72" s="68">
        <v>0.25287700000000002</v>
      </c>
      <c r="C72" s="68">
        <v>28.437000000000001</v>
      </c>
      <c r="D72" s="68">
        <v>1</v>
      </c>
      <c r="E72" s="68" t="s">
        <v>425</v>
      </c>
    </row>
    <row r="73" spans="1:5">
      <c r="A73" s="68">
        <v>0.45996300000000001</v>
      </c>
      <c r="B73" s="68">
        <v>0.252498</v>
      </c>
      <c r="C73" s="68">
        <v>28.844899999999999</v>
      </c>
      <c r="D73" s="68">
        <v>1</v>
      </c>
      <c r="E73" s="68" t="s">
        <v>426</v>
      </c>
    </row>
    <row r="74" spans="1:5">
      <c r="A74" s="68">
        <v>0.45855800000000002</v>
      </c>
      <c r="B74" s="68">
        <v>0.25217000000000001</v>
      </c>
      <c r="C74" s="68">
        <v>29.253599999999999</v>
      </c>
      <c r="D74" s="68">
        <v>1</v>
      </c>
      <c r="E74" s="68" t="s">
        <v>427</v>
      </c>
    </row>
    <row r="75" spans="1:5">
      <c r="A75" s="68">
        <v>0.45701000000000003</v>
      </c>
      <c r="B75" s="68">
        <v>0.25228499999999998</v>
      </c>
      <c r="C75" s="68">
        <v>29.657699999999998</v>
      </c>
      <c r="D75" s="68">
        <v>1</v>
      </c>
      <c r="E75" s="68" t="s">
        <v>428</v>
      </c>
    </row>
    <row r="76" spans="1:5">
      <c r="A76" s="68">
        <v>0.45586199999999999</v>
      </c>
      <c r="B76" s="68">
        <v>0.25194299999999997</v>
      </c>
      <c r="C76" s="68">
        <v>30.060600000000001</v>
      </c>
      <c r="D76" s="68">
        <v>2</v>
      </c>
      <c r="E76" s="68" t="s">
        <v>429</v>
      </c>
    </row>
    <row r="77" spans="1:5">
      <c r="A77" s="68">
        <v>0.45489400000000002</v>
      </c>
      <c r="B77" s="68">
        <v>0.252363</v>
      </c>
      <c r="C77" s="68">
        <v>30.533300000000001</v>
      </c>
      <c r="D77" s="68">
        <v>2</v>
      </c>
      <c r="E77" s="68" t="s">
        <v>430</v>
      </c>
    </row>
    <row r="78" spans="1:5">
      <c r="A78" s="68">
        <v>0.45416499999999999</v>
      </c>
      <c r="B78" s="68">
        <v>0.25212400000000001</v>
      </c>
      <c r="C78" s="68">
        <v>30.936599999999999</v>
      </c>
      <c r="D78" s="68">
        <v>2</v>
      </c>
      <c r="E78" s="68" t="s">
        <v>431</v>
      </c>
    </row>
    <row r="79" spans="1:5">
      <c r="A79" s="68">
        <v>0.45375700000000002</v>
      </c>
      <c r="B79" s="68">
        <v>0.25243700000000002</v>
      </c>
      <c r="C79" s="68">
        <v>31.349299999999999</v>
      </c>
      <c r="D79" s="68">
        <v>2</v>
      </c>
      <c r="E79" s="68" t="s">
        <v>432</v>
      </c>
    </row>
    <row r="80" spans="1:5">
      <c r="A80" s="68">
        <v>0.45363199999999998</v>
      </c>
      <c r="B80" s="68">
        <v>0.253583</v>
      </c>
      <c r="C80" s="68">
        <v>31.734200000000001</v>
      </c>
      <c r="D80" s="68">
        <v>2</v>
      </c>
      <c r="E80" s="68" t="s">
        <v>433</v>
      </c>
    </row>
    <row r="81" spans="1:5">
      <c r="A81" s="68">
        <v>0.45361000000000001</v>
      </c>
      <c r="B81" s="68">
        <v>0.25483299999999998</v>
      </c>
      <c r="C81" s="68">
        <v>32.1419</v>
      </c>
      <c r="D81" s="68">
        <v>2</v>
      </c>
      <c r="E81" s="68" t="s">
        <v>434</v>
      </c>
    </row>
    <row r="82" spans="1:5">
      <c r="A82" s="68">
        <v>0.45366000000000001</v>
      </c>
      <c r="B82" s="68">
        <v>0.25646999999999998</v>
      </c>
      <c r="C82" s="68">
        <v>32.547800000000002</v>
      </c>
      <c r="D82" s="68">
        <v>2</v>
      </c>
      <c r="E82" s="68" t="s">
        <v>435</v>
      </c>
    </row>
    <row r="83" spans="1:5">
      <c r="A83" s="68">
        <v>0.45375100000000002</v>
      </c>
      <c r="B83" s="68">
        <v>0.25820700000000002</v>
      </c>
      <c r="C83" s="68">
        <v>32.957799999999999</v>
      </c>
      <c r="D83" s="68">
        <v>2</v>
      </c>
      <c r="E83" s="68" t="s">
        <v>436</v>
      </c>
    </row>
    <row r="84" spans="1:5">
      <c r="A84" s="68">
        <v>0.45408399999999999</v>
      </c>
      <c r="B84" s="68">
        <v>0.259683</v>
      </c>
      <c r="C84" s="68">
        <v>33.364800000000002</v>
      </c>
      <c r="D84" s="68">
        <v>2</v>
      </c>
      <c r="E84" s="68" t="s">
        <v>437</v>
      </c>
    </row>
    <row r="85" spans="1:5">
      <c r="A85" s="68">
        <v>0.454648</v>
      </c>
      <c r="B85" s="68">
        <v>0.26063900000000001</v>
      </c>
      <c r="C85" s="68">
        <v>33.766300000000001</v>
      </c>
      <c r="D85" s="68">
        <v>2</v>
      </c>
      <c r="E85" s="68" t="s">
        <v>438</v>
      </c>
    </row>
    <row r="86" spans="1:5">
      <c r="A86" s="68">
        <v>0.45501000000000003</v>
      </c>
      <c r="B86" s="68">
        <v>0.26120100000000002</v>
      </c>
      <c r="C86" s="68">
        <v>34.171799999999998</v>
      </c>
      <c r="D86" s="68">
        <v>2</v>
      </c>
      <c r="E86" s="68" t="s">
        <v>439</v>
      </c>
    </row>
    <row r="87" spans="1:5">
      <c r="A87" s="68">
        <v>0.45549499999999998</v>
      </c>
      <c r="B87" s="68">
        <v>0.26130900000000001</v>
      </c>
      <c r="C87" s="68">
        <v>34.583500000000001</v>
      </c>
      <c r="D87" s="68">
        <v>2</v>
      </c>
      <c r="E87" s="68" t="s">
        <v>440</v>
      </c>
    </row>
    <row r="88" spans="1:5">
      <c r="A88" s="68">
        <v>0.455843</v>
      </c>
      <c r="B88" s="68">
        <v>0.26115100000000002</v>
      </c>
      <c r="C88" s="68">
        <v>34.988500000000002</v>
      </c>
      <c r="D88" s="68">
        <v>2</v>
      </c>
      <c r="E88" s="68" t="s">
        <v>441</v>
      </c>
    </row>
    <row r="89" spans="1:5">
      <c r="A89" s="68">
        <v>0.45602500000000001</v>
      </c>
      <c r="B89" s="68">
        <v>0.25989200000000001</v>
      </c>
      <c r="C89" s="68">
        <v>35.393300000000004</v>
      </c>
      <c r="D89" s="68">
        <v>2</v>
      </c>
      <c r="E89" s="68" t="s">
        <v>442</v>
      </c>
    </row>
    <row r="90" spans="1:5">
      <c r="A90" s="68">
        <v>0.45615499999999998</v>
      </c>
      <c r="B90" s="68">
        <v>0.25812499999999999</v>
      </c>
      <c r="C90" s="68">
        <v>35.801299999999998</v>
      </c>
      <c r="D90" s="68">
        <v>2</v>
      </c>
      <c r="E90" s="68" t="s">
        <v>443</v>
      </c>
    </row>
    <row r="91" spans="1:5">
      <c r="A91" s="68">
        <v>0.45615699999999998</v>
      </c>
      <c r="B91" s="68">
        <v>0.25597999999999999</v>
      </c>
      <c r="C91" s="68">
        <v>36.201700000000002</v>
      </c>
      <c r="D91" s="68">
        <v>2</v>
      </c>
      <c r="E91" s="68" t="s">
        <v>444</v>
      </c>
    </row>
    <row r="92" spans="1:5">
      <c r="A92" s="68">
        <v>0.456233</v>
      </c>
      <c r="B92" s="68">
        <v>0.253164</v>
      </c>
      <c r="C92" s="68">
        <v>36.615200000000002</v>
      </c>
      <c r="D92" s="68">
        <v>2</v>
      </c>
      <c r="E92" s="68" t="s">
        <v>445</v>
      </c>
    </row>
    <row r="93" spans="1:5">
      <c r="A93" s="68">
        <v>0.45655800000000002</v>
      </c>
      <c r="B93" s="68">
        <v>0.25030400000000003</v>
      </c>
      <c r="C93" s="68">
        <v>37.0169</v>
      </c>
      <c r="D93" s="68">
        <v>2</v>
      </c>
      <c r="E93" s="68" t="s">
        <v>446</v>
      </c>
    </row>
    <row r="94" spans="1:5">
      <c r="A94" s="68">
        <v>0.45694499999999999</v>
      </c>
      <c r="B94" s="68">
        <v>0.24729000000000001</v>
      </c>
      <c r="C94" s="68">
        <v>37.425899999999999</v>
      </c>
      <c r="D94" s="68">
        <v>2</v>
      </c>
      <c r="E94" s="68" t="s">
        <v>447</v>
      </c>
    </row>
    <row r="95" spans="1:5">
      <c r="A95" s="68">
        <v>0.45705299999999999</v>
      </c>
      <c r="B95" s="68">
        <v>0.24473200000000001</v>
      </c>
      <c r="C95" s="68">
        <v>37.8324</v>
      </c>
      <c r="D95" s="68">
        <v>2</v>
      </c>
      <c r="E95" s="68" t="s">
        <v>448</v>
      </c>
    </row>
    <row r="96" spans="1:5">
      <c r="A96" s="68">
        <v>0.45700200000000002</v>
      </c>
      <c r="B96" s="68">
        <v>0.24268799999999999</v>
      </c>
      <c r="C96" s="68">
        <v>38.237699999999997</v>
      </c>
      <c r="D96" s="68">
        <v>2</v>
      </c>
      <c r="E96" s="68" t="s">
        <v>449</v>
      </c>
    </row>
    <row r="97" spans="1:5">
      <c r="A97" s="68">
        <v>0.45694800000000002</v>
      </c>
      <c r="B97" s="68">
        <v>0.24027799999999999</v>
      </c>
      <c r="C97" s="68">
        <v>38.642600000000002</v>
      </c>
      <c r="D97" s="68">
        <v>2</v>
      </c>
      <c r="E97" s="68" t="s">
        <v>450</v>
      </c>
    </row>
    <row r="98" spans="1:5">
      <c r="A98" s="68">
        <v>0.456847</v>
      </c>
      <c r="B98" s="68">
        <v>0.23743800000000001</v>
      </c>
      <c r="C98" s="68">
        <v>39.047499999999999</v>
      </c>
      <c r="D98" s="68">
        <v>2</v>
      </c>
      <c r="E98" s="68" t="s">
        <v>451</v>
      </c>
    </row>
    <row r="99" spans="1:5">
      <c r="A99" s="68">
        <v>0.45656999999999998</v>
      </c>
      <c r="B99" s="68">
        <v>0.23459199999999999</v>
      </c>
      <c r="C99" s="68">
        <v>39.455500000000001</v>
      </c>
      <c r="D99" s="68">
        <v>2</v>
      </c>
      <c r="E99" s="68" t="s">
        <v>452</v>
      </c>
    </row>
    <row r="100" spans="1:5">
      <c r="A100" s="68">
        <v>0.45611299999999999</v>
      </c>
      <c r="B100" s="68">
        <v>0.232486</v>
      </c>
      <c r="C100" s="68">
        <v>39.864400000000003</v>
      </c>
      <c r="D100" s="68">
        <v>2</v>
      </c>
      <c r="E100" s="68" t="s">
        <v>453</v>
      </c>
    </row>
    <row r="101" spans="1:5">
      <c r="A101" s="68">
        <v>0.45530999999999999</v>
      </c>
      <c r="B101" s="68">
        <v>0.230631</v>
      </c>
      <c r="C101" s="68">
        <v>40.267400000000002</v>
      </c>
      <c r="D101" s="68">
        <v>2</v>
      </c>
      <c r="E101" s="68" t="s">
        <v>454</v>
      </c>
    </row>
    <row r="102" spans="1:5">
      <c r="A102" s="68">
        <v>0.45430599999999999</v>
      </c>
      <c r="B102" s="68">
        <v>0.22921900000000001</v>
      </c>
      <c r="C102" s="68">
        <v>40.676099999999998</v>
      </c>
      <c r="D102" s="68">
        <v>2</v>
      </c>
      <c r="E102" s="68" t="s">
        <v>455</v>
      </c>
    </row>
    <row r="103" spans="1:5">
      <c r="A103" s="68">
        <v>0.453316</v>
      </c>
      <c r="B103" s="68">
        <v>0.228577</v>
      </c>
      <c r="C103" s="68">
        <v>41.079099999999997</v>
      </c>
      <c r="D103" s="68">
        <v>2</v>
      </c>
      <c r="E103" s="68" t="s">
        <v>456</v>
      </c>
    </row>
    <row r="104" spans="1:5">
      <c r="A104" s="68">
        <v>0.45219399999999998</v>
      </c>
      <c r="B104" s="68">
        <v>0.228187</v>
      </c>
      <c r="C104" s="68">
        <v>41.485999999999997</v>
      </c>
      <c r="D104" s="68">
        <v>2</v>
      </c>
      <c r="E104" s="68" t="s">
        <v>457</v>
      </c>
    </row>
    <row r="105" spans="1:5">
      <c r="A105" s="68">
        <v>0.45123200000000002</v>
      </c>
      <c r="B105" s="68">
        <v>0.22819</v>
      </c>
      <c r="C105" s="68">
        <v>41.893999999999998</v>
      </c>
      <c r="D105" s="68">
        <v>2</v>
      </c>
      <c r="E105" s="68" t="s">
        <v>458</v>
      </c>
    </row>
    <row r="106" spans="1:5">
      <c r="A106" s="68">
        <v>0.45006000000000002</v>
      </c>
      <c r="B106" s="68">
        <v>0.22841600000000001</v>
      </c>
      <c r="C106" s="68">
        <v>42.295999999999999</v>
      </c>
      <c r="D106" s="68">
        <v>2</v>
      </c>
      <c r="E106" s="68" t="s">
        <v>459</v>
      </c>
    </row>
    <row r="107" spans="1:5">
      <c r="A107" s="68">
        <v>0.44866099999999998</v>
      </c>
      <c r="B107" s="68">
        <v>0.229162</v>
      </c>
      <c r="C107" s="68">
        <v>42.703699999999998</v>
      </c>
      <c r="D107" s="68">
        <v>2</v>
      </c>
      <c r="E107" s="68" t="s">
        <v>460</v>
      </c>
    </row>
    <row r="108" spans="1:5">
      <c r="A108" s="68">
        <v>0.44727899999999998</v>
      </c>
      <c r="B108" s="68">
        <v>0.23014000000000001</v>
      </c>
      <c r="C108" s="68">
        <v>43.108699999999999</v>
      </c>
      <c r="D108" s="68">
        <v>2</v>
      </c>
      <c r="E108" s="68" t="s">
        <v>461</v>
      </c>
    </row>
    <row r="109" spans="1:5">
      <c r="A109" s="68">
        <v>0.44619799999999998</v>
      </c>
      <c r="B109" s="68">
        <v>0.23130400000000001</v>
      </c>
      <c r="C109" s="68">
        <v>43.512599999999999</v>
      </c>
      <c r="D109" s="68">
        <v>2</v>
      </c>
      <c r="E109" s="68" t="s">
        <v>462</v>
      </c>
    </row>
    <row r="110" spans="1:5">
      <c r="A110" s="68">
        <v>0.44521500000000003</v>
      </c>
      <c r="B110" s="68">
        <v>0.232955</v>
      </c>
      <c r="C110" s="68">
        <v>43.923499999999997</v>
      </c>
      <c r="D110" s="68">
        <v>2</v>
      </c>
      <c r="E110" s="68" t="s">
        <v>463</v>
      </c>
    </row>
    <row r="111" spans="1:5">
      <c r="A111" s="68">
        <v>0.444492</v>
      </c>
      <c r="B111" s="68">
        <v>0.23479900000000001</v>
      </c>
      <c r="C111" s="68">
        <v>44.332799999999999</v>
      </c>
      <c r="D111" s="68">
        <v>2</v>
      </c>
      <c r="E111" s="68" t="s">
        <v>464</v>
      </c>
    </row>
    <row r="112" spans="1:5">
      <c r="A112" s="68">
        <v>0.44394600000000001</v>
      </c>
      <c r="B112" s="68">
        <v>0.23694399999999999</v>
      </c>
      <c r="C112" s="68">
        <v>44.733800000000002</v>
      </c>
      <c r="D112" s="68">
        <v>2</v>
      </c>
      <c r="E112" s="68" t="s">
        <v>465</v>
      </c>
    </row>
    <row r="113" spans="1:5">
      <c r="A113" s="68">
        <v>0.44344600000000001</v>
      </c>
      <c r="B113" s="68">
        <v>0.239008</v>
      </c>
      <c r="C113" s="68">
        <v>45.1402</v>
      </c>
      <c r="D113" s="68">
        <v>2</v>
      </c>
      <c r="E113" s="68" t="s">
        <v>466</v>
      </c>
    </row>
    <row r="114" spans="1:5">
      <c r="A114" s="68">
        <v>0.44356400000000001</v>
      </c>
      <c r="B114" s="68">
        <v>0.24077499999999999</v>
      </c>
      <c r="C114" s="68">
        <v>45.548499999999997</v>
      </c>
      <c r="D114" s="68">
        <v>2</v>
      </c>
      <c r="E114" s="68" t="s">
        <v>467</v>
      </c>
    </row>
    <row r="115" spans="1:5">
      <c r="A115" s="68">
        <v>0.444164</v>
      </c>
      <c r="B115" s="68">
        <v>0.24265999999999999</v>
      </c>
      <c r="C115" s="68">
        <v>45.957099999999997</v>
      </c>
      <c r="D115" s="68">
        <v>2</v>
      </c>
      <c r="E115" s="68" t="s">
        <v>468</v>
      </c>
    </row>
    <row r="116" spans="1:5">
      <c r="A116" s="68">
        <v>0.44501400000000002</v>
      </c>
      <c r="B116" s="68">
        <v>0.244393</v>
      </c>
      <c r="C116" s="68">
        <v>46.365200000000002</v>
      </c>
      <c r="D116" s="68">
        <v>2</v>
      </c>
      <c r="E116" s="68" t="s">
        <v>469</v>
      </c>
    </row>
    <row r="117" spans="1:5">
      <c r="A117" s="68">
        <v>0.44603199999999998</v>
      </c>
      <c r="B117" s="68">
        <v>0.24653900000000001</v>
      </c>
      <c r="C117" s="68">
        <v>46.7669</v>
      </c>
      <c r="D117" s="68">
        <v>2</v>
      </c>
      <c r="E117" s="68" t="s">
        <v>470</v>
      </c>
    </row>
    <row r="118" spans="1:5">
      <c r="A118" s="68">
        <v>0.44706499999999999</v>
      </c>
      <c r="B118" s="68">
        <v>0.24868699999999999</v>
      </c>
      <c r="C118" s="68">
        <v>47.172800000000002</v>
      </c>
      <c r="D118" s="68">
        <v>2</v>
      </c>
      <c r="E118" s="68" t="s">
        <v>471</v>
      </c>
    </row>
    <row r="119" spans="1:5">
      <c r="A119" s="68">
        <v>0.44789499999999999</v>
      </c>
      <c r="B119" s="68">
        <v>0.25080999999999998</v>
      </c>
      <c r="C119" s="68">
        <v>47.581899999999997</v>
      </c>
      <c r="D119" s="68">
        <v>2</v>
      </c>
      <c r="E119" s="68" t="s">
        <v>472</v>
      </c>
    </row>
    <row r="120" spans="1:5">
      <c r="A120" s="68">
        <v>0.448629</v>
      </c>
      <c r="B120" s="68">
        <v>0.25199300000000002</v>
      </c>
      <c r="C120" s="68">
        <v>47.985599999999998</v>
      </c>
      <c r="D120" s="68">
        <v>2</v>
      </c>
      <c r="E120" s="68" t="s">
        <v>473</v>
      </c>
    </row>
    <row r="121" spans="1:5">
      <c r="A121" s="68">
        <v>0.44912200000000002</v>
      </c>
      <c r="B121" s="68">
        <v>0.25345499999999999</v>
      </c>
      <c r="C121" s="68">
        <v>48.3947</v>
      </c>
      <c r="D121" s="68">
        <v>2</v>
      </c>
      <c r="E121" s="68" t="s">
        <v>474</v>
      </c>
    </row>
    <row r="122" spans="1:5">
      <c r="A122" s="68">
        <v>0.44958799999999999</v>
      </c>
      <c r="B122" s="68">
        <v>0.25555</v>
      </c>
      <c r="C122" s="68">
        <v>48.799500000000002</v>
      </c>
      <c r="D122" s="68">
        <v>2</v>
      </c>
      <c r="E122" s="68" t="s">
        <v>475</v>
      </c>
    </row>
    <row r="123" spans="1:5">
      <c r="A123" s="68">
        <v>0.45019799999999999</v>
      </c>
      <c r="B123" s="68">
        <v>0.25769799999999998</v>
      </c>
      <c r="C123" s="68">
        <v>49.206600000000002</v>
      </c>
      <c r="D123" s="68">
        <v>2</v>
      </c>
      <c r="E123" s="68" t="s">
        <v>476</v>
      </c>
    </row>
    <row r="124" spans="1:5">
      <c r="A124" s="68">
        <v>0.45097799999999999</v>
      </c>
      <c r="B124" s="68">
        <v>0.26005499999999998</v>
      </c>
      <c r="C124" s="68">
        <v>49.6113</v>
      </c>
      <c r="D124" s="68">
        <v>2</v>
      </c>
      <c r="E124" s="68" t="s">
        <v>477</v>
      </c>
    </row>
    <row r="125" spans="1:5">
      <c r="A125" s="68">
        <v>0.45168799999999998</v>
      </c>
      <c r="B125" s="68">
        <v>0.26214599999999999</v>
      </c>
      <c r="C125" s="68">
        <v>50.014200000000002</v>
      </c>
      <c r="D125" s="68">
        <v>2</v>
      </c>
      <c r="E125" s="68" t="s">
        <v>478</v>
      </c>
    </row>
    <row r="126" spans="1:5">
      <c r="A126" s="68">
        <v>0.45241599999999998</v>
      </c>
      <c r="B126" s="68">
        <v>0.26391300000000001</v>
      </c>
      <c r="C126" s="68">
        <v>50.425199999999997</v>
      </c>
      <c r="D126" s="68">
        <v>2</v>
      </c>
      <c r="E126" s="68" t="s">
        <v>479</v>
      </c>
    </row>
    <row r="127" spans="1:5">
      <c r="A127" s="68">
        <v>0.45328000000000002</v>
      </c>
      <c r="B127" s="68">
        <v>0.26528400000000002</v>
      </c>
      <c r="C127" s="68">
        <v>50.828400000000002</v>
      </c>
      <c r="D127" s="68">
        <v>2</v>
      </c>
      <c r="E127" s="68" t="s">
        <v>480</v>
      </c>
    </row>
    <row r="128" spans="1:5">
      <c r="A128" s="68">
        <v>0.45406000000000002</v>
      </c>
      <c r="B128" s="68">
        <v>0.26607799999999998</v>
      </c>
      <c r="C128" s="68">
        <v>51.234900000000003</v>
      </c>
      <c r="D128" s="68">
        <v>2</v>
      </c>
      <c r="E128" s="68" t="s">
        <v>481</v>
      </c>
    </row>
    <row r="129" spans="1:5">
      <c r="A129" s="68">
        <v>0.45510099999999998</v>
      </c>
      <c r="B129" s="68">
        <v>0.26663500000000001</v>
      </c>
      <c r="C129" s="68">
        <v>51.643900000000002</v>
      </c>
      <c r="D129" s="68">
        <v>2</v>
      </c>
      <c r="E129" s="68" t="s">
        <v>482</v>
      </c>
    </row>
    <row r="130" spans="1:5">
      <c r="A130" s="68">
        <v>0.45612799999999998</v>
      </c>
      <c r="B130" s="68">
        <v>0.26692199999999999</v>
      </c>
      <c r="C130" s="68">
        <v>52.047699999999999</v>
      </c>
      <c r="D130" s="68">
        <v>2</v>
      </c>
      <c r="E130" s="68" t="s">
        <v>483</v>
      </c>
    </row>
    <row r="131" spans="1:5">
      <c r="A131" s="68">
        <v>0.45732099999999998</v>
      </c>
      <c r="B131" s="68">
        <v>0.26711499999999999</v>
      </c>
      <c r="C131" s="68">
        <v>52.453600000000002</v>
      </c>
      <c r="D131" s="68">
        <v>2</v>
      </c>
      <c r="E131" s="68" t="s">
        <v>484</v>
      </c>
    </row>
    <row r="132" spans="1:5">
      <c r="A132" s="68">
        <v>0.45871600000000001</v>
      </c>
      <c r="B132" s="68">
        <v>0.26704</v>
      </c>
      <c r="C132" s="68">
        <v>52.859900000000003</v>
      </c>
      <c r="D132" s="68">
        <v>2</v>
      </c>
      <c r="E132" s="68" t="s">
        <v>485</v>
      </c>
    </row>
    <row r="133" spans="1:5">
      <c r="A133" s="68">
        <v>0.46006999999999998</v>
      </c>
      <c r="B133" s="68">
        <v>0.26658300000000001</v>
      </c>
      <c r="C133" s="68">
        <v>53.264299999999999</v>
      </c>
      <c r="D133" s="68">
        <v>2</v>
      </c>
      <c r="E133" s="68" t="s">
        <v>486</v>
      </c>
    </row>
    <row r="134" spans="1:5">
      <c r="A134" s="68">
        <v>0.46110499999999999</v>
      </c>
      <c r="B134" s="68">
        <v>0.26566099999999998</v>
      </c>
      <c r="C134" s="68">
        <v>53.670499999999997</v>
      </c>
      <c r="D134" s="68">
        <v>2</v>
      </c>
      <c r="E134" s="68" t="s">
        <v>487</v>
      </c>
    </row>
    <row r="135" spans="1:5">
      <c r="A135" s="68">
        <v>0.46207100000000001</v>
      </c>
      <c r="B135" s="68">
        <v>0.264208</v>
      </c>
      <c r="C135" s="68">
        <v>54.080300000000001</v>
      </c>
      <c r="D135" s="68">
        <v>2</v>
      </c>
      <c r="E135" s="68" t="s">
        <v>488</v>
      </c>
    </row>
    <row r="136" spans="1:5">
      <c r="A136" s="68">
        <v>0.46323199999999998</v>
      </c>
      <c r="B136" s="68">
        <v>0.26241399999999998</v>
      </c>
      <c r="C136" s="68">
        <v>54.487200000000001</v>
      </c>
      <c r="D136" s="68">
        <v>2</v>
      </c>
      <c r="E136" s="68" t="s">
        <v>489</v>
      </c>
    </row>
    <row r="137" spans="1:5">
      <c r="A137" s="68">
        <v>0.46428199999999997</v>
      </c>
      <c r="B137" s="68">
        <v>0.26046200000000003</v>
      </c>
      <c r="C137" s="68">
        <v>54.895200000000003</v>
      </c>
      <c r="D137" s="68">
        <v>2</v>
      </c>
      <c r="E137" s="68" t="s">
        <v>490</v>
      </c>
    </row>
    <row r="138" spans="1:5">
      <c r="A138" s="68">
        <v>0.465831</v>
      </c>
      <c r="B138" s="68">
        <v>0.25908199999999998</v>
      </c>
      <c r="C138" s="68">
        <v>55.302199999999999</v>
      </c>
      <c r="D138" s="68">
        <v>2</v>
      </c>
      <c r="E138" s="68" t="s">
        <v>491</v>
      </c>
    </row>
    <row r="139" spans="1:5">
      <c r="A139" s="68">
        <v>0.46693499999999999</v>
      </c>
      <c r="B139" s="68">
        <v>0.25828499999999999</v>
      </c>
      <c r="C139" s="68">
        <v>55.709299999999999</v>
      </c>
      <c r="D139" s="68">
        <v>2</v>
      </c>
      <c r="E139" s="68" t="s">
        <v>492</v>
      </c>
    </row>
    <row r="140" spans="1:5">
      <c r="A140" s="68">
        <v>0.46755600000000003</v>
      </c>
      <c r="B140" s="68">
        <v>0.25748599999999999</v>
      </c>
      <c r="C140" s="68">
        <v>56.113900000000001</v>
      </c>
      <c r="D140" s="68">
        <v>2</v>
      </c>
      <c r="E140" s="68" t="s">
        <v>493</v>
      </c>
    </row>
    <row r="141" spans="1:5">
      <c r="A141" s="68">
        <v>0.46787800000000002</v>
      </c>
      <c r="B141" s="68">
        <v>0.25694</v>
      </c>
      <c r="C141" s="68">
        <v>56.517000000000003</v>
      </c>
      <c r="D141" s="68">
        <v>2</v>
      </c>
      <c r="E141" s="68" t="s">
        <v>494</v>
      </c>
    </row>
    <row r="142" spans="1:5">
      <c r="A142" s="68">
        <v>0.46747</v>
      </c>
      <c r="B142" s="68">
        <v>0.25624200000000003</v>
      </c>
      <c r="C142" s="68">
        <v>56.9208</v>
      </c>
      <c r="D142" s="68">
        <v>2</v>
      </c>
      <c r="E142" s="68" t="s">
        <v>495</v>
      </c>
    </row>
    <row r="143" spans="1:5">
      <c r="A143" s="68">
        <v>0.46639900000000001</v>
      </c>
      <c r="B143" s="68">
        <v>0.25542999999999999</v>
      </c>
      <c r="C143" s="68">
        <v>57.3307</v>
      </c>
      <c r="D143" s="68">
        <v>2</v>
      </c>
      <c r="E143" s="68" t="s">
        <v>496</v>
      </c>
    </row>
    <row r="144" spans="1:5">
      <c r="A144" s="68">
        <v>0.46512100000000001</v>
      </c>
      <c r="B144" s="68">
        <v>0.25572</v>
      </c>
      <c r="C144" s="68">
        <v>57.736699999999999</v>
      </c>
      <c r="D144" s="68">
        <v>2</v>
      </c>
      <c r="E144" s="68" t="s">
        <v>497</v>
      </c>
    </row>
    <row r="145" spans="1:5">
      <c r="A145" s="68">
        <v>0.46418999999999999</v>
      </c>
      <c r="B145" s="68">
        <v>0.25861200000000001</v>
      </c>
      <c r="C145" s="68">
        <v>58.139800000000001</v>
      </c>
      <c r="D145" s="68">
        <v>2</v>
      </c>
      <c r="E145" s="68" t="s">
        <v>498</v>
      </c>
    </row>
    <row r="146" spans="1:5">
      <c r="A146" s="68">
        <v>0.46372999999999998</v>
      </c>
      <c r="B146" s="68">
        <v>0.25881100000000001</v>
      </c>
      <c r="C146" s="68">
        <v>58.554299999999998</v>
      </c>
      <c r="D146" s="68">
        <v>2</v>
      </c>
      <c r="E146" s="68" t="s">
        <v>499</v>
      </c>
    </row>
    <row r="147" spans="1:5">
      <c r="A147" s="68">
        <v>0.46297199999999999</v>
      </c>
      <c r="B147" s="68">
        <v>0.25901999999999997</v>
      </c>
      <c r="C147" s="68">
        <v>58.957299999999996</v>
      </c>
      <c r="D147" s="68">
        <v>2</v>
      </c>
      <c r="E147" s="68" t="s">
        <v>500</v>
      </c>
    </row>
    <row r="148" spans="1:5">
      <c r="A148" s="68">
        <v>0.46177800000000002</v>
      </c>
      <c r="B148" s="68">
        <v>0.26011400000000001</v>
      </c>
      <c r="C148" s="68">
        <v>59.362200000000001</v>
      </c>
      <c r="D148" s="68">
        <v>2</v>
      </c>
      <c r="E148" s="68" t="s">
        <v>501</v>
      </c>
    </row>
    <row r="149" spans="1:5">
      <c r="A149" s="68">
        <v>0.46014899999999997</v>
      </c>
      <c r="B149" s="68">
        <v>0.257544</v>
      </c>
      <c r="C149" s="68">
        <v>59.769399999999997</v>
      </c>
      <c r="D149" s="68">
        <v>2</v>
      </c>
      <c r="E149" s="68" t="s">
        <v>502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508</v>
      </c>
      <c r="G1" s="66" t="s">
        <v>509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43605.436469907407</v>
      </c>
      <c r="B2" s="66" t="s">
        <v>504</v>
      </c>
      <c r="C2" s="66"/>
      <c r="D2" s="66"/>
      <c r="E2" s="66">
        <v>4.9207200000000002</v>
      </c>
      <c r="F2" s="66">
        <v>2.23827</v>
      </c>
      <c r="G2" s="66">
        <v>0.73974099999999998</v>
      </c>
      <c r="H2" s="66">
        <v>0</v>
      </c>
      <c r="I2" s="66">
        <v>152279</v>
      </c>
      <c r="J2" s="66">
        <v>129</v>
      </c>
      <c r="K2" s="66">
        <v>129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2019-05-20T02:30:50Z</cp:lastPrinted>
  <dcterms:created xsi:type="dcterms:W3CDTF">2010-10-29T12:53:05Z</dcterms:created>
  <dcterms:modified xsi:type="dcterms:W3CDTF">2019-05-20T02:31:54Z</dcterms:modified>
</cp:coreProperties>
</file>